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firstSheet="2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경암동" sheetId="6" r:id="rId6"/>
    <sheet name="구암동" sheetId="7" r:id="rId7"/>
    <sheet name="금광동" sheetId="8" r:id="rId8"/>
    <sheet name="나운동" sheetId="9" r:id="rId9"/>
    <sheet name="대명동" sheetId="10" r:id="rId10"/>
    <sheet name="동흥남동" sheetId="11" r:id="rId11"/>
    <sheet name="문화동" sheetId="12" r:id="rId12"/>
    <sheet name="미룡동" sheetId="13" r:id="rId13"/>
    <sheet name="미장동" sheetId="14" r:id="rId14"/>
    <sheet name="사정동" sheetId="15" r:id="rId15"/>
    <sheet name="산북동" sheetId="16" r:id="rId16"/>
    <sheet name="삼학동" sheetId="17" r:id="rId17"/>
    <sheet name="서흥남동" sheetId="18" r:id="rId18"/>
    <sheet name="소룡동" sheetId="19" r:id="rId19"/>
    <sheet name="수송동" sheetId="20" r:id="rId20"/>
    <sheet name="신풍동" sheetId="21" r:id="rId21"/>
    <sheet name="오식도동" sheetId="22" r:id="rId22"/>
    <sheet name="옥산면" sheetId="23" r:id="rId23"/>
    <sheet name="월명동" sheetId="24" r:id="rId24"/>
    <sheet name="장재동" sheetId="25" r:id="rId25"/>
    <sheet name="조촌동" sheetId="26" r:id="rId26"/>
    <sheet name="양식" sheetId="27" r:id="rId27"/>
    <sheet name="Sheet6" sheetId="33" r:id="rId28"/>
    <sheet name="Sheet7" sheetId="34" r:id="rId29"/>
    <sheet name="Sheet8" sheetId="35" r:id="rId30"/>
    <sheet name="Sheet9" sheetId="36" r:id="rId31"/>
    <sheet name="Sheet10" sheetId="37" r:id="rId32"/>
  </sheets>
  <definedNames>
    <definedName name="_xlnm._FilterDatabase" localSheetId="1" hidden="1">단지추출_가격표용!$A$3:$U$245</definedName>
    <definedName name="_xlnm.Print_Area" localSheetId="5">경암동!$A$1:$U$6</definedName>
    <definedName name="_xlnm.Print_Area" localSheetId="6">구암동!$A$1:$U$6</definedName>
    <definedName name="_xlnm.Print_Area" localSheetId="7">금광동!$A$1:$U$6</definedName>
    <definedName name="_xlnm.Print_Area" localSheetId="8">나운동!$A$1:$U$6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9">대명동!$A$1:$U$6</definedName>
    <definedName name="_xlnm.Print_Area" localSheetId="10">동흥남동!$A$1:$U$6</definedName>
    <definedName name="_xlnm.Print_Area" localSheetId="11">문화동!$A$1:$U$6</definedName>
    <definedName name="_xlnm.Print_Area" localSheetId="12">미룡동!$A$1:$U$6</definedName>
    <definedName name="_xlnm.Print_Area" localSheetId="13">미장동!$A$1:$U$6</definedName>
    <definedName name="_xlnm.Print_Area" localSheetId="14">사정동!$A$1:$U$6</definedName>
    <definedName name="_xlnm.Print_Area" localSheetId="15">산북동!$A$1:$U$6</definedName>
    <definedName name="_xlnm.Print_Area" localSheetId="16">삼학동!$A$1:$U$6</definedName>
    <definedName name="_xlnm.Print_Area" localSheetId="17">서흥남동!$A$1:$U$6</definedName>
    <definedName name="_xlnm.Print_Area" localSheetId="18">소룡동!$A$1:$U$6</definedName>
    <definedName name="_xlnm.Print_Area" localSheetId="19">수송동!$A$1:$U$6</definedName>
    <definedName name="_xlnm.Print_Area" localSheetId="20">신풍동!$A$1:$U$6</definedName>
    <definedName name="_xlnm.Print_Area" localSheetId="26">양식!$A$1:$U$6</definedName>
    <definedName name="_xlnm.Print_Area" localSheetId="21">오식도동!$A$1:$U$6</definedName>
    <definedName name="_xlnm.Print_Area" localSheetId="22">옥산면!$A$1:$U$6</definedName>
    <definedName name="_xlnm.Print_Area" localSheetId="23">월명동!$A$1:$U$6</definedName>
    <definedName name="_xlnm.Print_Area" localSheetId="24">장재동!$A$1:$U$6</definedName>
    <definedName name="_xlnm.Print_Area" localSheetId="25">조촌동!$A$1:$U$6</definedName>
    <definedName name="_xlnm.Print_Titles" localSheetId="5">경암동!$1:$3</definedName>
    <definedName name="_xlnm.Print_Titles" localSheetId="6">구암동!$1:$3</definedName>
    <definedName name="_xlnm.Print_Titles" localSheetId="7">금광동!$1:$3</definedName>
    <definedName name="_xlnm.Print_Titles" localSheetId="8">나운동!$1:$3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9">대명동!$1:$3</definedName>
    <definedName name="_xlnm.Print_Titles" localSheetId="10">동흥남동!$1:$3</definedName>
    <definedName name="_xlnm.Print_Titles" localSheetId="11">문화동!$1:$3</definedName>
    <definedName name="_xlnm.Print_Titles" localSheetId="12">미룡동!$1:$3</definedName>
    <definedName name="_xlnm.Print_Titles" localSheetId="13">미장동!$1:$3</definedName>
    <definedName name="_xlnm.Print_Titles" localSheetId="14">사정동!$1:$3</definedName>
    <definedName name="_xlnm.Print_Titles" localSheetId="15">산북동!$1:$3</definedName>
    <definedName name="_xlnm.Print_Titles" localSheetId="16">삼학동!$1:$3</definedName>
    <definedName name="_xlnm.Print_Titles" localSheetId="17">서흥남동!$1:$3</definedName>
    <definedName name="_xlnm.Print_Titles" localSheetId="18">소룡동!$1:$3</definedName>
    <definedName name="_xlnm.Print_Titles" localSheetId="19">수송동!$1:$3</definedName>
    <definedName name="_xlnm.Print_Titles" localSheetId="20">신풍동!$1:$3</definedName>
    <definedName name="_xlnm.Print_Titles" localSheetId="26">양식!$1:$3</definedName>
    <definedName name="_xlnm.Print_Titles" localSheetId="21">오식도동!$1:$3</definedName>
    <definedName name="_xlnm.Print_Titles" localSheetId="22">옥산면!$1:$3</definedName>
    <definedName name="_xlnm.Print_Titles" localSheetId="23">월명동!$1:$3</definedName>
    <definedName name="_xlnm.Print_Titles" localSheetId="24">장재동!$1:$3</definedName>
    <definedName name="_xlnm.Print_Titles" localSheetId="25">조촌동!$1:$3</definedName>
  </definedNames>
  <calcPr calcId="162913"/>
</workbook>
</file>

<file path=xl/calcChain.xml><?xml version="1.0" encoding="utf-8"?>
<calcChain xmlns="http://schemas.openxmlformats.org/spreadsheetml/2006/main">
  <c r="P245" i="2" l="1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72" i="2"/>
  <c r="O72" i="2"/>
  <c r="N72" i="2"/>
  <c r="M72" i="2"/>
  <c r="P83" i="2"/>
  <c r="O83" i="2"/>
  <c r="N83" i="2"/>
  <c r="M83" i="2"/>
  <c r="P46" i="2"/>
  <c r="O46" i="2"/>
  <c r="N46" i="2"/>
  <c r="M46" i="2"/>
  <c r="P119" i="2"/>
  <c r="O119" i="2"/>
  <c r="N119" i="2"/>
  <c r="M119" i="2"/>
  <c r="P130" i="2"/>
  <c r="O130" i="2"/>
  <c r="N130" i="2"/>
  <c r="M130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10" i="2"/>
  <c r="O10" i="2"/>
  <c r="N10" i="2"/>
  <c r="M10" i="2"/>
  <c r="P18" i="2"/>
  <c r="O18" i="2"/>
  <c r="N18" i="2"/>
  <c r="M18" i="2"/>
  <c r="P38" i="2"/>
  <c r="O38" i="2"/>
  <c r="N38" i="2"/>
  <c r="M38" i="2"/>
  <c r="P234" i="2"/>
  <c r="O234" i="2"/>
  <c r="N234" i="2"/>
  <c r="M234" i="2"/>
  <c r="P74" i="2"/>
  <c r="O74" i="2"/>
  <c r="N74" i="2"/>
  <c r="M74" i="2"/>
  <c r="P233" i="2"/>
  <c r="O233" i="2"/>
  <c r="N233" i="2"/>
  <c r="M233" i="2"/>
  <c r="P44" i="2"/>
  <c r="O44" i="2"/>
  <c r="N44" i="2"/>
  <c r="M44" i="2"/>
  <c r="P59" i="2"/>
  <c r="O59" i="2"/>
  <c r="N59" i="2"/>
  <c r="M59" i="2"/>
  <c r="P4" i="2"/>
  <c r="O4" i="2"/>
  <c r="N4" i="2"/>
  <c r="M4" i="2"/>
  <c r="P11" i="2"/>
  <c r="O11" i="2"/>
  <c r="N11" i="2"/>
  <c r="M11" i="2"/>
  <c r="P16" i="2"/>
  <c r="O16" i="2"/>
  <c r="N16" i="2"/>
  <c r="M16" i="2"/>
  <c r="P32" i="2"/>
  <c r="O32" i="2"/>
  <c r="N32" i="2"/>
  <c r="M32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40" i="2"/>
  <c r="O40" i="2"/>
  <c r="N40" i="2"/>
  <c r="M40" i="2"/>
  <c r="P45" i="2"/>
  <c r="O45" i="2"/>
  <c r="N45" i="2"/>
  <c r="M45" i="2"/>
  <c r="P93" i="2"/>
  <c r="O93" i="2"/>
  <c r="N93" i="2"/>
  <c r="M93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37" i="2"/>
  <c r="O37" i="2"/>
  <c r="N37" i="2"/>
  <c r="M37" i="2"/>
  <c r="P48" i="2"/>
  <c r="O48" i="2"/>
  <c r="N48" i="2"/>
  <c r="M48" i="2"/>
  <c r="P17" i="2"/>
  <c r="O17" i="2"/>
  <c r="N17" i="2"/>
  <c r="M17" i="2"/>
  <c r="P30" i="2"/>
  <c r="O30" i="2"/>
  <c r="N30" i="2"/>
  <c r="M30" i="2"/>
  <c r="P224" i="2"/>
  <c r="O224" i="2"/>
  <c r="N224" i="2"/>
  <c r="M224" i="2"/>
  <c r="P131" i="2"/>
  <c r="O131" i="2"/>
  <c r="N131" i="2"/>
  <c r="M131" i="2"/>
  <c r="P58" i="2"/>
  <c r="O58" i="2"/>
  <c r="N58" i="2"/>
  <c r="M58" i="2"/>
  <c r="P61" i="2"/>
  <c r="O61" i="2"/>
  <c r="N61" i="2"/>
  <c r="M61" i="2"/>
  <c r="P69" i="2"/>
  <c r="O69" i="2"/>
  <c r="N69" i="2"/>
  <c r="M69" i="2"/>
  <c r="P223" i="2"/>
  <c r="O223" i="2"/>
  <c r="N223" i="2"/>
  <c r="M223" i="2"/>
  <c r="P57" i="2"/>
  <c r="O57" i="2"/>
  <c r="N57" i="2"/>
  <c r="M57" i="2"/>
  <c r="P68" i="2"/>
  <c r="O68" i="2"/>
  <c r="N68" i="2"/>
  <c r="M68" i="2"/>
  <c r="P39" i="2"/>
  <c r="O39" i="2"/>
  <c r="N39" i="2"/>
  <c r="M39" i="2"/>
  <c r="P7" i="2"/>
  <c r="O7" i="2"/>
  <c r="N7" i="2"/>
  <c r="M7" i="2"/>
  <c r="P12" i="2"/>
  <c r="O12" i="2"/>
  <c r="N12" i="2"/>
  <c r="M12" i="2"/>
  <c r="P19" i="2"/>
  <c r="O19" i="2"/>
  <c r="N19" i="2"/>
  <c r="M19" i="2"/>
  <c r="P99" i="2"/>
  <c r="O99" i="2"/>
  <c r="N99" i="2"/>
  <c r="M99" i="2"/>
  <c r="P106" i="2"/>
  <c r="O106" i="2"/>
  <c r="N106" i="2"/>
  <c r="M106" i="2"/>
  <c r="P126" i="2"/>
  <c r="O126" i="2"/>
  <c r="N126" i="2"/>
  <c r="M126" i="2"/>
  <c r="P222" i="2"/>
  <c r="O222" i="2"/>
  <c r="N222" i="2"/>
  <c r="M222" i="2"/>
  <c r="P5" i="2"/>
  <c r="O5" i="2"/>
  <c r="N5" i="2"/>
  <c r="M5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6" i="2"/>
  <c r="O26" i="2"/>
  <c r="N26" i="2"/>
  <c r="M26" i="2"/>
  <c r="P218" i="2"/>
  <c r="O218" i="2"/>
  <c r="N218" i="2"/>
  <c r="M218" i="2"/>
  <c r="P217" i="2"/>
  <c r="O217" i="2"/>
  <c r="N217" i="2"/>
  <c r="M217" i="2"/>
  <c r="P136" i="2"/>
  <c r="O136" i="2"/>
  <c r="N136" i="2"/>
  <c r="M136" i="2"/>
  <c r="P216" i="2"/>
  <c r="O216" i="2"/>
  <c r="N216" i="2"/>
  <c r="M216" i="2"/>
  <c r="P105" i="2"/>
  <c r="O105" i="2"/>
  <c r="N105" i="2"/>
  <c r="M105" i="2"/>
  <c r="P140" i="2"/>
  <c r="O140" i="2"/>
  <c r="N140" i="2"/>
  <c r="M140" i="2"/>
  <c r="P215" i="2"/>
  <c r="O215" i="2"/>
  <c r="N215" i="2"/>
  <c r="M215" i="2"/>
  <c r="P129" i="2"/>
  <c r="O129" i="2"/>
  <c r="N129" i="2"/>
  <c r="M129" i="2"/>
  <c r="P132" i="2"/>
  <c r="O132" i="2"/>
  <c r="N132" i="2"/>
  <c r="M132" i="2"/>
  <c r="P138" i="2"/>
  <c r="O138" i="2"/>
  <c r="N138" i="2"/>
  <c r="M138" i="2"/>
  <c r="P214" i="2"/>
  <c r="O214" i="2"/>
  <c r="N214" i="2"/>
  <c r="M214" i="2"/>
  <c r="P98" i="2"/>
  <c r="O98" i="2"/>
  <c r="N98" i="2"/>
  <c r="M98" i="2"/>
  <c r="P213" i="2"/>
  <c r="O213" i="2"/>
  <c r="N213" i="2"/>
  <c r="M213" i="2"/>
  <c r="P133" i="2"/>
  <c r="O133" i="2"/>
  <c r="N133" i="2"/>
  <c r="M133" i="2"/>
  <c r="P118" i="2"/>
  <c r="O118" i="2"/>
  <c r="N118" i="2"/>
  <c r="M118" i="2"/>
  <c r="P125" i="2"/>
  <c r="O125" i="2"/>
  <c r="N125" i="2"/>
  <c r="M125" i="2"/>
  <c r="P212" i="2"/>
  <c r="O212" i="2"/>
  <c r="N212" i="2"/>
  <c r="M212" i="2"/>
  <c r="P211" i="2"/>
  <c r="O211" i="2"/>
  <c r="N211" i="2"/>
  <c r="M211" i="2"/>
  <c r="P101" i="2"/>
  <c r="O101" i="2"/>
  <c r="N101" i="2"/>
  <c r="M101" i="2"/>
  <c r="P113" i="2"/>
  <c r="O113" i="2"/>
  <c r="N113" i="2"/>
  <c r="M113" i="2"/>
  <c r="P210" i="2"/>
  <c r="O210" i="2"/>
  <c r="N210" i="2"/>
  <c r="M210" i="2"/>
  <c r="P76" i="2"/>
  <c r="O76" i="2"/>
  <c r="N76" i="2"/>
  <c r="M76" i="2"/>
  <c r="P73" i="2"/>
  <c r="O73" i="2"/>
  <c r="N73" i="2"/>
  <c r="M73" i="2"/>
  <c r="P117" i="2"/>
  <c r="O117" i="2"/>
  <c r="N117" i="2"/>
  <c r="M117" i="2"/>
  <c r="P141" i="2"/>
  <c r="O141" i="2"/>
  <c r="N141" i="2"/>
  <c r="M141" i="2"/>
  <c r="P209" i="2"/>
  <c r="O209" i="2"/>
  <c r="N209" i="2"/>
  <c r="M209" i="2"/>
  <c r="P142" i="2"/>
  <c r="O142" i="2"/>
  <c r="N142" i="2"/>
  <c r="M142" i="2"/>
  <c r="P208" i="2"/>
  <c r="O208" i="2"/>
  <c r="N208" i="2"/>
  <c r="M208" i="2"/>
  <c r="P207" i="2"/>
  <c r="O207" i="2"/>
  <c r="N207" i="2"/>
  <c r="M207" i="2"/>
  <c r="P116" i="2"/>
  <c r="O116" i="2"/>
  <c r="N116" i="2"/>
  <c r="M116" i="2"/>
  <c r="P206" i="2"/>
  <c r="O206" i="2"/>
  <c r="N206" i="2"/>
  <c r="M206" i="2"/>
  <c r="P205" i="2"/>
  <c r="O205" i="2"/>
  <c r="N205" i="2"/>
  <c r="M205" i="2"/>
  <c r="P122" i="2"/>
  <c r="O122" i="2"/>
  <c r="N122" i="2"/>
  <c r="M122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9" i="2"/>
  <c r="O9" i="2"/>
  <c r="N9" i="2"/>
  <c r="M9" i="2"/>
  <c r="P22" i="2"/>
  <c r="O22" i="2"/>
  <c r="N22" i="2"/>
  <c r="M22" i="2"/>
  <c r="P36" i="2"/>
  <c r="O36" i="2"/>
  <c r="N36" i="2"/>
  <c r="M36" i="2"/>
  <c r="P42" i="2"/>
  <c r="O42" i="2"/>
  <c r="N42" i="2"/>
  <c r="M42" i="2"/>
  <c r="P43" i="2"/>
  <c r="O43" i="2"/>
  <c r="N43" i="2"/>
  <c r="M43" i="2"/>
  <c r="P15" i="2"/>
  <c r="O15" i="2"/>
  <c r="N15" i="2"/>
  <c r="M15" i="2"/>
  <c r="P20" i="2"/>
  <c r="O20" i="2"/>
  <c r="N20" i="2"/>
  <c r="M20" i="2"/>
  <c r="P24" i="2"/>
  <c r="O24" i="2"/>
  <c r="N24" i="2"/>
  <c r="M24" i="2"/>
  <c r="P41" i="2"/>
  <c r="O41" i="2"/>
  <c r="N41" i="2"/>
  <c r="M41" i="2"/>
  <c r="P6" i="2"/>
  <c r="O6" i="2"/>
  <c r="N6" i="2"/>
  <c r="M6" i="2"/>
  <c r="P14" i="2"/>
  <c r="O14" i="2"/>
  <c r="N14" i="2"/>
  <c r="M14" i="2"/>
  <c r="P29" i="2"/>
  <c r="O29" i="2"/>
  <c r="N29" i="2"/>
  <c r="M29" i="2"/>
  <c r="P195" i="2"/>
  <c r="O195" i="2"/>
  <c r="N195" i="2"/>
  <c r="M195" i="2"/>
  <c r="P23" i="2"/>
  <c r="O23" i="2"/>
  <c r="N23" i="2"/>
  <c r="M23" i="2"/>
  <c r="P49" i="2"/>
  <c r="O49" i="2"/>
  <c r="N49" i="2"/>
  <c r="M49" i="2"/>
  <c r="P8" i="2"/>
  <c r="O8" i="2"/>
  <c r="N8" i="2"/>
  <c r="M8" i="2"/>
  <c r="P21" i="2"/>
  <c r="O21" i="2"/>
  <c r="N21" i="2"/>
  <c r="M21" i="2"/>
  <c r="P194" i="2"/>
  <c r="O194" i="2"/>
  <c r="N194" i="2"/>
  <c r="M194" i="2"/>
  <c r="P79" i="2"/>
  <c r="O79" i="2"/>
  <c r="N79" i="2"/>
  <c r="M79" i="2"/>
  <c r="P55" i="2"/>
  <c r="O55" i="2"/>
  <c r="N55" i="2"/>
  <c r="M55" i="2"/>
  <c r="P193" i="2"/>
  <c r="O193" i="2"/>
  <c r="N193" i="2"/>
  <c r="M193" i="2"/>
  <c r="P192" i="2"/>
  <c r="O192" i="2"/>
  <c r="N192" i="2"/>
  <c r="M192" i="2"/>
  <c r="P92" i="2"/>
  <c r="O92" i="2"/>
  <c r="N92" i="2"/>
  <c r="M92" i="2"/>
  <c r="P111" i="2"/>
  <c r="O111" i="2"/>
  <c r="N111" i="2"/>
  <c r="M111" i="2"/>
  <c r="P191" i="2"/>
  <c r="O191" i="2"/>
  <c r="N191" i="2"/>
  <c r="M191" i="2"/>
  <c r="P31" i="2"/>
  <c r="O31" i="2"/>
  <c r="N31" i="2"/>
  <c r="M31" i="2"/>
  <c r="P190" i="2"/>
  <c r="O190" i="2"/>
  <c r="N190" i="2"/>
  <c r="M190" i="2"/>
  <c r="P189" i="2"/>
  <c r="O189" i="2"/>
  <c r="N189" i="2"/>
  <c r="M189" i="2"/>
  <c r="P97" i="2"/>
  <c r="O97" i="2"/>
  <c r="N97" i="2"/>
  <c r="M97" i="2"/>
  <c r="P121" i="2"/>
  <c r="O121" i="2"/>
  <c r="N121" i="2"/>
  <c r="M121" i="2"/>
  <c r="P28" i="2"/>
  <c r="O28" i="2"/>
  <c r="N28" i="2"/>
  <c r="M28" i="2"/>
  <c r="P35" i="2"/>
  <c r="O35" i="2"/>
  <c r="N35" i="2"/>
  <c r="M35" i="2"/>
  <c r="P188" i="2"/>
  <c r="O188" i="2"/>
  <c r="N188" i="2"/>
  <c r="M188" i="2"/>
  <c r="P13" i="2"/>
  <c r="O13" i="2"/>
  <c r="N13" i="2"/>
  <c r="M13" i="2"/>
  <c r="P25" i="2"/>
  <c r="O25" i="2"/>
  <c r="N25" i="2"/>
  <c r="M25" i="2"/>
  <c r="P27" i="2"/>
  <c r="O27" i="2"/>
  <c r="N27" i="2"/>
  <c r="M27" i="2"/>
  <c r="P33" i="2"/>
  <c r="O33" i="2"/>
  <c r="N33" i="2"/>
  <c r="M33" i="2"/>
  <c r="P187" i="2"/>
  <c r="O187" i="2"/>
  <c r="N187" i="2"/>
  <c r="M187" i="2"/>
  <c r="P139" i="2"/>
  <c r="O139" i="2"/>
  <c r="N139" i="2"/>
  <c r="M139" i="2"/>
  <c r="P80" i="2"/>
  <c r="O80" i="2"/>
  <c r="N80" i="2"/>
  <c r="M80" i="2"/>
  <c r="P90" i="2"/>
  <c r="O90" i="2"/>
  <c r="N90" i="2"/>
  <c r="M90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50" i="2"/>
  <c r="O50" i="2"/>
  <c r="N50" i="2"/>
  <c r="M50" i="2"/>
  <c r="P75" i="2"/>
  <c r="O75" i="2"/>
  <c r="N75" i="2"/>
  <c r="M75" i="2"/>
  <c r="P178" i="2"/>
  <c r="O178" i="2"/>
  <c r="N178" i="2"/>
  <c r="M178" i="2"/>
  <c r="P51" i="2"/>
  <c r="O51" i="2"/>
  <c r="N51" i="2"/>
  <c r="M51" i="2"/>
  <c r="P177" i="2"/>
  <c r="O177" i="2"/>
  <c r="N177" i="2"/>
  <c r="M177" i="2"/>
  <c r="P71" i="2"/>
  <c r="O71" i="2"/>
  <c r="N71" i="2"/>
  <c r="M71" i="2"/>
  <c r="P176" i="2"/>
  <c r="O176" i="2"/>
  <c r="N176" i="2"/>
  <c r="M176" i="2"/>
  <c r="P175" i="2"/>
  <c r="O175" i="2"/>
  <c r="N175" i="2"/>
  <c r="M175" i="2"/>
  <c r="P52" i="2"/>
  <c r="O52" i="2"/>
  <c r="N52" i="2"/>
  <c r="M52" i="2"/>
  <c r="P62" i="2"/>
  <c r="O62" i="2"/>
  <c r="N62" i="2"/>
  <c r="M62" i="2"/>
  <c r="P174" i="2"/>
  <c r="O174" i="2"/>
  <c r="N174" i="2"/>
  <c r="M174" i="2"/>
  <c r="P89" i="2"/>
  <c r="O89" i="2"/>
  <c r="N89" i="2"/>
  <c r="M89" i="2"/>
  <c r="P114" i="2"/>
  <c r="O114" i="2"/>
  <c r="N114" i="2"/>
  <c r="M114" i="2"/>
  <c r="P120" i="2"/>
  <c r="O120" i="2"/>
  <c r="N120" i="2"/>
  <c r="M120" i="2"/>
  <c r="P173" i="2"/>
  <c r="O173" i="2"/>
  <c r="N173" i="2"/>
  <c r="M173" i="2"/>
  <c r="P109" i="2"/>
  <c r="O109" i="2"/>
  <c r="N109" i="2"/>
  <c r="M109" i="2"/>
  <c r="P123" i="2"/>
  <c r="O123" i="2"/>
  <c r="N123" i="2"/>
  <c r="M123" i="2"/>
  <c r="P115" i="2"/>
  <c r="O115" i="2"/>
  <c r="N115" i="2"/>
  <c r="M115" i="2"/>
  <c r="P172" i="2"/>
  <c r="O172" i="2"/>
  <c r="N172" i="2"/>
  <c r="M172" i="2"/>
  <c r="P100" i="2"/>
  <c r="O100" i="2"/>
  <c r="N100" i="2"/>
  <c r="M100" i="2"/>
  <c r="P124" i="2"/>
  <c r="O124" i="2"/>
  <c r="N124" i="2"/>
  <c r="M124" i="2"/>
  <c r="P134" i="2"/>
  <c r="O134" i="2"/>
  <c r="N134" i="2"/>
  <c r="M134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08" i="2"/>
  <c r="O108" i="2"/>
  <c r="N108" i="2"/>
  <c r="M108" i="2"/>
  <c r="P168" i="2"/>
  <c r="O168" i="2"/>
  <c r="N168" i="2"/>
  <c r="M168" i="2"/>
  <c r="P167" i="2"/>
  <c r="O167" i="2"/>
  <c r="N167" i="2"/>
  <c r="M167" i="2"/>
  <c r="P78" i="2"/>
  <c r="O78" i="2"/>
  <c r="N78" i="2"/>
  <c r="M78" i="2"/>
  <c r="P103" i="2"/>
  <c r="O103" i="2"/>
  <c r="N103" i="2"/>
  <c r="M103" i="2"/>
  <c r="P107" i="2"/>
  <c r="O107" i="2"/>
  <c r="N107" i="2"/>
  <c r="M107" i="2"/>
  <c r="P166" i="2"/>
  <c r="O166" i="2"/>
  <c r="N166" i="2"/>
  <c r="M166" i="2"/>
  <c r="P165" i="2"/>
  <c r="O165" i="2"/>
  <c r="N165" i="2"/>
  <c r="M165" i="2"/>
  <c r="P85" i="2"/>
  <c r="O85" i="2"/>
  <c r="N85" i="2"/>
  <c r="M85" i="2"/>
  <c r="P94" i="2"/>
  <c r="O94" i="2"/>
  <c r="N94" i="2"/>
  <c r="M94" i="2"/>
  <c r="P164" i="2"/>
  <c r="O164" i="2"/>
  <c r="N164" i="2"/>
  <c r="M164" i="2"/>
  <c r="P163" i="2"/>
  <c r="O163" i="2"/>
  <c r="N163" i="2"/>
  <c r="M163" i="2"/>
  <c r="P54" i="2"/>
  <c r="O54" i="2"/>
  <c r="N54" i="2"/>
  <c r="M54" i="2"/>
  <c r="P66" i="2"/>
  <c r="O66" i="2"/>
  <c r="N66" i="2"/>
  <c r="M66" i="2"/>
  <c r="P34" i="2"/>
  <c r="O34" i="2"/>
  <c r="N34" i="2"/>
  <c r="M34" i="2"/>
  <c r="P56" i="2"/>
  <c r="O56" i="2"/>
  <c r="N56" i="2"/>
  <c r="M56" i="2"/>
  <c r="P81" i="2"/>
  <c r="O81" i="2"/>
  <c r="N81" i="2"/>
  <c r="M81" i="2"/>
  <c r="P53" i="2"/>
  <c r="O53" i="2"/>
  <c r="N53" i="2"/>
  <c r="M53" i="2"/>
  <c r="P65" i="2"/>
  <c r="O65" i="2"/>
  <c r="N65" i="2"/>
  <c r="M65" i="2"/>
  <c r="P67" i="2"/>
  <c r="O67" i="2"/>
  <c r="N67" i="2"/>
  <c r="M67" i="2"/>
  <c r="P77" i="2"/>
  <c r="O77" i="2"/>
  <c r="N77" i="2"/>
  <c r="M77" i="2"/>
  <c r="P102" i="2"/>
  <c r="O102" i="2"/>
  <c r="N102" i="2"/>
  <c r="M102" i="2"/>
  <c r="P82" i="2"/>
  <c r="O82" i="2"/>
  <c r="N82" i="2"/>
  <c r="M82" i="2"/>
  <c r="P88" i="2"/>
  <c r="O88" i="2"/>
  <c r="N88" i="2"/>
  <c r="M88" i="2"/>
  <c r="P64" i="2"/>
  <c r="O64" i="2"/>
  <c r="N64" i="2"/>
  <c r="M64" i="2"/>
  <c r="P63" i="2"/>
  <c r="O63" i="2"/>
  <c r="N63" i="2"/>
  <c r="M63" i="2"/>
  <c r="P162" i="2"/>
  <c r="O162" i="2"/>
  <c r="N162" i="2"/>
  <c r="M162" i="2"/>
  <c r="P84" i="2"/>
  <c r="O84" i="2"/>
  <c r="N84" i="2"/>
  <c r="M84" i="2"/>
  <c r="P104" i="2"/>
  <c r="O104" i="2"/>
  <c r="N104" i="2"/>
  <c r="M104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96" i="2"/>
  <c r="O96" i="2"/>
  <c r="N96" i="2"/>
  <c r="M96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86" i="2"/>
  <c r="O86" i="2"/>
  <c r="N86" i="2"/>
  <c r="M86" i="2"/>
  <c r="P153" i="2"/>
  <c r="O153" i="2"/>
  <c r="N153" i="2"/>
  <c r="M153" i="2"/>
  <c r="P112" i="2"/>
  <c r="O112" i="2"/>
  <c r="N112" i="2"/>
  <c r="M112" i="2"/>
  <c r="P152" i="2"/>
  <c r="O152" i="2"/>
  <c r="N152" i="2"/>
  <c r="M152" i="2"/>
  <c r="P70" i="2"/>
  <c r="O70" i="2"/>
  <c r="N70" i="2"/>
  <c r="M70" i="2"/>
  <c r="P110" i="2"/>
  <c r="O110" i="2"/>
  <c r="N110" i="2"/>
  <c r="M110" i="2"/>
  <c r="P60" i="2"/>
  <c r="O60" i="2"/>
  <c r="N60" i="2"/>
  <c r="M60" i="2"/>
  <c r="P128" i="2"/>
  <c r="O128" i="2"/>
  <c r="N128" i="2"/>
  <c r="M128" i="2"/>
  <c r="P135" i="2"/>
  <c r="O135" i="2"/>
  <c r="N135" i="2"/>
  <c r="M135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91" i="2"/>
  <c r="O91" i="2"/>
  <c r="N91" i="2"/>
  <c r="M91" i="2"/>
  <c r="P146" i="2"/>
  <c r="O146" i="2"/>
  <c r="N146" i="2"/>
  <c r="M146" i="2"/>
  <c r="P145" i="2"/>
  <c r="O145" i="2"/>
  <c r="N145" i="2"/>
  <c r="M145" i="2"/>
  <c r="P87" i="2"/>
  <c r="O87" i="2"/>
  <c r="N87" i="2"/>
  <c r="M87" i="2"/>
  <c r="P127" i="2"/>
  <c r="O127" i="2"/>
  <c r="N127" i="2"/>
  <c r="M127" i="2"/>
  <c r="P137" i="2"/>
  <c r="O137" i="2"/>
  <c r="N137" i="2"/>
  <c r="M137" i="2"/>
  <c r="P47" i="2"/>
  <c r="O47" i="2"/>
  <c r="N47" i="2"/>
  <c r="M47" i="2"/>
  <c r="P95" i="2"/>
  <c r="O95" i="2"/>
  <c r="N95" i="2"/>
  <c r="M95" i="2"/>
  <c r="P144" i="2"/>
  <c r="O144" i="2"/>
  <c r="N144" i="2"/>
  <c r="M144" i="2"/>
  <c r="P143" i="2"/>
  <c r="O143" i="2"/>
  <c r="N143" i="2"/>
  <c r="M143" i="2"/>
  <c r="AU386" i="1"/>
  <c r="AP386" i="1"/>
  <c r="AI386" i="1"/>
  <c r="AN386" i="1" s="1"/>
  <c r="AH386" i="1"/>
  <c r="AF386" i="1"/>
  <c r="AE386" i="1"/>
  <c r="AB386" i="1"/>
  <c r="AA386" i="1"/>
  <c r="Z386" i="1"/>
  <c r="Y386" i="1"/>
  <c r="X386" i="1"/>
  <c r="W386" i="1"/>
  <c r="P386" i="1"/>
  <c r="O386" i="1"/>
  <c r="AD386" i="1" s="1"/>
  <c r="N386" i="1"/>
  <c r="M386" i="1"/>
  <c r="AR386" i="1" s="1"/>
  <c r="AU385" i="1"/>
  <c r="AR385" i="1"/>
  <c r="AP385" i="1"/>
  <c r="AI385" i="1"/>
  <c r="AN385" i="1" s="1"/>
  <c r="AH385" i="1"/>
  <c r="AF385" i="1"/>
  <c r="AE385" i="1"/>
  <c r="AB385" i="1"/>
  <c r="AA385" i="1"/>
  <c r="Z385" i="1"/>
  <c r="Y385" i="1"/>
  <c r="X385" i="1"/>
  <c r="W385" i="1"/>
  <c r="P385" i="1"/>
  <c r="O385" i="1"/>
  <c r="AD385" i="1" s="1"/>
  <c r="N385" i="1"/>
  <c r="AO385" i="1" s="1"/>
  <c r="AV385" i="1" s="1"/>
  <c r="M385" i="1"/>
  <c r="AU384" i="1"/>
  <c r="AR384" i="1"/>
  <c r="AP384" i="1"/>
  <c r="AI384" i="1"/>
  <c r="AH384" i="1"/>
  <c r="AF384" i="1"/>
  <c r="AE384" i="1"/>
  <c r="AC384" i="1"/>
  <c r="AB384" i="1"/>
  <c r="AA384" i="1"/>
  <c r="Z384" i="1"/>
  <c r="Y384" i="1"/>
  <c r="X384" i="1"/>
  <c r="W384" i="1"/>
  <c r="P384" i="1"/>
  <c r="O384" i="1"/>
  <c r="AQ384" i="1" s="1"/>
  <c r="N384" i="1"/>
  <c r="AO384" i="1" s="1"/>
  <c r="AV384" i="1" s="1"/>
  <c r="M384" i="1"/>
  <c r="AU383" i="1"/>
  <c r="AT383" i="1"/>
  <c r="AP383" i="1"/>
  <c r="AN383" i="1"/>
  <c r="AJ383" i="1"/>
  <c r="AI383" i="1"/>
  <c r="AH383" i="1"/>
  <c r="AF383" i="1"/>
  <c r="AE383" i="1"/>
  <c r="AD383" i="1"/>
  <c r="AC383" i="1"/>
  <c r="AB383" i="1"/>
  <c r="AA383" i="1"/>
  <c r="Z383" i="1"/>
  <c r="Y383" i="1"/>
  <c r="X383" i="1"/>
  <c r="W383" i="1"/>
  <c r="P383" i="1"/>
  <c r="O383" i="1"/>
  <c r="AQ383" i="1" s="1"/>
  <c r="N383" i="1"/>
  <c r="AO383" i="1" s="1"/>
  <c r="AV383" i="1" s="1"/>
  <c r="M383" i="1"/>
  <c r="AR383" i="1" s="1"/>
  <c r="AU382" i="1"/>
  <c r="AP382" i="1"/>
  <c r="AO382" i="1"/>
  <c r="AV382" i="1" s="1"/>
  <c r="AN382" i="1"/>
  <c r="AI382" i="1"/>
  <c r="AT382" i="1" s="1"/>
  <c r="AH382" i="1"/>
  <c r="AF382" i="1"/>
  <c r="AE382" i="1"/>
  <c r="AD382" i="1"/>
  <c r="AA382" i="1"/>
  <c r="Z382" i="1"/>
  <c r="Y382" i="1"/>
  <c r="X382" i="1"/>
  <c r="W382" i="1"/>
  <c r="P382" i="1"/>
  <c r="O382" i="1"/>
  <c r="AQ382" i="1" s="1"/>
  <c r="N382" i="1"/>
  <c r="AC382" i="1" s="1"/>
  <c r="M382" i="1"/>
  <c r="AR382" i="1" s="1"/>
  <c r="AU381" i="1"/>
  <c r="AT381" i="1"/>
  <c r="AP381" i="1"/>
  <c r="AO381" i="1"/>
  <c r="AV381" i="1" s="1"/>
  <c r="AN381" i="1"/>
  <c r="AJ381" i="1"/>
  <c r="AI381" i="1"/>
  <c r="AH381" i="1"/>
  <c r="AF381" i="1"/>
  <c r="AE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R380" i="1"/>
  <c r="AP380" i="1"/>
  <c r="AI380" i="1"/>
  <c r="AN380" i="1" s="1"/>
  <c r="AH380" i="1"/>
  <c r="AF380" i="1"/>
  <c r="AE380" i="1"/>
  <c r="AB380" i="1"/>
  <c r="AA380" i="1"/>
  <c r="Z380" i="1"/>
  <c r="Y380" i="1"/>
  <c r="X380" i="1"/>
  <c r="W380" i="1"/>
  <c r="P380" i="1"/>
  <c r="O380" i="1"/>
  <c r="AD380" i="1" s="1"/>
  <c r="N380" i="1"/>
  <c r="M380" i="1"/>
  <c r="AU379" i="1"/>
  <c r="AR379" i="1"/>
  <c r="AP379" i="1"/>
  <c r="AO379" i="1"/>
  <c r="AV379" i="1" s="1"/>
  <c r="AI379" i="1"/>
  <c r="AN379" i="1" s="1"/>
  <c r="AH379" i="1"/>
  <c r="AF379" i="1"/>
  <c r="AE379" i="1"/>
  <c r="AC379" i="1"/>
  <c r="AB379" i="1"/>
  <c r="AA379" i="1"/>
  <c r="Z379" i="1"/>
  <c r="Y379" i="1"/>
  <c r="X379" i="1"/>
  <c r="W379" i="1"/>
  <c r="P379" i="1"/>
  <c r="O379" i="1"/>
  <c r="AD379" i="1" s="1"/>
  <c r="N379" i="1"/>
  <c r="M379" i="1"/>
  <c r="AU378" i="1"/>
  <c r="AR378" i="1"/>
  <c r="AP378" i="1"/>
  <c r="AI378" i="1"/>
  <c r="AH378" i="1"/>
  <c r="AF378" i="1"/>
  <c r="AE378" i="1"/>
  <c r="AD378" i="1"/>
  <c r="AC378" i="1"/>
  <c r="AB378" i="1"/>
  <c r="AA378" i="1"/>
  <c r="Z378" i="1"/>
  <c r="Y378" i="1"/>
  <c r="X378" i="1"/>
  <c r="W378" i="1"/>
  <c r="P378" i="1"/>
  <c r="O378" i="1"/>
  <c r="AQ378" i="1" s="1"/>
  <c r="N378" i="1"/>
  <c r="AO378" i="1" s="1"/>
  <c r="M378" i="1"/>
  <c r="AU377" i="1"/>
  <c r="AT377" i="1"/>
  <c r="AP377" i="1"/>
  <c r="AO377" i="1"/>
  <c r="AV377" i="1" s="1"/>
  <c r="AN377" i="1"/>
  <c r="AJ377" i="1"/>
  <c r="AI377" i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M377" i="1"/>
  <c r="AR377" i="1" s="1"/>
  <c r="AU376" i="1"/>
  <c r="AP376" i="1"/>
  <c r="AO376" i="1"/>
  <c r="AN376" i="1"/>
  <c r="AI376" i="1"/>
  <c r="AT376" i="1" s="1"/>
  <c r="AH376" i="1"/>
  <c r="AF376" i="1"/>
  <c r="AE376" i="1"/>
  <c r="AD376" i="1"/>
  <c r="AA376" i="1"/>
  <c r="Z376" i="1"/>
  <c r="Y376" i="1"/>
  <c r="X376" i="1"/>
  <c r="W376" i="1"/>
  <c r="P376" i="1"/>
  <c r="O376" i="1"/>
  <c r="AQ376" i="1" s="1"/>
  <c r="N376" i="1"/>
  <c r="AC376" i="1" s="1"/>
  <c r="M376" i="1"/>
  <c r="AR376" i="1" s="1"/>
  <c r="AU375" i="1"/>
  <c r="AT375" i="1"/>
  <c r="AP375" i="1"/>
  <c r="AO375" i="1"/>
  <c r="AN375" i="1"/>
  <c r="AJ375" i="1"/>
  <c r="AI375" i="1"/>
  <c r="AH375" i="1"/>
  <c r="AF375" i="1"/>
  <c r="AE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R374" i="1"/>
  <c r="AP374" i="1"/>
  <c r="AN374" i="1"/>
  <c r="AI374" i="1"/>
  <c r="AT374" i="1" s="1"/>
  <c r="AH374" i="1"/>
  <c r="AF374" i="1"/>
  <c r="AE374" i="1"/>
  <c r="AB374" i="1"/>
  <c r="AA374" i="1"/>
  <c r="Z374" i="1"/>
  <c r="Y374" i="1"/>
  <c r="X374" i="1"/>
  <c r="W374" i="1"/>
  <c r="P374" i="1"/>
  <c r="O374" i="1"/>
  <c r="AD374" i="1" s="1"/>
  <c r="N374" i="1"/>
  <c r="M374" i="1"/>
  <c r="AU373" i="1"/>
  <c r="AP373" i="1"/>
  <c r="AO373" i="1"/>
  <c r="AI373" i="1"/>
  <c r="AN373" i="1" s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D373" i="1" s="1"/>
  <c r="N373" i="1"/>
  <c r="M373" i="1"/>
  <c r="AR373" i="1" s="1"/>
  <c r="AU372" i="1"/>
  <c r="AR372" i="1"/>
  <c r="AP372" i="1"/>
  <c r="AI372" i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AQ372" i="1" s="1"/>
  <c r="N372" i="1"/>
  <c r="AO372" i="1" s="1"/>
  <c r="M372" i="1"/>
  <c r="AU371" i="1"/>
  <c r="AT371" i="1"/>
  <c r="AP371" i="1"/>
  <c r="AO371" i="1"/>
  <c r="AV371" i="1" s="1"/>
  <c r="AN371" i="1"/>
  <c r="AJ371" i="1"/>
  <c r="AI371" i="1"/>
  <c r="AH371" i="1"/>
  <c r="AF371" i="1"/>
  <c r="AE371" i="1"/>
  <c r="AC371" i="1"/>
  <c r="AA371" i="1"/>
  <c r="Z371" i="1"/>
  <c r="Y371" i="1"/>
  <c r="X371" i="1"/>
  <c r="W371" i="1"/>
  <c r="P371" i="1"/>
  <c r="O371" i="1"/>
  <c r="AQ371" i="1" s="1"/>
  <c r="N371" i="1"/>
  <c r="M371" i="1"/>
  <c r="AR371" i="1" s="1"/>
  <c r="AU370" i="1"/>
  <c r="AP370" i="1"/>
  <c r="AO370" i="1"/>
  <c r="AV370" i="1" s="1"/>
  <c r="AN370" i="1"/>
  <c r="AI370" i="1"/>
  <c r="AT370" i="1" s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C370" i="1" s="1"/>
  <c r="M370" i="1"/>
  <c r="AR370" i="1" s="1"/>
  <c r="AV369" i="1"/>
  <c r="AU369" i="1"/>
  <c r="AT369" i="1"/>
  <c r="AP369" i="1"/>
  <c r="AO369" i="1"/>
  <c r="AN369" i="1"/>
  <c r="AJ369" i="1"/>
  <c r="AI369" i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U368" i="1"/>
  <c r="AR368" i="1"/>
  <c r="AP368" i="1"/>
  <c r="AN368" i="1"/>
  <c r="AI368" i="1"/>
  <c r="AT368" i="1" s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AQ368" i="1" s="1"/>
  <c r="N368" i="1"/>
  <c r="M368" i="1"/>
  <c r="AU367" i="1"/>
  <c r="AP367" i="1"/>
  <c r="AO367" i="1"/>
  <c r="AV367" i="1" s="1"/>
  <c r="AI367" i="1"/>
  <c r="AN367" i="1" s="1"/>
  <c r="AH367" i="1"/>
  <c r="AF367" i="1"/>
  <c r="AE367" i="1"/>
  <c r="AC367" i="1"/>
  <c r="AA367" i="1"/>
  <c r="Z367" i="1"/>
  <c r="Y367" i="1"/>
  <c r="X367" i="1"/>
  <c r="W367" i="1"/>
  <c r="P367" i="1"/>
  <c r="O367" i="1"/>
  <c r="AD367" i="1" s="1"/>
  <c r="N367" i="1"/>
  <c r="M367" i="1"/>
  <c r="AR367" i="1" s="1"/>
  <c r="AU366" i="1"/>
  <c r="AR366" i="1"/>
  <c r="AP366" i="1"/>
  <c r="AI366" i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AO366" i="1" s="1"/>
  <c r="AV366" i="1" s="1"/>
  <c r="M366" i="1"/>
  <c r="AU365" i="1"/>
  <c r="AT365" i="1"/>
  <c r="AP365" i="1"/>
  <c r="AO365" i="1"/>
  <c r="AV365" i="1" s="1"/>
  <c r="AN365" i="1"/>
  <c r="AJ365" i="1"/>
  <c r="AI365" i="1"/>
  <c r="AH365" i="1"/>
  <c r="AF365" i="1"/>
  <c r="AE365" i="1"/>
  <c r="AC365" i="1"/>
  <c r="AA365" i="1"/>
  <c r="Z365" i="1"/>
  <c r="Y365" i="1"/>
  <c r="X365" i="1"/>
  <c r="W365" i="1"/>
  <c r="P365" i="1"/>
  <c r="O365" i="1"/>
  <c r="AQ365" i="1" s="1"/>
  <c r="N365" i="1"/>
  <c r="M365" i="1"/>
  <c r="AR365" i="1" s="1"/>
  <c r="AU364" i="1"/>
  <c r="AR364" i="1"/>
  <c r="AP364" i="1"/>
  <c r="AN364" i="1"/>
  <c r="AI364" i="1"/>
  <c r="AT364" i="1" s="1"/>
  <c r="AH364" i="1"/>
  <c r="AF364" i="1"/>
  <c r="AE364" i="1"/>
  <c r="AD364" i="1"/>
  <c r="AB364" i="1"/>
  <c r="AA364" i="1"/>
  <c r="Z364" i="1"/>
  <c r="Y364" i="1"/>
  <c r="X364" i="1"/>
  <c r="W364" i="1"/>
  <c r="P364" i="1"/>
  <c r="O364" i="1"/>
  <c r="AQ364" i="1" s="1"/>
  <c r="N364" i="1"/>
  <c r="AC364" i="1" s="1"/>
  <c r="M364" i="1"/>
  <c r="AV363" i="1"/>
  <c r="AU363" i="1"/>
  <c r="AT363" i="1"/>
  <c r="AP363" i="1"/>
  <c r="AO363" i="1"/>
  <c r="AN363" i="1"/>
  <c r="AJ363" i="1"/>
  <c r="AI363" i="1"/>
  <c r="AH363" i="1"/>
  <c r="AF363" i="1"/>
  <c r="AE363" i="1"/>
  <c r="AC363" i="1"/>
  <c r="AA363" i="1"/>
  <c r="Z363" i="1"/>
  <c r="Y363" i="1"/>
  <c r="X363" i="1"/>
  <c r="W363" i="1"/>
  <c r="P363" i="1"/>
  <c r="O363" i="1"/>
  <c r="AD363" i="1" s="1"/>
  <c r="N363" i="1"/>
  <c r="M363" i="1"/>
  <c r="AU362" i="1"/>
  <c r="AR362" i="1"/>
  <c r="AP362" i="1"/>
  <c r="AN362" i="1"/>
  <c r="AI362" i="1"/>
  <c r="AT362" i="1" s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M362" i="1"/>
  <c r="AU361" i="1"/>
  <c r="AP361" i="1"/>
  <c r="AO361" i="1"/>
  <c r="AI361" i="1"/>
  <c r="AN361" i="1" s="1"/>
  <c r="AH361" i="1"/>
  <c r="AF361" i="1"/>
  <c r="AE361" i="1"/>
  <c r="AC361" i="1"/>
  <c r="AA361" i="1"/>
  <c r="Z361" i="1"/>
  <c r="Y361" i="1"/>
  <c r="X361" i="1"/>
  <c r="W361" i="1"/>
  <c r="P361" i="1"/>
  <c r="O361" i="1"/>
  <c r="AD361" i="1" s="1"/>
  <c r="N361" i="1"/>
  <c r="M361" i="1"/>
  <c r="AR361" i="1" s="1"/>
  <c r="AU360" i="1"/>
  <c r="AR360" i="1"/>
  <c r="AP360" i="1"/>
  <c r="AI360" i="1"/>
  <c r="AH360" i="1"/>
  <c r="AF360" i="1"/>
  <c r="AE360" i="1"/>
  <c r="AB360" i="1"/>
  <c r="AA360" i="1"/>
  <c r="Z360" i="1"/>
  <c r="Y360" i="1"/>
  <c r="X360" i="1"/>
  <c r="W360" i="1"/>
  <c r="P360" i="1"/>
  <c r="O360" i="1"/>
  <c r="AQ360" i="1" s="1"/>
  <c r="N360" i="1"/>
  <c r="AO360" i="1" s="1"/>
  <c r="M360" i="1"/>
  <c r="AU359" i="1"/>
  <c r="AT359" i="1"/>
  <c r="AP359" i="1"/>
  <c r="AO359" i="1"/>
  <c r="AV359" i="1" s="1"/>
  <c r="AN359" i="1"/>
  <c r="AJ359" i="1"/>
  <c r="AI359" i="1"/>
  <c r="AH359" i="1"/>
  <c r="AF359" i="1"/>
  <c r="AE359" i="1"/>
  <c r="AC359" i="1"/>
  <c r="AA359" i="1"/>
  <c r="Z359" i="1"/>
  <c r="Y359" i="1"/>
  <c r="X359" i="1"/>
  <c r="W359" i="1"/>
  <c r="P359" i="1"/>
  <c r="O359" i="1"/>
  <c r="AQ359" i="1" s="1"/>
  <c r="N359" i="1"/>
  <c r="M359" i="1"/>
  <c r="AR359" i="1" s="1"/>
  <c r="AU358" i="1"/>
  <c r="AR358" i="1"/>
  <c r="AP358" i="1"/>
  <c r="AN358" i="1"/>
  <c r="AI358" i="1"/>
  <c r="AT358" i="1" s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AC358" i="1" s="1"/>
  <c r="M358" i="1"/>
  <c r="AU357" i="1"/>
  <c r="AT357" i="1"/>
  <c r="AP357" i="1"/>
  <c r="AO357" i="1"/>
  <c r="AN357" i="1"/>
  <c r="AJ357" i="1"/>
  <c r="AI357" i="1"/>
  <c r="AH357" i="1"/>
  <c r="AF357" i="1"/>
  <c r="AE357" i="1"/>
  <c r="AC357" i="1"/>
  <c r="AA357" i="1"/>
  <c r="Z357" i="1"/>
  <c r="Y357" i="1"/>
  <c r="X357" i="1"/>
  <c r="W357" i="1"/>
  <c r="P357" i="1"/>
  <c r="O357" i="1"/>
  <c r="AD357" i="1" s="1"/>
  <c r="N357" i="1"/>
  <c r="M357" i="1"/>
  <c r="AU356" i="1"/>
  <c r="AR356" i="1"/>
  <c r="AP356" i="1"/>
  <c r="AN356" i="1"/>
  <c r="AI356" i="1"/>
  <c r="AT356" i="1" s="1"/>
  <c r="AH356" i="1"/>
  <c r="AF356" i="1"/>
  <c r="AE356" i="1"/>
  <c r="AD356" i="1"/>
  <c r="AB356" i="1"/>
  <c r="AA356" i="1"/>
  <c r="Z356" i="1"/>
  <c r="Y356" i="1"/>
  <c r="X356" i="1"/>
  <c r="W356" i="1"/>
  <c r="P356" i="1"/>
  <c r="O356" i="1"/>
  <c r="AQ356" i="1" s="1"/>
  <c r="N356" i="1"/>
  <c r="M356" i="1"/>
  <c r="AU355" i="1"/>
  <c r="AT355" i="1"/>
  <c r="AQ355" i="1"/>
  <c r="AP355" i="1"/>
  <c r="AO355" i="1"/>
  <c r="AV355" i="1" s="1"/>
  <c r="AJ355" i="1"/>
  <c r="AI355" i="1"/>
  <c r="AN355" i="1" s="1"/>
  <c r="AH355" i="1"/>
  <c r="AF355" i="1"/>
  <c r="AE355" i="1"/>
  <c r="AC355" i="1"/>
  <c r="AA355" i="1"/>
  <c r="Z355" i="1"/>
  <c r="Y355" i="1"/>
  <c r="X355" i="1"/>
  <c r="W355" i="1"/>
  <c r="P355" i="1"/>
  <c r="O355" i="1"/>
  <c r="AD355" i="1" s="1"/>
  <c r="N355" i="1"/>
  <c r="M355" i="1"/>
  <c r="AR355" i="1" s="1"/>
  <c r="AU354" i="1"/>
  <c r="AR354" i="1"/>
  <c r="AP354" i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O354" i="1" s="1"/>
  <c r="M354" i="1"/>
  <c r="AU353" i="1"/>
  <c r="AT353" i="1"/>
  <c r="AP353" i="1"/>
  <c r="AO353" i="1"/>
  <c r="AV353" i="1" s="1"/>
  <c r="AN353" i="1"/>
  <c r="AJ353" i="1"/>
  <c r="AI353" i="1"/>
  <c r="AH353" i="1"/>
  <c r="AF353" i="1"/>
  <c r="AE353" i="1"/>
  <c r="AC353" i="1"/>
  <c r="AA353" i="1"/>
  <c r="Z353" i="1"/>
  <c r="Y353" i="1"/>
  <c r="X353" i="1"/>
  <c r="W353" i="1"/>
  <c r="P353" i="1"/>
  <c r="O353" i="1"/>
  <c r="AQ353" i="1" s="1"/>
  <c r="N353" i="1"/>
  <c r="M353" i="1"/>
  <c r="AR353" i="1" s="1"/>
  <c r="AU352" i="1"/>
  <c r="AR352" i="1"/>
  <c r="AP352" i="1"/>
  <c r="AN352" i="1"/>
  <c r="AI352" i="1"/>
  <c r="AT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C352" i="1" s="1"/>
  <c r="M352" i="1"/>
  <c r="AU351" i="1"/>
  <c r="AT351" i="1"/>
  <c r="AP351" i="1"/>
  <c r="AO351" i="1"/>
  <c r="AN351" i="1"/>
  <c r="AJ351" i="1"/>
  <c r="AI351" i="1"/>
  <c r="AH351" i="1"/>
  <c r="AF351" i="1"/>
  <c r="AE351" i="1"/>
  <c r="AC351" i="1"/>
  <c r="AA351" i="1"/>
  <c r="Z351" i="1"/>
  <c r="Y351" i="1"/>
  <c r="X351" i="1"/>
  <c r="W351" i="1"/>
  <c r="P351" i="1"/>
  <c r="O351" i="1"/>
  <c r="AD351" i="1" s="1"/>
  <c r="N351" i="1"/>
  <c r="M351" i="1"/>
  <c r="AU350" i="1"/>
  <c r="AR350" i="1"/>
  <c r="AP350" i="1"/>
  <c r="AN350" i="1"/>
  <c r="AI350" i="1"/>
  <c r="AT350" i="1" s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M350" i="1"/>
  <c r="AU349" i="1"/>
  <c r="AT349" i="1"/>
  <c r="AP349" i="1"/>
  <c r="AO349" i="1"/>
  <c r="AJ349" i="1"/>
  <c r="AI349" i="1"/>
  <c r="AN349" i="1" s="1"/>
  <c r="AH349" i="1"/>
  <c r="AF349" i="1"/>
  <c r="AE349" i="1"/>
  <c r="AC349" i="1"/>
  <c r="AA349" i="1"/>
  <c r="Z349" i="1"/>
  <c r="Y349" i="1"/>
  <c r="X349" i="1"/>
  <c r="W349" i="1"/>
  <c r="P349" i="1"/>
  <c r="O349" i="1"/>
  <c r="AD349" i="1" s="1"/>
  <c r="N349" i="1"/>
  <c r="M349" i="1"/>
  <c r="AR349" i="1" s="1"/>
  <c r="AU348" i="1"/>
  <c r="AR348" i="1"/>
  <c r="AP348" i="1"/>
  <c r="AI348" i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AO348" i="1" s="1"/>
  <c r="M348" i="1"/>
  <c r="AU347" i="1"/>
  <c r="AT347" i="1"/>
  <c r="AP347" i="1"/>
  <c r="AO347" i="1"/>
  <c r="AV347" i="1" s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Q347" i="1" s="1"/>
  <c r="N347" i="1"/>
  <c r="M347" i="1"/>
  <c r="AR347" i="1" s="1"/>
  <c r="AU346" i="1"/>
  <c r="AR346" i="1"/>
  <c r="AP346" i="1"/>
  <c r="AN346" i="1"/>
  <c r="AI346" i="1"/>
  <c r="AT346" i="1" s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C346" i="1" s="1"/>
  <c r="M346" i="1"/>
  <c r="AV345" i="1"/>
  <c r="AU345" i="1"/>
  <c r="AT345" i="1"/>
  <c r="AP345" i="1"/>
  <c r="AO345" i="1"/>
  <c r="AN345" i="1"/>
  <c r="AJ345" i="1"/>
  <c r="AI345" i="1"/>
  <c r="AH345" i="1"/>
  <c r="AF345" i="1"/>
  <c r="AE345" i="1"/>
  <c r="AC345" i="1"/>
  <c r="AA345" i="1"/>
  <c r="Z345" i="1"/>
  <c r="Y345" i="1"/>
  <c r="X345" i="1"/>
  <c r="W345" i="1"/>
  <c r="P345" i="1"/>
  <c r="O345" i="1"/>
  <c r="AD345" i="1" s="1"/>
  <c r="N345" i="1"/>
  <c r="M345" i="1"/>
  <c r="AU344" i="1"/>
  <c r="AR344" i="1"/>
  <c r="AP344" i="1"/>
  <c r="AN344" i="1"/>
  <c r="AI344" i="1"/>
  <c r="AT344" i="1" s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Q343" i="1"/>
  <c r="AP343" i="1"/>
  <c r="AO343" i="1"/>
  <c r="AJ343" i="1"/>
  <c r="AI343" i="1"/>
  <c r="AN343" i="1" s="1"/>
  <c r="AH343" i="1"/>
  <c r="AF343" i="1"/>
  <c r="AE343" i="1"/>
  <c r="AC343" i="1"/>
  <c r="AA343" i="1"/>
  <c r="Z343" i="1"/>
  <c r="Y343" i="1"/>
  <c r="X343" i="1"/>
  <c r="W343" i="1"/>
  <c r="P343" i="1"/>
  <c r="O343" i="1"/>
  <c r="AD343" i="1" s="1"/>
  <c r="N343" i="1"/>
  <c r="M343" i="1"/>
  <c r="AU342" i="1"/>
  <c r="AR342" i="1"/>
  <c r="AP342" i="1"/>
  <c r="AI342" i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Q341" i="1"/>
  <c r="AP341" i="1"/>
  <c r="AO341" i="1"/>
  <c r="AN341" i="1"/>
  <c r="AJ341" i="1"/>
  <c r="AI341" i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M341" i="1"/>
  <c r="AU340" i="1"/>
  <c r="AR340" i="1"/>
  <c r="AP340" i="1"/>
  <c r="AN340" i="1"/>
  <c r="AI340" i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M340" i="1"/>
  <c r="AU339" i="1"/>
  <c r="AT339" i="1"/>
  <c r="AP339" i="1"/>
  <c r="AO339" i="1"/>
  <c r="AN339" i="1"/>
  <c r="AJ339" i="1"/>
  <c r="AI339" i="1"/>
  <c r="AH339" i="1"/>
  <c r="AF339" i="1"/>
  <c r="AE339" i="1"/>
  <c r="AC339" i="1"/>
  <c r="AA339" i="1"/>
  <c r="Z339" i="1"/>
  <c r="Y339" i="1"/>
  <c r="X339" i="1"/>
  <c r="W339" i="1"/>
  <c r="P339" i="1"/>
  <c r="O339" i="1"/>
  <c r="AD339" i="1" s="1"/>
  <c r="N339" i="1"/>
  <c r="M339" i="1"/>
  <c r="AU338" i="1"/>
  <c r="AP338" i="1"/>
  <c r="AI338" i="1"/>
  <c r="AH338" i="1"/>
  <c r="AF338" i="1"/>
  <c r="AE338" i="1"/>
  <c r="AA338" i="1"/>
  <c r="Z338" i="1"/>
  <c r="Y338" i="1"/>
  <c r="X338" i="1"/>
  <c r="W338" i="1"/>
  <c r="P338" i="1"/>
  <c r="O338" i="1"/>
  <c r="AD338" i="1" s="1"/>
  <c r="N338" i="1"/>
  <c r="AC338" i="1" s="1"/>
  <c r="M338" i="1"/>
  <c r="AB338" i="1" s="1"/>
  <c r="AU337" i="1"/>
  <c r="AR337" i="1"/>
  <c r="AQ337" i="1"/>
  <c r="AP337" i="1"/>
  <c r="AI337" i="1"/>
  <c r="AN337" i="1" s="1"/>
  <c r="AH337" i="1"/>
  <c r="AF337" i="1"/>
  <c r="AE337" i="1"/>
  <c r="AA337" i="1"/>
  <c r="Z337" i="1"/>
  <c r="Y337" i="1"/>
  <c r="X337" i="1"/>
  <c r="W337" i="1"/>
  <c r="P337" i="1"/>
  <c r="O337" i="1"/>
  <c r="AD337" i="1" s="1"/>
  <c r="N337" i="1"/>
  <c r="AO337" i="1" s="1"/>
  <c r="AV337" i="1" s="1"/>
  <c r="M337" i="1"/>
  <c r="AB337" i="1" s="1"/>
  <c r="AU336" i="1"/>
  <c r="AP336" i="1"/>
  <c r="AO336" i="1"/>
  <c r="AV336" i="1" s="1"/>
  <c r="AI336" i="1"/>
  <c r="AN336" i="1" s="1"/>
  <c r="AH336" i="1"/>
  <c r="AF336" i="1"/>
  <c r="AE336" i="1"/>
  <c r="AA336" i="1"/>
  <c r="Z336" i="1"/>
  <c r="Y336" i="1"/>
  <c r="X336" i="1"/>
  <c r="W336" i="1"/>
  <c r="P336" i="1"/>
  <c r="O336" i="1"/>
  <c r="AD336" i="1" s="1"/>
  <c r="N336" i="1"/>
  <c r="AC336" i="1" s="1"/>
  <c r="M336" i="1"/>
  <c r="AR336" i="1" s="1"/>
  <c r="AU335" i="1"/>
  <c r="AR335" i="1"/>
  <c r="AP335" i="1"/>
  <c r="AI335" i="1"/>
  <c r="AN335" i="1" s="1"/>
  <c r="AH335" i="1"/>
  <c r="AF335" i="1"/>
  <c r="AE335" i="1"/>
  <c r="AB335" i="1"/>
  <c r="AA335" i="1"/>
  <c r="Z335" i="1"/>
  <c r="Y335" i="1"/>
  <c r="X335" i="1"/>
  <c r="W335" i="1"/>
  <c r="P335" i="1"/>
  <c r="O335" i="1"/>
  <c r="AD335" i="1" s="1"/>
  <c r="N335" i="1"/>
  <c r="AO335" i="1" s="1"/>
  <c r="AV335" i="1" s="1"/>
  <c r="M335" i="1"/>
  <c r="AU334" i="1"/>
  <c r="AT334" i="1"/>
  <c r="AR334" i="1"/>
  <c r="AP334" i="1"/>
  <c r="AJ334" i="1"/>
  <c r="AI334" i="1"/>
  <c r="AN334" i="1" s="1"/>
  <c r="AH334" i="1"/>
  <c r="AF334" i="1"/>
  <c r="AE334" i="1"/>
  <c r="AC334" i="1"/>
  <c r="AB334" i="1"/>
  <c r="AA334" i="1"/>
  <c r="Z334" i="1"/>
  <c r="Y334" i="1"/>
  <c r="X334" i="1"/>
  <c r="W334" i="1"/>
  <c r="P334" i="1"/>
  <c r="O334" i="1"/>
  <c r="AD334" i="1" s="1"/>
  <c r="N334" i="1"/>
  <c r="AO334" i="1" s="1"/>
  <c r="AV334" i="1" s="1"/>
  <c r="M334" i="1"/>
  <c r="AU333" i="1"/>
  <c r="AR333" i="1"/>
  <c r="AP333" i="1"/>
  <c r="AN333" i="1"/>
  <c r="AI333" i="1"/>
  <c r="AT333" i="1" s="1"/>
  <c r="AH333" i="1"/>
  <c r="AF333" i="1"/>
  <c r="AE333" i="1"/>
  <c r="AD333" i="1"/>
  <c r="AC333" i="1"/>
  <c r="AB333" i="1"/>
  <c r="AA333" i="1"/>
  <c r="Z333" i="1"/>
  <c r="Y333" i="1"/>
  <c r="X333" i="1"/>
  <c r="W333" i="1"/>
  <c r="P333" i="1"/>
  <c r="O333" i="1"/>
  <c r="AQ333" i="1" s="1"/>
  <c r="N333" i="1"/>
  <c r="AO333" i="1" s="1"/>
  <c r="AV333" i="1" s="1"/>
  <c r="M333" i="1"/>
  <c r="AU332" i="1"/>
  <c r="AT332" i="1"/>
  <c r="AP332" i="1"/>
  <c r="AO332" i="1"/>
  <c r="AV332" i="1" s="1"/>
  <c r="AN332" i="1"/>
  <c r="AJ332" i="1"/>
  <c r="AI332" i="1"/>
  <c r="AH332" i="1"/>
  <c r="AF332" i="1"/>
  <c r="AE332" i="1"/>
  <c r="AD332" i="1"/>
  <c r="AC332" i="1"/>
  <c r="AA332" i="1"/>
  <c r="Z332" i="1"/>
  <c r="Y332" i="1"/>
  <c r="X332" i="1"/>
  <c r="W332" i="1"/>
  <c r="P332" i="1"/>
  <c r="O332" i="1"/>
  <c r="AQ332" i="1" s="1"/>
  <c r="N332" i="1"/>
  <c r="M332" i="1"/>
  <c r="AR332" i="1" s="1"/>
  <c r="AU331" i="1"/>
  <c r="AT331" i="1"/>
  <c r="AP331" i="1"/>
  <c r="AN331" i="1"/>
  <c r="AJ331" i="1"/>
  <c r="AI331" i="1"/>
  <c r="AH331" i="1"/>
  <c r="AF331" i="1"/>
  <c r="AE331" i="1"/>
  <c r="AD331" i="1"/>
  <c r="AA331" i="1"/>
  <c r="Z331" i="1"/>
  <c r="Y331" i="1"/>
  <c r="X331" i="1"/>
  <c r="W331" i="1"/>
  <c r="P331" i="1"/>
  <c r="O331" i="1"/>
  <c r="AQ331" i="1" s="1"/>
  <c r="N331" i="1"/>
  <c r="AC331" i="1" s="1"/>
  <c r="M331" i="1"/>
  <c r="AR331" i="1" s="1"/>
  <c r="AU330" i="1"/>
  <c r="AP330" i="1"/>
  <c r="AO330" i="1"/>
  <c r="AV330" i="1" s="1"/>
  <c r="AN330" i="1"/>
  <c r="AI330" i="1"/>
  <c r="AT330" i="1" s="1"/>
  <c r="AH330" i="1"/>
  <c r="AF330" i="1"/>
  <c r="AE330" i="1"/>
  <c r="AA330" i="1"/>
  <c r="Z330" i="1"/>
  <c r="Y330" i="1"/>
  <c r="X330" i="1"/>
  <c r="W330" i="1"/>
  <c r="P330" i="1"/>
  <c r="O330" i="1"/>
  <c r="AD330" i="1" s="1"/>
  <c r="N330" i="1"/>
  <c r="AC330" i="1" s="1"/>
  <c r="M330" i="1"/>
  <c r="AR330" i="1" s="1"/>
  <c r="AU329" i="1"/>
  <c r="AR329" i="1"/>
  <c r="AP329" i="1"/>
  <c r="AI329" i="1"/>
  <c r="AN329" i="1" s="1"/>
  <c r="AH329" i="1"/>
  <c r="AF329" i="1"/>
  <c r="AE329" i="1"/>
  <c r="AB329" i="1"/>
  <c r="AA329" i="1"/>
  <c r="Z329" i="1"/>
  <c r="Y329" i="1"/>
  <c r="X329" i="1"/>
  <c r="W329" i="1"/>
  <c r="P329" i="1"/>
  <c r="O329" i="1"/>
  <c r="AD329" i="1" s="1"/>
  <c r="N329" i="1"/>
  <c r="AO329" i="1" s="1"/>
  <c r="AV329" i="1" s="1"/>
  <c r="M329" i="1"/>
  <c r="AU328" i="1"/>
  <c r="AT328" i="1"/>
  <c r="AR328" i="1"/>
  <c r="AP328" i="1"/>
  <c r="AJ328" i="1"/>
  <c r="AI328" i="1"/>
  <c r="AN328" i="1" s="1"/>
  <c r="AH328" i="1"/>
  <c r="AF328" i="1"/>
  <c r="AE328" i="1"/>
  <c r="AC328" i="1"/>
  <c r="AB328" i="1"/>
  <c r="AA328" i="1"/>
  <c r="Z328" i="1"/>
  <c r="Y328" i="1"/>
  <c r="X328" i="1"/>
  <c r="W328" i="1"/>
  <c r="P328" i="1"/>
  <c r="O328" i="1"/>
  <c r="AD328" i="1" s="1"/>
  <c r="N328" i="1"/>
  <c r="AO328" i="1" s="1"/>
  <c r="AV328" i="1" s="1"/>
  <c r="M328" i="1"/>
  <c r="AU327" i="1"/>
  <c r="AR327" i="1"/>
  <c r="AP327" i="1"/>
  <c r="AN327" i="1"/>
  <c r="AI327" i="1"/>
  <c r="AT327" i="1" s="1"/>
  <c r="AH327" i="1"/>
  <c r="AF327" i="1"/>
  <c r="AE327" i="1"/>
  <c r="AD327" i="1"/>
  <c r="AC327" i="1"/>
  <c r="AB327" i="1"/>
  <c r="AA327" i="1"/>
  <c r="Z327" i="1"/>
  <c r="Y327" i="1"/>
  <c r="X327" i="1"/>
  <c r="W327" i="1"/>
  <c r="P327" i="1"/>
  <c r="O327" i="1"/>
  <c r="AQ327" i="1" s="1"/>
  <c r="N327" i="1"/>
  <c r="AO327" i="1" s="1"/>
  <c r="M327" i="1"/>
  <c r="AU326" i="1"/>
  <c r="AT326" i="1"/>
  <c r="AP326" i="1"/>
  <c r="AO326" i="1"/>
  <c r="AN326" i="1"/>
  <c r="AJ326" i="1"/>
  <c r="AI326" i="1"/>
  <c r="AH326" i="1"/>
  <c r="AF326" i="1"/>
  <c r="AE326" i="1"/>
  <c r="AD326" i="1"/>
  <c r="AC326" i="1"/>
  <c r="AA326" i="1"/>
  <c r="Z326" i="1"/>
  <c r="Y326" i="1"/>
  <c r="X326" i="1"/>
  <c r="W326" i="1"/>
  <c r="P326" i="1"/>
  <c r="O326" i="1"/>
  <c r="AQ326" i="1" s="1"/>
  <c r="N326" i="1"/>
  <c r="M326" i="1"/>
  <c r="AR326" i="1" s="1"/>
  <c r="AU325" i="1"/>
  <c r="AT325" i="1"/>
  <c r="AP325" i="1"/>
  <c r="AN325" i="1"/>
  <c r="AJ325" i="1"/>
  <c r="AI325" i="1"/>
  <c r="AH325" i="1"/>
  <c r="AF325" i="1"/>
  <c r="AE325" i="1"/>
  <c r="AD325" i="1"/>
  <c r="AA325" i="1"/>
  <c r="Z325" i="1"/>
  <c r="Y325" i="1"/>
  <c r="X325" i="1"/>
  <c r="W325" i="1"/>
  <c r="P325" i="1"/>
  <c r="O325" i="1"/>
  <c r="AQ325" i="1" s="1"/>
  <c r="N325" i="1"/>
  <c r="AC325" i="1" s="1"/>
  <c r="M325" i="1"/>
  <c r="AR325" i="1" s="1"/>
  <c r="AU324" i="1"/>
  <c r="AP324" i="1"/>
  <c r="AO324" i="1"/>
  <c r="AN324" i="1"/>
  <c r="AI324" i="1"/>
  <c r="AT324" i="1" s="1"/>
  <c r="AH324" i="1"/>
  <c r="AF324" i="1"/>
  <c r="AE324" i="1"/>
  <c r="AA324" i="1"/>
  <c r="Z324" i="1"/>
  <c r="Y324" i="1"/>
  <c r="X324" i="1"/>
  <c r="W324" i="1"/>
  <c r="P324" i="1"/>
  <c r="O324" i="1"/>
  <c r="AD324" i="1" s="1"/>
  <c r="N324" i="1"/>
  <c r="AC324" i="1" s="1"/>
  <c r="M324" i="1"/>
  <c r="AR324" i="1" s="1"/>
  <c r="AU323" i="1"/>
  <c r="AR323" i="1"/>
  <c r="AP323" i="1"/>
  <c r="AI323" i="1"/>
  <c r="AN323" i="1" s="1"/>
  <c r="AH323" i="1"/>
  <c r="AF323" i="1"/>
  <c r="AE323" i="1"/>
  <c r="AB323" i="1"/>
  <c r="AA323" i="1"/>
  <c r="Z323" i="1"/>
  <c r="Y323" i="1"/>
  <c r="X323" i="1"/>
  <c r="W323" i="1"/>
  <c r="P323" i="1"/>
  <c r="O323" i="1"/>
  <c r="AD323" i="1" s="1"/>
  <c r="N323" i="1"/>
  <c r="AO323" i="1" s="1"/>
  <c r="AV323" i="1" s="1"/>
  <c r="M323" i="1"/>
  <c r="AU322" i="1"/>
  <c r="AT322" i="1"/>
  <c r="AR322" i="1"/>
  <c r="AP322" i="1"/>
  <c r="AJ322" i="1"/>
  <c r="AI322" i="1"/>
  <c r="AN322" i="1" s="1"/>
  <c r="AH322" i="1"/>
  <c r="AF322" i="1"/>
  <c r="AE322" i="1"/>
  <c r="AC322" i="1"/>
  <c r="AB322" i="1"/>
  <c r="AA322" i="1"/>
  <c r="Z322" i="1"/>
  <c r="Y322" i="1"/>
  <c r="X322" i="1"/>
  <c r="W322" i="1"/>
  <c r="P322" i="1"/>
  <c r="O322" i="1"/>
  <c r="AD322" i="1" s="1"/>
  <c r="N322" i="1"/>
  <c r="AO322" i="1" s="1"/>
  <c r="AV322" i="1" s="1"/>
  <c r="M322" i="1"/>
  <c r="AU321" i="1"/>
  <c r="AR321" i="1"/>
  <c r="AP321" i="1"/>
  <c r="AN321" i="1"/>
  <c r="AI321" i="1"/>
  <c r="AT321" i="1" s="1"/>
  <c r="AH321" i="1"/>
  <c r="AF321" i="1"/>
  <c r="AE321" i="1"/>
  <c r="AD321" i="1"/>
  <c r="AC321" i="1"/>
  <c r="AB321" i="1"/>
  <c r="AA321" i="1"/>
  <c r="Z321" i="1"/>
  <c r="Y321" i="1"/>
  <c r="X321" i="1"/>
  <c r="W321" i="1"/>
  <c r="P321" i="1"/>
  <c r="O321" i="1"/>
  <c r="AQ321" i="1" s="1"/>
  <c r="N321" i="1"/>
  <c r="AO321" i="1" s="1"/>
  <c r="AV321" i="1" s="1"/>
  <c r="M321" i="1"/>
  <c r="AU320" i="1"/>
  <c r="AT320" i="1"/>
  <c r="AP320" i="1"/>
  <c r="AO320" i="1"/>
  <c r="AV320" i="1" s="1"/>
  <c r="AJ320" i="1"/>
  <c r="AI320" i="1"/>
  <c r="AN320" i="1" s="1"/>
  <c r="AH320" i="1"/>
  <c r="AF320" i="1"/>
  <c r="AE320" i="1"/>
  <c r="AD320" i="1"/>
  <c r="AC320" i="1"/>
  <c r="AA320" i="1"/>
  <c r="Z320" i="1"/>
  <c r="Y320" i="1"/>
  <c r="X320" i="1"/>
  <c r="W320" i="1"/>
  <c r="P320" i="1"/>
  <c r="O320" i="1"/>
  <c r="AQ320" i="1" s="1"/>
  <c r="N320" i="1"/>
  <c r="M320" i="1"/>
  <c r="AR320" i="1" s="1"/>
  <c r="AU319" i="1"/>
  <c r="AT319" i="1"/>
  <c r="AP319" i="1"/>
  <c r="AN319" i="1"/>
  <c r="AJ319" i="1"/>
  <c r="AI319" i="1"/>
  <c r="AH319" i="1"/>
  <c r="AF319" i="1"/>
  <c r="AE319" i="1"/>
  <c r="AD319" i="1"/>
  <c r="AA319" i="1"/>
  <c r="Z319" i="1"/>
  <c r="Y319" i="1"/>
  <c r="X319" i="1"/>
  <c r="W319" i="1"/>
  <c r="P319" i="1"/>
  <c r="O319" i="1"/>
  <c r="AQ319" i="1" s="1"/>
  <c r="N319" i="1"/>
  <c r="AC319" i="1" s="1"/>
  <c r="M319" i="1"/>
  <c r="AR319" i="1" s="1"/>
  <c r="AU318" i="1"/>
  <c r="AP318" i="1"/>
  <c r="AO318" i="1"/>
  <c r="AV318" i="1" s="1"/>
  <c r="AN318" i="1"/>
  <c r="AI318" i="1"/>
  <c r="AT318" i="1" s="1"/>
  <c r="AH318" i="1"/>
  <c r="AF318" i="1"/>
  <c r="AE318" i="1"/>
  <c r="AA318" i="1"/>
  <c r="Z318" i="1"/>
  <c r="Y318" i="1"/>
  <c r="X318" i="1"/>
  <c r="W318" i="1"/>
  <c r="P318" i="1"/>
  <c r="O318" i="1"/>
  <c r="AD318" i="1" s="1"/>
  <c r="N318" i="1"/>
  <c r="AC318" i="1" s="1"/>
  <c r="M318" i="1"/>
  <c r="AR318" i="1" s="1"/>
  <c r="AU317" i="1"/>
  <c r="AR317" i="1"/>
  <c r="AP317" i="1"/>
  <c r="AI317" i="1"/>
  <c r="AN317" i="1" s="1"/>
  <c r="AH317" i="1"/>
  <c r="AF317" i="1"/>
  <c r="AE317" i="1"/>
  <c r="AB317" i="1"/>
  <c r="AA317" i="1"/>
  <c r="Z317" i="1"/>
  <c r="Y317" i="1"/>
  <c r="X317" i="1"/>
  <c r="W317" i="1"/>
  <c r="P317" i="1"/>
  <c r="O317" i="1"/>
  <c r="AD317" i="1" s="1"/>
  <c r="N317" i="1"/>
  <c r="AO317" i="1" s="1"/>
  <c r="AV317" i="1" s="1"/>
  <c r="M317" i="1"/>
  <c r="AU316" i="1"/>
  <c r="AT316" i="1"/>
  <c r="AR316" i="1"/>
  <c r="AP316" i="1"/>
  <c r="AJ316" i="1"/>
  <c r="AI316" i="1"/>
  <c r="AN316" i="1" s="1"/>
  <c r="AH316" i="1"/>
  <c r="AF316" i="1"/>
  <c r="AE316" i="1"/>
  <c r="AC316" i="1"/>
  <c r="AB316" i="1"/>
  <c r="AA316" i="1"/>
  <c r="Z316" i="1"/>
  <c r="Y316" i="1"/>
  <c r="X316" i="1"/>
  <c r="W316" i="1"/>
  <c r="P316" i="1"/>
  <c r="O316" i="1"/>
  <c r="AD316" i="1" s="1"/>
  <c r="N316" i="1"/>
  <c r="AO316" i="1" s="1"/>
  <c r="AV316" i="1" s="1"/>
  <c r="M316" i="1"/>
  <c r="AU315" i="1"/>
  <c r="AR315" i="1"/>
  <c r="AP315" i="1"/>
  <c r="AN315" i="1"/>
  <c r="AI315" i="1"/>
  <c r="AT315" i="1" s="1"/>
  <c r="AH315" i="1"/>
  <c r="AF315" i="1"/>
  <c r="AE315" i="1"/>
  <c r="AD315" i="1"/>
  <c r="AC315" i="1"/>
  <c r="AB315" i="1"/>
  <c r="AA315" i="1"/>
  <c r="Z315" i="1"/>
  <c r="Y315" i="1"/>
  <c r="X315" i="1"/>
  <c r="W315" i="1"/>
  <c r="P315" i="1"/>
  <c r="O315" i="1"/>
  <c r="AQ315" i="1" s="1"/>
  <c r="N315" i="1"/>
  <c r="AO315" i="1" s="1"/>
  <c r="AV315" i="1" s="1"/>
  <c r="M315" i="1"/>
  <c r="AU314" i="1"/>
  <c r="AT314" i="1"/>
  <c r="AP314" i="1"/>
  <c r="AO314" i="1"/>
  <c r="AV314" i="1" s="1"/>
  <c r="AJ314" i="1"/>
  <c r="AI314" i="1"/>
  <c r="AN314" i="1" s="1"/>
  <c r="AH314" i="1"/>
  <c r="AF314" i="1"/>
  <c r="AE314" i="1"/>
  <c r="AD314" i="1"/>
  <c r="AC314" i="1"/>
  <c r="AA314" i="1"/>
  <c r="Z314" i="1"/>
  <c r="Y314" i="1"/>
  <c r="X314" i="1"/>
  <c r="W314" i="1"/>
  <c r="P314" i="1"/>
  <c r="O314" i="1"/>
  <c r="AQ314" i="1" s="1"/>
  <c r="N314" i="1"/>
  <c r="M314" i="1"/>
  <c r="AR314" i="1" s="1"/>
  <c r="AU313" i="1"/>
  <c r="AT313" i="1"/>
  <c r="AP313" i="1"/>
  <c r="AN313" i="1"/>
  <c r="AJ313" i="1"/>
  <c r="AI313" i="1"/>
  <c r="AH313" i="1"/>
  <c r="AF313" i="1"/>
  <c r="AE313" i="1"/>
  <c r="AD313" i="1"/>
  <c r="AA313" i="1"/>
  <c r="Z313" i="1"/>
  <c r="Y313" i="1"/>
  <c r="X313" i="1"/>
  <c r="W313" i="1"/>
  <c r="P313" i="1"/>
  <c r="O313" i="1"/>
  <c r="AQ313" i="1" s="1"/>
  <c r="N313" i="1"/>
  <c r="AC313" i="1" s="1"/>
  <c r="M313" i="1"/>
  <c r="AR313" i="1" s="1"/>
  <c r="AU312" i="1"/>
  <c r="AP312" i="1"/>
  <c r="AO312" i="1"/>
  <c r="AN312" i="1"/>
  <c r="AI312" i="1"/>
  <c r="AT312" i="1" s="1"/>
  <c r="AH312" i="1"/>
  <c r="AF312" i="1"/>
  <c r="AE312" i="1"/>
  <c r="AA312" i="1"/>
  <c r="Z312" i="1"/>
  <c r="Y312" i="1"/>
  <c r="X312" i="1"/>
  <c r="W312" i="1"/>
  <c r="P312" i="1"/>
  <c r="O312" i="1"/>
  <c r="AD312" i="1" s="1"/>
  <c r="N312" i="1"/>
  <c r="AC312" i="1" s="1"/>
  <c r="M312" i="1"/>
  <c r="AR312" i="1" s="1"/>
  <c r="AU311" i="1"/>
  <c r="AR311" i="1"/>
  <c r="AP311" i="1"/>
  <c r="AI311" i="1"/>
  <c r="AN311" i="1" s="1"/>
  <c r="AH311" i="1"/>
  <c r="AF311" i="1"/>
  <c r="AE311" i="1"/>
  <c r="AB311" i="1"/>
  <c r="AA311" i="1"/>
  <c r="Z311" i="1"/>
  <c r="Y311" i="1"/>
  <c r="X311" i="1"/>
  <c r="W311" i="1"/>
  <c r="P311" i="1"/>
  <c r="O311" i="1"/>
  <c r="AD311" i="1" s="1"/>
  <c r="N311" i="1"/>
  <c r="AO311" i="1" s="1"/>
  <c r="M311" i="1"/>
  <c r="AU310" i="1"/>
  <c r="AT310" i="1"/>
  <c r="AR310" i="1"/>
  <c r="AP310" i="1"/>
  <c r="AJ310" i="1"/>
  <c r="AI310" i="1"/>
  <c r="AN310" i="1" s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AD310" i="1" s="1"/>
  <c r="N310" i="1"/>
  <c r="AO310" i="1" s="1"/>
  <c r="AV310" i="1" s="1"/>
  <c r="M310" i="1"/>
  <c r="AU309" i="1"/>
  <c r="AR309" i="1"/>
  <c r="AP309" i="1"/>
  <c r="AI309" i="1"/>
  <c r="AN309" i="1" s="1"/>
  <c r="AH309" i="1"/>
  <c r="AF309" i="1"/>
  <c r="AE309" i="1"/>
  <c r="AD309" i="1"/>
  <c r="AC309" i="1"/>
  <c r="AB309" i="1"/>
  <c r="AA309" i="1"/>
  <c r="Z309" i="1"/>
  <c r="Y309" i="1"/>
  <c r="X309" i="1"/>
  <c r="W309" i="1"/>
  <c r="P309" i="1"/>
  <c r="O309" i="1"/>
  <c r="AQ309" i="1" s="1"/>
  <c r="N309" i="1"/>
  <c r="AO309" i="1" s="1"/>
  <c r="M309" i="1"/>
  <c r="AU308" i="1"/>
  <c r="AT308" i="1"/>
  <c r="AP308" i="1"/>
  <c r="AO308" i="1"/>
  <c r="AV308" i="1" s="1"/>
  <c r="AJ308" i="1"/>
  <c r="AI308" i="1"/>
  <c r="AN308" i="1" s="1"/>
  <c r="AH308" i="1"/>
  <c r="AF308" i="1"/>
  <c r="AE308" i="1"/>
  <c r="AD308" i="1"/>
  <c r="AC308" i="1"/>
  <c r="AA308" i="1"/>
  <c r="Z308" i="1"/>
  <c r="Y308" i="1"/>
  <c r="X308" i="1"/>
  <c r="W308" i="1"/>
  <c r="P308" i="1"/>
  <c r="O308" i="1"/>
  <c r="AQ308" i="1" s="1"/>
  <c r="N308" i="1"/>
  <c r="M308" i="1"/>
  <c r="AR308" i="1" s="1"/>
  <c r="AU307" i="1"/>
  <c r="AT307" i="1"/>
  <c r="AP307" i="1"/>
  <c r="AN307" i="1"/>
  <c r="AJ307" i="1"/>
  <c r="AI307" i="1"/>
  <c r="AH307" i="1"/>
  <c r="AF307" i="1"/>
  <c r="AE307" i="1"/>
  <c r="AD307" i="1"/>
  <c r="AA307" i="1"/>
  <c r="Z307" i="1"/>
  <c r="Y307" i="1"/>
  <c r="X307" i="1"/>
  <c r="W307" i="1"/>
  <c r="P307" i="1"/>
  <c r="O307" i="1"/>
  <c r="AQ307" i="1" s="1"/>
  <c r="N307" i="1"/>
  <c r="AC307" i="1" s="1"/>
  <c r="M307" i="1"/>
  <c r="AR307" i="1" s="1"/>
  <c r="AU306" i="1"/>
  <c r="AP306" i="1"/>
  <c r="AO306" i="1"/>
  <c r="AV306" i="1" s="1"/>
  <c r="AN306" i="1"/>
  <c r="AI306" i="1"/>
  <c r="AT306" i="1" s="1"/>
  <c r="AH306" i="1"/>
  <c r="AF306" i="1"/>
  <c r="AE306" i="1"/>
  <c r="AA306" i="1"/>
  <c r="Z306" i="1"/>
  <c r="Y306" i="1"/>
  <c r="X306" i="1"/>
  <c r="W306" i="1"/>
  <c r="P306" i="1"/>
  <c r="O306" i="1"/>
  <c r="AD306" i="1" s="1"/>
  <c r="N306" i="1"/>
  <c r="AC306" i="1" s="1"/>
  <c r="M306" i="1"/>
  <c r="AR306" i="1" s="1"/>
  <c r="AU305" i="1"/>
  <c r="AR305" i="1"/>
  <c r="AP305" i="1"/>
  <c r="AI305" i="1"/>
  <c r="AN305" i="1" s="1"/>
  <c r="AH305" i="1"/>
  <c r="AF305" i="1"/>
  <c r="AE305" i="1"/>
  <c r="AB305" i="1"/>
  <c r="AA305" i="1"/>
  <c r="Z305" i="1"/>
  <c r="Y305" i="1"/>
  <c r="X305" i="1"/>
  <c r="W305" i="1"/>
  <c r="P305" i="1"/>
  <c r="O305" i="1"/>
  <c r="AD305" i="1" s="1"/>
  <c r="N305" i="1"/>
  <c r="M305" i="1"/>
  <c r="AU304" i="1"/>
  <c r="AT304" i="1"/>
  <c r="AR304" i="1"/>
  <c r="AQ304" i="1"/>
  <c r="AP304" i="1"/>
  <c r="AJ304" i="1"/>
  <c r="AI304" i="1"/>
  <c r="AN304" i="1" s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AD304" i="1" s="1"/>
  <c r="N304" i="1"/>
  <c r="AO304" i="1" s="1"/>
  <c r="AV304" i="1" s="1"/>
  <c r="M304" i="1"/>
  <c r="AU303" i="1"/>
  <c r="AR303" i="1"/>
  <c r="AP303" i="1"/>
  <c r="AN303" i="1"/>
  <c r="AI303" i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AO303" i="1" s="1"/>
  <c r="AV303" i="1" s="1"/>
  <c r="M303" i="1"/>
  <c r="AU302" i="1"/>
  <c r="AT302" i="1"/>
  <c r="AP302" i="1"/>
  <c r="AO302" i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Q302" i="1" s="1"/>
  <c r="N302" i="1"/>
  <c r="M302" i="1"/>
  <c r="AU301" i="1"/>
  <c r="AT301" i="1"/>
  <c r="AP301" i="1"/>
  <c r="AN301" i="1"/>
  <c r="AJ301" i="1"/>
  <c r="AI301" i="1"/>
  <c r="AH301" i="1"/>
  <c r="AF301" i="1"/>
  <c r="AE301" i="1"/>
  <c r="AD301" i="1"/>
  <c r="AA301" i="1"/>
  <c r="Z301" i="1"/>
  <c r="Y301" i="1"/>
  <c r="X301" i="1"/>
  <c r="W301" i="1"/>
  <c r="P301" i="1"/>
  <c r="O301" i="1"/>
  <c r="AQ301" i="1" s="1"/>
  <c r="N301" i="1"/>
  <c r="M301" i="1"/>
  <c r="AR301" i="1" s="1"/>
  <c r="AU300" i="1"/>
  <c r="AQ300" i="1"/>
  <c r="AP300" i="1"/>
  <c r="AO300" i="1"/>
  <c r="AN300" i="1"/>
  <c r="AI300" i="1"/>
  <c r="AT300" i="1" s="1"/>
  <c r="AH300" i="1"/>
  <c r="AF300" i="1"/>
  <c r="AE300" i="1"/>
  <c r="AA300" i="1"/>
  <c r="Z300" i="1"/>
  <c r="Y300" i="1"/>
  <c r="X300" i="1"/>
  <c r="W300" i="1"/>
  <c r="P300" i="1"/>
  <c r="O300" i="1"/>
  <c r="AD300" i="1" s="1"/>
  <c r="N300" i="1"/>
  <c r="AC300" i="1" s="1"/>
  <c r="M300" i="1"/>
  <c r="AU299" i="1"/>
  <c r="AR299" i="1"/>
  <c r="AP299" i="1"/>
  <c r="AI299" i="1"/>
  <c r="AH299" i="1"/>
  <c r="AF299" i="1"/>
  <c r="AE299" i="1"/>
  <c r="AB299" i="1"/>
  <c r="AA299" i="1"/>
  <c r="Z299" i="1"/>
  <c r="Y299" i="1"/>
  <c r="X299" i="1"/>
  <c r="W299" i="1"/>
  <c r="P299" i="1"/>
  <c r="O299" i="1"/>
  <c r="AD299" i="1" s="1"/>
  <c r="N299" i="1"/>
  <c r="M299" i="1"/>
  <c r="AU298" i="1"/>
  <c r="AT298" i="1"/>
  <c r="AR298" i="1"/>
  <c r="AQ298" i="1"/>
  <c r="AP298" i="1"/>
  <c r="AJ298" i="1"/>
  <c r="AI298" i="1"/>
  <c r="AN298" i="1" s="1"/>
  <c r="AH298" i="1"/>
  <c r="AF298" i="1"/>
  <c r="AE298" i="1"/>
  <c r="AC298" i="1"/>
  <c r="AB298" i="1"/>
  <c r="AA298" i="1"/>
  <c r="Z298" i="1"/>
  <c r="Y298" i="1"/>
  <c r="X298" i="1"/>
  <c r="W298" i="1"/>
  <c r="P298" i="1"/>
  <c r="O298" i="1"/>
  <c r="AD298" i="1" s="1"/>
  <c r="N298" i="1"/>
  <c r="AO298" i="1" s="1"/>
  <c r="AV298" i="1" s="1"/>
  <c r="M298" i="1"/>
  <c r="AU297" i="1"/>
  <c r="AR297" i="1"/>
  <c r="AP297" i="1"/>
  <c r="AI297" i="1"/>
  <c r="AH297" i="1"/>
  <c r="AF297" i="1"/>
  <c r="AE297" i="1"/>
  <c r="AB297" i="1"/>
  <c r="AA297" i="1"/>
  <c r="Z297" i="1"/>
  <c r="Y297" i="1"/>
  <c r="X297" i="1"/>
  <c r="W297" i="1"/>
  <c r="P297" i="1"/>
  <c r="O297" i="1"/>
  <c r="AQ297" i="1" s="1"/>
  <c r="N297" i="1"/>
  <c r="AO297" i="1" s="1"/>
  <c r="AV297" i="1" s="1"/>
  <c r="M297" i="1"/>
  <c r="AU296" i="1"/>
  <c r="AP296" i="1"/>
  <c r="AO296" i="1"/>
  <c r="AJ296" i="1"/>
  <c r="AI296" i="1"/>
  <c r="AN296" i="1" s="1"/>
  <c r="AH296" i="1"/>
  <c r="AF296" i="1"/>
  <c r="AE296" i="1"/>
  <c r="AC296" i="1"/>
  <c r="AA296" i="1"/>
  <c r="Z296" i="1"/>
  <c r="Y296" i="1"/>
  <c r="X296" i="1"/>
  <c r="W296" i="1"/>
  <c r="P296" i="1"/>
  <c r="O296" i="1"/>
  <c r="AQ296" i="1" s="1"/>
  <c r="N296" i="1"/>
  <c r="M296" i="1"/>
  <c r="AR296" i="1" s="1"/>
  <c r="AU295" i="1"/>
  <c r="AT295" i="1"/>
  <c r="AP295" i="1"/>
  <c r="AN295" i="1"/>
  <c r="AJ295" i="1"/>
  <c r="AI295" i="1"/>
  <c r="AH295" i="1"/>
  <c r="AF295" i="1"/>
  <c r="AE295" i="1"/>
  <c r="AD295" i="1"/>
  <c r="AA295" i="1"/>
  <c r="Z295" i="1"/>
  <c r="Y295" i="1"/>
  <c r="X295" i="1"/>
  <c r="W295" i="1"/>
  <c r="P295" i="1"/>
  <c r="O295" i="1"/>
  <c r="AQ295" i="1" s="1"/>
  <c r="N295" i="1"/>
  <c r="AO295" i="1" s="1"/>
  <c r="M295" i="1"/>
  <c r="AR295" i="1" s="1"/>
  <c r="AU294" i="1"/>
  <c r="AP294" i="1"/>
  <c r="AO294" i="1"/>
  <c r="AI294" i="1"/>
  <c r="AN294" i="1" s="1"/>
  <c r="AH294" i="1"/>
  <c r="AF294" i="1"/>
  <c r="AE294" i="1"/>
  <c r="AD294" i="1"/>
  <c r="AA294" i="1"/>
  <c r="Z294" i="1"/>
  <c r="Y294" i="1"/>
  <c r="X294" i="1"/>
  <c r="W294" i="1"/>
  <c r="P294" i="1"/>
  <c r="O294" i="1"/>
  <c r="AQ294" i="1" s="1"/>
  <c r="N294" i="1"/>
  <c r="AC294" i="1" s="1"/>
  <c r="M294" i="1"/>
  <c r="AR294" i="1" s="1"/>
  <c r="AU293" i="1"/>
  <c r="AP293" i="1"/>
  <c r="AN293" i="1"/>
  <c r="AJ293" i="1"/>
  <c r="AI293" i="1"/>
  <c r="AT293" i="1" s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O293" i="1" s="1"/>
  <c r="AV293" i="1" s="1"/>
  <c r="M293" i="1"/>
  <c r="AR293" i="1" s="1"/>
  <c r="AU292" i="1"/>
  <c r="AT292" i="1"/>
  <c r="AP292" i="1"/>
  <c r="AO292" i="1"/>
  <c r="AV292" i="1" s="1"/>
  <c r="AN292" i="1"/>
  <c r="AJ292" i="1"/>
  <c r="AI292" i="1"/>
  <c r="AH292" i="1"/>
  <c r="AF292" i="1"/>
  <c r="AE292" i="1"/>
  <c r="AA292" i="1"/>
  <c r="Z292" i="1"/>
  <c r="Y292" i="1"/>
  <c r="X292" i="1"/>
  <c r="W292" i="1"/>
  <c r="P292" i="1"/>
  <c r="O292" i="1"/>
  <c r="AQ292" i="1" s="1"/>
  <c r="N292" i="1"/>
  <c r="AC292" i="1" s="1"/>
  <c r="M292" i="1"/>
  <c r="AR292" i="1" s="1"/>
  <c r="AU291" i="1"/>
  <c r="AP291" i="1"/>
  <c r="AI291" i="1"/>
  <c r="AN291" i="1" s="1"/>
  <c r="AH291" i="1"/>
  <c r="AF291" i="1"/>
  <c r="AE291" i="1"/>
  <c r="AA291" i="1"/>
  <c r="Z291" i="1"/>
  <c r="Y291" i="1"/>
  <c r="X291" i="1"/>
  <c r="W291" i="1"/>
  <c r="P291" i="1"/>
  <c r="O291" i="1"/>
  <c r="AD291" i="1" s="1"/>
  <c r="N291" i="1"/>
  <c r="AC291" i="1" s="1"/>
  <c r="M291" i="1"/>
  <c r="AR291" i="1" s="1"/>
  <c r="AU290" i="1"/>
  <c r="AP290" i="1"/>
  <c r="AI290" i="1"/>
  <c r="AN290" i="1" s="1"/>
  <c r="AH290" i="1"/>
  <c r="AF290" i="1"/>
  <c r="AE290" i="1"/>
  <c r="AB290" i="1"/>
  <c r="AA290" i="1"/>
  <c r="Z290" i="1"/>
  <c r="Y290" i="1"/>
  <c r="X290" i="1"/>
  <c r="W290" i="1"/>
  <c r="P290" i="1"/>
  <c r="O290" i="1"/>
  <c r="AD290" i="1" s="1"/>
  <c r="N290" i="1"/>
  <c r="AO290" i="1" s="1"/>
  <c r="AV290" i="1" s="1"/>
  <c r="M290" i="1"/>
  <c r="AR290" i="1" s="1"/>
  <c r="AU289" i="1"/>
  <c r="AR289" i="1"/>
  <c r="AP289" i="1"/>
  <c r="AI289" i="1"/>
  <c r="AN289" i="1" s="1"/>
  <c r="AH289" i="1"/>
  <c r="AF289" i="1"/>
  <c r="AE289" i="1"/>
  <c r="AB289" i="1"/>
  <c r="AA289" i="1"/>
  <c r="Z289" i="1"/>
  <c r="Y289" i="1"/>
  <c r="X289" i="1"/>
  <c r="W289" i="1"/>
  <c r="P289" i="1"/>
  <c r="O289" i="1"/>
  <c r="AD289" i="1" s="1"/>
  <c r="N289" i="1"/>
  <c r="AO289" i="1" s="1"/>
  <c r="M289" i="1"/>
  <c r="AU288" i="1"/>
  <c r="AT288" i="1"/>
  <c r="AR288" i="1"/>
  <c r="AP288" i="1"/>
  <c r="AO288" i="1"/>
  <c r="AV288" i="1" s="1"/>
  <c r="AJ288" i="1"/>
  <c r="AI288" i="1"/>
  <c r="AN288" i="1" s="1"/>
  <c r="AH288" i="1"/>
  <c r="AF288" i="1"/>
  <c r="AE288" i="1"/>
  <c r="AC288" i="1"/>
  <c r="AB288" i="1"/>
  <c r="AA288" i="1"/>
  <c r="Z288" i="1"/>
  <c r="Y288" i="1"/>
  <c r="X288" i="1"/>
  <c r="W288" i="1"/>
  <c r="P288" i="1"/>
  <c r="O288" i="1"/>
  <c r="AQ288" i="1" s="1"/>
  <c r="N288" i="1"/>
  <c r="M288" i="1"/>
  <c r="AU287" i="1"/>
  <c r="AP287" i="1"/>
  <c r="AN287" i="1"/>
  <c r="AI287" i="1"/>
  <c r="AT287" i="1" s="1"/>
  <c r="AH287" i="1"/>
  <c r="AF287" i="1"/>
  <c r="AE287" i="1"/>
  <c r="AD287" i="1"/>
  <c r="AC287" i="1"/>
  <c r="AB287" i="1"/>
  <c r="AA287" i="1"/>
  <c r="Z287" i="1"/>
  <c r="Y287" i="1"/>
  <c r="X287" i="1"/>
  <c r="W287" i="1"/>
  <c r="P287" i="1"/>
  <c r="O287" i="1"/>
  <c r="AQ287" i="1" s="1"/>
  <c r="N287" i="1"/>
  <c r="AO287" i="1" s="1"/>
  <c r="AV287" i="1" s="1"/>
  <c r="M287" i="1"/>
  <c r="AR287" i="1" s="1"/>
  <c r="AU286" i="1"/>
  <c r="AT286" i="1"/>
  <c r="AP286" i="1"/>
  <c r="AO286" i="1"/>
  <c r="AN286" i="1"/>
  <c r="AJ286" i="1"/>
  <c r="AI286" i="1"/>
  <c r="AH286" i="1"/>
  <c r="AF286" i="1"/>
  <c r="AE286" i="1"/>
  <c r="AD286" i="1"/>
  <c r="AC286" i="1"/>
  <c r="AA286" i="1"/>
  <c r="Z286" i="1"/>
  <c r="Y286" i="1"/>
  <c r="X286" i="1"/>
  <c r="W286" i="1"/>
  <c r="P286" i="1"/>
  <c r="O286" i="1"/>
  <c r="AQ286" i="1" s="1"/>
  <c r="N286" i="1"/>
  <c r="M286" i="1"/>
  <c r="AR286" i="1" s="1"/>
  <c r="AU285" i="1"/>
  <c r="AP285" i="1"/>
  <c r="AN285" i="1"/>
  <c r="AI285" i="1"/>
  <c r="AT285" i="1" s="1"/>
  <c r="AH285" i="1"/>
  <c r="AF285" i="1"/>
  <c r="AE285" i="1"/>
  <c r="AA285" i="1"/>
  <c r="Z285" i="1"/>
  <c r="Y285" i="1"/>
  <c r="X285" i="1"/>
  <c r="W285" i="1"/>
  <c r="P285" i="1"/>
  <c r="O285" i="1"/>
  <c r="AD285" i="1" s="1"/>
  <c r="N285" i="1"/>
  <c r="AC285" i="1" s="1"/>
  <c r="M285" i="1"/>
  <c r="AR285" i="1" s="1"/>
  <c r="AU284" i="1"/>
  <c r="AR284" i="1"/>
  <c r="AP284" i="1"/>
  <c r="AI284" i="1"/>
  <c r="AN284" i="1" s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AO284" i="1" s="1"/>
  <c r="M284" i="1"/>
  <c r="AU283" i="1"/>
  <c r="AR283" i="1"/>
  <c r="AP283" i="1"/>
  <c r="AI283" i="1"/>
  <c r="AN283" i="1" s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D283" i="1" s="1"/>
  <c r="N283" i="1"/>
  <c r="AO283" i="1" s="1"/>
  <c r="AV283" i="1" s="1"/>
  <c r="M283" i="1"/>
  <c r="AU282" i="1"/>
  <c r="AT282" i="1"/>
  <c r="AR282" i="1"/>
  <c r="AP282" i="1"/>
  <c r="AO282" i="1"/>
  <c r="AV282" i="1" s="1"/>
  <c r="AN282" i="1"/>
  <c r="AJ282" i="1"/>
  <c r="AI282" i="1"/>
  <c r="AH282" i="1"/>
  <c r="AF282" i="1"/>
  <c r="AE282" i="1"/>
  <c r="AD282" i="1"/>
  <c r="AC282" i="1"/>
  <c r="AB282" i="1"/>
  <c r="AA282" i="1"/>
  <c r="Z282" i="1"/>
  <c r="Y282" i="1"/>
  <c r="X282" i="1"/>
  <c r="W282" i="1"/>
  <c r="P282" i="1"/>
  <c r="O282" i="1"/>
  <c r="AQ282" i="1" s="1"/>
  <c r="N282" i="1"/>
  <c r="M282" i="1"/>
  <c r="AU281" i="1"/>
  <c r="AP281" i="1"/>
  <c r="AO281" i="1"/>
  <c r="AV281" i="1" s="1"/>
  <c r="AN281" i="1"/>
  <c r="AI281" i="1"/>
  <c r="AT281" i="1" s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M281" i="1"/>
  <c r="AR281" i="1" s="1"/>
  <c r="AU280" i="1"/>
  <c r="AT280" i="1"/>
  <c r="AP280" i="1"/>
  <c r="AN280" i="1"/>
  <c r="AJ280" i="1"/>
  <c r="AI280" i="1"/>
  <c r="AH280" i="1"/>
  <c r="AF280" i="1"/>
  <c r="AE280" i="1"/>
  <c r="AD280" i="1"/>
  <c r="AA280" i="1"/>
  <c r="Z280" i="1"/>
  <c r="Y280" i="1"/>
  <c r="X280" i="1"/>
  <c r="W280" i="1"/>
  <c r="P280" i="1"/>
  <c r="O280" i="1"/>
  <c r="AQ280" i="1" s="1"/>
  <c r="N280" i="1"/>
  <c r="AC280" i="1" s="1"/>
  <c r="M280" i="1"/>
  <c r="AR280" i="1" s="1"/>
  <c r="AU279" i="1"/>
  <c r="AP279" i="1"/>
  <c r="AN279" i="1"/>
  <c r="AI279" i="1"/>
  <c r="AT279" i="1" s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AC279" i="1" s="1"/>
  <c r="M279" i="1"/>
  <c r="AR279" i="1" s="1"/>
  <c r="AU278" i="1"/>
  <c r="AR278" i="1"/>
  <c r="AP278" i="1"/>
  <c r="AO278" i="1"/>
  <c r="AV278" i="1" s="1"/>
  <c r="AI278" i="1"/>
  <c r="AN278" i="1" s="1"/>
  <c r="AH278" i="1"/>
  <c r="AF278" i="1"/>
  <c r="AE278" i="1"/>
  <c r="AB278" i="1"/>
  <c r="AA278" i="1"/>
  <c r="Z278" i="1"/>
  <c r="Y278" i="1"/>
  <c r="X278" i="1"/>
  <c r="W278" i="1"/>
  <c r="P278" i="1"/>
  <c r="O278" i="1"/>
  <c r="AD278" i="1" s="1"/>
  <c r="N278" i="1"/>
  <c r="AC278" i="1" s="1"/>
  <c r="M278" i="1"/>
  <c r="AU277" i="1"/>
  <c r="AR277" i="1"/>
  <c r="AP277" i="1"/>
  <c r="AI277" i="1"/>
  <c r="AN277" i="1" s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D277" i="1" s="1"/>
  <c r="N277" i="1"/>
  <c r="AO277" i="1" s="1"/>
  <c r="AV277" i="1" s="1"/>
  <c r="M277" i="1"/>
  <c r="AU276" i="1"/>
  <c r="AT276" i="1"/>
  <c r="AR276" i="1"/>
  <c r="AP276" i="1"/>
  <c r="AO276" i="1"/>
  <c r="AV276" i="1" s="1"/>
  <c r="AN276" i="1"/>
  <c r="AJ276" i="1"/>
  <c r="AI276" i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AQ276" i="1" s="1"/>
  <c r="N276" i="1"/>
  <c r="M276" i="1"/>
  <c r="AU275" i="1"/>
  <c r="AP275" i="1"/>
  <c r="AO275" i="1"/>
  <c r="AV275" i="1" s="1"/>
  <c r="AN275" i="1"/>
  <c r="AI275" i="1"/>
  <c r="AT275" i="1" s="1"/>
  <c r="AH275" i="1"/>
  <c r="AF275" i="1"/>
  <c r="AE275" i="1"/>
  <c r="AD275" i="1"/>
  <c r="AC275" i="1"/>
  <c r="AA275" i="1"/>
  <c r="Z275" i="1"/>
  <c r="Y275" i="1"/>
  <c r="X275" i="1"/>
  <c r="W275" i="1"/>
  <c r="P275" i="1"/>
  <c r="O275" i="1"/>
  <c r="AQ275" i="1" s="1"/>
  <c r="N275" i="1"/>
  <c r="M275" i="1"/>
  <c r="AR275" i="1" s="1"/>
  <c r="AU274" i="1"/>
  <c r="AT274" i="1"/>
  <c r="AP274" i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AQ274" i="1" s="1"/>
  <c r="N274" i="1"/>
  <c r="AC274" i="1" s="1"/>
  <c r="M274" i="1"/>
  <c r="AR274" i="1" s="1"/>
  <c r="AU273" i="1"/>
  <c r="AP273" i="1"/>
  <c r="AN273" i="1"/>
  <c r="AI273" i="1"/>
  <c r="AT273" i="1" s="1"/>
  <c r="AH273" i="1"/>
  <c r="AF273" i="1"/>
  <c r="AE273" i="1"/>
  <c r="AA273" i="1"/>
  <c r="Z273" i="1"/>
  <c r="Y273" i="1"/>
  <c r="X273" i="1"/>
  <c r="W273" i="1"/>
  <c r="P273" i="1"/>
  <c r="O273" i="1"/>
  <c r="AD273" i="1" s="1"/>
  <c r="N273" i="1"/>
  <c r="AC273" i="1" s="1"/>
  <c r="M273" i="1"/>
  <c r="AR273" i="1" s="1"/>
  <c r="AU272" i="1"/>
  <c r="AP272" i="1"/>
  <c r="AO272" i="1"/>
  <c r="AI272" i="1"/>
  <c r="AN272" i="1" s="1"/>
  <c r="AH272" i="1"/>
  <c r="AF272" i="1"/>
  <c r="AE272" i="1"/>
  <c r="AA272" i="1"/>
  <c r="Z272" i="1"/>
  <c r="Y272" i="1"/>
  <c r="X272" i="1"/>
  <c r="W272" i="1"/>
  <c r="P272" i="1"/>
  <c r="O272" i="1"/>
  <c r="AD272" i="1" s="1"/>
  <c r="N272" i="1"/>
  <c r="AC272" i="1" s="1"/>
  <c r="M272" i="1"/>
  <c r="AR272" i="1" s="1"/>
  <c r="AU271" i="1"/>
  <c r="AR271" i="1"/>
  <c r="AP271" i="1"/>
  <c r="AI271" i="1"/>
  <c r="AN271" i="1" s="1"/>
  <c r="AH271" i="1"/>
  <c r="AF271" i="1"/>
  <c r="AE271" i="1"/>
  <c r="AB271" i="1"/>
  <c r="AA271" i="1"/>
  <c r="Z271" i="1"/>
  <c r="Y271" i="1"/>
  <c r="X271" i="1"/>
  <c r="W271" i="1"/>
  <c r="P271" i="1"/>
  <c r="O271" i="1"/>
  <c r="AD271" i="1" s="1"/>
  <c r="N271" i="1"/>
  <c r="AO271" i="1" s="1"/>
  <c r="AV271" i="1" s="1"/>
  <c r="M271" i="1"/>
  <c r="AU270" i="1"/>
  <c r="AT270" i="1"/>
  <c r="AR270" i="1"/>
  <c r="AP270" i="1"/>
  <c r="AO270" i="1"/>
  <c r="AV270" i="1" s="1"/>
  <c r="AN270" i="1"/>
  <c r="AJ270" i="1"/>
  <c r="AI270" i="1"/>
  <c r="AH270" i="1"/>
  <c r="AF270" i="1"/>
  <c r="AE270" i="1"/>
  <c r="AC270" i="1"/>
  <c r="AB270" i="1"/>
  <c r="AA270" i="1"/>
  <c r="Z270" i="1"/>
  <c r="Y270" i="1"/>
  <c r="X270" i="1"/>
  <c r="W270" i="1"/>
  <c r="P270" i="1"/>
  <c r="O270" i="1"/>
  <c r="AQ270" i="1" s="1"/>
  <c r="N270" i="1"/>
  <c r="M270" i="1"/>
  <c r="AU269" i="1"/>
  <c r="AR269" i="1"/>
  <c r="AP269" i="1"/>
  <c r="AO269" i="1"/>
  <c r="AV269" i="1" s="1"/>
  <c r="AI269" i="1"/>
  <c r="AN269" i="1" s="1"/>
  <c r="AH269" i="1"/>
  <c r="AF269" i="1"/>
  <c r="AE269" i="1"/>
  <c r="AD269" i="1"/>
  <c r="AC269" i="1"/>
  <c r="AB269" i="1"/>
  <c r="AA269" i="1"/>
  <c r="Z269" i="1"/>
  <c r="Y269" i="1"/>
  <c r="X269" i="1"/>
  <c r="W269" i="1"/>
  <c r="P269" i="1"/>
  <c r="O269" i="1"/>
  <c r="AQ269" i="1" s="1"/>
  <c r="N269" i="1"/>
  <c r="M269" i="1"/>
  <c r="AU268" i="1"/>
  <c r="AT268" i="1"/>
  <c r="AP268" i="1"/>
  <c r="AN268" i="1"/>
  <c r="AJ268" i="1"/>
  <c r="AI268" i="1"/>
  <c r="AH268" i="1"/>
  <c r="AF268" i="1"/>
  <c r="AE268" i="1"/>
  <c r="AD268" i="1"/>
  <c r="AC268" i="1"/>
  <c r="AA268" i="1"/>
  <c r="Z268" i="1"/>
  <c r="Y268" i="1"/>
  <c r="X268" i="1"/>
  <c r="W268" i="1"/>
  <c r="P268" i="1"/>
  <c r="O268" i="1"/>
  <c r="AQ268" i="1" s="1"/>
  <c r="N268" i="1"/>
  <c r="AO268" i="1" s="1"/>
  <c r="M268" i="1"/>
  <c r="AR268" i="1" s="1"/>
  <c r="AU267" i="1"/>
  <c r="AP267" i="1"/>
  <c r="AN267" i="1"/>
  <c r="AI267" i="1"/>
  <c r="AT267" i="1" s="1"/>
  <c r="AH267" i="1"/>
  <c r="AF267" i="1"/>
  <c r="AE267" i="1"/>
  <c r="AD267" i="1"/>
  <c r="AA267" i="1"/>
  <c r="Z267" i="1"/>
  <c r="Y267" i="1"/>
  <c r="X267" i="1"/>
  <c r="W267" i="1"/>
  <c r="P267" i="1"/>
  <c r="O267" i="1"/>
  <c r="AQ267" i="1" s="1"/>
  <c r="N267" i="1"/>
  <c r="AC267" i="1" s="1"/>
  <c r="M267" i="1"/>
  <c r="AR267" i="1" s="1"/>
  <c r="AU266" i="1"/>
  <c r="AP266" i="1"/>
  <c r="AO266" i="1"/>
  <c r="AV266" i="1" s="1"/>
  <c r="AI266" i="1"/>
  <c r="AN266" i="1" s="1"/>
  <c r="AH266" i="1"/>
  <c r="AF266" i="1"/>
  <c r="AE266" i="1"/>
  <c r="AA266" i="1"/>
  <c r="Z266" i="1"/>
  <c r="Y266" i="1"/>
  <c r="X266" i="1"/>
  <c r="W266" i="1"/>
  <c r="P266" i="1"/>
  <c r="O266" i="1"/>
  <c r="AD266" i="1" s="1"/>
  <c r="N266" i="1"/>
  <c r="AC266" i="1" s="1"/>
  <c r="M266" i="1"/>
  <c r="AR266" i="1" s="1"/>
  <c r="AU265" i="1"/>
  <c r="AR265" i="1"/>
  <c r="AP265" i="1"/>
  <c r="AI265" i="1"/>
  <c r="AN265" i="1" s="1"/>
  <c r="AH265" i="1"/>
  <c r="AF265" i="1"/>
  <c r="AE265" i="1"/>
  <c r="AB265" i="1"/>
  <c r="AA265" i="1"/>
  <c r="Z265" i="1"/>
  <c r="Y265" i="1"/>
  <c r="X265" i="1"/>
  <c r="W265" i="1"/>
  <c r="P265" i="1"/>
  <c r="O265" i="1"/>
  <c r="AD265" i="1" s="1"/>
  <c r="N265" i="1"/>
  <c r="AO265" i="1" s="1"/>
  <c r="M265" i="1"/>
  <c r="AU264" i="1"/>
  <c r="AT264" i="1"/>
  <c r="AR264" i="1"/>
  <c r="AP264" i="1"/>
  <c r="AO264" i="1"/>
  <c r="AV264" i="1" s="1"/>
  <c r="AN264" i="1"/>
  <c r="AJ264" i="1"/>
  <c r="AI264" i="1"/>
  <c r="AH264" i="1"/>
  <c r="AF264" i="1"/>
  <c r="AE264" i="1"/>
  <c r="AC264" i="1"/>
  <c r="AB264" i="1"/>
  <c r="AA264" i="1"/>
  <c r="Z264" i="1"/>
  <c r="Y264" i="1"/>
  <c r="X264" i="1"/>
  <c r="W264" i="1"/>
  <c r="P264" i="1"/>
  <c r="O264" i="1"/>
  <c r="AQ264" i="1" s="1"/>
  <c r="N264" i="1"/>
  <c r="M264" i="1"/>
  <c r="AU263" i="1"/>
  <c r="AR263" i="1"/>
  <c r="AP263" i="1"/>
  <c r="AO263" i="1"/>
  <c r="AV263" i="1" s="1"/>
  <c r="AI263" i="1"/>
  <c r="AN263" i="1" s="1"/>
  <c r="AH263" i="1"/>
  <c r="AF263" i="1"/>
  <c r="AE263" i="1"/>
  <c r="AD263" i="1"/>
  <c r="AC263" i="1"/>
  <c r="AB263" i="1"/>
  <c r="AA263" i="1"/>
  <c r="Z263" i="1"/>
  <c r="Y263" i="1"/>
  <c r="X263" i="1"/>
  <c r="W263" i="1"/>
  <c r="P263" i="1"/>
  <c r="O263" i="1"/>
  <c r="AQ263" i="1" s="1"/>
  <c r="N263" i="1"/>
  <c r="M263" i="1"/>
  <c r="AU262" i="1"/>
  <c r="AT262" i="1"/>
  <c r="AP262" i="1"/>
  <c r="AO262" i="1"/>
  <c r="AV262" i="1" s="1"/>
  <c r="AN262" i="1"/>
  <c r="AJ262" i="1"/>
  <c r="AI262" i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AQ262" i="1" s="1"/>
  <c r="N262" i="1"/>
  <c r="M262" i="1"/>
  <c r="AR262" i="1" s="1"/>
  <c r="AU261" i="1"/>
  <c r="AP261" i="1"/>
  <c r="AN261" i="1"/>
  <c r="AI261" i="1"/>
  <c r="AT261" i="1" s="1"/>
  <c r="AH261" i="1"/>
  <c r="AF261" i="1"/>
  <c r="AE261" i="1"/>
  <c r="AD261" i="1"/>
  <c r="AA261" i="1"/>
  <c r="Z261" i="1"/>
  <c r="Y261" i="1"/>
  <c r="X261" i="1"/>
  <c r="W261" i="1"/>
  <c r="P261" i="1"/>
  <c r="O261" i="1"/>
  <c r="AQ261" i="1" s="1"/>
  <c r="N261" i="1"/>
  <c r="AC261" i="1" s="1"/>
  <c r="M261" i="1"/>
  <c r="AR261" i="1" s="1"/>
  <c r="AU260" i="1"/>
  <c r="AP260" i="1"/>
  <c r="AO260" i="1"/>
  <c r="AI260" i="1"/>
  <c r="AN260" i="1" s="1"/>
  <c r="AH260" i="1"/>
  <c r="AF260" i="1"/>
  <c r="AE260" i="1"/>
  <c r="AA260" i="1"/>
  <c r="Z260" i="1"/>
  <c r="Y260" i="1"/>
  <c r="X260" i="1"/>
  <c r="W260" i="1"/>
  <c r="P260" i="1"/>
  <c r="O260" i="1"/>
  <c r="AD260" i="1" s="1"/>
  <c r="N260" i="1"/>
  <c r="AC260" i="1" s="1"/>
  <c r="M260" i="1"/>
  <c r="AR260" i="1" s="1"/>
  <c r="AU259" i="1"/>
  <c r="AR259" i="1"/>
  <c r="AP259" i="1"/>
  <c r="AI259" i="1"/>
  <c r="AN259" i="1" s="1"/>
  <c r="AH259" i="1"/>
  <c r="AF259" i="1"/>
  <c r="AE259" i="1"/>
  <c r="AB259" i="1"/>
  <c r="AA259" i="1"/>
  <c r="Z259" i="1"/>
  <c r="Y259" i="1"/>
  <c r="X259" i="1"/>
  <c r="W259" i="1"/>
  <c r="P259" i="1"/>
  <c r="O259" i="1"/>
  <c r="AD259" i="1" s="1"/>
  <c r="N259" i="1"/>
  <c r="AO259" i="1" s="1"/>
  <c r="AV259" i="1" s="1"/>
  <c r="M259" i="1"/>
  <c r="AU258" i="1"/>
  <c r="AT258" i="1"/>
  <c r="AR258" i="1"/>
  <c r="AP258" i="1"/>
  <c r="AN258" i="1"/>
  <c r="AJ258" i="1"/>
  <c r="AI258" i="1"/>
  <c r="AH258" i="1"/>
  <c r="AF258" i="1"/>
  <c r="AE258" i="1"/>
  <c r="AC258" i="1"/>
  <c r="AB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U257" i="1"/>
  <c r="AR257" i="1"/>
  <c r="AP257" i="1"/>
  <c r="AO257" i="1"/>
  <c r="AV257" i="1" s="1"/>
  <c r="AI257" i="1"/>
  <c r="AN257" i="1" s="1"/>
  <c r="AH257" i="1"/>
  <c r="AF257" i="1"/>
  <c r="AE257" i="1"/>
  <c r="AD257" i="1"/>
  <c r="AC257" i="1"/>
  <c r="AB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P256" i="1"/>
  <c r="AO256" i="1"/>
  <c r="AN256" i="1"/>
  <c r="AJ256" i="1"/>
  <c r="AI256" i="1"/>
  <c r="AH256" i="1"/>
  <c r="AF256" i="1"/>
  <c r="AE256" i="1"/>
  <c r="AD256" i="1"/>
  <c r="AC256" i="1"/>
  <c r="AA256" i="1"/>
  <c r="Z256" i="1"/>
  <c r="Y256" i="1"/>
  <c r="X256" i="1"/>
  <c r="W256" i="1"/>
  <c r="P256" i="1"/>
  <c r="O256" i="1"/>
  <c r="AQ256" i="1" s="1"/>
  <c r="N256" i="1"/>
  <c r="M256" i="1"/>
  <c r="AR256" i="1" s="1"/>
  <c r="AU255" i="1"/>
  <c r="AP255" i="1"/>
  <c r="AN255" i="1"/>
  <c r="AI255" i="1"/>
  <c r="AT255" i="1" s="1"/>
  <c r="AH255" i="1"/>
  <c r="AF255" i="1"/>
  <c r="AE255" i="1"/>
  <c r="AD255" i="1"/>
  <c r="AA255" i="1"/>
  <c r="Z255" i="1"/>
  <c r="Y255" i="1"/>
  <c r="X255" i="1"/>
  <c r="W255" i="1"/>
  <c r="P255" i="1"/>
  <c r="O255" i="1"/>
  <c r="AQ255" i="1" s="1"/>
  <c r="N255" i="1"/>
  <c r="AC255" i="1" s="1"/>
  <c r="M255" i="1"/>
  <c r="AR255" i="1" s="1"/>
  <c r="AU254" i="1"/>
  <c r="AP254" i="1"/>
  <c r="AO254" i="1"/>
  <c r="AI254" i="1"/>
  <c r="AN254" i="1" s="1"/>
  <c r="AH254" i="1"/>
  <c r="AF254" i="1"/>
  <c r="AE254" i="1"/>
  <c r="AA254" i="1"/>
  <c r="Z254" i="1"/>
  <c r="Y254" i="1"/>
  <c r="X254" i="1"/>
  <c r="W254" i="1"/>
  <c r="P254" i="1"/>
  <c r="O254" i="1"/>
  <c r="AD254" i="1" s="1"/>
  <c r="N254" i="1"/>
  <c r="AC254" i="1" s="1"/>
  <c r="M254" i="1"/>
  <c r="AR254" i="1" s="1"/>
  <c r="AU253" i="1"/>
  <c r="AR253" i="1"/>
  <c r="AP253" i="1"/>
  <c r="AI253" i="1"/>
  <c r="AN253" i="1" s="1"/>
  <c r="AH253" i="1"/>
  <c r="AF253" i="1"/>
  <c r="AE253" i="1"/>
  <c r="AB253" i="1"/>
  <c r="AA253" i="1"/>
  <c r="Z253" i="1"/>
  <c r="Y253" i="1"/>
  <c r="X253" i="1"/>
  <c r="W253" i="1"/>
  <c r="P253" i="1"/>
  <c r="O253" i="1"/>
  <c r="AD253" i="1" s="1"/>
  <c r="N253" i="1"/>
  <c r="AO253" i="1" s="1"/>
  <c r="AV253" i="1" s="1"/>
  <c r="M253" i="1"/>
  <c r="AU252" i="1"/>
  <c r="AT252" i="1"/>
  <c r="AR252" i="1"/>
  <c r="AP252" i="1"/>
  <c r="AN252" i="1"/>
  <c r="AJ252" i="1"/>
  <c r="AI252" i="1"/>
  <c r="AH252" i="1"/>
  <c r="AF252" i="1"/>
  <c r="AE252" i="1"/>
  <c r="AC252" i="1"/>
  <c r="AB252" i="1"/>
  <c r="AA252" i="1"/>
  <c r="Z252" i="1"/>
  <c r="Y252" i="1"/>
  <c r="X252" i="1"/>
  <c r="W252" i="1"/>
  <c r="P252" i="1"/>
  <c r="O252" i="1"/>
  <c r="AQ252" i="1" s="1"/>
  <c r="N252" i="1"/>
  <c r="AO252" i="1" s="1"/>
  <c r="AV252" i="1" s="1"/>
  <c r="M252" i="1"/>
  <c r="AU251" i="1"/>
  <c r="AR251" i="1"/>
  <c r="AP251" i="1"/>
  <c r="AO251" i="1"/>
  <c r="AI251" i="1"/>
  <c r="AN251" i="1" s="1"/>
  <c r="AH251" i="1"/>
  <c r="AF251" i="1"/>
  <c r="AE251" i="1"/>
  <c r="AD251" i="1"/>
  <c r="AC251" i="1"/>
  <c r="AB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P250" i="1"/>
  <c r="AO250" i="1"/>
  <c r="AV250" i="1" s="1"/>
  <c r="AN250" i="1"/>
  <c r="AJ250" i="1"/>
  <c r="AI250" i="1"/>
  <c r="AH250" i="1"/>
  <c r="AF250" i="1"/>
  <c r="AE250" i="1"/>
  <c r="AD250" i="1"/>
  <c r="AC250" i="1"/>
  <c r="AA250" i="1"/>
  <c r="Z250" i="1"/>
  <c r="Y250" i="1"/>
  <c r="X250" i="1"/>
  <c r="W250" i="1"/>
  <c r="P250" i="1"/>
  <c r="O250" i="1"/>
  <c r="AQ250" i="1" s="1"/>
  <c r="N250" i="1"/>
  <c r="M250" i="1"/>
  <c r="AR250" i="1" s="1"/>
  <c r="AU249" i="1"/>
  <c r="AP249" i="1"/>
  <c r="AN249" i="1"/>
  <c r="AI249" i="1"/>
  <c r="AT249" i="1" s="1"/>
  <c r="AH249" i="1"/>
  <c r="AF249" i="1"/>
  <c r="AE249" i="1"/>
  <c r="AD249" i="1"/>
  <c r="AA249" i="1"/>
  <c r="Z249" i="1"/>
  <c r="Y249" i="1"/>
  <c r="X249" i="1"/>
  <c r="W249" i="1"/>
  <c r="P249" i="1"/>
  <c r="O249" i="1"/>
  <c r="AQ249" i="1" s="1"/>
  <c r="N249" i="1"/>
  <c r="AC249" i="1" s="1"/>
  <c r="M249" i="1"/>
  <c r="AR249" i="1" s="1"/>
  <c r="AU248" i="1"/>
  <c r="AP248" i="1"/>
  <c r="AO248" i="1"/>
  <c r="AV248" i="1" s="1"/>
  <c r="AI248" i="1"/>
  <c r="AN248" i="1" s="1"/>
  <c r="AH248" i="1"/>
  <c r="AF248" i="1"/>
  <c r="AE248" i="1"/>
  <c r="AA248" i="1"/>
  <c r="Z248" i="1"/>
  <c r="Y248" i="1"/>
  <c r="X248" i="1"/>
  <c r="W248" i="1"/>
  <c r="P248" i="1"/>
  <c r="O248" i="1"/>
  <c r="AD248" i="1" s="1"/>
  <c r="N248" i="1"/>
  <c r="AC248" i="1" s="1"/>
  <c r="M248" i="1"/>
  <c r="AR248" i="1" s="1"/>
  <c r="AU247" i="1"/>
  <c r="AR247" i="1"/>
  <c r="AP247" i="1"/>
  <c r="AI247" i="1"/>
  <c r="AN247" i="1" s="1"/>
  <c r="AH247" i="1"/>
  <c r="AF247" i="1"/>
  <c r="AE247" i="1"/>
  <c r="AB247" i="1"/>
  <c r="AA247" i="1"/>
  <c r="Z247" i="1"/>
  <c r="Y247" i="1"/>
  <c r="X247" i="1"/>
  <c r="W247" i="1"/>
  <c r="P247" i="1"/>
  <c r="O247" i="1"/>
  <c r="AD247" i="1" s="1"/>
  <c r="N247" i="1"/>
  <c r="AO247" i="1" s="1"/>
  <c r="M247" i="1"/>
  <c r="AU246" i="1"/>
  <c r="AT246" i="1"/>
  <c r="AR246" i="1"/>
  <c r="AP246" i="1"/>
  <c r="AN246" i="1"/>
  <c r="AJ246" i="1"/>
  <c r="AI246" i="1"/>
  <c r="AH246" i="1"/>
  <c r="AF246" i="1"/>
  <c r="AE246" i="1"/>
  <c r="AC246" i="1"/>
  <c r="AB246" i="1"/>
  <c r="AA246" i="1"/>
  <c r="Z246" i="1"/>
  <c r="Y246" i="1"/>
  <c r="X246" i="1"/>
  <c r="W246" i="1"/>
  <c r="P246" i="1"/>
  <c r="O246" i="1"/>
  <c r="AQ246" i="1" s="1"/>
  <c r="N246" i="1"/>
  <c r="AO246" i="1" s="1"/>
  <c r="AV246" i="1" s="1"/>
  <c r="M246" i="1"/>
  <c r="AU245" i="1"/>
  <c r="AR245" i="1"/>
  <c r="AP245" i="1"/>
  <c r="AO245" i="1"/>
  <c r="AV245" i="1" s="1"/>
  <c r="AI245" i="1"/>
  <c r="AN245" i="1" s="1"/>
  <c r="AH245" i="1"/>
  <c r="AF245" i="1"/>
  <c r="AE245" i="1"/>
  <c r="AD245" i="1"/>
  <c r="AC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P244" i="1"/>
  <c r="AO244" i="1"/>
  <c r="AV244" i="1" s="1"/>
  <c r="AN244" i="1"/>
  <c r="AJ244" i="1"/>
  <c r="AI244" i="1"/>
  <c r="AH244" i="1"/>
  <c r="AF244" i="1"/>
  <c r="AE244" i="1"/>
  <c r="AD244" i="1"/>
  <c r="AC244" i="1"/>
  <c r="AA244" i="1"/>
  <c r="Z244" i="1"/>
  <c r="Y244" i="1"/>
  <c r="X244" i="1"/>
  <c r="W244" i="1"/>
  <c r="P244" i="1"/>
  <c r="O244" i="1"/>
  <c r="AQ244" i="1" s="1"/>
  <c r="N244" i="1"/>
  <c r="M244" i="1"/>
  <c r="AR244" i="1" s="1"/>
  <c r="AU243" i="1"/>
  <c r="AP243" i="1"/>
  <c r="AN243" i="1"/>
  <c r="AI243" i="1"/>
  <c r="AT243" i="1" s="1"/>
  <c r="AH243" i="1"/>
  <c r="AF243" i="1"/>
  <c r="AE243" i="1"/>
  <c r="AD243" i="1"/>
  <c r="AA243" i="1"/>
  <c r="Z243" i="1"/>
  <c r="Y243" i="1"/>
  <c r="X243" i="1"/>
  <c r="W243" i="1"/>
  <c r="P243" i="1"/>
  <c r="O243" i="1"/>
  <c r="AQ243" i="1" s="1"/>
  <c r="N243" i="1"/>
  <c r="AC243" i="1" s="1"/>
  <c r="M243" i="1"/>
  <c r="AR243" i="1" s="1"/>
  <c r="AU242" i="1"/>
  <c r="AP242" i="1"/>
  <c r="AO242" i="1"/>
  <c r="AI242" i="1"/>
  <c r="AN242" i="1" s="1"/>
  <c r="AH242" i="1"/>
  <c r="AF242" i="1"/>
  <c r="AE242" i="1"/>
  <c r="AA242" i="1"/>
  <c r="Z242" i="1"/>
  <c r="Y242" i="1"/>
  <c r="X242" i="1"/>
  <c r="W242" i="1"/>
  <c r="P242" i="1"/>
  <c r="O242" i="1"/>
  <c r="AD242" i="1" s="1"/>
  <c r="N242" i="1"/>
  <c r="AC242" i="1" s="1"/>
  <c r="M242" i="1"/>
  <c r="AR242" i="1" s="1"/>
  <c r="AU241" i="1"/>
  <c r="AR241" i="1"/>
  <c r="AP241" i="1"/>
  <c r="AI241" i="1"/>
  <c r="AN241" i="1" s="1"/>
  <c r="AH241" i="1"/>
  <c r="AF241" i="1"/>
  <c r="AE241" i="1"/>
  <c r="AB241" i="1"/>
  <c r="AA241" i="1"/>
  <c r="Z241" i="1"/>
  <c r="Y241" i="1"/>
  <c r="X241" i="1"/>
  <c r="W241" i="1"/>
  <c r="P241" i="1"/>
  <c r="O241" i="1"/>
  <c r="AD241" i="1" s="1"/>
  <c r="N241" i="1"/>
  <c r="M241" i="1"/>
  <c r="AU240" i="1"/>
  <c r="AT240" i="1"/>
  <c r="AR240" i="1"/>
  <c r="AP240" i="1"/>
  <c r="AN240" i="1"/>
  <c r="AJ240" i="1"/>
  <c r="AI240" i="1"/>
  <c r="AH240" i="1"/>
  <c r="AF240" i="1"/>
  <c r="AE240" i="1"/>
  <c r="AC240" i="1"/>
  <c r="AB240" i="1"/>
  <c r="AA240" i="1"/>
  <c r="Z240" i="1"/>
  <c r="Y240" i="1"/>
  <c r="X240" i="1"/>
  <c r="W240" i="1"/>
  <c r="P240" i="1"/>
  <c r="O240" i="1"/>
  <c r="AD240" i="1" s="1"/>
  <c r="N240" i="1"/>
  <c r="AO240" i="1" s="1"/>
  <c r="AV240" i="1" s="1"/>
  <c r="M240" i="1"/>
  <c r="AU239" i="1"/>
  <c r="AR239" i="1"/>
  <c r="AP239" i="1"/>
  <c r="AO239" i="1"/>
  <c r="AV239" i="1" s="1"/>
  <c r="AI239" i="1"/>
  <c r="AH239" i="1"/>
  <c r="AF239" i="1"/>
  <c r="AE239" i="1"/>
  <c r="AD239" i="1"/>
  <c r="AC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P238" i="1"/>
  <c r="AO238" i="1"/>
  <c r="AV238" i="1" s="1"/>
  <c r="AN238" i="1"/>
  <c r="AJ238" i="1"/>
  <c r="AI238" i="1"/>
  <c r="AH238" i="1"/>
  <c r="AF238" i="1"/>
  <c r="AE238" i="1"/>
  <c r="AD238" i="1"/>
  <c r="AC238" i="1"/>
  <c r="AA238" i="1"/>
  <c r="Z238" i="1"/>
  <c r="Y238" i="1"/>
  <c r="X238" i="1"/>
  <c r="W238" i="1"/>
  <c r="P238" i="1"/>
  <c r="O238" i="1"/>
  <c r="AQ238" i="1" s="1"/>
  <c r="N238" i="1"/>
  <c r="M238" i="1"/>
  <c r="AR238" i="1" s="1"/>
  <c r="AU237" i="1"/>
  <c r="AP237" i="1"/>
  <c r="AN237" i="1"/>
  <c r="AI237" i="1"/>
  <c r="AT237" i="1" s="1"/>
  <c r="AH237" i="1"/>
  <c r="AF237" i="1"/>
  <c r="AE237" i="1"/>
  <c r="AD237" i="1"/>
  <c r="AA237" i="1"/>
  <c r="Z237" i="1"/>
  <c r="Y237" i="1"/>
  <c r="X237" i="1"/>
  <c r="W237" i="1"/>
  <c r="P237" i="1"/>
  <c r="O237" i="1"/>
  <c r="AQ237" i="1" s="1"/>
  <c r="N237" i="1"/>
  <c r="AC237" i="1" s="1"/>
  <c r="M237" i="1"/>
  <c r="AR237" i="1" s="1"/>
  <c r="AV236" i="1"/>
  <c r="AU236" i="1"/>
  <c r="AP236" i="1"/>
  <c r="AO236" i="1"/>
  <c r="AI236" i="1"/>
  <c r="AN236" i="1" s="1"/>
  <c r="AH236" i="1"/>
  <c r="AF236" i="1"/>
  <c r="AE236" i="1"/>
  <c r="AA236" i="1"/>
  <c r="Z236" i="1"/>
  <c r="Y236" i="1"/>
  <c r="X236" i="1"/>
  <c r="W236" i="1"/>
  <c r="P236" i="1"/>
  <c r="O236" i="1"/>
  <c r="AD236" i="1" s="1"/>
  <c r="N236" i="1"/>
  <c r="AC236" i="1" s="1"/>
  <c r="M236" i="1"/>
  <c r="AU235" i="1"/>
  <c r="AR235" i="1"/>
  <c r="AP235" i="1"/>
  <c r="AI235" i="1"/>
  <c r="AH235" i="1"/>
  <c r="AF235" i="1"/>
  <c r="AE235" i="1"/>
  <c r="AB235" i="1"/>
  <c r="AA235" i="1"/>
  <c r="Z235" i="1"/>
  <c r="Y235" i="1"/>
  <c r="X235" i="1"/>
  <c r="W235" i="1"/>
  <c r="P235" i="1"/>
  <c r="O235" i="1"/>
  <c r="AD235" i="1" s="1"/>
  <c r="N235" i="1"/>
  <c r="M235" i="1"/>
  <c r="AU234" i="1"/>
  <c r="AT234" i="1"/>
  <c r="AR234" i="1"/>
  <c r="AP234" i="1"/>
  <c r="AN234" i="1"/>
  <c r="AJ234" i="1"/>
  <c r="AI234" i="1"/>
  <c r="AH234" i="1"/>
  <c r="AF234" i="1"/>
  <c r="AE234" i="1"/>
  <c r="AC234" i="1"/>
  <c r="AB234" i="1"/>
  <c r="AA234" i="1"/>
  <c r="Z234" i="1"/>
  <c r="Y234" i="1"/>
  <c r="X234" i="1"/>
  <c r="W234" i="1"/>
  <c r="P234" i="1"/>
  <c r="O234" i="1"/>
  <c r="AD234" i="1" s="1"/>
  <c r="N234" i="1"/>
  <c r="AO234" i="1" s="1"/>
  <c r="AV234" i="1" s="1"/>
  <c r="M234" i="1"/>
  <c r="AU233" i="1"/>
  <c r="AR233" i="1"/>
  <c r="AP233" i="1"/>
  <c r="AO233" i="1"/>
  <c r="AV233" i="1" s="1"/>
  <c r="AN233" i="1"/>
  <c r="AI233" i="1"/>
  <c r="AH233" i="1"/>
  <c r="AF233" i="1"/>
  <c r="AE233" i="1"/>
  <c r="AD233" i="1"/>
  <c r="AC233" i="1"/>
  <c r="AB233" i="1"/>
  <c r="AA233" i="1"/>
  <c r="Z233" i="1"/>
  <c r="Y233" i="1"/>
  <c r="X233" i="1"/>
  <c r="W233" i="1"/>
  <c r="P233" i="1"/>
  <c r="O233" i="1"/>
  <c r="AQ233" i="1" s="1"/>
  <c r="N233" i="1"/>
  <c r="M233" i="1"/>
  <c r="AV232" i="1"/>
  <c r="AU232" i="1"/>
  <c r="AT232" i="1"/>
  <c r="AP232" i="1"/>
  <c r="AO232" i="1"/>
  <c r="AN232" i="1"/>
  <c r="AJ232" i="1"/>
  <c r="AI232" i="1"/>
  <c r="AH232" i="1"/>
  <c r="AF232" i="1"/>
  <c r="AE232" i="1"/>
  <c r="AD232" i="1"/>
  <c r="AC232" i="1"/>
  <c r="AA232" i="1"/>
  <c r="Z232" i="1"/>
  <c r="Y232" i="1"/>
  <c r="X232" i="1"/>
  <c r="W232" i="1"/>
  <c r="P232" i="1"/>
  <c r="O232" i="1"/>
  <c r="AQ232" i="1" s="1"/>
  <c r="N232" i="1"/>
  <c r="M232" i="1"/>
  <c r="AU231" i="1"/>
  <c r="AP231" i="1"/>
  <c r="AN231" i="1"/>
  <c r="AI231" i="1"/>
  <c r="AT231" i="1" s="1"/>
  <c r="AH231" i="1"/>
  <c r="AF231" i="1"/>
  <c r="AE231" i="1"/>
  <c r="AD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P230" i="1"/>
  <c r="AO230" i="1"/>
  <c r="AI230" i="1"/>
  <c r="AN230" i="1" s="1"/>
  <c r="AH230" i="1"/>
  <c r="AF230" i="1"/>
  <c r="AE230" i="1"/>
  <c r="AA230" i="1"/>
  <c r="Z230" i="1"/>
  <c r="Y230" i="1"/>
  <c r="X230" i="1"/>
  <c r="W230" i="1"/>
  <c r="P230" i="1"/>
  <c r="O230" i="1"/>
  <c r="AD230" i="1" s="1"/>
  <c r="N230" i="1"/>
  <c r="AC230" i="1" s="1"/>
  <c r="M230" i="1"/>
  <c r="AU229" i="1"/>
  <c r="AR229" i="1"/>
  <c r="AP229" i="1"/>
  <c r="AI229" i="1"/>
  <c r="AH229" i="1"/>
  <c r="AF229" i="1"/>
  <c r="AE229" i="1"/>
  <c r="AB229" i="1"/>
  <c r="AA229" i="1"/>
  <c r="Z229" i="1"/>
  <c r="Y229" i="1"/>
  <c r="X229" i="1"/>
  <c r="W229" i="1"/>
  <c r="P229" i="1"/>
  <c r="O229" i="1"/>
  <c r="AD229" i="1" s="1"/>
  <c r="N229" i="1"/>
  <c r="M229" i="1"/>
  <c r="AU228" i="1"/>
  <c r="AT228" i="1"/>
  <c r="AR228" i="1"/>
  <c r="AQ228" i="1"/>
  <c r="AP228" i="1"/>
  <c r="AN228" i="1"/>
  <c r="AJ228" i="1"/>
  <c r="AI228" i="1"/>
  <c r="AH228" i="1"/>
  <c r="AF228" i="1"/>
  <c r="AE228" i="1"/>
  <c r="AC228" i="1"/>
  <c r="AB228" i="1"/>
  <c r="AA228" i="1"/>
  <c r="Z228" i="1"/>
  <c r="Y228" i="1"/>
  <c r="X228" i="1"/>
  <c r="W228" i="1"/>
  <c r="P228" i="1"/>
  <c r="O228" i="1"/>
  <c r="AD228" i="1" s="1"/>
  <c r="N228" i="1"/>
  <c r="AO228" i="1" s="1"/>
  <c r="M228" i="1"/>
  <c r="AU227" i="1"/>
  <c r="AR227" i="1"/>
  <c r="AP227" i="1"/>
  <c r="AO227" i="1"/>
  <c r="AV227" i="1" s="1"/>
  <c r="AI227" i="1"/>
  <c r="AH227" i="1"/>
  <c r="AF227" i="1"/>
  <c r="AE227" i="1"/>
  <c r="AD227" i="1"/>
  <c r="AC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P226" i="1"/>
  <c r="AN226" i="1"/>
  <c r="AJ226" i="1"/>
  <c r="AI226" i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P225" i="1"/>
  <c r="AO225" i="1"/>
  <c r="AV225" i="1" s="1"/>
  <c r="AN225" i="1"/>
  <c r="AI225" i="1"/>
  <c r="AT225" i="1" s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AQ225" i="1" s="1"/>
  <c r="N225" i="1"/>
  <c r="AC225" i="1" s="1"/>
  <c r="M225" i="1"/>
  <c r="AR225" i="1" s="1"/>
  <c r="AU224" i="1"/>
  <c r="AT224" i="1"/>
  <c r="AR224" i="1"/>
  <c r="AP224" i="1"/>
  <c r="AN224" i="1"/>
  <c r="AJ224" i="1"/>
  <c r="AI224" i="1"/>
  <c r="AH224" i="1"/>
  <c r="AF224" i="1"/>
  <c r="AE224" i="1"/>
  <c r="AD224" i="1"/>
  <c r="AC224" i="1"/>
  <c r="AB224" i="1"/>
  <c r="AA224" i="1"/>
  <c r="Z224" i="1"/>
  <c r="Y224" i="1"/>
  <c r="X224" i="1"/>
  <c r="W224" i="1"/>
  <c r="P224" i="1"/>
  <c r="O224" i="1"/>
  <c r="AQ224" i="1" s="1"/>
  <c r="N224" i="1"/>
  <c r="AO224" i="1" s="1"/>
  <c r="AV224" i="1" s="1"/>
  <c r="M224" i="1"/>
  <c r="AU223" i="1"/>
  <c r="AT223" i="1"/>
  <c r="AP223" i="1"/>
  <c r="AO223" i="1"/>
  <c r="AV223" i="1" s="1"/>
  <c r="AN223" i="1"/>
  <c r="AJ223" i="1"/>
  <c r="AI223" i="1"/>
  <c r="AH223" i="1"/>
  <c r="AF223" i="1"/>
  <c r="AE223" i="1"/>
  <c r="AD223" i="1"/>
  <c r="AC223" i="1"/>
  <c r="AA223" i="1"/>
  <c r="Z223" i="1"/>
  <c r="Y223" i="1"/>
  <c r="X223" i="1"/>
  <c r="W223" i="1"/>
  <c r="P223" i="1"/>
  <c r="O223" i="1"/>
  <c r="AQ223" i="1" s="1"/>
  <c r="N223" i="1"/>
  <c r="M223" i="1"/>
  <c r="AR223" i="1" s="1"/>
  <c r="AU222" i="1"/>
  <c r="AP222" i="1"/>
  <c r="AO222" i="1"/>
  <c r="AV222" i="1" s="1"/>
  <c r="AN222" i="1"/>
  <c r="AI222" i="1"/>
  <c r="AT222" i="1" s="1"/>
  <c r="AH222" i="1"/>
  <c r="AF222" i="1"/>
  <c r="AE222" i="1"/>
  <c r="AD222" i="1"/>
  <c r="AA222" i="1"/>
  <c r="Z222" i="1"/>
  <c r="Y222" i="1"/>
  <c r="X222" i="1"/>
  <c r="W222" i="1"/>
  <c r="P222" i="1"/>
  <c r="O222" i="1"/>
  <c r="AQ222" i="1" s="1"/>
  <c r="N222" i="1"/>
  <c r="AC222" i="1" s="1"/>
  <c r="M222" i="1"/>
  <c r="AR222" i="1" s="1"/>
  <c r="AU221" i="1"/>
  <c r="AT221" i="1"/>
  <c r="AP221" i="1"/>
  <c r="AJ221" i="1"/>
  <c r="AI221" i="1"/>
  <c r="AN221" i="1" s="1"/>
  <c r="AH221" i="1"/>
  <c r="AF221" i="1"/>
  <c r="AE221" i="1"/>
  <c r="AA221" i="1"/>
  <c r="Z221" i="1"/>
  <c r="Y221" i="1"/>
  <c r="X221" i="1"/>
  <c r="W221" i="1"/>
  <c r="P221" i="1"/>
  <c r="O221" i="1"/>
  <c r="AD221" i="1" s="1"/>
  <c r="N221" i="1"/>
  <c r="AO221" i="1" s="1"/>
  <c r="AV221" i="1" s="1"/>
  <c r="M221" i="1"/>
  <c r="AR221" i="1" s="1"/>
  <c r="AU220" i="1"/>
  <c r="AR220" i="1"/>
  <c r="AP220" i="1"/>
  <c r="AI220" i="1"/>
  <c r="AN220" i="1" s="1"/>
  <c r="AH220" i="1"/>
  <c r="AF220" i="1"/>
  <c r="AE220" i="1"/>
  <c r="AB220" i="1"/>
  <c r="AA220" i="1"/>
  <c r="Z220" i="1"/>
  <c r="Y220" i="1"/>
  <c r="X220" i="1"/>
  <c r="W220" i="1"/>
  <c r="P220" i="1"/>
  <c r="O220" i="1"/>
  <c r="AD220" i="1" s="1"/>
  <c r="N220" i="1"/>
  <c r="AO220" i="1" s="1"/>
  <c r="AV220" i="1" s="1"/>
  <c r="M220" i="1"/>
  <c r="AU219" i="1"/>
  <c r="AR219" i="1"/>
  <c r="AP219" i="1"/>
  <c r="AO219" i="1"/>
  <c r="AI219" i="1"/>
  <c r="AN219" i="1" s="1"/>
  <c r="AH219" i="1"/>
  <c r="AF219" i="1"/>
  <c r="AE219" i="1"/>
  <c r="AC219" i="1"/>
  <c r="AB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R218" i="1"/>
  <c r="AP218" i="1"/>
  <c r="AN218" i="1"/>
  <c r="AJ218" i="1"/>
  <c r="AI218" i="1"/>
  <c r="AH218" i="1"/>
  <c r="AF218" i="1"/>
  <c r="AE218" i="1"/>
  <c r="AD218" i="1"/>
  <c r="AC218" i="1"/>
  <c r="AB218" i="1"/>
  <c r="AA218" i="1"/>
  <c r="Z218" i="1"/>
  <c r="Y218" i="1"/>
  <c r="X218" i="1"/>
  <c r="W218" i="1"/>
  <c r="P218" i="1"/>
  <c r="O218" i="1"/>
  <c r="AQ218" i="1" s="1"/>
  <c r="N218" i="1"/>
  <c r="AO218" i="1" s="1"/>
  <c r="AV218" i="1" s="1"/>
  <c r="M218" i="1"/>
  <c r="AU217" i="1"/>
  <c r="AT217" i="1"/>
  <c r="AP217" i="1"/>
  <c r="AO217" i="1"/>
  <c r="AV217" i="1" s="1"/>
  <c r="AN217" i="1"/>
  <c r="AJ217" i="1"/>
  <c r="AI217" i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M217" i="1"/>
  <c r="AR217" i="1" s="1"/>
  <c r="AU216" i="1"/>
  <c r="AP216" i="1"/>
  <c r="AO216" i="1"/>
  <c r="AV216" i="1" s="1"/>
  <c r="AN216" i="1"/>
  <c r="AI216" i="1"/>
  <c r="AT216" i="1" s="1"/>
  <c r="AH216" i="1"/>
  <c r="AF216" i="1"/>
  <c r="AE216" i="1"/>
  <c r="AD216" i="1"/>
  <c r="AA216" i="1"/>
  <c r="Z216" i="1"/>
  <c r="Y216" i="1"/>
  <c r="X216" i="1"/>
  <c r="W216" i="1"/>
  <c r="P216" i="1"/>
  <c r="O216" i="1"/>
  <c r="AQ216" i="1" s="1"/>
  <c r="N216" i="1"/>
  <c r="AC216" i="1" s="1"/>
  <c r="M216" i="1"/>
  <c r="AR216" i="1" s="1"/>
  <c r="AU215" i="1"/>
  <c r="AT215" i="1"/>
  <c r="AP215" i="1"/>
  <c r="AJ215" i="1"/>
  <c r="AI215" i="1"/>
  <c r="AN215" i="1" s="1"/>
  <c r="AH215" i="1"/>
  <c r="AF215" i="1"/>
  <c r="AE215" i="1"/>
  <c r="AA215" i="1"/>
  <c r="Z215" i="1"/>
  <c r="Y215" i="1"/>
  <c r="X215" i="1"/>
  <c r="W215" i="1"/>
  <c r="P215" i="1"/>
  <c r="O215" i="1"/>
  <c r="AD215" i="1" s="1"/>
  <c r="N215" i="1"/>
  <c r="AO215" i="1" s="1"/>
  <c r="AV215" i="1" s="1"/>
  <c r="M215" i="1"/>
  <c r="AR215" i="1" s="1"/>
  <c r="AU214" i="1"/>
  <c r="AR214" i="1"/>
  <c r="AP214" i="1"/>
  <c r="AI214" i="1"/>
  <c r="AN214" i="1" s="1"/>
  <c r="AH214" i="1"/>
  <c r="AF214" i="1"/>
  <c r="AE214" i="1"/>
  <c r="AB214" i="1"/>
  <c r="AA214" i="1"/>
  <c r="Z214" i="1"/>
  <c r="Y214" i="1"/>
  <c r="X214" i="1"/>
  <c r="W214" i="1"/>
  <c r="P214" i="1"/>
  <c r="O214" i="1"/>
  <c r="AD214" i="1" s="1"/>
  <c r="N214" i="1"/>
  <c r="AO214" i="1" s="1"/>
  <c r="AV214" i="1" s="1"/>
  <c r="M214" i="1"/>
  <c r="AU213" i="1"/>
  <c r="AR213" i="1"/>
  <c r="AP213" i="1"/>
  <c r="AO213" i="1"/>
  <c r="AV213" i="1" s="1"/>
  <c r="AI213" i="1"/>
  <c r="AN213" i="1" s="1"/>
  <c r="AH213" i="1"/>
  <c r="AF213" i="1"/>
  <c r="AE213" i="1"/>
  <c r="AC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R212" i="1"/>
  <c r="AP212" i="1"/>
  <c r="AN212" i="1"/>
  <c r="AJ212" i="1"/>
  <c r="AI212" i="1"/>
  <c r="AH212" i="1"/>
  <c r="AF212" i="1"/>
  <c r="AE212" i="1"/>
  <c r="AD212" i="1"/>
  <c r="AC212" i="1"/>
  <c r="AB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U211" i="1"/>
  <c r="AT211" i="1"/>
  <c r="AP211" i="1"/>
  <c r="AO211" i="1"/>
  <c r="AV211" i="1" s="1"/>
  <c r="AN211" i="1"/>
  <c r="AJ211" i="1"/>
  <c r="AI211" i="1"/>
  <c r="AH211" i="1"/>
  <c r="AF211" i="1"/>
  <c r="AE211" i="1"/>
  <c r="AD211" i="1"/>
  <c r="AC211" i="1"/>
  <c r="AA211" i="1"/>
  <c r="Z211" i="1"/>
  <c r="Y211" i="1"/>
  <c r="X211" i="1"/>
  <c r="W211" i="1"/>
  <c r="P211" i="1"/>
  <c r="O211" i="1"/>
  <c r="AQ211" i="1" s="1"/>
  <c r="N211" i="1"/>
  <c r="M211" i="1"/>
  <c r="AR211" i="1" s="1"/>
  <c r="AU210" i="1"/>
  <c r="AP210" i="1"/>
  <c r="AO210" i="1"/>
  <c r="AV210" i="1" s="1"/>
  <c r="AN210" i="1"/>
  <c r="AI210" i="1"/>
  <c r="AT210" i="1" s="1"/>
  <c r="AH210" i="1"/>
  <c r="AF210" i="1"/>
  <c r="AE210" i="1"/>
  <c r="AD210" i="1"/>
  <c r="AA210" i="1"/>
  <c r="Z210" i="1"/>
  <c r="Y210" i="1"/>
  <c r="X210" i="1"/>
  <c r="W210" i="1"/>
  <c r="P210" i="1"/>
  <c r="O210" i="1"/>
  <c r="AQ210" i="1" s="1"/>
  <c r="N210" i="1"/>
  <c r="AC210" i="1" s="1"/>
  <c r="M210" i="1"/>
  <c r="AR210" i="1" s="1"/>
  <c r="AU209" i="1"/>
  <c r="AT209" i="1"/>
  <c r="AP209" i="1"/>
  <c r="AJ209" i="1"/>
  <c r="AI209" i="1"/>
  <c r="AN209" i="1" s="1"/>
  <c r="AH209" i="1"/>
  <c r="AF209" i="1"/>
  <c r="AE209" i="1"/>
  <c r="AA209" i="1"/>
  <c r="Z209" i="1"/>
  <c r="Y209" i="1"/>
  <c r="X209" i="1"/>
  <c r="W209" i="1"/>
  <c r="P209" i="1"/>
  <c r="O209" i="1"/>
  <c r="AD209" i="1" s="1"/>
  <c r="N209" i="1"/>
  <c r="AO209" i="1" s="1"/>
  <c r="AV209" i="1" s="1"/>
  <c r="M209" i="1"/>
  <c r="AR209" i="1" s="1"/>
  <c r="AU208" i="1"/>
  <c r="AR208" i="1"/>
  <c r="AP208" i="1"/>
  <c r="AI208" i="1"/>
  <c r="AN208" i="1" s="1"/>
  <c r="AH208" i="1"/>
  <c r="AF208" i="1"/>
  <c r="AE208" i="1"/>
  <c r="AB208" i="1"/>
  <c r="AA208" i="1"/>
  <c r="Z208" i="1"/>
  <c r="Y208" i="1"/>
  <c r="X208" i="1"/>
  <c r="W208" i="1"/>
  <c r="P208" i="1"/>
  <c r="O208" i="1"/>
  <c r="AD208" i="1" s="1"/>
  <c r="N208" i="1"/>
  <c r="AO208" i="1" s="1"/>
  <c r="AV208" i="1" s="1"/>
  <c r="M208" i="1"/>
  <c r="AU207" i="1"/>
  <c r="AR207" i="1"/>
  <c r="AP207" i="1"/>
  <c r="AO207" i="1"/>
  <c r="AV207" i="1" s="1"/>
  <c r="AI207" i="1"/>
  <c r="AN207" i="1" s="1"/>
  <c r="AH207" i="1"/>
  <c r="AF207" i="1"/>
  <c r="AE207" i="1"/>
  <c r="AC207" i="1"/>
  <c r="AB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R206" i="1"/>
  <c r="AP206" i="1"/>
  <c r="AN206" i="1"/>
  <c r="AJ206" i="1"/>
  <c r="AI206" i="1"/>
  <c r="AH206" i="1"/>
  <c r="AF206" i="1"/>
  <c r="AE206" i="1"/>
  <c r="AD206" i="1"/>
  <c r="AC206" i="1"/>
  <c r="AB206" i="1"/>
  <c r="AA206" i="1"/>
  <c r="Z206" i="1"/>
  <c r="Y206" i="1"/>
  <c r="X206" i="1"/>
  <c r="W206" i="1"/>
  <c r="P206" i="1"/>
  <c r="O206" i="1"/>
  <c r="AQ206" i="1" s="1"/>
  <c r="N206" i="1"/>
  <c r="AO206" i="1" s="1"/>
  <c r="AV206" i="1" s="1"/>
  <c r="M206" i="1"/>
  <c r="AU205" i="1"/>
  <c r="AT205" i="1"/>
  <c r="AP205" i="1"/>
  <c r="AO205" i="1"/>
  <c r="AV205" i="1" s="1"/>
  <c r="AN205" i="1"/>
  <c r="AJ205" i="1"/>
  <c r="AI205" i="1"/>
  <c r="AH205" i="1"/>
  <c r="AF205" i="1"/>
  <c r="AE205" i="1"/>
  <c r="AD205" i="1"/>
  <c r="AC205" i="1"/>
  <c r="AA205" i="1"/>
  <c r="Z205" i="1"/>
  <c r="Y205" i="1"/>
  <c r="X205" i="1"/>
  <c r="W205" i="1"/>
  <c r="P205" i="1"/>
  <c r="O205" i="1"/>
  <c r="AQ205" i="1" s="1"/>
  <c r="N205" i="1"/>
  <c r="M205" i="1"/>
  <c r="AR205" i="1" s="1"/>
  <c r="AU204" i="1"/>
  <c r="AP204" i="1"/>
  <c r="AO204" i="1"/>
  <c r="AV204" i="1" s="1"/>
  <c r="AN204" i="1"/>
  <c r="AI204" i="1"/>
  <c r="AT204" i="1" s="1"/>
  <c r="AH204" i="1"/>
  <c r="AF204" i="1"/>
  <c r="AE204" i="1"/>
  <c r="AD204" i="1"/>
  <c r="AA204" i="1"/>
  <c r="Z204" i="1"/>
  <c r="Y204" i="1"/>
  <c r="X204" i="1"/>
  <c r="W204" i="1"/>
  <c r="P204" i="1"/>
  <c r="O204" i="1"/>
  <c r="AQ204" i="1" s="1"/>
  <c r="N204" i="1"/>
  <c r="AC204" i="1" s="1"/>
  <c r="M204" i="1"/>
  <c r="AR204" i="1" s="1"/>
  <c r="AU203" i="1"/>
  <c r="AT203" i="1"/>
  <c r="AP203" i="1"/>
  <c r="AJ203" i="1"/>
  <c r="AI203" i="1"/>
  <c r="AN203" i="1" s="1"/>
  <c r="AH203" i="1"/>
  <c r="AF203" i="1"/>
  <c r="AE203" i="1"/>
  <c r="AA203" i="1"/>
  <c r="Z203" i="1"/>
  <c r="Y203" i="1"/>
  <c r="X203" i="1"/>
  <c r="W203" i="1"/>
  <c r="P203" i="1"/>
  <c r="O203" i="1"/>
  <c r="AD203" i="1" s="1"/>
  <c r="N203" i="1"/>
  <c r="AO203" i="1" s="1"/>
  <c r="AV203" i="1" s="1"/>
  <c r="M203" i="1"/>
  <c r="AR203" i="1" s="1"/>
  <c r="AU202" i="1"/>
  <c r="AR202" i="1"/>
  <c r="AP202" i="1"/>
  <c r="AI202" i="1"/>
  <c r="AN202" i="1" s="1"/>
  <c r="AH202" i="1"/>
  <c r="AF202" i="1"/>
  <c r="AE202" i="1"/>
  <c r="AB202" i="1"/>
  <c r="AA202" i="1"/>
  <c r="Z202" i="1"/>
  <c r="Y202" i="1"/>
  <c r="X202" i="1"/>
  <c r="W202" i="1"/>
  <c r="P202" i="1"/>
  <c r="O202" i="1"/>
  <c r="AD202" i="1" s="1"/>
  <c r="N202" i="1"/>
  <c r="AO202" i="1" s="1"/>
  <c r="M202" i="1"/>
  <c r="AU201" i="1"/>
  <c r="AR201" i="1"/>
  <c r="AP201" i="1"/>
  <c r="AO201" i="1"/>
  <c r="AI201" i="1"/>
  <c r="AN201" i="1" s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R200" i="1"/>
  <c r="AP200" i="1"/>
  <c r="AN200" i="1"/>
  <c r="AJ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U199" i="1"/>
  <c r="AT199" i="1"/>
  <c r="AP199" i="1"/>
  <c r="AO199" i="1"/>
  <c r="AV199" i="1" s="1"/>
  <c r="AN199" i="1"/>
  <c r="AJ199" i="1"/>
  <c r="AI199" i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M199" i="1"/>
  <c r="AR199" i="1" s="1"/>
  <c r="AU198" i="1"/>
  <c r="AP198" i="1"/>
  <c r="AO198" i="1"/>
  <c r="AV198" i="1" s="1"/>
  <c r="AN198" i="1"/>
  <c r="AI198" i="1"/>
  <c r="AT198" i="1" s="1"/>
  <c r="AH198" i="1"/>
  <c r="AF198" i="1"/>
  <c r="AE198" i="1"/>
  <c r="AD198" i="1"/>
  <c r="AA198" i="1"/>
  <c r="Z198" i="1"/>
  <c r="Y198" i="1"/>
  <c r="X198" i="1"/>
  <c r="W198" i="1"/>
  <c r="P198" i="1"/>
  <c r="O198" i="1"/>
  <c r="AQ198" i="1" s="1"/>
  <c r="N198" i="1"/>
  <c r="AC198" i="1" s="1"/>
  <c r="M198" i="1"/>
  <c r="AR198" i="1" s="1"/>
  <c r="AU197" i="1"/>
  <c r="AT197" i="1"/>
  <c r="AP197" i="1"/>
  <c r="AJ197" i="1"/>
  <c r="AI197" i="1"/>
  <c r="AN197" i="1" s="1"/>
  <c r="AH197" i="1"/>
  <c r="AF197" i="1"/>
  <c r="AE197" i="1"/>
  <c r="AA197" i="1"/>
  <c r="Z197" i="1"/>
  <c r="Y197" i="1"/>
  <c r="X197" i="1"/>
  <c r="W197" i="1"/>
  <c r="P197" i="1"/>
  <c r="O197" i="1"/>
  <c r="AD197" i="1" s="1"/>
  <c r="N197" i="1"/>
  <c r="AO197" i="1" s="1"/>
  <c r="AV197" i="1" s="1"/>
  <c r="M197" i="1"/>
  <c r="AR197" i="1" s="1"/>
  <c r="AU196" i="1"/>
  <c r="AR196" i="1"/>
  <c r="AP196" i="1"/>
  <c r="AI196" i="1"/>
  <c r="AN196" i="1" s="1"/>
  <c r="AH196" i="1"/>
  <c r="AF196" i="1"/>
  <c r="AE196" i="1"/>
  <c r="AB196" i="1"/>
  <c r="AA196" i="1"/>
  <c r="Z196" i="1"/>
  <c r="Y196" i="1"/>
  <c r="X196" i="1"/>
  <c r="W196" i="1"/>
  <c r="P196" i="1"/>
  <c r="O196" i="1"/>
  <c r="AD196" i="1" s="1"/>
  <c r="N196" i="1"/>
  <c r="AO196" i="1" s="1"/>
  <c r="M196" i="1"/>
  <c r="AU195" i="1"/>
  <c r="AR195" i="1"/>
  <c r="AP195" i="1"/>
  <c r="AO195" i="1"/>
  <c r="AV195" i="1" s="1"/>
  <c r="AI195" i="1"/>
  <c r="AN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T194" i="1"/>
  <c r="AR194" i="1"/>
  <c r="AP194" i="1"/>
  <c r="AJ194" i="1"/>
  <c r="AI194" i="1"/>
  <c r="AN194" i="1" s="1"/>
  <c r="AH194" i="1"/>
  <c r="AF194" i="1"/>
  <c r="AE194" i="1"/>
  <c r="AD194" i="1"/>
  <c r="AC194" i="1"/>
  <c r="AB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T193" i="1"/>
  <c r="AP193" i="1"/>
  <c r="AO193" i="1"/>
  <c r="AN193" i="1"/>
  <c r="AJ193" i="1"/>
  <c r="AI193" i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M193" i="1"/>
  <c r="AR193" i="1" s="1"/>
  <c r="AU192" i="1"/>
  <c r="AP192" i="1"/>
  <c r="AO192" i="1"/>
  <c r="AN192" i="1"/>
  <c r="AI192" i="1"/>
  <c r="AT192" i="1" s="1"/>
  <c r="AH192" i="1"/>
  <c r="AF192" i="1"/>
  <c r="AE192" i="1"/>
  <c r="AD192" i="1"/>
  <c r="AA192" i="1"/>
  <c r="Z192" i="1"/>
  <c r="Y192" i="1"/>
  <c r="X192" i="1"/>
  <c r="W192" i="1"/>
  <c r="P192" i="1"/>
  <c r="O192" i="1"/>
  <c r="AQ192" i="1" s="1"/>
  <c r="N192" i="1"/>
  <c r="AC192" i="1" s="1"/>
  <c r="M192" i="1"/>
  <c r="AR192" i="1" s="1"/>
  <c r="AU191" i="1"/>
  <c r="AT191" i="1"/>
  <c r="AP191" i="1"/>
  <c r="AJ191" i="1"/>
  <c r="AI191" i="1"/>
  <c r="AN191" i="1" s="1"/>
  <c r="AH191" i="1"/>
  <c r="AF191" i="1"/>
  <c r="AE191" i="1"/>
  <c r="AA191" i="1"/>
  <c r="Z191" i="1"/>
  <c r="Y191" i="1"/>
  <c r="X191" i="1"/>
  <c r="W191" i="1"/>
  <c r="P191" i="1"/>
  <c r="O191" i="1"/>
  <c r="AD191" i="1" s="1"/>
  <c r="N191" i="1"/>
  <c r="AO191" i="1" s="1"/>
  <c r="AV191" i="1" s="1"/>
  <c r="M191" i="1"/>
  <c r="AR191" i="1" s="1"/>
  <c r="AU190" i="1"/>
  <c r="AR190" i="1"/>
  <c r="AP190" i="1"/>
  <c r="AI190" i="1"/>
  <c r="AN190" i="1" s="1"/>
  <c r="AH190" i="1"/>
  <c r="AF190" i="1"/>
  <c r="AE190" i="1"/>
  <c r="AB190" i="1"/>
  <c r="AA190" i="1"/>
  <c r="Z190" i="1"/>
  <c r="Y190" i="1"/>
  <c r="X190" i="1"/>
  <c r="W190" i="1"/>
  <c r="P190" i="1"/>
  <c r="O190" i="1"/>
  <c r="AD190" i="1" s="1"/>
  <c r="N190" i="1"/>
  <c r="AO190" i="1" s="1"/>
  <c r="M190" i="1"/>
  <c r="AU189" i="1"/>
  <c r="AR189" i="1"/>
  <c r="AP189" i="1"/>
  <c r="AO189" i="1"/>
  <c r="AI189" i="1"/>
  <c r="AN189" i="1" s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Q189" i="1" s="1"/>
  <c r="N189" i="1"/>
  <c r="M189" i="1"/>
  <c r="AU188" i="1"/>
  <c r="AT188" i="1"/>
  <c r="AR188" i="1"/>
  <c r="AP188" i="1"/>
  <c r="AJ188" i="1"/>
  <c r="AI188" i="1"/>
  <c r="AN188" i="1" s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AQ188" i="1" s="1"/>
  <c r="N188" i="1"/>
  <c r="AO188" i="1" s="1"/>
  <c r="AV188" i="1" s="1"/>
  <c r="M188" i="1"/>
  <c r="AU187" i="1"/>
  <c r="AT187" i="1"/>
  <c r="AP187" i="1"/>
  <c r="AO187" i="1"/>
  <c r="AN187" i="1"/>
  <c r="AJ187" i="1"/>
  <c r="AI187" i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M187" i="1"/>
  <c r="AR187" i="1" s="1"/>
  <c r="AU186" i="1"/>
  <c r="AP186" i="1"/>
  <c r="AO186" i="1"/>
  <c r="AN186" i="1"/>
  <c r="AI186" i="1"/>
  <c r="AT186" i="1" s="1"/>
  <c r="AH186" i="1"/>
  <c r="AF186" i="1"/>
  <c r="AE186" i="1"/>
  <c r="AD186" i="1"/>
  <c r="AA186" i="1"/>
  <c r="Z186" i="1"/>
  <c r="Y186" i="1"/>
  <c r="X186" i="1"/>
  <c r="W186" i="1"/>
  <c r="P186" i="1"/>
  <c r="O186" i="1"/>
  <c r="AQ186" i="1" s="1"/>
  <c r="N186" i="1"/>
  <c r="AC186" i="1" s="1"/>
  <c r="M186" i="1"/>
  <c r="AR186" i="1" s="1"/>
  <c r="AU185" i="1"/>
  <c r="AT185" i="1"/>
  <c r="AP185" i="1"/>
  <c r="AJ185" i="1"/>
  <c r="AI185" i="1"/>
  <c r="AN185" i="1" s="1"/>
  <c r="AH185" i="1"/>
  <c r="AF185" i="1"/>
  <c r="AE185" i="1"/>
  <c r="AA185" i="1"/>
  <c r="Z185" i="1"/>
  <c r="Y185" i="1"/>
  <c r="X185" i="1"/>
  <c r="W185" i="1"/>
  <c r="P185" i="1"/>
  <c r="O185" i="1"/>
  <c r="AD185" i="1" s="1"/>
  <c r="N185" i="1"/>
  <c r="AO185" i="1" s="1"/>
  <c r="AV185" i="1" s="1"/>
  <c r="M185" i="1"/>
  <c r="AR185" i="1" s="1"/>
  <c r="AU184" i="1"/>
  <c r="AR184" i="1"/>
  <c r="AP184" i="1"/>
  <c r="AI184" i="1"/>
  <c r="AN184" i="1" s="1"/>
  <c r="AH184" i="1"/>
  <c r="AF184" i="1"/>
  <c r="AE184" i="1"/>
  <c r="AB184" i="1"/>
  <c r="AA184" i="1"/>
  <c r="Z184" i="1"/>
  <c r="Y184" i="1"/>
  <c r="X184" i="1"/>
  <c r="W184" i="1"/>
  <c r="P184" i="1"/>
  <c r="O184" i="1"/>
  <c r="AD184" i="1" s="1"/>
  <c r="N184" i="1"/>
  <c r="AO184" i="1" s="1"/>
  <c r="M184" i="1"/>
  <c r="AU183" i="1"/>
  <c r="AR183" i="1"/>
  <c r="AP183" i="1"/>
  <c r="AO183" i="1"/>
  <c r="AI183" i="1"/>
  <c r="AN183" i="1" s="1"/>
  <c r="AH183" i="1"/>
  <c r="AF183" i="1"/>
  <c r="AE183" i="1"/>
  <c r="AC183" i="1"/>
  <c r="AB183" i="1"/>
  <c r="AA183" i="1"/>
  <c r="Z183" i="1"/>
  <c r="Y183" i="1"/>
  <c r="X183" i="1"/>
  <c r="W183" i="1"/>
  <c r="P183" i="1"/>
  <c r="O183" i="1"/>
  <c r="AQ183" i="1" s="1"/>
  <c r="N183" i="1"/>
  <c r="M183" i="1"/>
  <c r="AU182" i="1"/>
  <c r="AT182" i="1"/>
  <c r="AR182" i="1"/>
  <c r="AP182" i="1"/>
  <c r="AJ182" i="1"/>
  <c r="AI182" i="1"/>
  <c r="AN182" i="1" s="1"/>
  <c r="AH182" i="1"/>
  <c r="AF182" i="1"/>
  <c r="AE182" i="1"/>
  <c r="AD182" i="1"/>
  <c r="AC182" i="1"/>
  <c r="AB182" i="1"/>
  <c r="AA182" i="1"/>
  <c r="Z182" i="1"/>
  <c r="Y182" i="1"/>
  <c r="X182" i="1"/>
  <c r="W182" i="1"/>
  <c r="P182" i="1"/>
  <c r="O182" i="1"/>
  <c r="AQ182" i="1" s="1"/>
  <c r="N182" i="1"/>
  <c r="AO182" i="1" s="1"/>
  <c r="AV182" i="1" s="1"/>
  <c r="M182" i="1"/>
  <c r="AU181" i="1"/>
  <c r="AT181" i="1"/>
  <c r="AP181" i="1"/>
  <c r="AO181" i="1"/>
  <c r="AN181" i="1"/>
  <c r="AJ181" i="1"/>
  <c r="AI181" i="1"/>
  <c r="AH181" i="1"/>
  <c r="AF181" i="1"/>
  <c r="AE181" i="1"/>
  <c r="AD181" i="1"/>
  <c r="AC181" i="1"/>
  <c r="AA181" i="1"/>
  <c r="Z181" i="1"/>
  <c r="Y181" i="1"/>
  <c r="X181" i="1"/>
  <c r="W181" i="1"/>
  <c r="P181" i="1"/>
  <c r="O181" i="1"/>
  <c r="AQ181" i="1" s="1"/>
  <c r="N181" i="1"/>
  <c r="M181" i="1"/>
  <c r="AR181" i="1" s="1"/>
  <c r="AU180" i="1"/>
  <c r="AP180" i="1"/>
  <c r="AO180" i="1"/>
  <c r="AN180" i="1"/>
  <c r="AI180" i="1"/>
  <c r="AT180" i="1" s="1"/>
  <c r="AH180" i="1"/>
  <c r="AF180" i="1"/>
  <c r="AE180" i="1"/>
  <c r="AD180" i="1"/>
  <c r="AA180" i="1"/>
  <c r="Z180" i="1"/>
  <c r="Y180" i="1"/>
  <c r="X180" i="1"/>
  <c r="W180" i="1"/>
  <c r="P180" i="1"/>
  <c r="O180" i="1"/>
  <c r="AQ180" i="1" s="1"/>
  <c r="N180" i="1"/>
  <c r="AC180" i="1" s="1"/>
  <c r="M180" i="1"/>
  <c r="AR180" i="1" s="1"/>
  <c r="AU179" i="1"/>
  <c r="AT179" i="1"/>
  <c r="AP179" i="1"/>
  <c r="AJ179" i="1"/>
  <c r="AI179" i="1"/>
  <c r="AN179" i="1" s="1"/>
  <c r="AH179" i="1"/>
  <c r="AF179" i="1"/>
  <c r="AE179" i="1"/>
  <c r="AA179" i="1"/>
  <c r="Z179" i="1"/>
  <c r="Y179" i="1"/>
  <c r="X179" i="1"/>
  <c r="W179" i="1"/>
  <c r="P179" i="1"/>
  <c r="O179" i="1"/>
  <c r="AD179" i="1" s="1"/>
  <c r="N179" i="1"/>
  <c r="AO179" i="1" s="1"/>
  <c r="AV179" i="1" s="1"/>
  <c r="M179" i="1"/>
  <c r="AR179" i="1" s="1"/>
  <c r="AU178" i="1"/>
  <c r="AR178" i="1"/>
  <c r="AP178" i="1"/>
  <c r="AI178" i="1"/>
  <c r="AN178" i="1" s="1"/>
  <c r="AH178" i="1"/>
  <c r="AF178" i="1"/>
  <c r="AE178" i="1"/>
  <c r="AB178" i="1"/>
  <c r="AA178" i="1"/>
  <c r="Z178" i="1"/>
  <c r="Y178" i="1"/>
  <c r="X178" i="1"/>
  <c r="W178" i="1"/>
  <c r="P178" i="1"/>
  <c r="O178" i="1"/>
  <c r="AD178" i="1" s="1"/>
  <c r="N178" i="1"/>
  <c r="AO178" i="1" s="1"/>
  <c r="M178" i="1"/>
  <c r="AU177" i="1"/>
  <c r="AR177" i="1"/>
  <c r="AP177" i="1"/>
  <c r="AO177" i="1"/>
  <c r="AI177" i="1"/>
  <c r="AN177" i="1" s="1"/>
  <c r="AH177" i="1"/>
  <c r="AF177" i="1"/>
  <c r="AE177" i="1"/>
  <c r="AC177" i="1"/>
  <c r="AB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R176" i="1"/>
  <c r="AP176" i="1"/>
  <c r="AJ176" i="1"/>
  <c r="AI176" i="1"/>
  <c r="AN176" i="1" s="1"/>
  <c r="AH176" i="1"/>
  <c r="AF176" i="1"/>
  <c r="AE176" i="1"/>
  <c r="AD176" i="1"/>
  <c r="AC176" i="1"/>
  <c r="AB176" i="1"/>
  <c r="AA176" i="1"/>
  <c r="Z176" i="1"/>
  <c r="Y176" i="1"/>
  <c r="X176" i="1"/>
  <c r="W176" i="1"/>
  <c r="P176" i="1"/>
  <c r="O176" i="1"/>
  <c r="AQ176" i="1" s="1"/>
  <c r="N176" i="1"/>
  <c r="AO176" i="1" s="1"/>
  <c r="AV176" i="1" s="1"/>
  <c r="M176" i="1"/>
  <c r="AU175" i="1"/>
  <c r="AT175" i="1"/>
  <c r="AP175" i="1"/>
  <c r="AO175" i="1"/>
  <c r="AV175" i="1" s="1"/>
  <c r="AN175" i="1"/>
  <c r="AJ175" i="1"/>
  <c r="AI175" i="1"/>
  <c r="AH175" i="1"/>
  <c r="AF175" i="1"/>
  <c r="AE175" i="1"/>
  <c r="AD175" i="1"/>
  <c r="AC175" i="1"/>
  <c r="AA175" i="1"/>
  <c r="Z175" i="1"/>
  <c r="Y175" i="1"/>
  <c r="X175" i="1"/>
  <c r="W175" i="1"/>
  <c r="P175" i="1"/>
  <c r="O175" i="1"/>
  <c r="AQ175" i="1" s="1"/>
  <c r="N175" i="1"/>
  <c r="M175" i="1"/>
  <c r="AR175" i="1" s="1"/>
  <c r="AU174" i="1"/>
  <c r="AP174" i="1"/>
  <c r="AO174" i="1"/>
  <c r="AN174" i="1"/>
  <c r="AI174" i="1"/>
  <c r="AT174" i="1" s="1"/>
  <c r="AH174" i="1"/>
  <c r="AF174" i="1"/>
  <c r="AE174" i="1"/>
  <c r="AD174" i="1"/>
  <c r="AA174" i="1"/>
  <c r="Z174" i="1"/>
  <c r="Y174" i="1"/>
  <c r="X174" i="1"/>
  <c r="W174" i="1"/>
  <c r="P174" i="1"/>
  <c r="O174" i="1"/>
  <c r="AQ174" i="1" s="1"/>
  <c r="N174" i="1"/>
  <c r="AC174" i="1" s="1"/>
  <c r="M174" i="1"/>
  <c r="AR174" i="1" s="1"/>
  <c r="AU173" i="1"/>
  <c r="AT173" i="1"/>
  <c r="AP173" i="1"/>
  <c r="AJ173" i="1"/>
  <c r="AI173" i="1"/>
  <c r="AN173" i="1" s="1"/>
  <c r="AH173" i="1"/>
  <c r="AF173" i="1"/>
  <c r="AE173" i="1"/>
  <c r="AA173" i="1"/>
  <c r="Z173" i="1"/>
  <c r="Y173" i="1"/>
  <c r="X173" i="1"/>
  <c r="W173" i="1"/>
  <c r="P173" i="1"/>
  <c r="O173" i="1"/>
  <c r="AD173" i="1" s="1"/>
  <c r="N173" i="1"/>
  <c r="AO173" i="1" s="1"/>
  <c r="M173" i="1"/>
  <c r="AR173" i="1" s="1"/>
  <c r="AU172" i="1"/>
  <c r="AR172" i="1"/>
  <c r="AP172" i="1"/>
  <c r="AI172" i="1"/>
  <c r="AN172" i="1" s="1"/>
  <c r="AH172" i="1"/>
  <c r="AF172" i="1"/>
  <c r="AE172" i="1"/>
  <c r="AB172" i="1"/>
  <c r="AA172" i="1"/>
  <c r="Z172" i="1"/>
  <c r="Y172" i="1"/>
  <c r="X172" i="1"/>
  <c r="W172" i="1"/>
  <c r="P172" i="1"/>
  <c r="O172" i="1"/>
  <c r="AD172" i="1" s="1"/>
  <c r="N172" i="1"/>
  <c r="AO172" i="1" s="1"/>
  <c r="AV172" i="1" s="1"/>
  <c r="M172" i="1"/>
  <c r="AU171" i="1"/>
  <c r="AR171" i="1"/>
  <c r="AP171" i="1"/>
  <c r="AO171" i="1"/>
  <c r="AI171" i="1"/>
  <c r="AN171" i="1" s="1"/>
  <c r="AH171" i="1"/>
  <c r="AF171" i="1"/>
  <c r="AE171" i="1"/>
  <c r="AC171" i="1"/>
  <c r="AB171" i="1"/>
  <c r="AA171" i="1"/>
  <c r="Z171" i="1"/>
  <c r="Y171" i="1"/>
  <c r="X171" i="1"/>
  <c r="W171" i="1"/>
  <c r="P171" i="1"/>
  <c r="O171" i="1"/>
  <c r="AQ171" i="1" s="1"/>
  <c r="N171" i="1"/>
  <c r="M171" i="1"/>
  <c r="AU170" i="1"/>
  <c r="AT170" i="1"/>
  <c r="AR170" i="1"/>
  <c r="AP170" i="1"/>
  <c r="AJ170" i="1"/>
  <c r="AI170" i="1"/>
  <c r="AN170" i="1" s="1"/>
  <c r="AH170" i="1"/>
  <c r="AF170" i="1"/>
  <c r="AE170" i="1"/>
  <c r="AD170" i="1"/>
  <c r="AC170" i="1"/>
  <c r="AB170" i="1"/>
  <c r="AA170" i="1"/>
  <c r="Z170" i="1"/>
  <c r="Y170" i="1"/>
  <c r="X170" i="1"/>
  <c r="W170" i="1"/>
  <c r="P170" i="1"/>
  <c r="O170" i="1"/>
  <c r="AQ170" i="1" s="1"/>
  <c r="N170" i="1"/>
  <c r="AO170" i="1" s="1"/>
  <c r="AV170" i="1" s="1"/>
  <c r="M170" i="1"/>
  <c r="AU169" i="1"/>
  <c r="AT169" i="1"/>
  <c r="AP169" i="1"/>
  <c r="AO169" i="1"/>
  <c r="AV169" i="1" s="1"/>
  <c r="AN169" i="1"/>
  <c r="AJ169" i="1"/>
  <c r="AI169" i="1"/>
  <c r="AH169" i="1"/>
  <c r="AF169" i="1"/>
  <c r="AE169" i="1"/>
  <c r="AD169" i="1"/>
  <c r="AC169" i="1"/>
  <c r="AA169" i="1"/>
  <c r="Z169" i="1"/>
  <c r="Y169" i="1"/>
  <c r="X169" i="1"/>
  <c r="W169" i="1"/>
  <c r="P169" i="1"/>
  <c r="O169" i="1"/>
  <c r="AQ169" i="1" s="1"/>
  <c r="N169" i="1"/>
  <c r="M169" i="1"/>
  <c r="AR169" i="1" s="1"/>
  <c r="AU168" i="1"/>
  <c r="AP168" i="1"/>
  <c r="AO168" i="1"/>
  <c r="AV168" i="1" s="1"/>
  <c r="AN168" i="1"/>
  <c r="AI168" i="1"/>
  <c r="AT168" i="1" s="1"/>
  <c r="AH168" i="1"/>
  <c r="AF168" i="1"/>
  <c r="AE168" i="1"/>
  <c r="AD168" i="1"/>
  <c r="AA168" i="1"/>
  <c r="Z168" i="1"/>
  <c r="Y168" i="1"/>
  <c r="X168" i="1"/>
  <c r="W168" i="1"/>
  <c r="P168" i="1"/>
  <c r="O168" i="1"/>
  <c r="AQ168" i="1" s="1"/>
  <c r="N168" i="1"/>
  <c r="AC168" i="1" s="1"/>
  <c r="M168" i="1"/>
  <c r="AR168" i="1" s="1"/>
  <c r="AU167" i="1"/>
  <c r="AT167" i="1"/>
  <c r="AP167" i="1"/>
  <c r="AJ167" i="1"/>
  <c r="AI167" i="1"/>
  <c r="AN167" i="1" s="1"/>
  <c r="AH167" i="1"/>
  <c r="AF167" i="1"/>
  <c r="AE167" i="1"/>
  <c r="AA167" i="1"/>
  <c r="Z167" i="1"/>
  <c r="Y167" i="1"/>
  <c r="X167" i="1"/>
  <c r="W167" i="1"/>
  <c r="P167" i="1"/>
  <c r="O167" i="1"/>
  <c r="AD167" i="1" s="1"/>
  <c r="N167" i="1"/>
  <c r="AO167" i="1" s="1"/>
  <c r="AV167" i="1" s="1"/>
  <c r="M167" i="1"/>
  <c r="AR167" i="1" s="1"/>
  <c r="AU166" i="1"/>
  <c r="AR166" i="1"/>
  <c r="AP166" i="1"/>
  <c r="AI166" i="1"/>
  <c r="AN166" i="1" s="1"/>
  <c r="AH166" i="1"/>
  <c r="AF166" i="1"/>
  <c r="AE166" i="1"/>
  <c r="AB166" i="1"/>
  <c r="AA166" i="1"/>
  <c r="Z166" i="1"/>
  <c r="Y166" i="1"/>
  <c r="X166" i="1"/>
  <c r="W166" i="1"/>
  <c r="P166" i="1"/>
  <c r="O166" i="1"/>
  <c r="AD166" i="1" s="1"/>
  <c r="N166" i="1"/>
  <c r="AO166" i="1" s="1"/>
  <c r="M166" i="1"/>
  <c r="AU165" i="1"/>
  <c r="AR165" i="1"/>
  <c r="AP165" i="1"/>
  <c r="AO165" i="1"/>
  <c r="AI165" i="1"/>
  <c r="AN165" i="1" s="1"/>
  <c r="AH165" i="1"/>
  <c r="AF165" i="1"/>
  <c r="AE165" i="1"/>
  <c r="AC165" i="1"/>
  <c r="AB165" i="1"/>
  <c r="AA165" i="1"/>
  <c r="Z165" i="1"/>
  <c r="Y165" i="1"/>
  <c r="X165" i="1"/>
  <c r="W165" i="1"/>
  <c r="P165" i="1"/>
  <c r="O165" i="1"/>
  <c r="AQ165" i="1" s="1"/>
  <c r="N165" i="1"/>
  <c r="M165" i="1"/>
  <c r="AU164" i="1"/>
  <c r="AT164" i="1"/>
  <c r="AR164" i="1"/>
  <c r="AP164" i="1"/>
  <c r="AJ164" i="1"/>
  <c r="AI164" i="1"/>
  <c r="AN164" i="1" s="1"/>
  <c r="AH164" i="1"/>
  <c r="AF164" i="1"/>
  <c r="AE164" i="1"/>
  <c r="AD164" i="1"/>
  <c r="AC164" i="1"/>
  <c r="AB164" i="1"/>
  <c r="AA164" i="1"/>
  <c r="Z164" i="1"/>
  <c r="Y164" i="1"/>
  <c r="X164" i="1"/>
  <c r="W164" i="1"/>
  <c r="P164" i="1"/>
  <c r="O164" i="1"/>
  <c r="AQ164" i="1" s="1"/>
  <c r="N164" i="1"/>
  <c r="AO164" i="1" s="1"/>
  <c r="AV164" i="1" s="1"/>
  <c r="M164" i="1"/>
  <c r="AU163" i="1"/>
  <c r="AT163" i="1"/>
  <c r="AP163" i="1"/>
  <c r="AO163" i="1"/>
  <c r="AV163" i="1" s="1"/>
  <c r="AN163" i="1"/>
  <c r="AJ163" i="1"/>
  <c r="AI163" i="1"/>
  <c r="AH163" i="1"/>
  <c r="AF163" i="1"/>
  <c r="AE163" i="1"/>
  <c r="AD163" i="1"/>
  <c r="AC163" i="1"/>
  <c r="AA163" i="1"/>
  <c r="Z163" i="1"/>
  <c r="Y163" i="1"/>
  <c r="X163" i="1"/>
  <c r="W163" i="1"/>
  <c r="P163" i="1"/>
  <c r="O163" i="1"/>
  <c r="AQ163" i="1" s="1"/>
  <c r="N163" i="1"/>
  <c r="M163" i="1"/>
  <c r="AR163" i="1" s="1"/>
  <c r="AU162" i="1"/>
  <c r="AP162" i="1"/>
  <c r="AO162" i="1"/>
  <c r="AV162" i="1" s="1"/>
  <c r="AN162" i="1"/>
  <c r="AI162" i="1"/>
  <c r="AT162" i="1" s="1"/>
  <c r="AH162" i="1"/>
  <c r="AF162" i="1"/>
  <c r="AE162" i="1"/>
  <c r="AD162" i="1"/>
  <c r="AA162" i="1"/>
  <c r="Z162" i="1"/>
  <c r="Y162" i="1"/>
  <c r="X162" i="1"/>
  <c r="W162" i="1"/>
  <c r="P162" i="1"/>
  <c r="O162" i="1"/>
  <c r="AQ162" i="1" s="1"/>
  <c r="N162" i="1"/>
  <c r="AC162" i="1" s="1"/>
  <c r="M162" i="1"/>
  <c r="AR162" i="1" s="1"/>
  <c r="AU161" i="1"/>
  <c r="AT161" i="1"/>
  <c r="AP161" i="1"/>
  <c r="AJ161" i="1"/>
  <c r="AI161" i="1"/>
  <c r="AN161" i="1" s="1"/>
  <c r="AH161" i="1"/>
  <c r="AF161" i="1"/>
  <c r="AE161" i="1"/>
  <c r="AA161" i="1"/>
  <c r="Z161" i="1"/>
  <c r="Y161" i="1"/>
  <c r="X161" i="1"/>
  <c r="W161" i="1"/>
  <c r="P161" i="1"/>
  <c r="O161" i="1"/>
  <c r="AD161" i="1" s="1"/>
  <c r="N161" i="1"/>
  <c r="AO161" i="1" s="1"/>
  <c r="AV161" i="1" s="1"/>
  <c r="M161" i="1"/>
  <c r="AR161" i="1" s="1"/>
  <c r="AU160" i="1"/>
  <c r="AR160" i="1"/>
  <c r="AP160" i="1"/>
  <c r="AI160" i="1"/>
  <c r="AN160" i="1" s="1"/>
  <c r="AH160" i="1"/>
  <c r="AF160" i="1"/>
  <c r="AE160" i="1"/>
  <c r="AB160" i="1"/>
  <c r="AA160" i="1"/>
  <c r="Z160" i="1"/>
  <c r="Y160" i="1"/>
  <c r="X160" i="1"/>
  <c r="W160" i="1"/>
  <c r="P160" i="1"/>
  <c r="O160" i="1"/>
  <c r="AD160" i="1" s="1"/>
  <c r="N160" i="1"/>
  <c r="AO160" i="1" s="1"/>
  <c r="M160" i="1"/>
  <c r="AU159" i="1"/>
  <c r="AR159" i="1"/>
  <c r="AP159" i="1"/>
  <c r="AO159" i="1"/>
  <c r="AV159" i="1" s="1"/>
  <c r="AI159" i="1"/>
  <c r="AN159" i="1" s="1"/>
  <c r="AH159" i="1"/>
  <c r="AF159" i="1"/>
  <c r="AE159" i="1"/>
  <c r="AC159" i="1"/>
  <c r="AB159" i="1"/>
  <c r="AA159" i="1"/>
  <c r="Z159" i="1"/>
  <c r="Y159" i="1"/>
  <c r="X159" i="1"/>
  <c r="W159" i="1"/>
  <c r="P159" i="1"/>
  <c r="O159" i="1"/>
  <c r="AQ159" i="1" s="1"/>
  <c r="N159" i="1"/>
  <c r="M159" i="1"/>
  <c r="AU158" i="1"/>
  <c r="AT158" i="1"/>
  <c r="AR158" i="1"/>
  <c r="AP158" i="1"/>
  <c r="AJ158" i="1"/>
  <c r="AI158" i="1"/>
  <c r="AN158" i="1" s="1"/>
  <c r="AH158" i="1"/>
  <c r="AF158" i="1"/>
  <c r="AE158" i="1"/>
  <c r="AD158" i="1"/>
  <c r="AC158" i="1"/>
  <c r="AB158" i="1"/>
  <c r="AA158" i="1"/>
  <c r="Z158" i="1"/>
  <c r="Y158" i="1"/>
  <c r="X158" i="1"/>
  <c r="W158" i="1"/>
  <c r="P158" i="1"/>
  <c r="O158" i="1"/>
  <c r="AQ158" i="1" s="1"/>
  <c r="N158" i="1"/>
  <c r="AO158" i="1" s="1"/>
  <c r="AV158" i="1" s="1"/>
  <c r="M158" i="1"/>
  <c r="AU157" i="1"/>
  <c r="AT157" i="1"/>
  <c r="AP157" i="1"/>
  <c r="AO157" i="1"/>
  <c r="AV157" i="1" s="1"/>
  <c r="AN157" i="1"/>
  <c r="AJ157" i="1"/>
  <c r="AI157" i="1"/>
  <c r="AH157" i="1"/>
  <c r="AF157" i="1"/>
  <c r="AE157" i="1"/>
  <c r="AD157" i="1"/>
  <c r="AC157" i="1"/>
  <c r="AA157" i="1"/>
  <c r="Z157" i="1"/>
  <c r="Y157" i="1"/>
  <c r="X157" i="1"/>
  <c r="W157" i="1"/>
  <c r="P157" i="1"/>
  <c r="O157" i="1"/>
  <c r="AQ157" i="1" s="1"/>
  <c r="N157" i="1"/>
  <c r="M157" i="1"/>
  <c r="AR157" i="1" s="1"/>
  <c r="AU156" i="1"/>
  <c r="AP156" i="1"/>
  <c r="AO156" i="1"/>
  <c r="AV156" i="1" s="1"/>
  <c r="AN156" i="1"/>
  <c r="AI156" i="1"/>
  <c r="AT156" i="1" s="1"/>
  <c r="AH156" i="1"/>
  <c r="AF156" i="1"/>
  <c r="AE156" i="1"/>
  <c r="AD156" i="1"/>
  <c r="AA156" i="1"/>
  <c r="Z156" i="1"/>
  <c r="Y156" i="1"/>
  <c r="X156" i="1"/>
  <c r="W156" i="1"/>
  <c r="P156" i="1"/>
  <c r="O156" i="1"/>
  <c r="AQ156" i="1" s="1"/>
  <c r="N156" i="1"/>
  <c r="AC156" i="1" s="1"/>
  <c r="M156" i="1"/>
  <c r="AR156" i="1" s="1"/>
  <c r="AU155" i="1"/>
  <c r="AT155" i="1"/>
  <c r="AP155" i="1"/>
  <c r="AJ155" i="1"/>
  <c r="AI155" i="1"/>
  <c r="AN155" i="1" s="1"/>
  <c r="AH155" i="1"/>
  <c r="AF155" i="1"/>
  <c r="AE155" i="1"/>
  <c r="AA155" i="1"/>
  <c r="Z155" i="1"/>
  <c r="Y155" i="1"/>
  <c r="X155" i="1"/>
  <c r="W155" i="1"/>
  <c r="P155" i="1"/>
  <c r="O155" i="1"/>
  <c r="AD155" i="1" s="1"/>
  <c r="N155" i="1"/>
  <c r="AO155" i="1" s="1"/>
  <c r="AV155" i="1" s="1"/>
  <c r="M155" i="1"/>
  <c r="AR155" i="1" s="1"/>
  <c r="AU154" i="1"/>
  <c r="AR154" i="1"/>
  <c r="AP154" i="1"/>
  <c r="AI154" i="1"/>
  <c r="AN154" i="1" s="1"/>
  <c r="AH154" i="1"/>
  <c r="AF154" i="1"/>
  <c r="AE154" i="1"/>
  <c r="AB154" i="1"/>
  <c r="AA154" i="1"/>
  <c r="Z154" i="1"/>
  <c r="Y154" i="1"/>
  <c r="X154" i="1"/>
  <c r="W154" i="1"/>
  <c r="P154" i="1"/>
  <c r="O154" i="1"/>
  <c r="AD154" i="1" s="1"/>
  <c r="N154" i="1"/>
  <c r="AO154" i="1" s="1"/>
  <c r="M154" i="1"/>
  <c r="AU153" i="1"/>
  <c r="AR153" i="1"/>
  <c r="AP153" i="1"/>
  <c r="AO153" i="1"/>
  <c r="AI153" i="1"/>
  <c r="AH153" i="1"/>
  <c r="AF153" i="1"/>
  <c r="AE153" i="1"/>
  <c r="AC153" i="1"/>
  <c r="AB153" i="1"/>
  <c r="AA153" i="1"/>
  <c r="Z153" i="1"/>
  <c r="Y153" i="1"/>
  <c r="X153" i="1"/>
  <c r="W153" i="1"/>
  <c r="P153" i="1"/>
  <c r="O153" i="1"/>
  <c r="AQ153" i="1" s="1"/>
  <c r="N153" i="1"/>
  <c r="M153" i="1"/>
  <c r="AU152" i="1"/>
  <c r="AT152" i="1"/>
  <c r="AR152" i="1"/>
  <c r="AP152" i="1"/>
  <c r="AJ152" i="1"/>
  <c r="AI152" i="1"/>
  <c r="AN152" i="1" s="1"/>
  <c r="AH152" i="1"/>
  <c r="AF152" i="1"/>
  <c r="AE152" i="1"/>
  <c r="AD152" i="1"/>
  <c r="AC152" i="1"/>
  <c r="AB152" i="1"/>
  <c r="AA152" i="1"/>
  <c r="Z152" i="1"/>
  <c r="Y152" i="1"/>
  <c r="X152" i="1"/>
  <c r="W152" i="1"/>
  <c r="P152" i="1"/>
  <c r="O152" i="1"/>
  <c r="AQ152" i="1" s="1"/>
  <c r="N152" i="1"/>
  <c r="AO152" i="1" s="1"/>
  <c r="AV152" i="1" s="1"/>
  <c r="M152" i="1"/>
  <c r="AU151" i="1"/>
  <c r="AT151" i="1"/>
  <c r="AP151" i="1"/>
  <c r="AO151" i="1"/>
  <c r="AV151" i="1" s="1"/>
  <c r="AN151" i="1"/>
  <c r="AJ151" i="1"/>
  <c r="AI151" i="1"/>
  <c r="AH151" i="1"/>
  <c r="AF151" i="1"/>
  <c r="AE151" i="1"/>
  <c r="AD151" i="1"/>
  <c r="AC151" i="1"/>
  <c r="AA151" i="1"/>
  <c r="Z151" i="1"/>
  <c r="Y151" i="1"/>
  <c r="X151" i="1"/>
  <c r="W151" i="1"/>
  <c r="P151" i="1"/>
  <c r="O151" i="1"/>
  <c r="AQ151" i="1" s="1"/>
  <c r="N151" i="1"/>
  <c r="M151" i="1"/>
  <c r="AR151" i="1" s="1"/>
  <c r="AV150" i="1"/>
  <c r="AU150" i="1"/>
  <c r="AP150" i="1"/>
  <c r="AO150" i="1"/>
  <c r="AN150" i="1"/>
  <c r="AI150" i="1"/>
  <c r="AT150" i="1" s="1"/>
  <c r="AH150" i="1"/>
  <c r="AF150" i="1"/>
  <c r="AE150" i="1"/>
  <c r="AD150" i="1"/>
  <c r="AA150" i="1"/>
  <c r="Z150" i="1"/>
  <c r="Y150" i="1"/>
  <c r="X150" i="1"/>
  <c r="W150" i="1"/>
  <c r="P150" i="1"/>
  <c r="O150" i="1"/>
  <c r="AQ150" i="1" s="1"/>
  <c r="N150" i="1"/>
  <c r="AC150" i="1" s="1"/>
  <c r="M150" i="1"/>
  <c r="AU149" i="1"/>
  <c r="AT149" i="1"/>
  <c r="AP149" i="1"/>
  <c r="AJ149" i="1"/>
  <c r="AI149" i="1"/>
  <c r="AN149" i="1" s="1"/>
  <c r="AH149" i="1"/>
  <c r="AF149" i="1"/>
  <c r="AE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R148" i="1"/>
  <c r="AQ148" i="1"/>
  <c r="AP148" i="1"/>
  <c r="AI148" i="1"/>
  <c r="AN148" i="1" s="1"/>
  <c r="AH148" i="1"/>
  <c r="AF148" i="1"/>
  <c r="AE148" i="1"/>
  <c r="AB148" i="1"/>
  <c r="AA148" i="1"/>
  <c r="Z148" i="1"/>
  <c r="Y148" i="1"/>
  <c r="X148" i="1"/>
  <c r="W148" i="1"/>
  <c r="P148" i="1"/>
  <c r="O148" i="1"/>
  <c r="AD148" i="1" s="1"/>
  <c r="N148" i="1"/>
  <c r="AO148" i="1" s="1"/>
  <c r="M148" i="1"/>
  <c r="AU147" i="1"/>
  <c r="AR147" i="1"/>
  <c r="AP147" i="1"/>
  <c r="AO147" i="1"/>
  <c r="AI147" i="1"/>
  <c r="AH147" i="1"/>
  <c r="AF147" i="1"/>
  <c r="AE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U146" i="1"/>
  <c r="AT146" i="1"/>
  <c r="AR146" i="1"/>
  <c r="AP146" i="1"/>
  <c r="AJ146" i="1"/>
  <c r="AI146" i="1"/>
  <c r="AN146" i="1" s="1"/>
  <c r="AH146" i="1"/>
  <c r="AF146" i="1"/>
  <c r="AE146" i="1"/>
  <c r="AD146" i="1"/>
  <c r="AC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U145" i="1"/>
  <c r="AT145" i="1"/>
  <c r="AP145" i="1"/>
  <c r="AO145" i="1"/>
  <c r="AV145" i="1" s="1"/>
  <c r="AN145" i="1"/>
  <c r="AJ145" i="1"/>
  <c r="AI145" i="1"/>
  <c r="AH145" i="1"/>
  <c r="AF145" i="1"/>
  <c r="AE145" i="1"/>
  <c r="AD145" i="1"/>
  <c r="AC145" i="1"/>
  <c r="AA145" i="1"/>
  <c r="Z145" i="1"/>
  <c r="Y145" i="1"/>
  <c r="X145" i="1"/>
  <c r="W145" i="1"/>
  <c r="P145" i="1"/>
  <c r="O145" i="1"/>
  <c r="AQ145" i="1" s="1"/>
  <c r="N145" i="1"/>
  <c r="M145" i="1"/>
  <c r="AR145" i="1" s="1"/>
  <c r="AU144" i="1"/>
  <c r="AP144" i="1"/>
  <c r="AO144" i="1"/>
  <c r="AN144" i="1"/>
  <c r="AI144" i="1"/>
  <c r="AT144" i="1" s="1"/>
  <c r="AH144" i="1"/>
  <c r="AF144" i="1"/>
  <c r="AE144" i="1"/>
  <c r="AD144" i="1"/>
  <c r="AA144" i="1"/>
  <c r="Z144" i="1"/>
  <c r="Y144" i="1"/>
  <c r="X144" i="1"/>
  <c r="W144" i="1"/>
  <c r="P144" i="1"/>
  <c r="O144" i="1"/>
  <c r="AQ144" i="1" s="1"/>
  <c r="N144" i="1"/>
  <c r="AC144" i="1" s="1"/>
  <c r="M144" i="1"/>
  <c r="AU143" i="1"/>
  <c r="AT143" i="1"/>
  <c r="AP143" i="1"/>
  <c r="AO143" i="1"/>
  <c r="AJ143" i="1"/>
  <c r="AI143" i="1"/>
  <c r="AN143" i="1" s="1"/>
  <c r="AH143" i="1"/>
  <c r="AF143" i="1"/>
  <c r="AE143" i="1"/>
  <c r="AA143" i="1"/>
  <c r="Z143" i="1"/>
  <c r="Y143" i="1"/>
  <c r="X143" i="1"/>
  <c r="W143" i="1"/>
  <c r="P143" i="1"/>
  <c r="O143" i="1"/>
  <c r="AD143" i="1" s="1"/>
  <c r="N143" i="1"/>
  <c r="AC143" i="1" s="1"/>
  <c r="M143" i="1"/>
  <c r="AU142" i="1"/>
  <c r="AR142" i="1"/>
  <c r="AP142" i="1"/>
  <c r="AI142" i="1"/>
  <c r="AN142" i="1" s="1"/>
  <c r="AH142" i="1"/>
  <c r="AF142" i="1"/>
  <c r="AE142" i="1"/>
  <c r="AB142" i="1"/>
  <c r="AA142" i="1"/>
  <c r="Z142" i="1"/>
  <c r="Y142" i="1"/>
  <c r="X142" i="1"/>
  <c r="W142" i="1"/>
  <c r="P142" i="1"/>
  <c r="O142" i="1"/>
  <c r="AD142" i="1" s="1"/>
  <c r="N142" i="1"/>
  <c r="M142" i="1"/>
  <c r="AU141" i="1"/>
  <c r="AR141" i="1"/>
  <c r="AP141" i="1"/>
  <c r="AO141" i="1"/>
  <c r="AI141" i="1"/>
  <c r="AH141" i="1"/>
  <c r="AF141" i="1"/>
  <c r="AE141" i="1"/>
  <c r="AC141" i="1"/>
  <c r="AB141" i="1"/>
  <c r="AA141" i="1"/>
  <c r="Z141" i="1"/>
  <c r="Y141" i="1"/>
  <c r="X141" i="1"/>
  <c r="W141" i="1"/>
  <c r="P141" i="1"/>
  <c r="O141" i="1"/>
  <c r="AD141" i="1" s="1"/>
  <c r="N141" i="1"/>
  <c r="M141" i="1"/>
  <c r="AU140" i="1"/>
  <c r="AR140" i="1"/>
  <c r="AP140" i="1"/>
  <c r="AI140" i="1"/>
  <c r="AN140" i="1" s="1"/>
  <c r="AH140" i="1"/>
  <c r="AF140" i="1"/>
  <c r="AE140" i="1"/>
  <c r="AD140" i="1"/>
  <c r="AC140" i="1"/>
  <c r="AB140" i="1"/>
  <c r="AA140" i="1"/>
  <c r="Z140" i="1"/>
  <c r="Y140" i="1"/>
  <c r="X140" i="1"/>
  <c r="W140" i="1"/>
  <c r="P140" i="1"/>
  <c r="O140" i="1"/>
  <c r="AQ140" i="1" s="1"/>
  <c r="N140" i="1"/>
  <c r="AO140" i="1" s="1"/>
  <c r="M140" i="1"/>
  <c r="AU139" i="1"/>
  <c r="AT139" i="1"/>
  <c r="AP139" i="1"/>
  <c r="AO139" i="1"/>
  <c r="AN139" i="1"/>
  <c r="AJ139" i="1"/>
  <c r="AI139" i="1"/>
  <c r="AH139" i="1"/>
  <c r="AF139" i="1"/>
  <c r="AE139" i="1"/>
  <c r="AD139" i="1"/>
  <c r="AC139" i="1"/>
  <c r="AA139" i="1"/>
  <c r="Z139" i="1"/>
  <c r="Y139" i="1"/>
  <c r="X139" i="1"/>
  <c r="W139" i="1"/>
  <c r="P139" i="1"/>
  <c r="O139" i="1"/>
  <c r="AQ139" i="1" s="1"/>
  <c r="N139" i="1"/>
  <c r="M139" i="1"/>
  <c r="AR139" i="1" s="1"/>
  <c r="AU138" i="1"/>
  <c r="AP138" i="1"/>
  <c r="AO138" i="1"/>
  <c r="AV138" i="1" s="1"/>
  <c r="AN138" i="1"/>
  <c r="AI138" i="1"/>
  <c r="AT138" i="1" s="1"/>
  <c r="AH138" i="1"/>
  <c r="AF138" i="1"/>
  <c r="AE138" i="1"/>
  <c r="AD138" i="1"/>
  <c r="AA138" i="1"/>
  <c r="Z138" i="1"/>
  <c r="Y138" i="1"/>
  <c r="X138" i="1"/>
  <c r="W138" i="1"/>
  <c r="P138" i="1"/>
  <c r="O138" i="1"/>
  <c r="AQ138" i="1" s="1"/>
  <c r="N138" i="1"/>
  <c r="AC138" i="1" s="1"/>
  <c r="M138" i="1"/>
  <c r="AU137" i="1"/>
  <c r="AT137" i="1"/>
  <c r="AP137" i="1"/>
  <c r="AO137" i="1"/>
  <c r="AV137" i="1" s="1"/>
  <c r="AJ137" i="1"/>
  <c r="AI137" i="1"/>
  <c r="AN137" i="1" s="1"/>
  <c r="AH137" i="1"/>
  <c r="AF137" i="1"/>
  <c r="AE137" i="1"/>
  <c r="AA137" i="1"/>
  <c r="Z137" i="1"/>
  <c r="Y137" i="1"/>
  <c r="X137" i="1"/>
  <c r="W137" i="1"/>
  <c r="P137" i="1"/>
  <c r="O137" i="1"/>
  <c r="AD137" i="1" s="1"/>
  <c r="N137" i="1"/>
  <c r="AC137" i="1" s="1"/>
  <c r="M137" i="1"/>
  <c r="AU136" i="1"/>
  <c r="AR136" i="1"/>
  <c r="AP136" i="1"/>
  <c r="AN136" i="1"/>
  <c r="AI136" i="1"/>
  <c r="AT136" i="1" s="1"/>
  <c r="AH136" i="1"/>
  <c r="AF136" i="1"/>
  <c r="AE136" i="1"/>
  <c r="AB136" i="1"/>
  <c r="AA136" i="1"/>
  <c r="Z136" i="1"/>
  <c r="Y136" i="1"/>
  <c r="X136" i="1"/>
  <c r="W136" i="1"/>
  <c r="P136" i="1"/>
  <c r="O136" i="1"/>
  <c r="AD136" i="1" s="1"/>
  <c r="N136" i="1"/>
  <c r="M136" i="1"/>
  <c r="AU135" i="1"/>
  <c r="AR135" i="1"/>
  <c r="AQ135" i="1"/>
  <c r="AP135" i="1"/>
  <c r="AO135" i="1"/>
  <c r="AI135" i="1"/>
  <c r="AH135" i="1"/>
  <c r="AF135" i="1"/>
  <c r="AE135" i="1"/>
  <c r="AC135" i="1"/>
  <c r="AB135" i="1"/>
  <c r="AA135" i="1"/>
  <c r="Z135" i="1"/>
  <c r="Y135" i="1"/>
  <c r="X135" i="1"/>
  <c r="W135" i="1"/>
  <c r="P135" i="1"/>
  <c r="O135" i="1"/>
  <c r="AD135" i="1" s="1"/>
  <c r="N135" i="1"/>
  <c r="M135" i="1"/>
  <c r="AU134" i="1"/>
  <c r="AT134" i="1"/>
  <c r="AR134" i="1"/>
  <c r="AP134" i="1"/>
  <c r="AJ134" i="1"/>
  <c r="AI134" i="1"/>
  <c r="AN134" i="1" s="1"/>
  <c r="AH134" i="1"/>
  <c r="AF134" i="1"/>
  <c r="AE134" i="1"/>
  <c r="AD134" i="1"/>
  <c r="AC134" i="1"/>
  <c r="AB134" i="1"/>
  <c r="AA134" i="1"/>
  <c r="Z134" i="1"/>
  <c r="Y134" i="1"/>
  <c r="X134" i="1"/>
  <c r="W134" i="1"/>
  <c r="P134" i="1"/>
  <c r="O134" i="1"/>
  <c r="AQ134" i="1" s="1"/>
  <c r="N134" i="1"/>
  <c r="AO134" i="1" s="1"/>
  <c r="M134" i="1"/>
  <c r="AU133" i="1"/>
  <c r="AT133" i="1"/>
  <c r="AP133" i="1"/>
  <c r="AO133" i="1"/>
  <c r="AV133" i="1" s="1"/>
  <c r="AN133" i="1"/>
  <c r="AJ133" i="1"/>
  <c r="AI133" i="1"/>
  <c r="AH133" i="1"/>
  <c r="AF133" i="1"/>
  <c r="AE133" i="1"/>
  <c r="AD133" i="1"/>
  <c r="AC133" i="1"/>
  <c r="AA133" i="1"/>
  <c r="Z133" i="1"/>
  <c r="Y133" i="1"/>
  <c r="X133" i="1"/>
  <c r="W133" i="1"/>
  <c r="P133" i="1"/>
  <c r="O133" i="1"/>
  <c r="AQ133" i="1" s="1"/>
  <c r="N133" i="1"/>
  <c r="M133" i="1"/>
  <c r="AR133" i="1" s="1"/>
  <c r="AV132" i="1"/>
  <c r="AU132" i="1"/>
  <c r="AP132" i="1"/>
  <c r="AO132" i="1"/>
  <c r="AI132" i="1"/>
  <c r="AH132" i="1"/>
  <c r="AF132" i="1"/>
  <c r="AE132" i="1"/>
  <c r="AD132" i="1"/>
  <c r="AA132" i="1"/>
  <c r="Z132" i="1"/>
  <c r="Y132" i="1"/>
  <c r="X132" i="1"/>
  <c r="W132" i="1"/>
  <c r="P132" i="1"/>
  <c r="O132" i="1"/>
  <c r="AQ132" i="1" s="1"/>
  <c r="N132" i="1"/>
  <c r="AC132" i="1" s="1"/>
  <c r="M132" i="1"/>
  <c r="AB132" i="1" s="1"/>
  <c r="AU131" i="1"/>
  <c r="AT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N131" i="1"/>
  <c r="M131" i="1"/>
  <c r="AU130" i="1"/>
  <c r="AR130" i="1"/>
  <c r="AP130" i="1"/>
  <c r="AI130" i="1"/>
  <c r="AN130" i="1" s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M130" i="1"/>
  <c r="AU129" i="1"/>
  <c r="AR129" i="1"/>
  <c r="AQ129" i="1"/>
  <c r="AP129" i="1"/>
  <c r="AO129" i="1"/>
  <c r="AV129" i="1" s="1"/>
  <c r="AJ129" i="1"/>
  <c r="AI129" i="1"/>
  <c r="AN129" i="1" s="1"/>
  <c r="AH129" i="1"/>
  <c r="AF129" i="1"/>
  <c r="AE129" i="1"/>
  <c r="AC129" i="1"/>
  <c r="AB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P128" i="1"/>
  <c r="AI128" i="1"/>
  <c r="AN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U127" i="1"/>
  <c r="AT127" i="1"/>
  <c r="AP127" i="1"/>
  <c r="AO127" i="1"/>
  <c r="AV127" i="1" s="1"/>
  <c r="AN127" i="1"/>
  <c r="AJ127" i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R127" i="1" s="1"/>
  <c r="AU126" i="1"/>
  <c r="AR126" i="1"/>
  <c r="AP126" i="1"/>
  <c r="AN126" i="1"/>
  <c r="AI126" i="1"/>
  <c r="AT126" i="1" s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AO126" i="1" s="1"/>
  <c r="AV126" i="1" s="1"/>
  <c r="M126" i="1"/>
  <c r="AU125" i="1"/>
  <c r="AT125" i="1"/>
  <c r="AP125" i="1"/>
  <c r="AO125" i="1"/>
  <c r="AV125" i="1" s="1"/>
  <c r="AN125" i="1"/>
  <c r="AJ125" i="1"/>
  <c r="AI125" i="1"/>
  <c r="AH125" i="1"/>
  <c r="AF125" i="1"/>
  <c r="AE125" i="1"/>
  <c r="AC125" i="1"/>
  <c r="AA125" i="1"/>
  <c r="Z125" i="1"/>
  <c r="Y125" i="1"/>
  <c r="X125" i="1"/>
  <c r="W125" i="1"/>
  <c r="P125" i="1"/>
  <c r="O125" i="1"/>
  <c r="AQ125" i="1" s="1"/>
  <c r="N125" i="1"/>
  <c r="M125" i="1"/>
  <c r="AR125" i="1" s="1"/>
  <c r="AU124" i="1"/>
  <c r="AR124" i="1"/>
  <c r="AP124" i="1"/>
  <c r="AN124" i="1"/>
  <c r="AI124" i="1"/>
  <c r="AT124" i="1" s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U123" i="1"/>
  <c r="AT123" i="1"/>
  <c r="AP123" i="1"/>
  <c r="AO123" i="1"/>
  <c r="AV123" i="1" s="1"/>
  <c r="AJ123" i="1"/>
  <c r="AI123" i="1"/>
  <c r="AN123" i="1" s="1"/>
  <c r="AH123" i="1"/>
  <c r="AF123" i="1"/>
  <c r="AE123" i="1"/>
  <c r="AC123" i="1"/>
  <c r="AA123" i="1"/>
  <c r="Z123" i="1"/>
  <c r="Y123" i="1"/>
  <c r="X123" i="1"/>
  <c r="W123" i="1"/>
  <c r="P123" i="1"/>
  <c r="O123" i="1"/>
  <c r="AQ123" i="1" s="1"/>
  <c r="N123" i="1"/>
  <c r="M123" i="1"/>
  <c r="AR123" i="1" s="1"/>
  <c r="AU122" i="1"/>
  <c r="AR122" i="1"/>
  <c r="AP122" i="1"/>
  <c r="AI122" i="1"/>
  <c r="AN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P121" i="1"/>
  <c r="AO121" i="1"/>
  <c r="AV121" i="1" s="1"/>
  <c r="AN121" i="1"/>
  <c r="AJ121" i="1"/>
  <c r="AI121" i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M121" i="1"/>
  <c r="AR121" i="1" s="1"/>
  <c r="AU120" i="1"/>
  <c r="AR120" i="1"/>
  <c r="AP120" i="1"/>
  <c r="AN120" i="1"/>
  <c r="AI120" i="1"/>
  <c r="AT120" i="1" s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U119" i="1"/>
  <c r="AT119" i="1"/>
  <c r="AP119" i="1"/>
  <c r="AO119" i="1"/>
  <c r="AN119" i="1"/>
  <c r="AJ119" i="1"/>
  <c r="AI119" i="1"/>
  <c r="AH119" i="1"/>
  <c r="AF119" i="1"/>
  <c r="AE119" i="1"/>
  <c r="AC119" i="1"/>
  <c r="AA119" i="1"/>
  <c r="Z119" i="1"/>
  <c r="Y119" i="1"/>
  <c r="X119" i="1"/>
  <c r="W119" i="1"/>
  <c r="P119" i="1"/>
  <c r="O119" i="1"/>
  <c r="AQ119" i="1" s="1"/>
  <c r="N119" i="1"/>
  <c r="M119" i="1"/>
  <c r="AR119" i="1" s="1"/>
  <c r="AU118" i="1"/>
  <c r="AR118" i="1"/>
  <c r="AP118" i="1"/>
  <c r="AN118" i="1"/>
  <c r="AI118" i="1"/>
  <c r="AT118" i="1" s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T117" i="1"/>
  <c r="AP117" i="1"/>
  <c r="AO117" i="1"/>
  <c r="AV117" i="1" s="1"/>
  <c r="AJ117" i="1"/>
  <c r="AI117" i="1"/>
  <c r="AN117" i="1" s="1"/>
  <c r="AH117" i="1"/>
  <c r="AF117" i="1"/>
  <c r="AE117" i="1"/>
  <c r="AC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R116" i="1"/>
  <c r="AP116" i="1"/>
  <c r="AI116" i="1"/>
  <c r="AN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T115" i="1"/>
  <c r="AP115" i="1"/>
  <c r="AO115" i="1"/>
  <c r="AV115" i="1" s="1"/>
  <c r="AN115" i="1"/>
  <c r="AJ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M115" i="1"/>
  <c r="AR115" i="1" s="1"/>
  <c r="AU114" i="1"/>
  <c r="AR114" i="1"/>
  <c r="AP114" i="1"/>
  <c r="AN114" i="1"/>
  <c r="AI114" i="1"/>
  <c r="AT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U113" i="1"/>
  <c r="AT113" i="1"/>
  <c r="AP113" i="1"/>
  <c r="AO113" i="1"/>
  <c r="AV113" i="1" s="1"/>
  <c r="AN113" i="1"/>
  <c r="AJ113" i="1"/>
  <c r="AI113" i="1"/>
  <c r="AH113" i="1"/>
  <c r="AF113" i="1"/>
  <c r="AE113" i="1"/>
  <c r="AC113" i="1"/>
  <c r="AA113" i="1"/>
  <c r="Z113" i="1"/>
  <c r="Y113" i="1"/>
  <c r="X113" i="1"/>
  <c r="W113" i="1"/>
  <c r="P113" i="1"/>
  <c r="O113" i="1"/>
  <c r="AQ113" i="1" s="1"/>
  <c r="N113" i="1"/>
  <c r="M113" i="1"/>
  <c r="AR113" i="1" s="1"/>
  <c r="AU112" i="1"/>
  <c r="AR112" i="1"/>
  <c r="AP112" i="1"/>
  <c r="AI112" i="1"/>
  <c r="AN112" i="1" s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U111" i="1"/>
  <c r="AT111" i="1"/>
  <c r="AP111" i="1"/>
  <c r="AO111" i="1"/>
  <c r="AV111" i="1" s="1"/>
  <c r="AJ111" i="1"/>
  <c r="AI111" i="1"/>
  <c r="AN111" i="1" s="1"/>
  <c r="AH111" i="1"/>
  <c r="AF111" i="1"/>
  <c r="AE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R110" i="1"/>
  <c r="AP110" i="1"/>
  <c r="AI110" i="1"/>
  <c r="AN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T109" i="1"/>
  <c r="AP109" i="1"/>
  <c r="AO109" i="1"/>
  <c r="AV109" i="1" s="1"/>
  <c r="AJ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R109" i="1" s="1"/>
  <c r="AU108" i="1"/>
  <c r="AR108" i="1"/>
  <c r="AP108" i="1"/>
  <c r="AN108" i="1"/>
  <c r="AI108" i="1"/>
  <c r="AT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U107" i="1"/>
  <c r="AT107" i="1"/>
  <c r="AP107" i="1"/>
  <c r="AO107" i="1"/>
  <c r="AN107" i="1"/>
  <c r="AJ107" i="1"/>
  <c r="AI107" i="1"/>
  <c r="AH107" i="1"/>
  <c r="AF107" i="1"/>
  <c r="AE107" i="1"/>
  <c r="AC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R106" i="1"/>
  <c r="AP106" i="1"/>
  <c r="AI106" i="1"/>
  <c r="AN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O106" i="1" s="1"/>
  <c r="M106" i="1"/>
  <c r="AU105" i="1"/>
  <c r="AT105" i="1"/>
  <c r="AP105" i="1"/>
  <c r="AO105" i="1"/>
  <c r="AV105" i="1" s="1"/>
  <c r="AJ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R104" i="1"/>
  <c r="AP104" i="1"/>
  <c r="AI104" i="1"/>
  <c r="AN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P103" i="1"/>
  <c r="AO103" i="1"/>
  <c r="AV103" i="1" s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N102" i="1"/>
  <c r="AI102" i="1"/>
  <c r="AT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O102" i="1" s="1"/>
  <c r="AV102" i="1" s="1"/>
  <c r="M102" i="1"/>
  <c r="AU101" i="1"/>
  <c r="AT101" i="1"/>
  <c r="AP101" i="1"/>
  <c r="AO101" i="1"/>
  <c r="AV101" i="1" s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R100" i="1"/>
  <c r="AP100" i="1"/>
  <c r="AI100" i="1"/>
  <c r="AN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O99" i="1"/>
  <c r="AV99" i="1" s="1"/>
  <c r="AJ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R99" i="1" s="1"/>
  <c r="AU98" i="1"/>
  <c r="AR98" i="1"/>
  <c r="AP98" i="1"/>
  <c r="AI98" i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T97" i="1"/>
  <c r="AP97" i="1"/>
  <c r="AO97" i="1"/>
  <c r="AJ97" i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U96" i="1"/>
  <c r="AR96" i="1"/>
  <c r="AP96" i="1"/>
  <c r="AN96" i="1"/>
  <c r="AI96" i="1"/>
  <c r="AT96" i="1" s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M96" i="1"/>
  <c r="AU95" i="1"/>
  <c r="AT95" i="1"/>
  <c r="AP95" i="1"/>
  <c r="AO95" i="1"/>
  <c r="AN95" i="1"/>
  <c r="AJ95" i="1"/>
  <c r="AI95" i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U94" i="1"/>
  <c r="AR94" i="1"/>
  <c r="AP94" i="1"/>
  <c r="AN94" i="1"/>
  <c r="AI94" i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M94" i="1"/>
  <c r="AV93" i="1"/>
  <c r="AU93" i="1"/>
  <c r="AT93" i="1"/>
  <c r="AP93" i="1"/>
  <c r="AO93" i="1"/>
  <c r="AJ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U92" i="1"/>
  <c r="AR92" i="1"/>
  <c r="AP92" i="1"/>
  <c r="AI92" i="1"/>
  <c r="AN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M92" i="1"/>
  <c r="AU91" i="1"/>
  <c r="AT91" i="1"/>
  <c r="AQ91" i="1"/>
  <c r="AP91" i="1"/>
  <c r="AO91" i="1"/>
  <c r="AV91" i="1" s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U90" i="1"/>
  <c r="AR90" i="1"/>
  <c r="AP90" i="1"/>
  <c r="AI90" i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M90" i="1"/>
  <c r="AV89" i="1"/>
  <c r="AU89" i="1"/>
  <c r="AT89" i="1"/>
  <c r="AP89" i="1"/>
  <c r="AO89" i="1"/>
  <c r="AN89" i="1"/>
  <c r="AJ89" i="1"/>
  <c r="AI89" i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U88" i="1"/>
  <c r="AR88" i="1"/>
  <c r="AP88" i="1"/>
  <c r="AN88" i="1"/>
  <c r="AI88" i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P87" i="1"/>
  <c r="AO87" i="1"/>
  <c r="AJ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U86" i="1"/>
  <c r="AR86" i="1"/>
  <c r="AP86" i="1"/>
  <c r="AI86" i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M86" i="1"/>
  <c r="AV85" i="1"/>
  <c r="AU85" i="1"/>
  <c r="AT85" i="1"/>
  <c r="AQ85" i="1"/>
  <c r="AP85" i="1"/>
  <c r="AO85" i="1"/>
  <c r="AJ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U84" i="1"/>
  <c r="AR84" i="1"/>
  <c r="AP84" i="1"/>
  <c r="AI84" i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T83" i="1"/>
  <c r="AQ83" i="1"/>
  <c r="AP83" i="1"/>
  <c r="AO83" i="1"/>
  <c r="AN83" i="1"/>
  <c r="AJ83" i="1"/>
  <c r="AI83" i="1"/>
  <c r="AH83" i="1"/>
  <c r="AF83" i="1"/>
  <c r="AE83" i="1"/>
  <c r="AD83" i="1"/>
  <c r="AC83" i="1"/>
  <c r="AA83" i="1"/>
  <c r="Z83" i="1"/>
  <c r="Y83" i="1"/>
  <c r="X83" i="1"/>
  <c r="W83" i="1"/>
  <c r="P83" i="1"/>
  <c r="O83" i="1"/>
  <c r="N83" i="1"/>
  <c r="M83" i="1"/>
  <c r="AU82" i="1"/>
  <c r="AP82" i="1"/>
  <c r="AN82" i="1"/>
  <c r="AJ82" i="1"/>
  <c r="AI82" i="1"/>
  <c r="AT82" i="1" s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R82" i="1" s="1"/>
  <c r="AU81" i="1"/>
  <c r="AT81" i="1"/>
  <c r="AP81" i="1"/>
  <c r="AO81" i="1"/>
  <c r="AV81" i="1" s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P80" i="1"/>
  <c r="AN80" i="1"/>
  <c r="AI80" i="1"/>
  <c r="AT80" i="1" s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AO80" i="1" s="1"/>
  <c r="M80" i="1"/>
  <c r="AR80" i="1" s="1"/>
  <c r="AU79" i="1"/>
  <c r="AP79" i="1"/>
  <c r="AI79" i="1"/>
  <c r="AN79" i="1" s="1"/>
  <c r="AH79" i="1"/>
  <c r="AF79" i="1"/>
  <c r="AE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R79" i="1" s="1"/>
  <c r="AU78" i="1"/>
  <c r="AR78" i="1"/>
  <c r="AP78" i="1"/>
  <c r="AI78" i="1"/>
  <c r="AN78" i="1" s="1"/>
  <c r="AH78" i="1"/>
  <c r="AF78" i="1"/>
  <c r="AE78" i="1"/>
  <c r="AB78" i="1"/>
  <c r="AA78" i="1"/>
  <c r="Z78" i="1"/>
  <c r="Y78" i="1"/>
  <c r="X78" i="1"/>
  <c r="W78" i="1"/>
  <c r="P78" i="1"/>
  <c r="O78" i="1"/>
  <c r="AQ78" i="1" s="1"/>
  <c r="N78" i="1"/>
  <c r="AO78" i="1" s="1"/>
  <c r="AV78" i="1" s="1"/>
  <c r="M78" i="1"/>
  <c r="AU77" i="1"/>
  <c r="AT77" i="1"/>
  <c r="AR77" i="1"/>
  <c r="AP77" i="1"/>
  <c r="AO77" i="1"/>
  <c r="AV77" i="1" s="1"/>
  <c r="AJ77" i="1"/>
  <c r="AI77" i="1"/>
  <c r="AN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R76" i="1"/>
  <c r="AP76" i="1"/>
  <c r="AN76" i="1"/>
  <c r="AJ76" i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T75" i="1"/>
  <c r="AP75" i="1"/>
  <c r="AO75" i="1"/>
  <c r="AV75" i="1" s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R75" i="1" s="1"/>
  <c r="AU74" i="1"/>
  <c r="AP74" i="1"/>
  <c r="AN74" i="1"/>
  <c r="AI74" i="1"/>
  <c r="AT74" i="1" s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R74" i="1" s="1"/>
  <c r="AU73" i="1"/>
  <c r="AP73" i="1"/>
  <c r="AI73" i="1"/>
  <c r="AN73" i="1" s="1"/>
  <c r="AH73" i="1"/>
  <c r="AF73" i="1"/>
  <c r="AE73" i="1"/>
  <c r="AA73" i="1"/>
  <c r="Z73" i="1"/>
  <c r="Y73" i="1"/>
  <c r="X73" i="1"/>
  <c r="W73" i="1"/>
  <c r="P73" i="1"/>
  <c r="O73" i="1"/>
  <c r="AQ73" i="1" s="1"/>
  <c r="N73" i="1"/>
  <c r="AO73" i="1" s="1"/>
  <c r="M73" i="1"/>
  <c r="AR73" i="1" s="1"/>
  <c r="AU72" i="1"/>
  <c r="AR72" i="1"/>
  <c r="AP72" i="1"/>
  <c r="AI72" i="1"/>
  <c r="AN72" i="1" s="1"/>
  <c r="AH72" i="1"/>
  <c r="AF72" i="1"/>
  <c r="AE72" i="1"/>
  <c r="AB72" i="1"/>
  <c r="AA72" i="1"/>
  <c r="Z72" i="1"/>
  <c r="Y72" i="1"/>
  <c r="X72" i="1"/>
  <c r="W72" i="1"/>
  <c r="P72" i="1"/>
  <c r="O72" i="1"/>
  <c r="AQ72" i="1" s="1"/>
  <c r="N72" i="1"/>
  <c r="AO72" i="1" s="1"/>
  <c r="M72" i="1"/>
  <c r="AU71" i="1"/>
  <c r="AT71" i="1"/>
  <c r="AR71" i="1"/>
  <c r="AP71" i="1"/>
  <c r="AO71" i="1"/>
  <c r="AV71" i="1" s="1"/>
  <c r="AJ71" i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R70" i="1"/>
  <c r="AP70" i="1"/>
  <c r="AN70" i="1"/>
  <c r="AJ70" i="1"/>
  <c r="AI70" i="1"/>
  <c r="AT70" i="1" s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U69" i="1"/>
  <c r="AT69" i="1"/>
  <c r="AP69" i="1"/>
  <c r="AO69" i="1"/>
  <c r="AV69" i="1" s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R69" i="1" s="1"/>
  <c r="AU68" i="1"/>
  <c r="AP68" i="1"/>
  <c r="AN68" i="1"/>
  <c r="AI68" i="1"/>
  <c r="AT68" i="1" s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U67" i="1"/>
  <c r="AP67" i="1"/>
  <c r="AI67" i="1"/>
  <c r="AN67" i="1" s="1"/>
  <c r="AH67" i="1"/>
  <c r="AF67" i="1"/>
  <c r="AE67" i="1"/>
  <c r="AA67" i="1"/>
  <c r="Z67" i="1"/>
  <c r="Y67" i="1"/>
  <c r="X67" i="1"/>
  <c r="W67" i="1"/>
  <c r="P67" i="1"/>
  <c r="O67" i="1"/>
  <c r="AQ67" i="1" s="1"/>
  <c r="N67" i="1"/>
  <c r="AO67" i="1" s="1"/>
  <c r="M67" i="1"/>
  <c r="AR67" i="1" s="1"/>
  <c r="AU66" i="1"/>
  <c r="AR66" i="1"/>
  <c r="AP66" i="1"/>
  <c r="AI66" i="1"/>
  <c r="AN66" i="1" s="1"/>
  <c r="AH66" i="1"/>
  <c r="AF66" i="1"/>
  <c r="AE66" i="1"/>
  <c r="AB66" i="1"/>
  <c r="AA66" i="1"/>
  <c r="Z66" i="1"/>
  <c r="Y66" i="1"/>
  <c r="X66" i="1"/>
  <c r="W66" i="1"/>
  <c r="P66" i="1"/>
  <c r="O66" i="1"/>
  <c r="AQ66" i="1" s="1"/>
  <c r="N66" i="1"/>
  <c r="AO66" i="1" s="1"/>
  <c r="M66" i="1"/>
  <c r="AU65" i="1"/>
  <c r="AT65" i="1"/>
  <c r="AR65" i="1"/>
  <c r="AP65" i="1"/>
  <c r="AO65" i="1"/>
  <c r="AV65" i="1" s="1"/>
  <c r="AJ65" i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R64" i="1"/>
  <c r="AP64" i="1"/>
  <c r="AN64" i="1"/>
  <c r="AI64" i="1"/>
  <c r="AT64" i="1" s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P63" i="1"/>
  <c r="AO63" i="1"/>
  <c r="AV63" i="1" s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R63" i="1" s="1"/>
  <c r="AU62" i="1"/>
  <c r="AP62" i="1"/>
  <c r="AN62" i="1"/>
  <c r="AI62" i="1"/>
  <c r="AT62" i="1" s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O62" i="1" s="1"/>
  <c r="AV62" i="1" s="1"/>
  <c r="M62" i="1"/>
  <c r="AR62" i="1" s="1"/>
  <c r="AU61" i="1"/>
  <c r="AP61" i="1"/>
  <c r="AI61" i="1"/>
  <c r="AN61" i="1" s="1"/>
  <c r="AH61" i="1"/>
  <c r="AF61" i="1"/>
  <c r="AE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R61" i="1" s="1"/>
  <c r="AU60" i="1"/>
  <c r="AR60" i="1"/>
  <c r="AP60" i="1"/>
  <c r="AI60" i="1"/>
  <c r="AN60" i="1" s="1"/>
  <c r="AH60" i="1"/>
  <c r="AF60" i="1"/>
  <c r="AE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T59" i="1"/>
  <c r="AR59" i="1"/>
  <c r="AP59" i="1"/>
  <c r="AO59" i="1"/>
  <c r="AV59" i="1" s="1"/>
  <c r="AJ59" i="1"/>
  <c r="AI59" i="1"/>
  <c r="AN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Q59" i="1" s="1"/>
  <c r="N59" i="1"/>
  <c r="M59" i="1"/>
  <c r="AU58" i="1"/>
  <c r="AR58" i="1"/>
  <c r="AP58" i="1"/>
  <c r="AN58" i="1"/>
  <c r="AI58" i="1"/>
  <c r="AT58" i="1" s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U57" i="1"/>
  <c r="AT57" i="1"/>
  <c r="AP57" i="1"/>
  <c r="AO57" i="1"/>
  <c r="AV57" i="1" s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R57" i="1" s="1"/>
  <c r="AU56" i="1"/>
  <c r="AP56" i="1"/>
  <c r="AN56" i="1"/>
  <c r="AI56" i="1"/>
  <c r="AT56" i="1" s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R56" i="1" s="1"/>
  <c r="AU55" i="1"/>
  <c r="AP55" i="1"/>
  <c r="AO55" i="1"/>
  <c r="AI55" i="1"/>
  <c r="AN55" i="1" s="1"/>
  <c r="AH55" i="1"/>
  <c r="AF55" i="1"/>
  <c r="AE55" i="1"/>
  <c r="AA55" i="1"/>
  <c r="Z55" i="1"/>
  <c r="Y55" i="1"/>
  <c r="X55" i="1"/>
  <c r="W55" i="1"/>
  <c r="P55" i="1"/>
  <c r="O55" i="1"/>
  <c r="AQ55" i="1" s="1"/>
  <c r="N55" i="1"/>
  <c r="AC55" i="1" s="1"/>
  <c r="M55" i="1"/>
  <c r="AR55" i="1" s="1"/>
  <c r="AU54" i="1"/>
  <c r="AR54" i="1"/>
  <c r="AP54" i="1"/>
  <c r="AI54" i="1"/>
  <c r="AN54" i="1" s="1"/>
  <c r="AH54" i="1"/>
  <c r="AF54" i="1"/>
  <c r="AE54" i="1"/>
  <c r="AB54" i="1"/>
  <c r="AA54" i="1"/>
  <c r="Z54" i="1"/>
  <c r="Y54" i="1"/>
  <c r="X54" i="1"/>
  <c r="W54" i="1"/>
  <c r="P54" i="1"/>
  <c r="O54" i="1"/>
  <c r="AQ54" i="1" s="1"/>
  <c r="N54" i="1"/>
  <c r="AO54" i="1" s="1"/>
  <c r="M54" i="1"/>
  <c r="AU53" i="1"/>
  <c r="AT53" i="1"/>
  <c r="AR53" i="1"/>
  <c r="AP53" i="1"/>
  <c r="AO53" i="1"/>
  <c r="AV53" i="1" s="1"/>
  <c r="AJ53" i="1"/>
  <c r="AI53" i="1"/>
  <c r="AN53" i="1" s="1"/>
  <c r="AH53" i="1"/>
  <c r="AF53" i="1"/>
  <c r="AE53" i="1"/>
  <c r="AC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R52" i="1"/>
  <c r="AP52" i="1"/>
  <c r="AN52" i="1"/>
  <c r="AI52" i="1"/>
  <c r="AT52" i="1" s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AO52" i="1" s="1"/>
  <c r="M52" i="1"/>
  <c r="AU51" i="1"/>
  <c r="AT51" i="1"/>
  <c r="AP51" i="1"/>
  <c r="AO51" i="1"/>
  <c r="AN51" i="1"/>
  <c r="AJ51" i="1"/>
  <c r="AI51" i="1"/>
  <c r="AH51" i="1"/>
  <c r="AF51" i="1"/>
  <c r="AE51" i="1"/>
  <c r="AD51" i="1"/>
  <c r="AC51" i="1"/>
  <c r="AA51" i="1"/>
  <c r="Z51" i="1"/>
  <c r="Y51" i="1"/>
  <c r="X51" i="1"/>
  <c r="W51" i="1"/>
  <c r="P51" i="1"/>
  <c r="O51" i="1"/>
  <c r="AQ51" i="1" s="1"/>
  <c r="N51" i="1"/>
  <c r="M51" i="1"/>
  <c r="AR51" i="1" s="1"/>
  <c r="AU50" i="1"/>
  <c r="AP50" i="1"/>
  <c r="AN50" i="1"/>
  <c r="AI50" i="1"/>
  <c r="AT50" i="1" s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R50" i="1" s="1"/>
  <c r="AU49" i="1"/>
  <c r="AP49" i="1"/>
  <c r="AI49" i="1"/>
  <c r="AN49" i="1" s="1"/>
  <c r="AH49" i="1"/>
  <c r="AF49" i="1"/>
  <c r="AE49" i="1"/>
  <c r="AA49" i="1"/>
  <c r="Z49" i="1"/>
  <c r="Y49" i="1"/>
  <c r="X49" i="1"/>
  <c r="W49" i="1"/>
  <c r="P49" i="1"/>
  <c r="O49" i="1"/>
  <c r="AQ49" i="1" s="1"/>
  <c r="N49" i="1"/>
  <c r="AO49" i="1" s="1"/>
  <c r="M49" i="1"/>
  <c r="AR49" i="1" s="1"/>
  <c r="AU48" i="1"/>
  <c r="AR48" i="1"/>
  <c r="AP48" i="1"/>
  <c r="AI48" i="1"/>
  <c r="AN48" i="1" s="1"/>
  <c r="AH48" i="1"/>
  <c r="AF48" i="1"/>
  <c r="AE48" i="1"/>
  <c r="AB48" i="1"/>
  <c r="AA48" i="1"/>
  <c r="Z48" i="1"/>
  <c r="Y48" i="1"/>
  <c r="X48" i="1"/>
  <c r="W48" i="1"/>
  <c r="P48" i="1"/>
  <c r="O48" i="1"/>
  <c r="AQ48" i="1" s="1"/>
  <c r="N48" i="1"/>
  <c r="AO48" i="1" s="1"/>
  <c r="M48" i="1"/>
  <c r="AU47" i="1"/>
  <c r="AT47" i="1"/>
  <c r="AR47" i="1"/>
  <c r="AP47" i="1"/>
  <c r="AJ47" i="1"/>
  <c r="AI47" i="1"/>
  <c r="AN47" i="1" s="1"/>
  <c r="AH47" i="1"/>
  <c r="AF47" i="1"/>
  <c r="AE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R46" i="1"/>
  <c r="AP46" i="1"/>
  <c r="AN46" i="1"/>
  <c r="AJ46" i="1"/>
  <c r="AI46" i="1"/>
  <c r="AH46" i="1"/>
  <c r="AF46" i="1"/>
  <c r="AE46" i="1"/>
  <c r="AD46" i="1"/>
  <c r="AC46" i="1"/>
  <c r="AB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U45" i="1"/>
  <c r="AT45" i="1"/>
  <c r="AP45" i="1"/>
  <c r="AO45" i="1"/>
  <c r="AV45" i="1" s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R45" i="1" s="1"/>
  <c r="AU44" i="1"/>
  <c r="AP44" i="1"/>
  <c r="AN44" i="1"/>
  <c r="AI44" i="1"/>
  <c r="AT44" i="1" s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R44" i="1" s="1"/>
  <c r="AU43" i="1"/>
  <c r="AP43" i="1"/>
  <c r="AI43" i="1"/>
  <c r="AN43" i="1" s="1"/>
  <c r="AH43" i="1"/>
  <c r="AF43" i="1"/>
  <c r="AE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R43" i="1" s="1"/>
  <c r="AU42" i="1"/>
  <c r="AR42" i="1"/>
  <c r="AP42" i="1"/>
  <c r="AI42" i="1"/>
  <c r="AN42" i="1" s="1"/>
  <c r="AH42" i="1"/>
  <c r="AF42" i="1"/>
  <c r="AE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T41" i="1"/>
  <c r="AR41" i="1"/>
  <c r="AP41" i="1"/>
  <c r="AJ41" i="1"/>
  <c r="AI41" i="1"/>
  <c r="AN41" i="1" s="1"/>
  <c r="AH41" i="1"/>
  <c r="AF41" i="1"/>
  <c r="AE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R40" i="1"/>
  <c r="AP40" i="1"/>
  <c r="AN40" i="1"/>
  <c r="AJ40" i="1"/>
  <c r="AI40" i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U39" i="1"/>
  <c r="AT39" i="1"/>
  <c r="AP39" i="1"/>
  <c r="AO39" i="1"/>
  <c r="AV39" i="1" s="1"/>
  <c r="AN39" i="1"/>
  <c r="AJ39" i="1"/>
  <c r="AI39" i="1"/>
  <c r="AH39" i="1"/>
  <c r="AF39" i="1"/>
  <c r="AE39" i="1"/>
  <c r="AD39" i="1"/>
  <c r="AC39" i="1"/>
  <c r="AA39" i="1"/>
  <c r="Z39" i="1"/>
  <c r="Y39" i="1"/>
  <c r="X39" i="1"/>
  <c r="W39" i="1"/>
  <c r="P39" i="1"/>
  <c r="O39" i="1"/>
  <c r="AQ39" i="1" s="1"/>
  <c r="N39" i="1"/>
  <c r="M39" i="1"/>
  <c r="AU38" i="1"/>
  <c r="AP38" i="1"/>
  <c r="AN38" i="1"/>
  <c r="AI38" i="1"/>
  <c r="AT38" i="1" s="1"/>
  <c r="AH38" i="1"/>
  <c r="AF38" i="1"/>
  <c r="AE38" i="1"/>
  <c r="AD38" i="1"/>
  <c r="AA38" i="1"/>
  <c r="Z38" i="1"/>
  <c r="Y38" i="1"/>
  <c r="X38" i="1"/>
  <c r="W38" i="1"/>
  <c r="P38" i="1"/>
  <c r="O38" i="1"/>
  <c r="AQ38" i="1" s="1"/>
  <c r="N38" i="1"/>
  <c r="M38" i="1"/>
  <c r="AR38" i="1" s="1"/>
  <c r="AU37" i="1"/>
  <c r="AP37" i="1"/>
  <c r="AI37" i="1"/>
  <c r="AN37" i="1" s="1"/>
  <c r="AH37" i="1"/>
  <c r="AF37" i="1"/>
  <c r="AE37" i="1"/>
  <c r="AA37" i="1"/>
  <c r="Z37" i="1"/>
  <c r="Y37" i="1"/>
  <c r="X37" i="1"/>
  <c r="W37" i="1"/>
  <c r="P37" i="1"/>
  <c r="O37" i="1"/>
  <c r="AD37" i="1" s="1"/>
  <c r="N37" i="1"/>
  <c r="AO37" i="1" s="1"/>
  <c r="AV37" i="1" s="1"/>
  <c r="M37" i="1"/>
  <c r="AR37" i="1" s="1"/>
  <c r="AU36" i="1"/>
  <c r="AR36" i="1"/>
  <c r="AP36" i="1"/>
  <c r="AI36" i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M36" i="1"/>
  <c r="AU35" i="1"/>
  <c r="AT35" i="1"/>
  <c r="AR35" i="1"/>
  <c r="AQ35" i="1"/>
  <c r="AP35" i="1"/>
  <c r="AJ35" i="1"/>
  <c r="AI35" i="1"/>
  <c r="AN35" i="1" s="1"/>
  <c r="AH35" i="1"/>
  <c r="AF35" i="1"/>
  <c r="AE35" i="1"/>
  <c r="AC35" i="1"/>
  <c r="AB35" i="1"/>
  <c r="AA35" i="1"/>
  <c r="Z35" i="1"/>
  <c r="Y35" i="1"/>
  <c r="X35" i="1"/>
  <c r="W35" i="1"/>
  <c r="P35" i="1"/>
  <c r="O35" i="1"/>
  <c r="AD35" i="1" s="1"/>
  <c r="N35" i="1"/>
  <c r="AO35" i="1" s="1"/>
  <c r="AV35" i="1" s="1"/>
  <c r="M35" i="1"/>
  <c r="AU34" i="1"/>
  <c r="AR34" i="1"/>
  <c r="AP34" i="1"/>
  <c r="AI34" i="1"/>
  <c r="AN34" i="1" s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AO34" i="1" s="1"/>
  <c r="M34" i="1"/>
  <c r="AU33" i="1"/>
  <c r="AT33" i="1"/>
  <c r="AP33" i="1"/>
  <c r="AO33" i="1"/>
  <c r="AN33" i="1"/>
  <c r="AJ33" i="1"/>
  <c r="AI33" i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M33" i="1"/>
  <c r="AU32" i="1"/>
  <c r="AP32" i="1"/>
  <c r="AO32" i="1"/>
  <c r="AN32" i="1"/>
  <c r="AI32" i="1"/>
  <c r="AT32" i="1" s="1"/>
  <c r="AH32" i="1"/>
  <c r="AF32" i="1"/>
  <c r="AE32" i="1"/>
  <c r="AA32" i="1"/>
  <c r="Z32" i="1"/>
  <c r="Y32" i="1"/>
  <c r="X32" i="1"/>
  <c r="W32" i="1"/>
  <c r="P32" i="1"/>
  <c r="O32" i="1"/>
  <c r="AQ32" i="1" s="1"/>
  <c r="N32" i="1"/>
  <c r="AC32" i="1" s="1"/>
  <c r="M32" i="1"/>
  <c r="AU31" i="1"/>
  <c r="AR31" i="1"/>
  <c r="AP31" i="1"/>
  <c r="AI31" i="1"/>
  <c r="AN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T30" i="1"/>
  <c r="AP30" i="1"/>
  <c r="AO30" i="1"/>
  <c r="AN30" i="1"/>
  <c r="AJ30" i="1"/>
  <c r="AI30" i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R30" i="1" s="1"/>
  <c r="AU29" i="1"/>
  <c r="AR29" i="1"/>
  <c r="AP29" i="1"/>
  <c r="AN29" i="1"/>
  <c r="AI29" i="1"/>
  <c r="AT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T28" i="1"/>
  <c r="AP28" i="1"/>
  <c r="AO28" i="1"/>
  <c r="AV28" i="1" s="1"/>
  <c r="AN28" i="1"/>
  <c r="AJ28" i="1"/>
  <c r="AI28" i="1"/>
  <c r="AH28" i="1"/>
  <c r="AF28" i="1"/>
  <c r="AE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R27" i="1"/>
  <c r="AP27" i="1"/>
  <c r="AI27" i="1"/>
  <c r="AT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C27" i="1" s="1"/>
  <c r="M27" i="1"/>
  <c r="AU26" i="1"/>
  <c r="AT26" i="1"/>
  <c r="AP26" i="1"/>
  <c r="AO26" i="1"/>
  <c r="AV26" i="1" s="1"/>
  <c r="AJ26" i="1"/>
  <c r="AI26" i="1"/>
  <c r="AN26" i="1" s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M26" i="1"/>
  <c r="AR26" i="1" s="1"/>
  <c r="AU25" i="1"/>
  <c r="AR25" i="1"/>
  <c r="AP25" i="1"/>
  <c r="AI25" i="1"/>
  <c r="AN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T24" i="1"/>
  <c r="AP24" i="1"/>
  <c r="AO24" i="1"/>
  <c r="AV24" i="1" s="1"/>
  <c r="AN24" i="1"/>
  <c r="AJ24" i="1"/>
  <c r="AI24" i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R24" i="1" s="1"/>
  <c r="AU23" i="1"/>
  <c r="AR23" i="1"/>
  <c r="AP23" i="1"/>
  <c r="AN23" i="1"/>
  <c r="AI23" i="1"/>
  <c r="AT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O22" i="1"/>
  <c r="AV22" i="1" s="1"/>
  <c r="AN22" i="1"/>
  <c r="AJ22" i="1"/>
  <c r="AI22" i="1"/>
  <c r="AH22" i="1"/>
  <c r="AF22" i="1"/>
  <c r="AE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R21" i="1"/>
  <c r="AP21" i="1"/>
  <c r="AI21" i="1"/>
  <c r="AT21" i="1" s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AC21" i="1" s="1"/>
  <c r="M21" i="1"/>
  <c r="AU20" i="1"/>
  <c r="AT20" i="1"/>
  <c r="AP20" i="1"/>
  <c r="AO20" i="1"/>
  <c r="AV20" i="1" s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M20" i="1"/>
  <c r="AR20" i="1" s="1"/>
  <c r="AU19" i="1"/>
  <c r="AR19" i="1"/>
  <c r="AP19" i="1"/>
  <c r="AI19" i="1"/>
  <c r="AN19" i="1" s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AO19" i="1" s="1"/>
  <c r="AV19" i="1" s="1"/>
  <c r="M19" i="1"/>
  <c r="AU18" i="1"/>
  <c r="AT18" i="1"/>
  <c r="AP18" i="1"/>
  <c r="AO18" i="1"/>
  <c r="AN18" i="1"/>
  <c r="AJ18" i="1"/>
  <c r="AI18" i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R18" i="1" s="1"/>
  <c r="AU17" i="1"/>
  <c r="AR17" i="1"/>
  <c r="AP17" i="1"/>
  <c r="AN17" i="1"/>
  <c r="AI17" i="1"/>
  <c r="AT17" i="1" s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AO17" i="1" s="1"/>
  <c r="M17" i="1"/>
  <c r="AU16" i="1"/>
  <c r="AT16" i="1"/>
  <c r="AP16" i="1"/>
  <c r="AO16" i="1"/>
  <c r="AV16" i="1" s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R15" i="1"/>
  <c r="AP15" i="1"/>
  <c r="AI15" i="1"/>
  <c r="AT15" i="1" s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P14" i="1"/>
  <c r="AO14" i="1"/>
  <c r="AV14" i="1" s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M14" i="1"/>
  <c r="AR14" i="1" s="1"/>
  <c r="AU13" i="1"/>
  <c r="AR13" i="1"/>
  <c r="AP13" i="1"/>
  <c r="AI13" i="1"/>
  <c r="AN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O13" i="1" s="1"/>
  <c r="M13" i="1"/>
  <c r="AU12" i="1"/>
  <c r="AT12" i="1"/>
  <c r="AP12" i="1"/>
  <c r="AO12" i="1"/>
  <c r="AN12" i="1"/>
  <c r="AJ12" i="1"/>
  <c r="AI12" i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R12" i="1" s="1"/>
  <c r="AU11" i="1"/>
  <c r="AR11" i="1"/>
  <c r="AP11" i="1"/>
  <c r="AN11" i="1"/>
  <c r="AI11" i="1"/>
  <c r="AT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T10" i="1"/>
  <c r="AP10" i="1"/>
  <c r="AO10" i="1"/>
  <c r="AV10" i="1" s="1"/>
  <c r="AJ10" i="1"/>
  <c r="AI10" i="1"/>
  <c r="AN10" i="1" s="1"/>
  <c r="AH10" i="1"/>
  <c r="AF10" i="1"/>
  <c r="AE10" i="1"/>
  <c r="AC10" i="1"/>
  <c r="AA10" i="1"/>
  <c r="Z10" i="1"/>
  <c r="Y10" i="1"/>
  <c r="X10" i="1"/>
  <c r="W10" i="1"/>
  <c r="P10" i="1"/>
  <c r="O10" i="1"/>
  <c r="AQ10" i="1" s="1"/>
  <c r="N10" i="1"/>
  <c r="M10" i="1"/>
  <c r="AR10" i="1" s="1"/>
  <c r="AU9" i="1"/>
  <c r="AR9" i="1"/>
  <c r="AP9" i="1"/>
  <c r="AN9" i="1"/>
  <c r="AI9" i="1"/>
  <c r="AT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T8" i="1"/>
  <c r="AP8" i="1"/>
  <c r="AO8" i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D8" i="1" s="1"/>
  <c r="N8" i="1"/>
  <c r="M8" i="1"/>
  <c r="AR8" i="1" s="1"/>
  <c r="AU7" i="1"/>
  <c r="AR7" i="1"/>
  <c r="AP7" i="1"/>
  <c r="AI7" i="1"/>
  <c r="AN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P6" i="1"/>
  <c r="AO6" i="1"/>
  <c r="AN6" i="1"/>
  <c r="AJ6" i="1"/>
  <c r="AI6" i="1"/>
  <c r="AH6" i="1"/>
  <c r="AF6" i="1"/>
  <c r="AE6" i="1"/>
  <c r="AC6" i="1"/>
  <c r="AA6" i="1"/>
  <c r="Z6" i="1"/>
  <c r="Y6" i="1"/>
  <c r="X6" i="1"/>
  <c r="W6" i="1"/>
  <c r="P6" i="1"/>
  <c r="O6" i="1"/>
  <c r="AD6" i="1" s="1"/>
  <c r="N6" i="1"/>
  <c r="M6" i="1"/>
  <c r="AR6" i="1" s="1"/>
  <c r="AU5" i="1"/>
  <c r="AR5" i="1"/>
  <c r="AP5" i="1"/>
  <c r="AN5" i="1"/>
  <c r="AI5" i="1"/>
  <c r="AT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T4" i="1"/>
  <c r="AP4" i="1"/>
  <c r="AO4" i="1"/>
  <c r="AV4" i="1" s="1"/>
  <c r="AJ4" i="1"/>
  <c r="AI4" i="1"/>
  <c r="AN4" i="1" s="1"/>
  <c r="AH4" i="1"/>
  <c r="AF4" i="1"/>
  <c r="AE4" i="1"/>
  <c r="AC4" i="1"/>
  <c r="AA4" i="1"/>
  <c r="Z4" i="1"/>
  <c r="Y4" i="1"/>
  <c r="X4" i="1"/>
  <c r="W4" i="1"/>
  <c r="P4" i="1"/>
  <c r="O4" i="1"/>
  <c r="AQ4" i="1" s="1"/>
  <c r="N4" i="1"/>
  <c r="M4" i="1"/>
  <c r="AR4" i="1" s="1"/>
  <c r="AP6" i="27"/>
  <c r="AI6" i="27"/>
  <c r="AH6" i="27"/>
  <c r="AF6" i="27"/>
  <c r="AE6" i="27"/>
  <c r="AD6" i="27"/>
  <c r="AB6" i="27"/>
  <c r="AA6" i="27"/>
  <c r="Z6" i="27"/>
  <c r="Y6" i="27"/>
  <c r="X6" i="27"/>
  <c r="W6" i="27"/>
  <c r="P6" i="27"/>
  <c r="O6" i="27"/>
  <c r="AQ6" i="27" s="1"/>
  <c r="N6" i="27"/>
  <c r="AO6" i="27" s="1"/>
  <c r="AV6" i="27" s="1"/>
  <c r="M6" i="27"/>
  <c r="AI5" i="27"/>
  <c r="AH5" i="27"/>
  <c r="W5" i="27"/>
  <c r="AI4" i="27"/>
  <c r="AU3" i="27"/>
  <c r="AQ3" i="27"/>
  <c r="AO3" i="27"/>
  <c r="AI3" i="27"/>
  <c r="AH3" i="27"/>
  <c r="AN2" i="27"/>
  <c r="AM2" i="27"/>
  <c r="AL2" i="27"/>
  <c r="AK2" i="27"/>
  <c r="AJ2" i="27"/>
  <c r="AH2" i="27"/>
  <c r="AA2" i="27"/>
  <c r="A2" i="27"/>
  <c r="AU1" i="27"/>
  <c r="AU6" i="27" s="1"/>
  <c r="AR1" i="27"/>
  <c r="AR3" i="27" s="1"/>
  <c r="AQ1" i="27"/>
  <c r="AP1" i="27"/>
  <c r="AP3" i="27" s="1"/>
  <c r="AO1" i="27"/>
  <c r="AJ1" i="27"/>
  <c r="AH1" i="27"/>
  <c r="AA1" i="27"/>
  <c r="A1" i="27"/>
  <c r="AT65" i="26"/>
  <c r="AQ65" i="26"/>
  <c r="AP65" i="26"/>
  <c r="AO65" i="26"/>
  <c r="AV65" i="26" s="1"/>
  <c r="AI65" i="26"/>
  <c r="AH65" i="26"/>
  <c r="AF65" i="26"/>
  <c r="AE65" i="26"/>
  <c r="AC65" i="26"/>
  <c r="AA65" i="26"/>
  <c r="Z65" i="26"/>
  <c r="Y65" i="26"/>
  <c r="X65" i="26"/>
  <c r="W65" i="26"/>
  <c r="P65" i="26"/>
  <c r="O65" i="26"/>
  <c r="AD65" i="26" s="1"/>
  <c r="N65" i="26"/>
  <c r="M65" i="26"/>
  <c r="AI64" i="26"/>
  <c r="AH64" i="26"/>
  <c r="W64" i="26"/>
  <c r="AV63" i="26"/>
  <c r="AT63" i="26"/>
  <c r="AP63" i="26"/>
  <c r="AO63" i="26"/>
  <c r="AI63" i="26"/>
  <c r="AH63" i="26"/>
  <c r="AF63" i="26"/>
  <c r="AE63" i="26"/>
  <c r="AC63" i="26"/>
  <c r="AA63" i="26"/>
  <c r="Z63" i="26"/>
  <c r="Y63" i="26"/>
  <c r="X63" i="26"/>
  <c r="W63" i="26"/>
  <c r="P63" i="26"/>
  <c r="O63" i="26"/>
  <c r="N63" i="26"/>
  <c r="M63" i="26"/>
  <c r="AP62" i="26"/>
  <c r="AI62" i="26"/>
  <c r="AT62" i="26" s="1"/>
  <c r="AH62" i="26"/>
  <c r="AF62" i="26"/>
  <c r="AE62" i="26"/>
  <c r="AD62" i="26"/>
  <c r="AB62" i="26"/>
  <c r="AA62" i="26"/>
  <c r="Z62" i="26"/>
  <c r="Y62" i="26"/>
  <c r="X62" i="26"/>
  <c r="W62" i="26"/>
  <c r="P62" i="26"/>
  <c r="O62" i="26"/>
  <c r="N62" i="26"/>
  <c r="M62" i="26"/>
  <c r="AT61" i="26"/>
  <c r="AQ61" i="26"/>
  <c r="AP61" i="26"/>
  <c r="AO61" i="26"/>
  <c r="AV61" i="26" s="1"/>
  <c r="AI61" i="26"/>
  <c r="AH61" i="26"/>
  <c r="AF61" i="26"/>
  <c r="AE61" i="26"/>
  <c r="AC61" i="26"/>
  <c r="AA61" i="26"/>
  <c r="Z61" i="26"/>
  <c r="Y61" i="26"/>
  <c r="X61" i="26"/>
  <c r="W61" i="26"/>
  <c r="P61" i="26"/>
  <c r="O61" i="26"/>
  <c r="AD61" i="26" s="1"/>
  <c r="N61" i="26"/>
  <c r="M61" i="26"/>
  <c r="AR60" i="26"/>
  <c r="AP60" i="26"/>
  <c r="AI60" i="26"/>
  <c r="AH60" i="26"/>
  <c r="AF60" i="26"/>
  <c r="AE60" i="26"/>
  <c r="AD60" i="26"/>
  <c r="AB60" i="26"/>
  <c r="AA60" i="26"/>
  <c r="Z60" i="26"/>
  <c r="Y60" i="26"/>
  <c r="X60" i="26"/>
  <c r="W60" i="26"/>
  <c r="P60" i="26"/>
  <c r="O60" i="26"/>
  <c r="N60" i="26"/>
  <c r="AO60" i="26" s="1"/>
  <c r="AV60" i="26" s="1"/>
  <c r="M60" i="26"/>
  <c r="AT59" i="26"/>
  <c r="AP59" i="26"/>
  <c r="AO59" i="26"/>
  <c r="AV59" i="26" s="1"/>
  <c r="AI59" i="26"/>
  <c r="AH59" i="26"/>
  <c r="AF59" i="26"/>
  <c r="AE59" i="26"/>
  <c r="AC59" i="26"/>
  <c r="AA59" i="26"/>
  <c r="Z59" i="26"/>
  <c r="Y59" i="26"/>
  <c r="X59" i="26"/>
  <c r="W59" i="26"/>
  <c r="P59" i="26"/>
  <c r="O59" i="26"/>
  <c r="AD59" i="26" s="1"/>
  <c r="N59" i="26"/>
  <c r="M59" i="26"/>
  <c r="AP58" i="26"/>
  <c r="AI58" i="26"/>
  <c r="AT58" i="26" s="1"/>
  <c r="AH58" i="26"/>
  <c r="AF58" i="26"/>
  <c r="AE58" i="26"/>
  <c r="AD58" i="26"/>
  <c r="AB58" i="26"/>
  <c r="AA58" i="26"/>
  <c r="Z58" i="26"/>
  <c r="Y58" i="26"/>
  <c r="X58" i="26"/>
  <c r="W58" i="26"/>
  <c r="P58" i="26"/>
  <c r="O58" i="26"/>
  <c r="N58" i="26"/>
  <c r="AO58" i="26" s="1"/>
  <c r="AV58" i="26" s="1"/>
  <c r="M58" i="26"/>
  <c r="AT57" i="26"/>
  <c r="AP57" i="26"/>
  <c r="AO57" i="26"/>
  <c r="AV57" i="26" s="1"/>
  <c r="AI57" i="26"/>
  <c r="AH57" i="26"/>
  <c r="AF57" i="26"/>
  <c r="AE57" i="26"/>
  <c r="AC57" i="26"/>
  <c r="AA57" i="26"/>
  <c r="Z57" i="26"/>
  <c r="Y57" i="26"/>
  <c r="X57" i="26"/>
  <c r="W57" i="26"/>
  <c r="P57" i="26"/>
  <c r="O57" i="26"/>
  <c r="N57" i="26"/>
  <c r="M57" i="26"/>
  <c r="AI56" i="26"/>
  <c r="AH56" i="26"/>
  <c r="W56" i="26"/>
  <c r="AT55" i="26"/>
  <c r="AI55" i="26"/>
  <c r="AH55" i="26"/>
  <c r="AF55" i="26"/>
  <c r="AE55" i="26"/>
  <c r="AC55" i="26"/>
  <c r="AA55" i="26"/>
  <c r="Z55" i="26"/>
  <c r="Y55" i="26"/>
  <c r="X55" i="26"/>
  <c r="W55" i="26"/>
  <c r="P55" i="26"/>
  <c r="O55" i="26"/>
  <c r="AD55" i="26" s="1"/>
  <c r="N55" i="26"/>
  <c r="M55" i="26"/>
  <c r="AU54" i="26"/>
  <c r="AP54" i="26"/>
  <c r="AI54" i="26"/>
  <c r="AT54" i="26" s="1"/>
  <c r="AH54" i="26"/>
  <c r="AF54" i="26"/>
  <c r="AE54" i="26"/>
  <c r="AD54" i="26"/>
  <c r="AB54" i="26"/>
  <c r="AA54" i="26"/>
  <c r="Z54" i="26"/>
  <c r="Y54" i="26"/>
  <c r="X54" i="26"/>
  <c r="W54" i="26"/>
  <c r="P54" i="26"/>
  <c r="O54" i="26"/>
  <c r="N54" i="26"/>
  <c r="AO54" i="26" s="1"/>
  <c r="AV54" i="26" s="1"/>
  <c r="M54" i="26"/>
  <c r="AT53" i="26"/>
  <c r="AI53" i="26"/>
  <c r="AH53" i="26"/>
  <c r="AF53" i="26"/>
  <c r="AE53" i="26"/>
  <c r="AC53" i="26"/>
  <c r="AA53" i="26"/>
  <c r="Z53" i="26"/>
  <c r="Y53" i="26"/>
  <c r="X53" i="26"/>
  <c r="W53" i="26"/>
  <c r="P53" i="26"/>
  <c r="O53" i="26"/>
  <c r="N53" i="26"/>
  <c r="M53" i="26"/>
  <c r="AI52" i="26"/>
  <c r="AH52" i="26"/>
  <c r="W52" i="26"/>
  <c r="AT51" i="26"/>
  <c r="AI51" i="26"/>
  <c r="AH51" i="26"/>
  <c r="AF51" i="26"/>
  <c r="AE51" i="26"/>
  <c r="AC51" i="26"/>
  <c r="AA51" i="26"/>
  <c r="Z51" i="26"/>
  <c r="Y51" i="26"/>
  <c r="X51" i="26"/>
  <c r="W51" i="26"/>
  <c r="P51" i="26"/>
  <c r="O51" i="26"/>
  <c r="AD51" i="26" s="1"/>
  <c r="N51" i="26"/>
  <c r="M51" i="26"/>
  <c r="AU50" i="26"/>
  <c r="AI50" i="26"/>
  <c r="AT50" i="26" s="1"/>
  <c r="AH50" i="26"/>
  <c r="AF50" i="26"/>
  <c r="AE50" i="26"/>
  <c r="AD50" i="26"/>
  <c r="AB50" i="26"/>
  <c r="AA50" i="26"/>
  <c r="Z50" i="26"/>
  <c r="Y50" i="26"/>
  <c r="X50" i="26"/>
  <c r="W50" i="26"/>
  <c r="P50" i="26"/>
  <c r="O50" i="26"/>
  <c r="N50" i="26"/>
  <c r="M50" i="26"/>
  <c r="AI49" i="26"/>
  <c r="AH49" i="26"/>
  <c r="W49" i="26"/>
  <c r="AI48" i="26"/>
  <c r="AH48" i="26"/>
  <c r="AF48" i="26"/>
  <c r="AE48" i="26"/>
  <c r="AD48" i="26"/>
  <c r="AB48" i="26"/>
  <c r="AA48" i="26"/>
  <c r="Z48" i="26"/>
  <c r="Y48" i="26"/>
  <c r="X48" i="26"/>
  <c r="W48" i="26"/>
  <c r="P48" i="26"/>
  <c r="O48" i="26"/>
  <c r="N48" i="26"/>
  <c r="M48" i="26"/>
  <c r="AT47" i="26"/>
  <c r="AJ47" i="26"/>
  <c r="AI47" i="26"/>
  <c r="AH47" i="26"/>
  <c r="AF47" i="26"/>
  <c r="AE47" i="26"/>
  <c r="AC47" i="26"/>
  <c r="AA47" i="26"/>
  <c r="Z47" i="26"/>
  <c r="Y47" i="26"/>
  <c r="X47" i="26"/>
  <c r="W47" i="26"/>
  <c r="P47" i="26"/>
  <c r="O47" i="26"/>
  <c r="AD47" i="26" s="1"/>
  <c r="N47" i="26"/>
  <c r="M47" i="26"/>
  <c r="AI46" i="26"/>
  <c r="AH46" i="26"/>
  <c r="W46" i="26"/>
  <c r="AT45" i="26"/>
  <c r="AP45" i="26"/>
  <c r="AO45" i="26"/>
  <c r="AV45" i="26" s="1"/>
  <c r="AI45" i="26"/>
  <c r="AH45" i="26"/>
  <c r="AF45" i="26"/>
  <c r="AE45" i="26"/>
  <c r="AC45" i="26"/>
  <c r="AA45" i="26"/>
  <c r="Z45" i="26"/>
  <c r="Y45" i="26"/>
  <c r="X45" i="26"/>
  <c r="W45" i="26"/>
  <c r="P45" i="26"/>
  <c r="O45" i="26"/>
  <c r="AD45" i="26" s="1"/>
  <c r="N45" i="26"/>
  <c r="M45" i="26"/>
  <c r="AR45" i="26" s="1"/>
  <c r="AR44" i="26"/>
  <c r="AP44" i="26"/>
  <c r="AI44" i="26"/>
  <c r="AH44" i="26"/>
  <c r="AF44" i="26"/>
  <c r="AE44" i="26"/>
  <c r="AD44" i="26"/>
  <c r="AB44" i="26"/>
  <c r="AA44" i="26"/>
  <c r="Z44" i="26"/>
  <c r="Y44" i="26"/>
  <c r="X44" i="26"/>
  <c r="W44" i="26"/>
  <c r="P44" i="26"/>
  <c r="O44" i="26"/>
  <c r="N44" i="26"/>
  <c r="AO44" i="26" s="1"/>
  <c r="AV44" i="26" s="1"/>
  <c r="M44" i="26"/>
  <c r="AT43" i="26"/>
  <c r="AP43" i="26"/>
  <c r="AO43" i="26"/>
  <c r="AV43" i="26" s="1"/>
  <c r="AI43" i="26"/>
  <c r="AH43" i="26"/>
  <c r="AF43" i="26"/>
  <c r="AE43" i="26"/>
  <c r="AC43" i="26"/>
  <c r="AA43" i="26"/>
  <c r="Z43" i="26"/>
  <c r="Y43" i="26"/>
  <c r="X43" i="26"/>
  <c r="W43" i="26"/>
  <c r="P43" i="26"/>
  <c r="O43" i="26"/>
  <c r="AD43" i="26" s="1"/>
  <c r="N43" i="26"/>
  <c r="M43" i="26"/>
  <c r="AU42" i="26"/>
  <c r="AP42" i="26"/>
  <c r="AI42" i="26"/>
  <c r="AT42" i="26" s="1"/>
  <c r="AH42" i="26"/>
  <c r="AF42" i="26"/>
  <c r="AE42" i="26"/>
  <c r="AD42" i="26"/>
  <c r="AB42" i="26"/>
  <c r="AA42" i="26"/>
  <c r="Z42" i="26"/>
  <c r="Y42" i="26"/>
  <c r="X42" i="26"/>
  <c r="W42" i="26"/>
  <c r="P42" i="26"/>
  <c r="O42" i="26"/>
  <c r="N42" i="26"/>
  <c r="AO42" i="26" s="1"/>
  <c r="AV42" i="26" s="1"/>
  <c r="M42" i="26"/>
  <c r="AV41" i="26"/>
  <c r="AT41" i="26"/>
  <c r="AP41" i="26"/>
  <c r="AO41" i="26"/>
  <c r="AI41" i="26"/>
  <c r="AH41" i="26"/>
  <c r="AF41" i="26"/>
  <c r="AE41" i="26"/>
  <c r="AC41" i="26"/>
  <c r="AA41" i="26"/>
  <c r="Z41" i="26"/>
  <c r="Y41" i="26"/>
  <c r="X41" i="26"/>
  <c r="W41" i="26"/>
  <c r="P41" i="26"/>
  <c r="O41" i="26"/>
  <c r="N41" i="26"/>
  <c r="M41" i="26"/>
  <c r="AP40" i="26"/>
  <c r="AI40" i="26"/>
  <c r="AT40" i="26" s="1"/>
  <c r="AH40" i="26"/>
  <c r="AF40" i="26"/>
  <c r="AE40" i="26"/>
  <c r="AD40" i="26"/>
  <c r="AB40" i="26"/>
  <c r="AA40" i="26"/>
  <c r="Z40" i="26"/>
  <c r="Y40" i="26"/>
  <c r="X40" i="26"/>
  <c r="W40" i="26"/>
  <c r="P40" i="26"/>
  <c r="O40" i="26"/>
  <c r="AQ40" i="26" s="1"/>
  <c r="N40" i="26"/>
  <c r="M40" i="26"/>
  <c r="AT39" i="26"/>
  <c r="AP39" i="26"/>
  <c r="AO39" i="26"/>
  <c r="AV39" i="26" s="1"/>
  <c r="AI39" i="26"/>
  <c r="AH39" i="26"/>
  <c r="AF39" i="26"/>
  <c r="AE39" i="26"/>
  <c r="AC39" i="26"/>
  <c r="AA39" i="26"/>
  <c r="Z39" i="26"/>
  <c r="Y39" i="26"/>
  <c r="X39" i="26"/>
  <c r="W39" i="26"/>
  <c r="P39" i="26"/>
  <c r="O39" i="26"/>
  <c r="N39" i="26"/>
  <c r="M39" i="26"/>
  <c r="AI38" i="26"/>
  <c r="AH38" i="26"/>
  <c r="W38" i="26"/>
  <c r="AV37" i="26"/>
  <c r="AT37" i="26"/>
  <c r="AP37" i="26"/>
  <c r="AO37" i="26"/>
  <c r="AI37" i="26"/>
  <c r="AH37" i="26"/>
  <c r="AF37" i="26"/>
  <c r="AE37" i="26"/>
  <c r="AC37" i="26"/>
  <c r="AA37" i="26"/>
  <c r="Z37" i="26"/>
  <c r="Y37" i="26"/>
  <c r="X37" i="26"/>
  <c r="W37" i="26"/>
  <c r="P37" i="26"/>
  <c r="O37" i="26"/>
  <c r="N37" i="26"/>
  <c r="M37" i="26"/>
  <c r="AP36" i="26"/>
  <c r="AI36" i="26"/>
  <c r="AT36" i="26" s="1"/>
  <c r="AH36" i="26"/>
  <c r="AF36" i="26"/>
  <c r="AE36" i="26"/>
  <c r="AD36" i="26"/>
  <c r="AB36" i="26"/>
  <c r="AA36" i="26"/>
  <c r="Z36" i="26"/>
  <c r="Y36" i="26"/>
  <c r="X36" i="26"/>
  <c r="W36" i="26"/>
  <c r="P36" i="26"/>
  <c r="O36" i="26"/>
  <c r="N36" i="26"/>
  <c r="M36" i="26"/>
  <c r="AI35" i="26"/>
  <c r="AH35" i="26"/>
  <c r="W35" i="26"/>
  <c r="AP34" i="26"/>
  <c r="AI34" i="26"/>
  <c r="AT34" i="26" s="1"/>
  <c r="AH34" i="26"/>
  <c r="AF34" i="26"/>
  <c r="AE34" i="26"/>
  <c r="AD34" i="26"/>
  <c r="AB34" i="26"/>
  <c r="AA34" i="26"/>
  <c r="Z34" i="26"/>
  <c r="Y34" i="26"/>
  <c r="X34" i="26"/>
  <c r="W34" i="26"/>
  <c r="P34" i="26"/>
  <c r="O34" i="26"/>
  <c r="N34" i="26"/>
  <c r="AO34" i="26" s="1"/>
  <c r="AV34" i="26" s="1"/>
  <c r="M34" i="26"/>
  <c r="AT33" i="26"/>
  <c r="AI33" i="26"/>
  <c r="AH33" i="26"/>
  <c r="AF33" i="26"/>
  <c r="AE33" i="26"/>
  <c r="AC33" i="26"/>
  <c r="AA33" i="26"/>
  <c r="Z33" i="26"/>
  <c r="Y33" i="26"/>
  <c r="X33" i="26"/>
  <c r="W33" i="26"/>
  <c r="P33" i="26"/>
  <c r="O33" i="26"/>
  <c r="N33" i="26"/>
  <c r="M33" i="26"/>
  <c r="AR32" i="26"/>
  <c r="AI32" i="26"/>
  <c r="AH32" i="26"/>
  <c r="AF32" i="26"/>
  <c r="AE32" i="26"/>
  <c r="AD32" i="26"/>
  <c r="AB32" i="26"/>
  <c r="AA32" i="26"/>
  <c r="Z32" i="26"/>
  <c r="Y32" i="26"/>
  <c r="X32" i="26"/>
  <c r="W32" i="26"/>
  <c r="P32" i="26"/>
  <c r="O32" i="26"/>
  <c r="N32" i="26"/>
  <c r="M32" i="26"/>
  <c r="AT31" i="26"/>
  <c r="AQ31" i="26"/>
  <c r="AI31" i="26"/>
  <c r="AH31" i="26"/>
  <c r="AF31" i="26"/>
  <c r="AE31" i="26"/>
  <c r="AC31" i="26"/>
  <c r="AA31" i="26"/>
  <c r="Z31" i="26"/>
  <c r="Y31" i="26"/>
  <c r="X31" i="26"/>
  <c r="W31" i="26"/>
  <c r="P31" i="26"/>
  <c r="O31" i="26"/>
  <c r="AD31" i="26" s="1"/>
  <c r="N31" i="26"/>
  <c r="M31" i="26"/>
  <c r="AR30" i="26"/>
  <c r="AI30" i="26"/>
  <c r="AH30" i="26"/>
  <c r="AF30" i="26"/>
  <c r="AE30" i="26"/>
  <c r="AD30" i="26"/>
  <c r="AB30" i="26"/>
  <c r="AA30" i="26"/>
  <c r="Z30" i="26"/>
  <c r="Y30" i="26"/>
  <c r="X30" i="26"/>
  <c r="W30" i="26"/>
  <c r="P30" i="26"/>
  <c r="O30" i="26"/>
  <c r="N30" i="26"/>
  <c r="M30" i="26"/>
  <c r="AT29" i="26"/>
  <c r="AI29" i="26"/>
  <c r="AH29" i="26"/>
  <c r="AF29" i="26"/>
  <c r="AE29" i="26"/>
  <c r="AC29" i="26"/>
  <c r="AA29" i="26"/>
  <c r="Z29" i="26"/>
  <c r="Y29" i="26"/>
  <c r="X29" i="26"/>
  <c r="W29" i="26"/>
  <c r="P29" i="26"/>
  <c r="O29" i="26"/>
  <c r="AD29" i="26" s="1"/>
  <c r="N29" i="26"/>
  <c r="M29" i="26"/>
  <c r="AI28" i="26"/>
  <c r="AH28" i="26"/>
  <c r="W28" i="26"/>
  <c r="AT27" i="26"/>
  <c r="AP27" i="26"/>
  <c r="AO27" i="26"/>
  <c r="AV27" i="26" s="1"/>
  <c r="AJ27" i="26"/>
  <c r="AI27" i="26"/>
  <c r="AH27" i="26"/>
  <c r="AF27" i="26"/>
  <c r="AE27" i="26"/>
  <c r="AC27" i="26"/>
  <c r="AA27" i="26"/>
  <c r="Z27" i="26"/>
  <c r="Y27" i="26"/>
  <c r="X27" i="26"/>
  <c r="W27" i="26"/>
  <c r="P27" i="26"/>
  <c r="O27" i="26"/>
  <c r="N27" i="26"/>
  <c r="M27" i="26"/>
  <c r="AI26" i="26"/>
  <c r="AH26" i="26"/>
  <c r="W26" i="26"/>
  <c r="AT25" i="26"/>
  <c r="AI25" i="26"/>
  <c r="AH25" i="26"/>
  <c r="AF25" i="26"/>
  <c r="AE25" i="26"/>
  <c r="AC25" i="26"/>
  <c r="AA25" i="26"/>
  <c r="Z25" i="26"/>
  <c r="Y25" i="26"/>
  <c r="X25" i="26"/>
  <c r="W25" i="26"/>
  <c r="P25" i="26"/>
  <c r="O25" i="26"/>
  <c r="AD25" i="26" s="1"/>
  <c r="N25" i="26"/>
  <c r="M25" i="26"/>
  <c r="AU24" i="26"/>
  <c r="AI24" i="26"/>
  <c r="AH24" i="26"/>
  <c r="AF24" i="26"/>
  <c r="AE24" i="26"/>
  <c r="AD24" i="26"/>
  <c r="AB24" i="26"/>
  <c r="AA24" i="26"/>
  <c r="Z24" i="26"/>
  <c r="Y24" i="26"/>
  <c r="X24" i="26"/>
  <c r="W24" i="26"/>
  <c r="P24" i="26"/>
  <c r="O24" i="26"/>
  <c r="N24" i="26"/>
  <c r="M24" i="26"/>
  <c r="AT23" i="26"/>
  <c r="AP23" i="26"/>
  <c r="AO23" i="26"/>
  <c r="AV23" i="26" s="1"/>
  <c r="AJ23" i="26"/>
  <c r="AI23" i="26"/>
  <c r="AH23" i="26"/>
  <c r="AF23" i="26"/>
  <c r="AE23" i="26"/>
  <c r="AC23" i="26"/>
  <c r="AA23" i="26"/>
  <c r="Z23" i="26"/>
  <c r="Y23" i="26"/>
  <c r="X23" i="26"/>
  <c r="W23" i="26"/>
  <c r="P23" i="26"/>
  <c r="O23" i="26"/>
  <c r="N23" i="26"/>
  <c r="M23" i="26"/>
  <c r="AI22" i="26"/>
  <c r="AH22" i="26"/>
  <c r="AF22" i="26"/>
  <c r="AE22" i="26"/>
  <c r="AD22" i="26"/>
  <c r="AB22" i="26"/>
  <c r="AA22" i="26"/>
  <c r="Z22" i="26"/>
  <c r="Y22" i="26"/>
  <c r="X22" i="26"/>
  <c r="W22" i="26"/>
  <c r="P22" i="26"/>
  <c r="O22" i="26"/>
  <c r="N22" i="26"/>
  <c r="M22" i="26"/>
  <c r="AI21" i="26"/>
  <c r="AH21" i="26"/>
  <c r="W21" i="26"/>
  <c r="AI20" i="26"/>
  <c r="AH20" i="26"/>
  <c r="AF20" i="26"/>
  <c r="AE20" i="26"/>
  <c r="AD20" i="26"/>
  <c r="AB20" i="26"/>
  <c r="AA20" i="26"/>
  <c r="Z20" i="26"/>
  <c r="Y20" i="26"/>
  <c r="X20" i="26"/>
  <c r="W20" i="26"/>
  <c r="P20" i="26"/>
  <c r="O20" i="26"/>
  <c r="AQ20" i="26" s="1"/>
  <c r="N20" i="26"/>
  <c r="M20" i="26"/>
  <c r="AQ19" i="26"/>
  <c r="AI19" i="26"/>
  <c r="AH19" i="26"/>
  <c r="AF19" i="26"/>
  <c r="AE19" i="26"/>
  <c r="AC19" i="26"/>
  <c r="AB19" i="26"/>
  <c r="AA19" i="26"/>
  <c r="Z19" i="26"/>
  <c r="Y19" i="26"/>
  <c r="X19" i="26"/>
  <c r="W19" i="26"/>
  <c r="P19" i="26"/>
  <c r="O19" i="26"/>
  <c r="AD19" i="26" s="1"/>
  <c r="N19" i="26"/>
  <c r="M19" i="26"/>
  <c r="AR19" i="26" s="1"/>
  <c r="AU18" i="26"/>
  <c r="AT18" i="26"/>
  <c r="AI18" i="26"/>
  <c r="AJ18" i="26" s="1"/>
  <c r="AH18" i="26"/>
  <c r="AF18" i="26"/>
  <c r="AE18" i="26"/>
  <c r="AC18" i="26"/>
  <c r="AB18" i="26"/>
  <c r="AA18" i="26"/>
  <c r="Z18" i="26"/>
  <c r="Y18" i="26"/>
  <c r="X18" i="26"/>
  <c r="W18" i="26"/>
  <c r="P18" i="26"/>
  <c r="O18" i="26"/>
  <c r="AD18" i="26" s="1"/>
  <c r="N18" i="26"/>
  <c r="M18" i="26"/>
  <c r="AU17" i="26"/>
  <c r="AT17" i="26"/>
  <c r="AI17" i="26"/>
  <c r="AN17" i="26" s="1"/>
  <c r="AH17" i="26"/>
  <c r="AF17" i="26"/>
  <c r="AE17" i="26"/>
  <c r="AC17" i="26"/>
  <c r="AB17" i="26"/>
  <c r="AA17" i="26"/>
  <c r="Z17" i="26"/>
  <c r="Y17" i="26"/>
  <c r="X17" i="26"/>
  <c r="W17" i="26"/>
  <c r="P17" i="26"/>
  <c r="O17" i="26"/>
  <c r="AD17" i="26" s="1"/>
  <c r="N17" i="26"/>
  <c r="M17" i="26"/>
  <c r="AI16" i="26"/>
  <c r="AH16" i="26"/>
  <c r="W16" i="26"/>
  <c r="AI15" i="26"/>
  <c r="AH15" i="26"/>
  <c r="AF15" i="26"/>
  <c r="AE15" i="26"/>
  <c r="AC15" i="26"/>
  <c r="AB15" i="26"/>
  <c r="AA15" i="26"/>
  <c r="Z15" i="26"/>
  <c r="Y15" i="26"/>
  <c r="X15" i="26"/>
  <c r="W15" i="26"/>
  <c r="P15" i="26"/>
  <c r="O15" i="26"/>
  <c r="AD15" i="26" s="1"/>
  <c r="N15" i="26"/>
  <c r="M15" i="26"/>
  <c r="AR15" i="26" s="1"/>
  <c r="AU14" i="26"/>
  <c r="AT14" i="26"/>
  <c r="AJ14" i="26"/>
  <c r="AI14" i="26"/>
  <c r="AH14" i="26"/>
  <c r="AF14" i="26"/>
  <c r="AE14" i="26"/>
  <c r="AD14" i="26"/>
  <c r="AC14" i="26"/>
  <c r="AB14" i="26"/>
  <c r="AA14" i="26"/>
  <c r="Z14" i="26"/>
  <c r="Y14" i="26"/>
  <c r="X14" i="26"/>
  <c r="W14" i="26"/>
  <c r="P14" i="26"/>
  <c r="O14" i="26"/>
  <c r="AQ14" i="26" s="1"/>
  <c r="N14" i="26"/>
  <c r="M14" i="26"/>
  <c r="AU13" i="26"/>
  <c r="AP13" i="26"/>
  <c r="AO13" i="26"/>
  <c r="AV13" i="26" s="1"/>
  <c r="AN13" i="26"/>
  <c r="AI13" i="26"/>
  <c r="AT13" i="26" s="1"/>
  <c r="AH13" i="26"/>
  <c r="AF13" i="26"/>
  <c r="AE13" i="26"/>
  <c r="AD13" i="26"/>
  <c r="AC13" i="26"/>
  <c r="AA13" i="26"/>
  <c r="Z13" i="26"/>
  <c r="Y13" i="26"/>
  <c r="X13" i="26"/>
  <c r="W13" i="26"/>
  <c r="P13" i="26"/>
  <c r="O13" i="26"/>
  <c r="AQ13" i="26" s="1"/>
  <c r="N13" i="26"/>
  <c r="M13" i="26"/>
  <c r="AT12" i="26"/>
  <c r="AJ12" i="26"/>
  <c r="AI12" i="26"/>
  <c r="AH12" i="26"/>
  <c r="AF12" i="26"/>
  <c r="AE12" i="26"/>
  <c r="AD12" i="26"/>
  <c r="AA12" i="26"/>
  <c r="Z12" i="26"/>
  <c r="Y12" i="26"/>
  <c r="X12" i="26"/>
  <c r="W12" i="26"/>
  <c r="P12" i="26"/>
  <c r="O12" i="26"/>
  <c r="AQ12" i="26" s="1"/>
  <c r="N12" i="26"/>
  <c r="M12" i="26"/>
  <c r="AI11" i="26"/>
  <c r="AT11" i="26" s="1"/>
  <c r="AH11" i="26"/>
  <c r="AF11" i="26"/>
  <c r="AE11" i="26"/>
  <c r="AA11" i="26"/>
  <c r="Z11" i="26"/>
  <c r="Y11" i="26"/>
  <c r="X11" i="26"/>
  <c r="W11" i="26"/>
  <c r="P11" i="26"/>
  <c r="O11" i="26"/>
  <c r="AD11" i="26" s="1"/>
  <c r="N11" i="26"/>
  <c r="M11" i="26"/>
  <c r="AR11" i="26" s="1"/>
  <c r="AR10" i="26"/>
  <c r="AI10" i="26"/>
  <c r="AH10" i="26"/>
  <c r="AF10" i="26"/>
  <c r="AE10" i="26"/>
  <c r="AB10" i="26"/>
  <c r="AA10" i="26"/>
  <c r="Z10" i="26"/>
  <c r="Y10" i="26"/>
  <c r="X10" i="26"/>
  <c r="W10" i="26"/>
  <c r="P10" i="26"/>
  <c r="O10" i="26"/>
  <c r="AD10" i="26" s="1"/>
  <c r="N10" i="26"/>
  <c r="AC10" i="26" s="1"/>
  <c r="M10" i="26"/>
  <c r="AR9" i="26"/>
  <c r="AI9" i="26"/>
  <c r="AH9" i="26"/>
  <c r="AF9" i="26"/>
  <c r="AE9" i="26"/>
  <c r="AC9" i="26"/>
  <c r="AB9" i="26"/>
  <c r="AA9" i="26"/>
  <c r="Z9" i="26"/>
  <c r="Y9" i="26"/>
  <c r="X9" i="26"/>
  <c r="W9" i="26"/>
  <c r="P9" i="26"/>
  <c r="O9" i="26"/>
  <c r="AD9" i="26" s="1"/>
  <c r="N9" i="26"/>
  <c r="AO9" i="26" s="1"/>
  <c r="M9" i="26"/>
  <c r="AU8" i="26"/>
  <c r="AT8" i="26"/>
  <c r="AR8" i="26"/>
  <c r="AN8" i="26"/>
  <c r="AJ8" i="26"/>
  <c r="AI8" i="26"/>
  <c r="AH8" i="26"/>
  <c r="AF8" i="26"/>
  <c r="AE8" i="26"/>
  <c r="AD8" i="26"/>
  <c r="AC8" i="26"/>
  <c r="AB8" i="26"/>
  <c r="AA8" i="26"/>
  <c r="Z8" i="26"/>
  <c r="Y8" i="26"/>
  <c r="X8" i="26"/>
  <c r="W8" i="26"/>
  <c r="P8" i="26"/>
  <c r="O8" i="26"/>
  <c r="AQ8" i="26" s="1"/>
  <c r="N8" i="26"/>
  <c r="AO8" i="26" s="1"/>
  <c r="M8" i="26"/>
  <c r="AU7" i="26"/>
  <c r="AO7" i="26"/>
  <c r="AN7" i="26"/>
  <c r="AI7" i="26"/>
  <c r="AT7" i="26" s="1"/>
  <c r="AH7" i="26"/>
  <c r="AF7" i="26"/>
  <c r="AE7" i="26"/>
  <c r="AD7" i="26"/>
  <c r="AC7" i="26"/>
  <c r="AA7" i="26"/>
  <c r="Z7" i="26"/>
  <c r="Y7" i="26"/>
  <c r="X7" i="26"/>
  <c r="W7" i="26"/>
  <c r="P7" i="26"/>
  <c r="O7" i="26"/>
  <c r="AQ7" i="26" s="1"/>
  <c r="N7" i="26"/>
  <c r="M7" i="26"/>
  <c r="AT6" i="26"/>
  <c r="AJ6" i="26"/>
  <c r="AI6" i="26"/>
  <c r="AH6" i="26"/>
  <c r="AF6" i="26"/>
  <c r="AE6" i="26"/>
  <c r="AD6" i="26"/>
  <c r="AA6" i="26"/>
  <c r="Z6" i="26"/>
  <c r="Y6" i="26"/>
  <c r="X6" i="26"/>
  <c r="W6" i="26"/>
  <c r="P6" i="26"/>
  <c r="O6" i="26"/>
  <c r="AQ6" i="26" s="1"/>
  <c r="N6" i="26"/>
  <c r="M6" i="26"/>
  <c r="AI5" i="26"/>
  <c r="AH5" i="26"/>
  <c r="W5" i="26"/>
  <c r="AI4" i="26"/>
  <c r="AU3" i="26"/>
  <c r="AR3" i="26"/>
  <c r="AQ3" i="26"/>
  <c r="AI3" i="26"/>
  <c r="AH3" i="26"/>
  <c r="AN2" i="26"/>
  <c r="AM2" i="26"/>
  <c r="AL2" i="26"/>
  <c r="AK2" i="26"/>
  <c r="AJ2" i="26"/>
  <c r="AJ59" i="26" s="1"/>
  <c r="AH2" i="26"/>
  <c r="AA2" i="26"/>
  <c r="A2" i="26"/>
  <c r="AU1" i="26"/>
  <c r="AR1" i="26"/>
  <c r="AR22" i="26" s="1"/>
  <c r="AQ1" i="26"/>
  <c r="AQ45" i="26" s="1"/>
  <c r="AP1" i="26"/>
  <c r="AP22" i="26" s="1"/>
  <c r="AO1" i="26"/>
  <c r="AO19" i="26" s="1"/>
  <c r="AJ1" i="26"/>
  <c r="AH1" i="26"/>
  <c r="AA1" i="26"/>
  <c r="A1" i="26"/>
  <c r="AU9" i="25"/>
  <c r="AP9" i="25"/>
  <c r="AO9" i="25"/>
  <c r="AV9" i="25" s="1"/>
  <c r="AN9" i="25"/>
  <c r="AI9" i="25"/>
  <c r="AT9" i="25" s="1"/>
  <c r="AH9" i="25"/>
  <c r="AF9" i="25"/>
  <c r="AE9" i="25"/>
  <c r="AD9" i="25"/>
  <c r="AC9" i="25"/>
  <c r="AA9" i="25"/>
  <c r="Z9" i="25"/>
  <c r="Y9" i="25"/>
  <c r="X9" i="25"/>
  <c r="W9" i="25"/>
  <c r="P9" i="25"/>
  <c r="O9" i="25"/>
  <c r="N9" i="25"/>
  <c r="M9" i="25"/>
  <c r="AV8" i="25"/>
  <c r="AU8" i="25"/>
  <c r="AT8" i="25"/>
  <c r="AP8" i="25"/>
  <c r="AO8" i="25"/>
  <c r="AI8" i="25"/>
  <c r="AH8" i="25"/>
  <c r="AF8" i="25"/>
  <c r="AE8" i="25"/>
  <c r="AD8" i="25"/>
  <c r="AA8" i="25"/>
  <c r="Z8" i="25"/>
  <c r="Y8" i="25"/>
  <c r="X8" i="25"/>
  <c r="W8" i="25"/>
  <c r="P8" i="25"/>
  <c r="O8" i="25"/>
  <c r="N8" i="25"/>
  <c r="AC8" i="25" s="1"/>
  <c r="M8" i="25"/>
  <c r="AU7" i="25"/>
  <c r="AP7" i="25"/>
  <c r="AI7" i="25"/>
  <c r="AT7" i="25" s="1"/>
  <c r="AH7" i="25"/>
  <c r="AF7" i="25"/>
  <c r="AE7" i="25"/>
  <c r="AA7" i="25"/>
  <c r="Z7" i="25"/>
  <c r="Y7" i="25"/>
  <c r="X7" i="25"/>
  <c r="W7" i="25"/>
  <c r="P7" i="25"/>
  <c r="O7" i="25"/>
  <c r="AD7" i="25" s="1"/>
  <c r="N7" i="25"/>
  <c r="M7" i="25"/>
  <c r="AR7" i="25" s="1"/>
  <c r="AQ6" i="25"/>
  <c r="AP6" i="25"/>
  <c r="AO6" i="25"/>
  <c r="AV6" i="25" s="1"/>
  <c r="AI6" i="25"/>
  <c r="AH6" i="25"/>
  <c r="AF6" i="25"/>
  <c r="AE6" i="25"/>
  <c r="AB6" i="25"/>
  <c r="AA6" i="25"/>
  <c r="Z6" i="25"/>
  <c r="Y6" i="25"/>
  <c r="X6" i="25"/>
  <c r="W6" i="25"/>
  <c r="P6" i="25"/>
  <c r="O6" i="25"/>
  <c r="AD6" i="25" s="1"/>
  <c r="N6" i="25"/>
  <c r="AC6" i="25" s="1"/>
  <c r="M6" i="25"/>
  <c r="AI5" i="25"/>
  <c r="AH5" i="25"/>
  <c r="W5" i="25"/>
  <c r="AI4" i="25"/>
  <c r="AU3" i="25"/>
  <c r="AO3" i="25"/>
  <c r="AI3" i="25"/>
  <c r="AH3" i="25"/>
  <c r="AN2" i="25"/>
  <c r="AN8" i="25" s="1"/>
  <c r="AM2" i="25"/>
  <c r="AL2" i="25"/>
  <c r="AK2" i="25"/>
  <c r="AJ2" i="25"/>
  <c r="AA2" i="25"/>
  <c r="A2" i="25"/>
  <c r="AU1" i="25"/>
  <c r="AU6" i="25" s="1"/>
  <c r="AR1" i="25"/>
  <c r="AR3" i="25" s="1"/>
  <c r="AQ1" i="25"/>
  <c r="AQ3" i="25" s="1"/>
  <c r="AP1" i="25"/>
  <c r="AP3" i="25" s="1"/>
  <c r="AO1" i="25"/>
  <c r="AA1" i="25"/>
  <c r="A1" i="25"/>
  <c r="AP9" i="24"/>
  <c r="AN9" i="24"/>
  <c r="AI9" i="24"/>
  <c r="AT9" i="24" s="1"/>
  <c r="AH9" i="24"/>
  <c r="AF9" i="24"/>
  <c r="AE9" i="24"/>
  <c r="AA9" i="24"/>
  <c r="Z9" i="24"/>
  <c r="Y9" i="24"/>
  <c r="X9" i="24"/>
  <c r="W9" i="24"/>
  <c r="P9" i="24"/>
  <c r="O9" i="24"/>
  <c r="AD9" i="24" s="1"/>
  <c r="N9" i="24"/>
  <c r="M9" i="24"/>
  <c r="AR9" i="24" s="1"/>
  <c r="AR8" i="24"/>
  <c r="AP8" i="24"/>
  <c r="AO8" i="24"/>
  <c r="AV8" i="24" s="1"/>
  <c r="AI8" i="24"/>
  <c r="AH8" i="24"/>
  <c r="AF8" i="24"/>
  <c r="AE8" i="24"/>
  <c r="AB8" i="24"/>
  <c r="AA8" i="24"/>
  <c r="Z8" i="24"/>
  <c r="Y8" i="24"/>
  <c r="X8" i="24"/>
  <c r="W8" i="24"/>
  <c r="P8" i="24"/>
  <c r="O8" i="24"/>
  <c r="AD8" i="24" s="1"/>
  <c r="N8" i="24"/>
  <c r="AC8" i="24" s="1"/>
  <c r="M8" i="24"/>
  <c r="AT7" i="24"/>
  <c r="AR7" i="24"/>
  <c r="AP7" i="24"/>
  <c r="AJ7" i="24"/>
  <c r="AI7" i="24"/>
  <c r="AN7" i="24" s="1"/>
  <c r="AH7" i="24"/>
  <c r="AF7" i="24"/>
  <c r="AE7" i="24"/>
  <c r="AC7" i="24"/>
  <c r="AB7" i="24"/>
  <c r="AA7" i="24"/>
  <c r="Z7" i="24"/>
  <c r="Y7" i="24"/>
  <c r="X7" i="24"/>
  <c r="W7" i="24"/>
  <c r="P7" i="24"/>
  <c r="O7" i="24"/>
  <c r="AD7" i="24" s="1"/>
  <c r="N7" i="24"/>
  <c r="AO7" i="24" s="1"/>
  <c r="AV7" i="24" s="1"/>
  <c r="M7" i="24"/>
  <c r="AU6" i="24"/>
  <c r="AT6" i="24"/>
  <c r="AP6" i="24"/>
  <c r="AN6" i="24"/>
  <c r="AJ6" i="24"/>
  <c r="AI6" i="24"/>
  <c r="AH6" i="24"/>
  <c r="AF6" i="24"/>
  <c r="AE6" i="24"/>
  <c r="AD6" i="24"/>
  <c r="AC6" i="24"/>
  <c r="AB6" i="24"/>
  <c r="AA6" i="24"/>
  <c r="Z6" i="24"/>
  <c r="Y6" i="24"/>
  <c r="X6" i="24"/>
  <c r="W6" i="24"/>
  <c r="P6" i="24"/>
  <c r="O6" i="24"/>
  <c r="AQ6" i="24" s="1"/>
  <c r="N6" i="24"/>
  <c r="AO6" i="24" s="1"/>
  <c r="AV6" i="24" s="1"/>
  <c r="M6" i="24"/>
  <c r="AI5" i="24"/>
  <c r="AH5" i="24"/>
  <c r="W5" i="24"/>
  <c r="AI4" i="24"/>
  <c r="AQ3" i="24"/>
  <c r="AP3" i="24"/>
  <c r="AO3" i="24"/>
  <c r="AI3" i="24"/>
  <c r="AH3" i="24"/>
  <c r="AN2" i="24"/>
  <c r="AM2" i="24"/>
  <c r="AL2" i="24"/>
  <c r="AK2" i="24"/>
  <c r="AJ2" i="24"/>
  <c r="AA2" i="24"/>
  <c r="A2" i="24"/>
  <c r="AU1" i="24"/>
  <c r="AR1" i="24"/>
  <c r="AR3" i="24" s="1"/>
  <c r="AQ1" i="24"/>
  <c r="AP1" i="24"/>
  <c r="AO1" i="24"/>
  <c r="AJ1" i="24"/>
  <c r="AH1" i="24"/>
  <c r="AH2" i="24" s="1"/>
  <c r="AA1" i="24"/>
  <c r="A1" i="24"/>
  <c r="AT10" i="23"/>
  <c r="AR10" i="23"/>
  <c r="AP10" i="23"/>
  <c r="AI10" i="23"/>
  <c r="AN10" i="23" s="1"/>
  <c r="AH10" i="23"/>
  <c r="AF10" i="23"/>
  <c r="AE10" i="23"/>
  <c r="AC10" i="23"/>
  <c r="AB10" i="23"/>
  <c r="AA10" i="23"/>
  <c r="Z10" i="23"/>
  <c r="Y10" i="23"/>
  <c r="X10" i="23"/>
  <c r="W10" i="23"/>
  <c r="P10" i="23"/>
  <c r="O10" i="23"/>
  <c r="AD10" i="23" s="1"/>
  <c r="N10" i="23"/>
  <c r="AO10" i="23" s="1"/>
  <c r="AV10" i="23" s="1"/>
  <c r="M10" i="23"/>
  <c r="AU9" i="23"/>
  <c r="AT9" i="23"/>
  <c r="AN9" i="23"/>
  <c r="AJ9" i="23"/>
  <c r="AI9" i="23"/>
  <c r="AH9" i="23"/>
  <c r="AF9" i="23"/>
  <c r="AE9" i="23"/>
  <c r="AD9" i="23"/>
  <c r="AC9" i="23"/>
  <c r="AB9" i="23"/>
  <c r="AA9" i="23"/>
  <c r="Z9" i="23"/>
  <c r="Y9" i="23"/>
  <c r="X9" i="23"/>
  <c r="W9" i="23"/>
  <c r="P9" i="23"/>
  <c r="O9" i="23"/>
  <c r="AQ9" i="23" s="1"/>
  <c r="N9" i="23"/>
  <c r="AO9" i="23" s="1"/>
  <c r="M9" i="23"/>
  <c r="AO8" i="23"/>
  <c r="AN8" i="23"/>
  <c r="AI8" i="23"/>
  <c r="AT8" i="23" s="1"/>
  <c r="AH8" i="23"/>
  <c r="AF8" i="23"/>
  <c r="AE8" i="23"/>
  <c r="AD8" i="23"/>
  <c r="AC8" i="23"/>
  <c r="AA8" i="23"/>
  <c r="Z8" i="23"/>
  <c r="Y8" i="23"/>
  <c r="X8" i="23"/>
  <c r="W8" i="23"/>
  <c r="P8" i="23"/>
  <c r="O8" i="23"/>
  <c r="AQ8" i="23" s="1"/>
  <c r="N8" i="23"/>
  <c r="M8" i="23"/>
  <c r="AI7" i="23"/>
  <c r="AH7" i="23"/>
  <c r="W7" i="23"/>
  <c r="AT6" i="23"/>
  <c r="AR6" i="23"/>
  <c r="AI6" i="23"/>
  <c r="AN6" i="23" s="1"/>
  <c r="AH6" i="23"/>
  <c r="AF6" i="23"/>
  <c r="AE6" i="23"/>
  <c r="AC6" i="23"/>
  <c r="AB6" i="23"/>
  <c r="AA6" i="23"/>
  <c r="Z6" i="23"/>
  <c r="Y6" i="23"/>
  <c r="X6" i="23"/>
  <c r="W6" i="23"/>
  <c r="P6" i="23"/>
  <c r="O6" i="23"/>
  <c r="AD6" i="23" s="1"/>
  <c r="N6" i="23"/>
  <c r="AO6" i="23" s="1"/>
  <c r="M6" i="23"/>
  <c r="AI5" i="23"/>
  <c r="AH5" i="23"/>
  <c r="W5" i="23"/>
  <c r="AI4" i="23"/>
  <c r="AP3" i="23"/>
  <c r="AO3" i="23"/>
  <c r="AI3" i="23"/>
  <c r="AH3" i="23"/>
  <c r="AN2" i="23"/>
  <c r="AM2" i="23"/>
  <c r="AL2" i="23"/>
  <c r="AK2" i="23"/>
  <c r="AJ2" i="23"/>
  <c r="AA2" i="23"/>
  <c r="A2" i="23"/>
  <c r="AU1" i="23"/>
  <c r="AR1" i="23"/>
  <c r="AQ1" i="23"/>
  <c r="AQ3" i="23" s="1"/>
  <c r="AP1" i="23"/>
  <c r="AP9" i="23" s="1"/>
  <c r="AO1" i="23"/>
  <c r="AH1" i="23"/>
  <c r="AH2" i="23" s="1"/>
  <c r="AA1" i="23"/>
  <c r="A1" i="23"/>
  <c r="AJ1" i="23" s="1"/>
  <c r="AR9" i="22"/>
  <c r="AQ9" i="22"/>
  <c r="AP9" i="22"/>
  <c r="AI9" i="22"/>
  <c r="AH9" i="22"/>
  <c r="AF9" i="22"/>
  <c r="AE9" i="22"/>
  <c r="AB9" i="22"/>
  <c r="AA9" i="22"/>
  <c r="Z9" i="22"/>
  <c r="Y9" i="22"/>
  <c r="X9" i="22"/>
  <c r="W9" i="22"/>
  <c r="P9" i="22"/>
  <c r="O9" i="22"/>
  <c r="AD9" i="22" s="1"/>
  <c r="N9" i="22"/>
  <c r="AC9" i="22" s="1"/>
  <c r="M9" i="22"/>
  <c r="AR8" i="22"/>
  <c r="AP8" i="22"/>
  <c r="AI8" i="22"/>
  <c r="AH8" i="22"/>
  <c r="AF8" i="22"/>
  <c r="AE8" i="22"/>
  <c r="AC8" i="22"/>
  <c r="AB8" i="22"/>
  <c r="AA8" i="22"/>
  <c r="Z8" i="22"/>
  <c r="Y8" i="22"/>
  <c r="X8" i="22"/>
  <c r="W8" i="22"/>
  <c r="P8" i="22"/>
  <c r="O8" i="22"/>
  <c r="AD8" i="22" s="1"/>
  <c r="N8" i="22"/>
  <c r="M8" i="22"/>
  <c r="AU7" i="22"/>
  <c r="AP7" i="22"/>
  <c r="AI7" i="22"/>
  <c r="AH7" i="22"/>
  <c r="AF7" i="22"/>
  <c r="AE7" i="22"/>
  <c r="AC7" i="22"/>
  <c r="AB7" i="22"/>
  <c r="AA7" i="22"/>
  <c r="Z7" i="22"/>
  <c r="Y7" i="22"/>
  <c r="X7" i="22"/>
  <c r="W7" i="22"/>
  <c r="P7" i="22"/>
  <c r="O7" i="22"/>
  <c r="N7" i="22"/>
  <c r="AO7" i="22" s="1"/>
  <c r="AV7" i="22" s="1"/>
  <c r="M7" i="22"/>
  <c r="AT6" i="22"/>
  <c r="AR6" i="22"/>
  <c r="AJ6" i="22"/>
  <c r="AI6" i="22"/>
  <c r="AH6" i="22"/>
  <c r="AF6" i="22"/>
  <c r="AE6" i="22"/>
  <c r="AD6" i="22"/>
  <c r="AC6" i="22"/>
  <c r="AA6" i="22"/>
  <c r="Z6" i="22"/>
  <c r="Y6" i="22"/>
  <c r="X6" i="22"/>
  <c r="W6" i="22"/>
  <c r="P6" i="22"/>
  <c r="O6" i="22"/>
  <c r="AQ6" i="22" s="1"/>
  <c r="N6" i="22"/>
  <c r="M6" i="22"/>
  <c r="AB6" i="22" s="1"/>
  <c r="AI5" i="22"/>
  <c r="AH5" i="22"/>
  <c r="W5" i="22"/>
  <c r="AI4" i="22"/>
  <c r="AR3" i="22"/>
  <c r="AQ3" i="22"/>
  <c r="AP3" i="22"/>
  <c r="AI3" i="22"/>
  <c r="AH3" i="22"/>
  <c r="AN2" i="22"/>
  <c r="AN6" i="22" s="1"/>
  <c r="AM2" i="22"/>
  <c r="AL2" i="22"/>
  <c r="AK2" i="22"/>
  <c r="AJ2" i="22"/>
  <c r="AA2" i="22"/>
  <c r="A2" i="22"/>
  <c r="AU1" i="22"/>
  <c r="AR1" i="22"/>
  <c r="AR7" i="22" s="1"/>
  <c r="AQ1" i="22"/>
  <c r="AP1" i="22"/>
  <c r="AP6" i="22" s="1"/>
  <c r="AO1" i="22"/>
  <c r="AJ1" i="22"/>
  <c r="AH1" i="22"/>
  <c r="AH2" i="22" s="1"/>
  <c r="AA1" i="22"/>
  <c r="A1" i="22"/>
  <c r="AT11" i="21"/>
  <c r="AP11" i="21"/>
  <c r="AI11" i="21"/>
  <c r="AH11" i="21"/>
  <c r="AF11" i="21"/>
  <c r="AE11" i="21"/>
  <c r="AC11" i="21"/>
  <c r="AB11" i="21"/>
  <c r="AA11" i="21"/>
  <c r="Z11" i="21"/>
  <c r="Y11" i="21"/>
  <c r="X11" i="21"/>
  <c r="W11" i="21"/>
  <c r="P11" i="21"/>
  <c r="O11" i="21"/>
  <c r="N11" i="21"/>
  <c r="AO11" i="21" s="1"/>
  <c r="AV11" i="21" s="1"/>
  <c r="M11" i="21"/>
  <c r="AV10" i="21"/>
  <c r="AR10" i="21"/>
  <c r="AP10" i="21"/>
  <c r="AO10" i="21"/>
  <c r="AI10" i="21"/>
  <c r="AT10" i="21" s="1"/>
  <c r="AH10" i="21"/>
  <c r="AF10" i="21"/>
  <c r="AE10" i="21"/>
  <c r="AC10" i="21"/>
  <c r="AB10" i="21"/>
  <c r="AA10" i="21"/>
  <c r="Z10" i="21"/>
  <c r="Y10" i="21"/>
  <c r="X10" i="21"/>
  <c r="W10" i="21"/>
  <c r="P10" i="21"/>
  <c r="O10" i="21"/>
  <c r="N10" i="21"/>
  <c r="M10" i="21"/>
  <c r="AT9" i="21"/>
  <c r="AP9" i="21"/>
  <c r="AI9" i="21"/>
  <c r="AH9" i="21"/>
  <c r="AF9" i="21"/>
  <c r="AE9" i="21"/>
  <c r="AD9" i="21"/>
  <c r="AB9" i="21"/>
  <c r="AA9" i="21"/>
  <c r="Z9" i="21"/>
  <c r="Y9" i="21"/>
  <c r="X9" i="21"/>
  <c r="W9" i="21"/>
  <c r="P9" i="21"/>
  <c r="O9" i="21"/>
  <c r="AQ9" i="21" s="1"/>
  <c r="N9" i="21"/>
  <c r="AC9" i="21" s="1"/>
  <c r="M9" i="21"/>
  <c r="AT8" i="21"/>
  <c r="AP8" i="21"/>
  <c r="AI8" i="21"/>
  <c r="AH8" i="21"/>
  <c r="AF8" i="21"/>
  <c r="AE8" i="21"/>
  <c r="AA8" i="21"/>
  <c r="Z8" i="21"/>
  <c r="Y8" i="21"/>
  <c r="X8" i="21"/>
  <c r="W8" i="21"/>
  <c r="P8" i="21"/>
  <c r="O8" i="21"/>
  <c r="AD8" i="21" s="1"/>
  <c r="N8" i="21"/>
  <c r="M8" i="21"/>
  <c r="AP7" i="21"/>
  <c r="AI7" i="21"/>
  <c r="AH7" i="21"/>
  <c r="AF7" i="21"/>
  <c r="AE7" i="21"/>
  <c r="AB7" i="21"/>
  <c r="AA7" i="21"/>
  <c r="Z7" i="21"/>
  <c r="Y7" i="21"/>
  <c r="X7" i="21"/>
  <c r="W7" i="21"/>
  <c r="P7" i="21"/>
  <c r="O7" i="21"/>
  <c r="N7" i="21"/>
  <c r="AC7" i="21" s="1"/>
  <c r="M7" i="21"/>
  <c r="AT6" i="21"/>
  <c r="AP6" i="21"/>
  <c r="AO6" i="21"/>
  <c r="AV6" i="21" s="1"/>
  <c r="AI6" i="21"/>
  <c r="AN6" i="21" s="1"/>
  <c r="AH6" i="21"/>
  <c r="AF6" i="21"/>
  <c r="AE6" i="21"/>
  <c r="AC6" i="21"/>
  <c r="AB6" i="21"/>
  <c r="AA6" i="21"/>
  <c r="Z6" i="21"/>
  <c r="Y6" i="21"/>
  <c r="X6" i="21"/>
  <c r="W6" i="21"/>
  <c r="P6" i="21"/>
  <c r="O6" i="21"/>
  <c r="AD6" i="21" s="1"/>
  <c r="N6" i="21"/>
  <c r="M6" i="21"/>
  <c r="AI5" i="21"/>
  <c r="AH5" i="21"/>
  <c r="W5" i="21"/>
  <c r="AI4" i="21"/>
  <c r="AP3" i="21"/>
  <c r="AO3" i="21"/>
  <c r="AI3" i="21"/>
  <c r="AH3" i="21"/>
  <c r="AN2" i="21"/>
  <c r="AN8" i="21" s="1"/>
  <c r="AM2" i="21"/>
  <c r="AL2" i="21"/>
  <c r="AK2" i="21"/>
  <c r="AJ2" i="21"/>
  <c r="AJ8" i="21" s="1"/>
  <c r="AA2" i="21"/>
  <c r="A2" i="21"/>
  <c r="AU1" i="21"/>
  <c r="AR1" i="21"/>
  <c r="AR3" i="21" s="1"/>
  <c r="AQ1" i="21"/>
  <c r="AQ3" i="21" s="1"/>
  <c r="AP1" i="21"/>
  <c r="AO1" i="21"/>
  <c r="AH1" i="21"/>
  <c r="AH2" i="21" s="1"/>
  <c r="AA1" i="21"/>
  <c r="A1" i="21"/>
  <c r="AJ1" i="21" s="1"/>
  <c r="AI59" i="20"/>
  <c r="AH59" i="20"/>
  <c r="AF59" i="20"/>
  <c r="AE59" i="20"/>
  <c r="AB59" i="20"/>
  <c r="AA59" i="20"/>
  <c r="Z59" i="20"/>
  <c r="Y59" i="20"/>
  <c r="X59" i="20"/>
  <c r="W59" i="20"/>
  <c r="P59" i="20"/>
  <c r="O59" i="20"/>
  <c r="AD59" i="20" s="1"/>
  <c r="N59" i="20"/>
  <c r="AC59" i="20" s="1"/>
  <c r="M59" i="20"/>
  <c r="AP58" i="20"/>
  <c r="AO58" i="20"/>
  <c r="AV58" i="20" s="1"/>
  <c r="AI58" i="20"/>
  <c r="AT58" i="20" s="1"/>
  <c r="AH58" i="20"/>
  <c r="AF58" i="20"/>
  <c r="AE58" i="20"/>
  <c r="AC58" i="20"/>
  <c r="AB58" i="20"/>
  <c r="AA58" i="20"/>
  <c r="Z58" i="20"/>
  <c r="Y58" i="20"/>
  <c r="X58" i="20"/>
  <c r="W58" i="20"/>
  <c r="P58" i="20"/>
  <c r="O58" i="20"/>
  <c r="AD58" i="20" s="1"/>
  <c r="N58" i="20"/>
  <c r="M58" i="20"/>
  <c r="AT57" i="20"/>
  <c r="AN57" i="20"/>
  <c r="AI57" i="20"/>
  <c r="AH57" i="20"/>
  <c r="AF57" i="20"/>
  <c r="AE57" i="20"/>
  <c r="AD57" i="20"/>
  <c r="AC57" i="20"/>
  <c r="AB57" i="20"/>
  <c r="AA57" i="20"/>
  <c r="Z57" i="20"/>
  <c r="Y57" i="20"/>
  <c r="X57" i="20"/>
  <c r="W57" i="20"/>
  <c r="P57" i="20"/>
  <c r="O57" i="20"/>
  <c r="N57" i="20"/>
  <c r="M57" i="20"/>
  <c r="AT56" i="20"/>
  <c r="AI56" i="20"/>
  <c r="AH56" i="20"/>
  <c r="AF56" i="20"/>
  <c r="AE56" i="20"/>
  <c r="AD56" i="20"/>
  <c r="AC56" i="20"/>
  <c r="AA56" i="20"/>
  <c r="Z56" i="20"/>
  <c r="Y56" i="20"/>
  <c r="X56" i="20"/>
  <c r="W56" i="20"/>
  <c r="P56" i="20"/>
  <c r="O56" i="20"/>
  <c r="N56" i="20"/>
  <c r="M56" i="20"/>
  <c r="AI55" i="20"/>
  <c r="AH55" i="20"/>
  <c r="W55" i="20"/>
  <c r="AT54" i="20"/>
  <c r="AR54" i="20"/>
  <c r="AI54" i="20"/>
  <c r="AH54" i="20"/>
  <c r="AF54" i="20"/>
  <c r="AE54" i="20"/>
  <c r="AC54" i="20"/>
  <c r="AB54" i="20"/>
  <c r="AA54" i="20"/>
  <c r="Z54" i="20"/>
  <c r="Y54" i="20"/>
  <c r="X54" i="20"/>
  <c r="W54" i="20"/>
  <c r="P54" i="20"/>
  <c r="O54" i="20"/>
  <c r="AD54" i="20" s="1"/>
  <c r="N54" i="20"/>
  <c r="M54" i="20"/>
  <c r="AT53" i="20"/>
  <c r="AI53" i="20"/>
  <c r="AH53" i="20"/>
  <c r="AF53" i="20"/>
  <c r="AE53" i="20"/>
  <c r="AD53" i="20"/>
  <c r="AC53" i="20"/>
  <c r="AB53" i="20"/>
  <c r="AA53" i="20"/>
  <c r="Z53" i="20"/>
  <c r="Y53" i="20"/>
  <c r="X53" i="20"/>
  <c r="W53" i="20"/>
  <c r="P53" i="20"/>
  <c r="O53" i="20"/>
  <c r="N53" i="20"/>
  <c r="M53" i="20"/>
  <c r="AT52" i="20"/>
  <c r="AI52" i="20"/>
  <c r="AH52" i="20"/>
  <c r="AF52" i="20"/>
  <c r="AE52" i="20"/>
  <c r="AD52" i="20"/>
  <c r="AC52" i="20"/>
  <c r="AA52" i="20"/>
  <c r="Z52" i="20"/>
  <c r="Y52" i="20"/>
  <c r="X52" i="20"/>
  <c r="W52" i="20"/>
  <c r="P52" i="20"/>
  <c r="O52" i="20"/>
  <c r="N52" i="20"/>
  <c r="M52" i="20"/>
  <c r="AI51" i="20"/>
  <c r="AT51" i="20" s="1"/>
  <c r="AH51" i="20"/>
  <c r="AF51" i="20"/>
  <c r="AE51" i="20"/>
  <c r="AD51" i="20"/>
  <c r="AA51" i="20"/>
  <c r="Z51" i="20"/>
  <c r="Y51" i="20"/>
  <c r="X51" i="20"/>
  <c r="W51" i="20"/>
  <c r="P51" i="20"/>
  <c r="O51" i="20"/>
  <c r="N51" i="20"/>
  <c r="M51" i="20"/>
  <c r="AI50" i="20"/>
  <c r="AH50" i="20"/>
  <c r="W50" i="20"/>
  <c r="AT49" i="20"/>
  <c r="AP49" i="20"/>
  <c r="AI49" i="20"/>
  <c r="AH49" i="20"/>
  <c r="AF49" i="20"/>
  <c r="AE49" i="20"/>
  <c r="AD49" i="20"/>
  <c r="AC49" i="20"/>
  <c r="AB49" i="20"/>
  <c r="AA49" i="20"/>
  <c r="Z49" i="20"/>
  <c r="Y49" i="20"/>
  <c r="X49" i="20"/>
  <c r="W49" i="20"/>
  <c r="P49" i="20"/>
  <c r="O49" i="20"/>
  <c r="N49" i="20"/>
  <c r="AO49" i="20" s="1"/>
  <c r="AV49" i="20" s="1"/>
  <c r="M49" i="20"/>
  <c r="AT48" i="20"/>
  <c r="AP48" i="20"/>
  <c r="AO48" i="20"/>
  <c r="AV48" i="20" s="1"/>
  <c r="AI48" i="20"/>
  <c r="AH48" i="20"/>
  <c r="AF48" i="20"/>
  <c r="AE48" i="20"/>
  <c r="AD48" i="20"/>
  <c r="AC48" i="20"/>
  <c r="AA48" i="20"/>
  <c r="Z48" i="20"/>
  <c r="Y48" i="20"/>
  <c r="X48" i="20"/>
  <c r="W48" i="20"/>
  <c r="P48" i="20"/>
  <c r="O48" i="20"/>
  <c r="N48" i="20"/>
  <c r="M48" i="20"/>
  <c r="AV47" i="20"/>
  <c r="AP47" i="20"/>
  <c r="AO47" i="20"/>
  <c r="AI47" i="20"/>
  <c r="AH47" i="20"/>
  <c r="AF47" i="20"/>
  <c r="AE47" i="20"/>
  <c r="AD47" i="20"/>
  <c r="AA47" i="20"/>
  <c r="Z47" i="20"/>
  <c r="Y47" i="20"/>
  <c r="X47" i="20"/>
  <c r="W47" i="20"/>
  <c r="P47" i="20"/>
  <c r="O47" i="20"/>
  <c r="N47" i="20"/>
  <c r="AC47" i="20" s="1"/>
  <c r="M47" i="20"/>
  <c r="AT46" i="20"/>
  <c r="AP46" i="20"/>
  <c r="AI46" i="20"/>
  <c r="AH46" i="20"/>
  <c r="AF46" i="20"/>
  <c r="AE46" i="20"/>
  <c r="AA46" i="20"/>
  <c r="Z46" i="20"/>
  <c r="Y46" i="20"/>
  <c r="X46" i="20"/>
  <c r="W46" i="20"/>
  <c r="P46" i="20"/>
  <c r="O46" i="20"/>
  <c r="AD46" i="20" s="1"/>
  <c r="N46" i="20"/>
  <c r="M46" i="20"/>
  <c r="AI45" i="20"/>
  <c r="AH45" i="20"/>
  <c r="W45" i="20"/>
  <c r="AU44" i="20"/>
  <c r="AT44" i="20"/>
  <c r="AP44" i="20"/>
  <c r="AO44" i="20"/>
  <c r="AV44" i="20" s="1"/>
  <c r="AI44" i="20"/>
  <c r="AH44" i="20"/>
  <c r="AF44" i="20"/>
  <c r="AE44" i="20"/>
  <c r="AD44" i="20"/>
  <c r="AC44" i="20"/>
  <c r="AA44" i="20"/>
  <c r="Z44" i="20"/>
  <c r="Y44" i="20"/>
  <c r="X44" i="20"/>
  <c r="W44" i="20"/>
  <c r="P44" i="20"/>
  <c r="O44" i="20"/>
  <c r="N44" i="20"/>
  <c r="M44" i="20"/>
  <c r="AI43" i="20"/>
  <c r="AH43" i="20"/>
  <c r="AF43" i="20"/>
  <c r="AE43" i="20"/>
  <c r="AD43" i="20"/>
  <c r="AA43" i="20"/>
  <c r="Z43" i="20"/>
  <c r="Y43" i="20"/>
  <c r="X43" i="20"/>
  <c r="W43" i="20"/>
  <c r="P43" i="20"/>
  <c r="O43" i="20"/>
  <c r="N43" i="20"/>
  <c r="AC43" i="20" s="1"/>
  <c r="M43" i="20"/>
  <c r="AT42" i="20"/>
  <c r="AI42" i="20"/>
  <c r="AH42" i="20"/>
  <c r="AF42" i="20"/>
  <c r="AE42" i="20"/>
  <c r="AA42" i="20"/>
  <c r="Z42" i="20"/>
  <c r="Y42" i="20"/>
  <c r="X42" i="20"/>
  <c r="W42" i="20"/>
  <c r="P42" i="20"/>
  <c r="O42" i="20"/>
  <c r="AD42" i="20" s="1"/>
  <c r="N42" i="20"/>
  <c r="M42" i="20"/>
  <c r="AI41" i="20"/>
  <c r="AH41" i="20"/>
  <c r="W41" i="20"/>
  <c r="AT40" i="20"/>
  <c r="AN40" i="20"/>
  <c r="AI40" i="20"/>
  <c r="AH40" i="20"/>
  <c r="AF40" i="20"/>
  <c r="AE40" i="20"/>
  <c r="AD40" i="20"/>
  <c r="AC40" i="20"/>
  <c r="AA40" i="20"/>
  <c r="Z40" i="20"/>
  <c r="Y40" i="20"/>
  <c r="X40" i="20"/>
  <c r="W40" i="20"/>
  <c r="P40" i="20"/>
  <c r="O40" i="20"/>
  <c r="N40" i="20"/>
  <c r="M40" i="20"/>
  <c r="AO39" i="20"/>
  <c r="AI39" i="20"/>
  <c r="AH39" i="20"/>
  <c r="AF39" i="20"/>
  <c r="AE39" i="20"/>
  <c r="AD39" i="20"/>
  <c r="AA39" i="20"/>
  <c r="Z39" i="20"/>
  <c r="Y39" i="20"/>
  <c r="X39" i="20"/>
  <c r="W39" i="20"/>
  <c r="P39" i="20"/>
  <c r="O39" i="20"/>
  <c r="N39" i="20"/>
  <c r="AC39" i="20" s="1"/>
  <c r="M39" i="20"/>
  <c r="AT38" i="20"/>
  <c r="AP38" i="20"/>
  <c r="AI38" i="20"/>
  <c r="AH38" i="20"/>
  <c r="AF38" i="20"/>
  <c r="AE38" i="20"/>
  <c r="AC38" i="20"/>
  <c r="AA38" i="20"/>
  <c r="Z38" i="20"/>
  <c r="Y38" i="20"/>
  <c r="X38" i="20"/>
  <c r="W38" i="20"/>
  <c r="P38" i="20"/>
  <c r="O38" i="20"/>
  <c r="N38" i="20"/>
  <c r="AO38" i="20" s="1"/>
  <c r="AV38" i="20" s="1"/>
  <c r="M38" i="20"/>
  <c r="AI37" i="20"/>
  <c r="AH37" i="20"/>
  <c r="W37" i="20"/>
  <c r="AV36" i="20"/>
  <c r="AT36" i="20"/>
  <c r="AP36" i="20"/>
  <c r="AO36" i="20"/>
  <c r="AN36" i="20"/>
  <c r="AI36" i="20"/>
  <c r="AH36" i="20"/>
  <c r="AF36" i="20"/>
  <c r="AE36" i="20"/>
  <c r="AD36" i="20"/>
  <c r="AC36" i="20"/>
  <c r="AA36" i="20"/>
  <c r="Z36" i="20"/>
  <c r="Y36" i="20"/>
  <c r="X36" i="20"/>
  <c r="W36" i="20"/>
  <c r="P36" i="20"/>
  <c r="O36" i="20"/>
  <c r="N36" i="20"/>
  <c r="M36" i="20"/>
  <c r="AP35" i="20"/>
  <c r="AI35" i="20"/>
  <c r="AH35" i="20"/>
  <c r="AF35" i="20"/>
  <c r="AE35" i="20"/>
  <c r="AD35" i="20"/>
  <c r="AB35" i="20"/>
  <c r="AA35" i="20"/>
  <c r="Z35" i="20"/>
  <c r="Y35" i="20"/>
  <c r="X35" i="20"/>
  <c r="W35" i="20"/>
  <c r="P35" i="20"/>
  <c r="O35" i="20"/>
  <c r="N35" i="20"/>
  <c r="AC35" i="20" s="1"/>
  <c r="M35" i="20"/>
  <c r="AT34" i="20"/>
  <c r="AI34" i="20"/>
  <c r="AH34" i="20"/>
  <c r="AF34" i="20"/>
  <c r="AE34" i="20"/>
  <c r="AA34" i="20"/>
  <c r="Z34" i="20"/>
  <c r="Y34" i="20"/>
  <c r="X34" i="20"/>
  <c r="W34" i="20"/>
  <c r="P34" i="20"/>
  <c r="O34" i="20"/>
  <c r="AD34" i="20" s="1"/>
  <c r="N34" i="20"/>
  <c r="AC34" i="20" s="1"/>
  <c r="M34" i="20"/>
  <c r="AI33" i="20"/>
  <c r="AH33" i="20"/>
  <c r="W33" i="20"/>
  <c r="AT32" i="20"/>
  <c r="AP32" i="20"/>
  <c r="AI32" i="20"/>
  <c r="AH32" i="20"/>
  <c r="AF32" i="20"/>
  <c r="AE32" i="20"/>
  <c r="AD32" i="20"/>
  <c r="AC32" i="20"/>
  <c r="AA32" i="20"/>
  <c r="Z32" i="20"/>
  <c r="Y32" i="20"/>
  <c r="X32" i="20"/>
  <c r="W32" i="20"/>
  <c r="P32" i="20"/>
  <c r="O32" i="20"/>
  <c r="N32" i="20"/>
  <c r="AO32" i="20" s="1"/>
  <c r="M32" i="20"/>
  <c r="AO31" i="20"/>
  <c r="AI31" i="20"/>
  <c r="AH31" i="20"/>
  <c r="AF31" i="20"/>
  <c r="AE31" i="20"/>
  <c r="AD31" i="20"/>
  <c r="AB31" i="20"/>
  <c r="AA31" i="20"/>
  <c r="Z31" i="20"/>
  <c r="Y31" i="20"/>
  <c r="X31" i="20"/>
  <c r="W31" i="20"/>
  <c r="P31" i="20"/>
  <c r="O31" i="20"/>
  <c r="N31" i="20"/>
  <c r="AC31" i="20" s="1"/>
  <c r="M31" i="20"/>
  <c r="AI30" i="20"/>
  <c r="AT30" i="20" s="1"/>
  <c r="AH30" i="20"/>
  <c r="AF30" i="20"/>
  <c r="AE30" i="20"/>
  <c r="AB30" i="20"/>
  <c r="AA30" i="20"/>
  <c r="Z30" i="20"/>
  <c r="Y30" i="20"/>
  <c r="X30" i="20"/>
  <c r="W30" i="20"/>
  <c r="P30" i="20"/>
  <c r="O30" i="20"/>
  <c r="N30" i="20"/>
  <c r="AO30" i="20" s="1"/>
  <c r="M30" i="20"/>
  <c r="AR30" i="20" s="1"/>
  <c r="AU29" i="20"/>
  <c r="AI29" i="20"/>
  <c r="AT29" i="20" s="1"/>
  <c r="AH29" i="20"/>
  <c r="AF29" i="20"/>
  <c r="AE29" i="20"/>
  <c r="AB29" i="20"/>
  <c r="AA29" i="20"/>
  <c r="Z29" i="20"/>
  <c r="Y29" i="20"/>
  <c r="X29" i="20"/>
  <c r="W29" i="20"/>
  <c r="P29" i="20"/>
  <c r="O29" i="20"/>
  <c r="AD29" i="20" s="1"/>
  <c r="N29" i="20"/>
  <c r="M29" i="20"/>
  <c r="AI28" i="20"/>
  <c r="AH28" i="20"/>
  <c r="W28" i="20"/>
  <c r="AU27" i="20"/>
  <c r="AP27" i="20"/>
  <c r="AI27" i="20"/>
  <c r="AH27" i="20"/>
  <c r="AF27" i="20"/>
  <c r="AE27" i="20"/>
  <c r="AB27" i="20"/>
  <c r="AA27" i="20"/>
  <c r="Z27" i="20"/>
  <c r="Y27" i="20"/>
  <c r="X27" i="20"/>
  <c r="W27" i="20"/>
  <c r="P27" i="20"/>
  <c r="O27" i="20"/>
  <c r="N27" i="20"/>
  <c r="AC27" i="20" s="1"/>
  <c r="M27" i="20"/>
  <c r="AR27" i="20" s="1"/>
  <c r="AI26" i="20"/>
  <c r="AH26" i="20"/>
  <c r="AF26" i="20"/>
  <c r="AE26" i="20"/>
  <c r="AA26" i="20"/>
  <c r="Z26" i="20"/>
  <c r="Y26" i="20"/>
  <c r="X26" i="20"/>
  <c r="W26" i="20"/>
  <c r="P26" i="20"/>
  <c r="O26" i="20"/>
  <c r="AD26" i="20" s="1"/>
  <c r="N26" i="20"/>
  <c r="AO26" i="20" s="1"/>
  <c r="M26" i="20"/>
  <c r="AT25" i="20"/>
  <c r="AP25" i="20"/>
  <c r="AI25" i="20"/>
  <c r="AH25" i="20"/>
  <c r="AF25" i="20"/>
  <c r="AE25" i="20"/>
  <c r="AA25" i="20"/>
  <c r="Z25" i="20"/>
  <c r="Y25" i="20"/>
  <c r="X25" i="20"/>
  <c r="W25" i="20"/>
  <c r="P25" i="20"/>
  <c r="O25" i="20"/>
  <c r="N25" i="20"/>
  <c r="M25" i="20"/>
  <c r="AR25" i="20" s="1"/>
  <c r="AU24" i="20"/>
  <c r="AP24" i="20"/>
  <c r="AN24" i="20"/>
  <c r="AI24" i="20"/>
  <c r="AT24" i="20" s="1"/>
  <c r="AH24" i="20"/>
  <c r="AF24" i="20"/>
  <c r="AE24" i="20"/>
  <c r="AB24" i="20"/>
  <c r="AA24" i="20"/>
  <c r="Z24" i="20"/>
  <c r="Y24" i="20"/>
  <c r="X24" i="20"/>
  <c r="W24" i="20"/>
  <c r="P24" i="20"/>
  <c r="O24" i="20"/>
  <c r="AD24" i="20" s="1"/>
  <c r="N24" i="20"/>
  <c r="AC24" i="20" s="1"/>
  <c r="M24" i="20"/>
  <c r="AR23" i="20"/>
  <c r="AO23" i="20"/>
  <c r="AI23" i="20"/>
  <c r="AH23" i="20"/>
  <c r="AF23" i="20"/>
  <c r="AE23" i="20"/>
  <c r="AC23" i="20"/>
  <c r="AB23" i="20"/>
  <c r="AA23" i="20"/>
  <c r="Z23" i="20"/>
  <c r="Y23" i="20"/>
  <c r="X23" i="20"/>
  <c r="W23" i="20"/>
  <c r="P23" i="20"/>
  <c r="O23" i="20"/>
  <c r="AD23" i="20" s="1"/>
  <c r="N23" i="20"/>
  <c r="M23" i="20"/>
  <c r="AI22" i="20"/>
  <c r="AH22" i="20"/>
  <c r="W22" i="20"/>
  <c r="AT21" i="20"/>
  <c r="AP21" i="20"/>
  <c r="AI21" i="20"/>
  <c r="AH21" i="20"/>
  <c r="AF21" i="20"/>
  <c r="AE21" i="20"/>
  <c r="AA21" i="20"/>
  <c r="Z21" i="20"/>
  <c r="Y21" i="20"/>
  <c r="X21" i="20"/>
  <c r="W21" i="20"/>
  <c r="P21" i="20"/>
  <c r="O21" i="20"/>
  <c r="N21" i="20"/>
  <c r="M21" i="20"/>
  <c r="AR21" i="20" s="1"/>
  <c r="AU20" i="20"/>
  <c r="AQ20" i="20"/>
  <c r="AN20" i="20"/>
  <c r="AI20" i="20"/>
  <c r="AT20" i="20" s="1"/>
  <c r="AH20" i="20"/>
  <c r="AF20" i="20"/>
  <c r="AE20" i="20"/>
  <c r="AB20" i="20"/>
  <c r="AA20" i="20"/>
  <c r="Z20" i="20"/>
  <c r="Y20" i="20"/>
  <c r="X20" i="20"/>
  <c r="W20" i="20"/>
  <c r="P20" i="20"/>
  <c r="O20" i="20"/>
  <c r="AD20" i="20" s="1"/>
  <c r="N20" i="20"/>
  <c r="AC20" i="20" s="1"/>
  <c r="M20" i="20"/>
  <c r="AR19" i="20"/>
  <c r="AP19" i="20"/>
  <c r="AO19" i="20"/>
  <c r="AV19" i="20" s="1"/>
  <c r="AI19" i="20"/>
  <c r="AH19" i="20"/>
  <c r="AF19" i="20"/>
  <c r="AE19" i="20"/>
  <c r="AC19" i="20"/>
  <c r="AB19" i="20"/>
  <c r="AA19" i="20"/>
  <c r="Z19" i="20"/>
  <c r="Y19" i="20"/>
  <c r="X19" i="20"/>
  <c r="W19" i="20"/>
  <c r="P19" i="20"/>
  <c r="O19" i="20"/>
  <c r="AD19" i="20" s="1"/>
  <c r="N19" i="20"/>
  <c r="M19" i="20"/>
  <c r="AT18" i="20"/>
  <c r="AP18" i="20"/>
  <c r="AJ18" i="20"/>
  <c r="AI18" i="20"/>
  <c r="AH18" i="20"/>
  <c r="AF18" i="20"/>
  <c r="AE18" i="20"/>
  <c r="AD18" i="20"/>
  <c r="AC18" i="20"/>
  <c r="AB18" i="20"/>
  <c r="AA18" i="20"/>
  <c r="Z18" i="20"/>
  <c r="Y18" i="20"/>
  <c r="X18" i="20"/>
  <c r="W18" i="20"/>
  <c r="P18" i="20"/>
  <c r="O18" i="20"/>
  <c r="N18" i="20"/>
  <c r="AO18" i="20" s="1"/>
  <c r="M18" i="20"/>
  <c r="AU17" i="20"/>
  <c r="AT17" i="20"/>
  <c r="AP17" i="20"/>
  <c r="AO17" i="20"/>
  <c r="AV17" i="20" s="1"/>
  <c r="AN17" i="20"/>
  <c r="AI17" i="20"/>
  <c r="AH17" i="20"/>
  <c r="AF17" i="20"/>
  <c r="AE17" i="20"/>
  <c r="AD17" i="20"/>
  <c r="AC17" i="20"/>
  <c r="AA17" i="20"/>
  <c r="Z17" i="20"/>
  <c r="Y17" i="20"/>
  <c r="X17" i="20"/>
  <c r="W17" i="20"/>
  <c r="P17" i="20"/>
  <c r="O17" i="20"/>
  <c r="N17" i="20"/>
  <c r="M17" i="20"/>
  <c r="AR17" i="20" s="1"/>
  <c r="AI16" i="20"/>
  <c r="AH16" i="20"/>
  <c r="W16" i="20"/>
  <c r="AR15" i="20"/>
  <c r="AP15" i="20"/>
  <c r="AO15" i="20"/>
  <c r="AV15" i="20" s="1"/>
  <c r="AI15" i="20"/>
  <c r="AH15" i="20"/>
  <c r="AF15" i="20"/>
  <c r="AE15" i="20"/>
  <c r="AC15" i="20"/>
  <c r="AB15" i="20"/>
  <c r="AA15" i="20"/>
  <c r="Z15" i="20"/>
  <c r="Y15" i="20"/>
  <c r="X15" i="20"/>
  <c r="W15" i="20"/>
  <c r="P15" i="20"/>
  <c r="O15" i="20"/>
  <c r="AD15" i="20" s="1"/>
  <c r="N15" i="20"/>
  <c r="M15" i="20"/>
  <c r="AU14" i="20"/>
  <c r="AT14" i="20"/>
  <c r="AP14" i="20"/>
  <c r="AJ14" i="20"/>
  <c r="AI14" i="20"/>
  <c r="AH14" i="20"/>
  <c r="AF14" i="20"/>
  <c r="AE14" i="20"/>
  <c r="AD14" i="20"/>
  <c r="AC14" i="20"/>
  <c r="AB14" i="20"/>
  <c r="AA14" i="20"/>
  <c r="Z14" i="20"/>
  <c r="Y14" i="20"/>
  <c r="X14" i="20"/>
  <c r="W14" i="20"/>
  <c r="P14" i="20"/>
  <c r="O14" i="20"/>
  <c r="N14" i="20"/>
  <c r="AO14" i="20" s="1"/>
  <c r="M14" i="20"/>
  <c r="AU13" i="20"/>
  <c r="AT13" i="20"/>
  <c r="AP13" i="20"/>
  <c r="AO13" i="20"/>
  <c r="AV13" i="20" s="1"/>
  <c r="AN13" i="20"/>
  <c r="AI13" i="20"/>
  <c r="AH13" i="20"/>
  <c r="AF13" i="20"/>
  <c r="AE13" i="20"/>
  <c r="AD13" i="20"/>
  <c r="AC13" i="20"/>
  <c r="AA13" i="20"/>
  <c r="Z13" i="20"/>
  <c r="Y13" i="20"/>
  <c r="X13" i="20"/>
  <c r="W13" i="20"/>
  <c r="P13" i="20"/>
  <c r="O13" i="20"/>
  <c r="N13" i="20"/>
  <c r="M13" i="20"/>
  <c r="AR13" i="20" s="1"/>
  <c r="AP12" i="20"/>
  <c r="AO12" i="20"/>
  <c r="AV12" i="20" s="1"/>
  <c r="AI12" i="20"/>
  <c r="AN12" i="20" s="1"/>
  <c r="AH12" i="20"/>
  <c r="AF12" i="20"/>
  <c r="AE12" i="20"/>
  <c r="AD12" i="20"/>
  <c r="AA12" i="20"/>
  <c r="Z12" i="20"/>
  <c r="Y12" i="20"/>
  <c r="X12" i="20"/>
  <c r="W12" i="20"/>
  <c r="P12" i="20"/>
  <c r="O12" i="20"/>
  <c r="N12" i="20"/>
  <c r="AC12" i="20" s="1"/>
  <c r="M12" i="20"/>
  <c r="AT11" i="20"/>
  <c r="AP11" i="20"/>
  <c r="AI11" i="20"/>
  <c r="AH11" i="20"/>
  <c r="AF11" i="20"/>
  <c r="AE11" i="20"/>
  <c r="AA11" i="20"/>
  <c r="Z11" i="20"/>
  <c r="Y11" i="20"/>
  <c r="X11" i="20"/>
  <c r="W11" i="20"/>
  <c r="P11" i="20"/>
  <c r="O11" i="20"/>
  <c r="AQ11" i="20" s="1"/>
  <c r="N11" i="20"/>
  <c r="M11" i="20"/>
  <c r="AR11" i="20" s="1"/>
  <c r="AU10" i="20"/>
  <c r="AP10" i="20"/>
  <c r="AN10" i="20"/>
  <c r="AI10" i="20"/>
  <c r="AT10" i="20" s="1"/>
  <c r="AH10" i="20"/>
  <c r="AF10" i="20"/>
  <c r="AE10" i="20"/>
  <c r="AB10" i="20"/>
  <c r="AA10" i="20"/>
  <c r="Z10" i="20"/>
  <c r="Y10" i="20"/>
  <c r="X10" i="20"/>
  <c r="W10" i="20"/>
  <c r="P10" i="20"/>
  <c r="O10" i="20"/>
  <c r="AD10" i="20" s="1"/>
  <c r="N10" i="20"/>
  <c r="AC10" i="20" s="1"/>
  <c r="M10" i="20"/>
  <c r="AI9" i="20"/>
  <c r="AH9" i="20"/>
  <c r="W9" i="20"/>
  <c r="AU8" i="20"/>
  <c r="AP8" i="20"/>
  <c r="AO8" i="20"/>
  <c r="AI8" i="20"/>
  <c r="AN8" i="20" s="1"/>
  <c r="AH8" i="20"/>
  <c r="AF8" i="20"/>
  <c r="AE8" i="20"/>
  <c r="AD8" i="20"/>
  <c r="AA8" i="20"/>
  <c r="Z8" i="20"/>
  <c r="Y8" i="20"/>
  <c r="X8" i="20"/>
  <c r="W8" i="20"/>
  <c r="P8" i="20"/>
  <c r="O8" i="20"/>
  <c r="N8" i="20"/>
  <c r="AC8" i="20" s="1"/>
  <c r="M8" i="20"/>
  <c r="AU7" i="20"/>
  <c r="AT7" i="20"/>
  <c r="AP7" i="20"/>
  <c r="AI7" i="20"/>
  <c r="AH7" i="20"/>
  <c r="AF7" i="20"/>
  <c r="AE7" i="20"/>
  <c r="AA7" i="20"/>
  <c r="Z7" i="20"/>
  <c r="Y7" i="20"/>
  <c r="X7" i="20"/>
  <c r="W7" i="20"/>
  <c r="P7" i="20"/>
  <c r="O7" i="20"/>
  <c r="N7" i="20"/>
  <c r="M7" i="20"/>
  <c r="AR7" i="20" s="1"/>
  <c r="AU6" i="20"/>
  <c r="AQ6" i="20"/>
  <c r="AN6" i="20"/>
  <c r="AI6" i="20"/>
  <c r="AT6" i="20" s="1"/>
  <c r="AH6" i="20"/>
  <c r="AF6" i="20"/>
  <c r="AE6" i="20"/>
  <c r="AB6" i="20"/>
  <c r="AA6" i="20"/>
  <c r="Z6" i="20"/>
  <c r="Y6" i="20"/>
  <c r="X6" i="20"/>
  <c r="W6" i="20"/>
  <c r="P6" i="20"/>
  <c r="O6" i="20"/>
  <c r="AD6" i="20" s="1"/>
  <c r="N6" i="20"/>
  <c r="AC6" i="20" s="1"/>
  <c r="M6" i="20"/>
  <c r="AI5" i="20"/>
  <c r="AH5" i="20"/>
  <c r="W5" i="20"/>
  <c r="AI4" i="20"/>
  <c r="AU3" i="20"/>
  <c r="AO3" i="20"/>
  <c r="AI3" i="20"/>
  <c r="AH3" i="20"/>
  <c r="AN2" i="20"/>
  <c r="AM2" i="20"/>
  <c r="AL2" i="20"/>
  <c r="AK2" i="20"/>
  <c r="AJ2" i="20"/>
  <c r="AA2" i="20"/>
  <c r="A2" i="20"/>
  <c r="AU1" i="20"/>
  <c r="AU53" i="20" s="1"/>
  <c r="AR1" i="20"/>
  <c r="AR18" i="20" s="1"/>
  <c r="AQ1" i="20"/>
  <c r="AP1" i="20"/>
  <c r="AP23" i="20" s="1"/>
  <c r="AO1" i="20"/>
  <c r="AO54" i="20" s="1"/>
  <c r="AA1" i="20"/>
  <c r="A1" i="20"/>
  <c r="AT43" i="19"/>
  <c r="AP43" i="19"/>
  <c r="AI43" i="19"/>
  <c r="AH43" i="19"/>
  <c r="AF43" i="19"/>
  <c r="AE43" i="19"/>
  <c r="AA43" i="19"/>
  <c r="Z43" i="19"/>
  <c r="Y43" i="19"/>
  <c r="X43" i="19"/>
  <c r="W43" i="19"/>
  <c r="P43" i="19"/>
  <c r="O43" i="19"/>
  <c r="N43" i="19"/>
  <c r="M43" i="19"/>
  <c r="AP42" i="19"/>
  <c r="AI42" i="19"/>
  <c r="AT42" i="19" s="1"/>
  <c r="AH42" i="19"/>
  <c r="AF42" i="19"/>
  <c r="AE42" i="19"/>
  <c r="AB42" i="19"/>
  <c r="AA42" i="19"/>
  <c r="Z42" i="19"/>
  <c r="Y42" i="19"/>
  <c r="X42" i="19"/>
  <c r="W42" i="19"/>
  <c r="P42" i="19"/>
  <c r="O42" i="19"/>
  <c r="AD42" i="19" s="1"/>
  <c r="N42" i="19"/>
  <c r="AC42" i="19" s="1"/>
  <c r="M42" i="19"/>
  <c r="AP41" i="19"/>
  <c r="AO41" i="19"/>
  <c r="AV41" i="19" s="1"/>
  <c r="AI41" i="19"/>
  <c r="AH41" i="19"/>
  <c r="AF41" i="19"/>
  <c r="AE41" i="19"/>
  <c r="AC41" i="19"/>
  <c r="AA41" i="19"/>
  <c r="Z41" i="19"/>
  <c r="Y41" i="19"/>
  <c r="X41" i="19"/>
  <c r="W41" i="19"/>
  <c r="P41" i="19"/>
  <c r="O41" i="19"/>
  <c r="AD41" i="19" s="1"/>
  <c r="N41" i="19"/>
  <c r="M41" i="19"/>
  <c r="AB41" i="19" s="1"/>
  <c r="AI40" i="19"/>
  <c r="AH40" i="19"/>
  <c r="W40" i="19"/>
  <c r="AT39" i="19"/>
  <c r="AI39" i="19"/>
  <c r="AH39" i="19"/>
  <c r="AF39" i="19"/>
  <c r="AE39" i="19"/>
  <c r="AC39" i="19"/>
  <c r="AA39" i="19"/>
  <c r="Z39" i="19"/>
  <c r="Y39" i="19"/>
  <c r="X39" i="19"/>
  <c r="W39" i="19"/>
  <c r="P39" i="19"/>
  <c r="O39" i="19"/>
  <c r="N39" i="19"/>
  <c r="M39" i="19"/>
  <c r="AI38" i="19"/>
  <c r="AT38" i="19" s="1"/>
  <c r="AH38" i="19"/>
  <c r="AF38" i="19"/>
  <c r="AE38" i="19"/>
  <c r="AD38" i="19"/>
  <c r="AB38" i="19"/>
  <c r="AA38" i="19"/>
  <c r="Z38" i="19"/>
  <c r="Y38" i="19"/>
  <c r="X38" i="19"/>
  <c r="W38" i="19"/>
  <c r="P38" i="19"/>
  <c r="O38" i="19"/>
  <c r="N38" i="19"/>
  <c r="AC38" i="19" s="1"/>
  <c r="M38" i="19"/>
  <c r="AI37" i="19"/>
  <c r="AH37" i="19"/>
  <c r="W37" i="19"/>
  <c r="AV36" i="19"/>
  <c r="AP36" i="19"/>
  <c r="AO36" i="19"/>
  <c r="AI36" i="19"/>
  <c r="AH36" i="19"/>
  <c r="AF36" i="19"/>
  <c r="AE36" i="19"/>
  <c r="AD36" i="19"/>
  <c r="AA36" i="19"/>
  <c r="Z36" i="19"/>
  <c r="Y36" i="19"/>
  <c r="X36" i="19"/>
  <c r="W36" i="19"/>
  <c r="P36" i="19"/>
  <c r="O36" i="19"/>
  <c r="N36" i="19"/>
  <c r="AC36" i="19" s="1"/>
  <c r="M36" i="19"/>
  <c r="AB36" i="19" s="1"/>
  <c r="AT35" i="19"/>
  <c r="AI35" i="19"/>
  <c r="AH35" i="19"/>
  <c r="AF35" i="19"/>
  <c r="AE35" i="19"/>
  <c r="AA35" i="19"/>
  <c r="Z35" i="19"/>
  <c r="Y35" i="19"/>
  <c r="X35" i="19"/>
  <c r="W35" i="19"/>
  <c r="P35" i="19"/>
  <c r="O35" i="19"/>
  <c r="N35" i="19"/>
  <c r="AC35" i="19" s="1"/>
  <c r="M35" i="19"/>
  <c r="AP34" i="19"/>
  <c r="AI34" i="19"/>
  <c r="AT34" i="19" s="1"/>
  <c r="AH34" i="19"/>
  <c r="AF34" i="19"/>
  <c r="AE34" i="19"/>
  <c r="AB34" i="19"/>
  <c r="AA34" i="19"/>
  <c r="Z34" i="19"/>
  <c r="Y34" i="19"/>
  <c r="X34" i="19"/>
  <c r="W34" i="19"/>
  <c r="P34" i="19"/>
  <c r="O34" i="19"/>
  <c r="AQ34" i="19" s="1"/>
  <c r="N34" i="19"/>
  <c r="AC34" i="19" s="1"/>
  <c r="M34" i="19"/>
  <c r="AI33" i="19"/>
  <c r="AH33" i="19"/>
  <c r="W33" i="19"/>
  <c r="AV32" i="19"/>
  <c r="AP32" i="19"/>
  <c r="AO32" i="19"/>
  <c r="AI32" i="19"/>
  <c r="AH32" i="19"/>
  <c r="AF32" i="19"/>
  <c r="AE32" i="19"/>
  <c r="AD32" i="19"/>
  <c r="AA32" i="19"/>
  <c r="Z32" i="19"/>
  <c r="Y32" i="19"/>
  <c r="X32" i="19"/>
  <c r="W32" i="19"/>
  <c r="P32" i="19"/>
  <c r="O32" i="19"/>
  <c r="N32" i="19"/>
  <c r="AC32" i="19" s="1"/>
  <c r="M32" i="19"/>
  <c r="AR32" i="19" s="1"/>
  <c r="AT31" i="19"/>
  <c r="AI31" i="19"/>
  <c r="AH31" i="19"/>
  <c r="AF31" i="19"/>
  <c r="AE31" i="19"/>
  <c r="AC31" i="19"/>
  <c r="AA31" i="19"/>
  <c r="Z31" i="19"/>
  <c r="Y31" i="19"/>
  <c r="X31" i="19"/>
  <c r="W31" i="19"/>
  <c r="P31" i="19"/>
  <c r="O31" i="19"/>
  <c r="N31" i="19"/>
  <c r="M31" i="19"/>
  <c r="AI30" i="19"/>
  <c r="AH30" i="19"/>
  <c r="W30" i="19"/>
  <c r="AV29" i="19"/>
  <c r="AT29" i="19"/>
  <c r="AP29" i="19"/>
  <c r="AO29" i="19"/>
  <c r="AI29" i="19"/>
  <c r="AH29" i="19"/>
  <c r="AF29" i="19"/>
  <c r="AE29" i="19"/>
  <c r="AD29" i="19"/>
  <c r="AC29" i="19"/>
  <c r="AA29" i="19"/>
  <c r="Z29" i="19"/>
  <c r="Y29" i="19"/>
  <c r="X29" i="19"/>
  <c r="W29" i="19"/>
  <c r="P29" i="19"/>
  <c r="O29" i="19"/>
  <c r="N29" i="19"/>
  <c r="M29" i="19"/>
  <c r="AI28" i="19"/>
  <c r="AH28" i="19"/>
  <c r="AF28" i="19"/>
  <c r="AE28" i="19"/>
  <c r="AD28" i="19"/>
  <c r="AA28" i="19"/>
  <c r="Z28" i="19"/>
  <c r="Y28" i="19"/>
  <c r="X28" i="19"/>
  <c r="W28" i="19"/>
  <c r="P28" i="19"/>
  <c r="O28" i="19"/>
  <c r="N28" i="19"/>
  <c r="AC28" i="19" s="1"/>
  <c r="M28" i="19"/>
  <c r="AR28" i="19" s="1"/>
  <c r="AT27" i="19"/>
  <c r="AP27" i="19"/>
  <c r="AI27" i="19"/>
  <c r="AN27" i="19" s="1"/>
  <c r="AH27" i="19"/>
  <c r="AF27" i="19"/>
  <c r="AE27" i="19"/>
  <c r="AA27" i="19"/>
  <c r="Z27" i="19"/>
  <c r="Y27" i="19"/>
  <c r="X27" i="19"/>
  <c r="W27" i="19"/>
  <c r="P27" i="19"/>
  <c r="O27" i="19"/>
  <c r="AD27" i="19" s="1"/>
  <c r="N27" i="19"/>
  <c r="AO27" i="19" s="1"/>
  <c r="AV27" i="19" s="1"/>
  <c r="M27" i="19"/>
  <c r="AI26" i="19"/>
  <c r="AN26" i="19" s="1"/>
  <c r="AH26" i="19"/>
  <c r="AF26" i="19"/>
  <c r="AE26" i="19"/>
  <c r="AB26" i="19"/>
  <c r="AA26" i="19"/>
  <c r="Z26" i="19"/>
  <c r="Y26" i="19"/>
  <c r="X26" i="19"/>
  <c r="W26" i="19"/>
  <c r="P26" i="19"/>
  <c r="O26" i="19"/>
  <c r="AQ26" i="19" s="1"/>
  <c r="N26" i="19"/>
  <c r="AC26" i="19" s="1"/>
  <c r="M26" i="19"/>
  <c r="AP25" i="19"/>
  <c r="AO25" i="19"/>
  <c r="AV25" i="19" s="1"/>
  <c r="AI25" i="19"/>
  <c r="AT25" i="19" s="1"/>
  <c r="AH25" i="19"/>
  <c r="AF25" i="19"/>
  <c r="AE25" i="19"/>
  <c r="AC25" i="19"/>
  <c r="AB25" i="19"/>
  <c r="AA25" i="19"/>
  <c r="Z25" i="19"/>
  <c r="Y25" i="19"/>
  <c r="X25" i="19"/>
  <c r="W25" i="19"/>
  <c r="P25" i="19"/>
  <c r="O25" i="19"/>
  <c r="AD25" i="19" s="1"/>
  <c r="N25" i="19"/>
  <c r="M25" i="19"/>
  <c r="AR25" i="19" s="1"/>
  <c r="AU24" i="19"/>
  <c r="AT24" i="19"/>
  <c r="AI24" i="19"/>
  <c r="AH24" i="19"/>
  <c r="AF24" i="19"/>
  <c r="AE24" i="19"/>
  <c r="AD24" i="19"/>
  <c r="AB24" i="19"/>
  <c r="AA24" i="19"/>
  <c r="Z24" i="19"/>
  <c r="Y24" i="19"/>
  <c r="X24" i="19"/>
  <c r="W24" i="19"/>
  <c r="P24" i="19"/>
  <c r="O24" i="19"/>
  <c r="N24" i="19"/>
  <c r="AC24" i="19" s="1"/>
  <c r="M24" i="19"/>
  <c r="AV23" i="19"/>
  <c r="AT23" i="19"/>
  <c r="AP23" i="19"/>
  <c r="AO23" i="19"/>
  <c r="AI23" i="19"/>
  <c r="AH23" i="19"/>
  <c r="AF23" i="19"/>
  <c r="AE23" i="19"/>
  <c r="AD23" i="19"/>
  <c r="AC23" i="19"/>
  <c r="AA23" i="19"/>
  <c r="Z23" i="19"/>
  <c r="Y23" i="19"/>
  <c r="X23" i="19"/>
  <c r="W23" i="19"/>
  <c r="P23" i="19"/>
  <c r="O23" i="19"/>
  <c r="N23" i="19"/>
  <c r="M23" i="19"/>
  <c r="AI22" i="19"/>
  <c r="AH22" i="19"/>
  <c r="W22" i="19"/>
  <c r="AI21" i="19"/>
  <c r="AT21" i="19" s="1"/>
  <c r="AH21" i="19"/>
  <c r="AF21" i="19"/>
  <c r="AE21" i="19"/>
  <c r="AC21" i="19"/>
  <c r="AB21" i="19"/>
  <c r="AA21" i="19"/>
  <c r="Z21" i="19"/>
  <c r="Y21" i="19"/>
  <c r="X21" i="19"/>
  <c r="W21" i="19"/>
  <c r="P21" i="19"/>
  <c r="O21" i="19"/>
  <c r="AD21" i="19" s="1"/>
  <c r="N21" i="19"/>
  <c r="M21" i="19"/>
  <c r="AU20" i="19"/>
  <c r="AT20" i="19"/>
  <c r="AP20" i="19"/>
  <c r="AI20" i="19"/>
  <c r="AH20" i="19"/>
  <c r="AF20" i="19"/>
  <c r="AE20" i="19"/>
  <c r="AD20" i="19"/>
  <c r="AB20" i="19"/>
  <c r="AA20" i="19"/>
  <c r="Z20" i="19"/>
  <c r="Y20" i="19"/>
  <c r="X20" i="19"/>
  <c r="W20" i="19"/>
  <c r="P20" i="19"/>
  <c r="O20" i="19"/>
  <c r="N20" i="19"/>
  <c r="AO20" i="19" s="1"/>
  <c r="AV20" i="19" s="1"/>
  <c r="M20" i="19"/>
  <c r="AP19" i="19"/>
  <c r="AO19" i="19"/>
  <c r="AV19" i="19" s="1"/>
  <c r="AI19" i="19"/>
  <c r="AT19" i="19" s="1"/>
  <c r="AH19" i="19"/>
  <c r="AF19" i="19"/>
  <c r="AE19" i="19"/>
  <c r="AD19" i="19"/>
  <c r="AC19" i="19"/>
  <c r="AA19" i="19"/>
  <c r="Z19" i="19"/>
  <c r="Y19" i="19"/>
  <c r="X19" i="19"/>
  <c r="W19" i="19"/>
  <c r="P19" i="19"/>
  <c r="O19" i="19"/>
  <c r="AQ19" i="19" s="1"/>
  <c r="N19" i="19"/>
  <c r="M19" i="19"/>
  <c r="AI18" i="19"/>
  <c r="AH18" i="19"/>
  <c r="AF18" i="19"/>
  <c r="AE18" i="19"/>
  <c r="AD18" i="19"/>
  <c r="AA18" i="19"/>
  <c r="Z18" i="19"/>
  <c r="Y18" i="19"/>
  <c r="X18" i="19"/>
  <c r="W18" i="19"/>
  <c r="P18" i="19"/>
  <c r="O18" i="19"/>
  <c r="N18" i="19"/>
  <c r="AC18" i="19" s="1"/>
  <c r="M18" i="19"/>
  <c r="AR18" i="19" s="1"/>
  <c r="AI17" i="19"/>
  <c r="AH17" i="19"/>
  <c r="W17" i="19"/>
  <c r="AT16" i="19"/>
  <c r="AP16" i="19"/>
  <c r="AI16" i="19"/>
  <c r="AH16" i="19"/>
  <c r="AF16" i="19"/>
  <c r="AE16" i="19"/>
  <c r="AD16" i="19"/>
  <c r="AC16" i="19"/>
  <c r="AB16" i="19"/>
  <c r="AA16" i="19"/>
  <c r="Z16" i="19"/>
  <c r="Y16" i="19"/>
  <c r="X16" i="19"/>
  <c r="W16" i="19"/>
  <c r="P16" i="19"/>
  <c r="O16" i="19"/>
  <c r="N16" i="19"/>
  <c r="AO16" i="19" s="1"/>
  <c r="AV16" i="19" s="1"/>
  <c r="M16" i="19"/>
  <c r="AN15" i="19"/>
  <c r="AI15" i="19"/>
  <c r="AH15" i="19"/>
  <c r="AF15" i="19"/>
  <c r="AE15" i="19"/>
  <c r="AB15" i="19"/>
  <c r="AA15" i="19"/>
  <c r="Z15" i="19"/>
  <c r="Y15" i="19"/>
  <c r="X15" i="19"/>
  <c r="W15" i="19"/>
  <c r="P15" i="19"/>
  <c r="O15" i="19"/>
  <c r="AQ15" i="19" s="1"/>
  <c r="N15" i="19"/>
  <c r="AC15" i="19" s="1"/>
  <c r="M15" i="19"/>
  <c r="AR15" i="19" s="1"/>
  <c r="AP14" i="19"/>
  <c r="AO14" i="19"/>
  <c r="AV14" i="19" s="1"/>
  <c r="AI14" i="19"/>
  <c r="AN14" i="19" s="1"/>
  <c r="AH14" i="19"/>
  <c r="AF14" i="19"/>
  <c r="AE14" i="19"/>
  <c r="AB14" i="19"/>
  <c r="AA14" i="19"/>
  <c r="Z14" i="19"/>
  <c r="Y14" i="19"/>
  <c r="X14" i="19"/>
  <c r="W14" i="19"/>
  <c r="P14" i="19"/>
  <c r="O14" i="19"/>
  <c r="AQ14" i="19" s="1"/>
  <c r="N14" i="19"/>
  <c r="AC14" i="19" s="1"/>
  <c r="M14" i="19"/>
  <c r="AT13" i="19"/>
  <c r="AJ13" i="19"/>
  <c r="AI13" i="19"/>
  <c r="AN13" i="19" s="1"/>
  <c r="AH13" i="19"/>
  <c r="AF13" i="19"/>
  <c r="AE13" i="19"/>
  <c r="AC13" i="19"/>
  <c r="AB13" i="19"/>
  <c r="AA13" i="19"/>
  <c r="Z13" i="19"/>
  <c r="Y13" i="19"/>
  <c r="X13" i="19"/>
  <c r="W13" i="19"/>
  <c r="P13" i="19"/>
  <c r="O13" i="19"/>
  <c r="AQ13" i="19" s="1"/>
  <c r="N13" i="19"/>
  <c r="AO13" i="19" s="1"/>
  <c r="M13" i="19"/>
  <c r="AU12" i="19"/>
  <c r="AT12" i="19"/>
  <c r="AP12" i="19"/>
  <c r="AN12" i="19"/>
  <c r="AI12" i="19"/>
  <c r="AH12" i="19"/>
  <c r="AF12" i="19"/>
  <c r="AE12" i="19"/>
  <c r="AD12" i="19"/>
  <c r="AC12" i="19"/>
  <c r="AB12" i="19"/>
  <c r="AA12" i="19"/>
  <c r="Z12" i="19"/>
  <c r="Y12" i="19"/>
  <c r="X12" i="19"/>
  <c r="W12" i="19"/>
  <c r="P12" i="19"/>
  <c r="O12" i="19"/>
  <c r="AQ12" i="19" s="1"/>
  <c r="N12" i="19"/>
  <c r="AO12" i="19" s="1"/>
  <c r="AV12" i="19" s="1"/>
  <c r="M12" i="19"/>
  <c r="AU11" i="19"/>
  <c r="AP11" i="19"/>
  <c r="AO11" i="19"/>
  <c r="AV11" i="19" s="1"/>
  <c r="AN11" i="19"/>
  <c r="AI11" i="19"/>
  <c r="AT11" i="19" s="1"/>
  <c r="AH11" i="19"/>
  <c r="AF11" i="19"/>
  <c r="AE11" i="19"/>
  <c r="AD11" i="19"/>
  <c r="AC11" i="19"/>
  <c r="AA11" i="19"/>
  <c r="Z11" i="19"/>
  <c r="Y11" i="19"/>
  <c r="X11" i="19"/>
  <c r="W11" i="19"/>
  <c r="P11" i="19"/>
  <c r="O11" i="19"/>
  <c r="AQ11" i="19" s="1"/>
  <c r="N11" i="19"/>
  <c r="M11" i="19"/>
  <c r="AR11" i="19" s="1"/>
  <c r="AI10" i="19"/>
  <c r="AH10" i="19"/>
  <c r="W10" i="19"/>
  <c r="AT9" i="19"/>
  <c r="AP9" i="19"/>
  <c r="AJ9" i="19"/>
  <c r="AI9" i="19"/>
  <c r="AN9" i="19" s="1"/>
  <c r="AH9" i="19"/>
  <c r="AF9" i="19"/>
  <c r="AE9" i="19"/>
  <c r="AC9" i="19"/>
  <c r="AB9" i="19"/>
  <c r="AA9" i="19"/>
  <c r="Z9" i="19"/>
  <c r="Y9" i="19"/>
  <c r="X9" i="19"/>
  <c r="W9" i="19"/>
  <c r="P9" i="19"/>
  <c r="O9" i="19"/>
  <c r="AQ9" i="19" s="1"/>
  <c r="N9" i="19"/>
  <c r="AO9" i="19" s="1"/>
  <c r="AV9" i="19" s="1"/>
  <c r="M9" i="19"/>
  <c r="AI8" i="19"/>
  <c r="AH8" i="19"/>
  <c r="W8" i="19"/>
  <c r="AU7" i="19"/>
  <c r="AT7" i="19"/>
  <c r="AP7" i="19"/>
  <c r="AI7" i="19"/>
  <c r="AH7" i="19"/>
  <c r="AF7" i="19"/>
  <c r="AE7" i="19"/>
  <c r="AA7" i="19"/>
  <c r="Z7" i="19"/>
  <c r="Y7" i="19"/>
  <c r="X7" i="19"/>
  <c r="W7" i="19"/>
  <c r="P7" i="19"/>
  <c r="O7" i="19"/>
  <c r="AQ7" i="19" s="1"/>
  <c r="N7" i="19"/>
  <c r="AO7" i="19" s="1"/>
  <c r="M7" i="19"/>
  <c r="AR7" i="19" s="1"/>
  <c r="AI6" i="19"/>
  <c r="AN6" i="19" s="1"/>
  <c r="AH6" i="19"/>
  <c r="AF6" i="19"/>
  <c r="AE6" i="19"/>
  <c r="AB6" i="19"/>
  <c r="AA6" i="19"/>
  <c r="Z6" i="19"/>
  <c r="Y6" i="19"/>
  <c r="X6" i="19"/>
  <c r="W6" i="19"/>
  <c r="P6" i="19"/>
  <c r="O6" i="19"/>
  <c r="AQ6" i="19" s="1"/>
  <c r="N6" i="19"/>
  <c r="AC6" i="19" s="1"/>
  <c r="M6" i="19"/>
  <c r="AI5" i="19"/>
  <c r="AH5" i="19"/>
  <c r="W5" i="19"/>
  <c r="AI4" i="19"/>
  <c r="AU3" i="19"/>
  <c r="AO3" i="19"/>
  <c r="AI3" i="19"/>
  <c r="AH3" i="19"/>
  <c r="AN2" i="19"/>
  <c r="AN34" i="19" s="1"/>
  <c r="AM2" i="19"/>
  <c r="AL2" i="19"/>
  <c r="AK2" i="19"/>
  <c r="AJ2" i="19"/>
  <c r="AJ39" i="19" s="1"/>
  <c r="AA2" i="19"/>
  <c r="A2" i="19"/>
  <c r="AU1" i="19"/>
  <c r="AR1" i="19"/>
  <c r="AR13" i="19" s="1"/>
  <c r="AQ1" i="19"/>
  <c r="AQ38" i="19" s="1"/>
  <c r="AP1" i="19"/>
  <c r="AP28" i="19" s="1"/>
  <c r="AO1" i="19"/>
  <c r="AO21" i="19" s="1"/>
  <c r="AA1" i="19"/>
  <c r="A1" i="19"/>
  <c r="AJ1" i="19" s="1"/>
  <c r="AT15" i="18"/>
  <c r="AP15" i="18"/>
  <c r="AN15" i="18"/>
  <c r="AI15" i="18"/>
  <c r="AH15" i="18"/>
  <c r="AF15" i="18"/>
  <c r="AE15" i="18"/>
  <c r="AA15" i="18"/>
  <c r="Z15" i="18"/>
  <c r="Y15" i="18"/>
  <c r="X15" i="18"/>
  <c r="W15" i="18"/>
  <c r="P15" i="18"/>
  <c r="O15" i="18"/>
  <c r="AQ15" i="18" s="1"/>
  <c r="N15" i="18"/>
  <c r="AO15" i="18" s="1"/>
  <c r="AV15" i="18" s="1"/>
  <c r="M15" i="18"/>
  <c r="AR15" i="18" s="1"/>
  <c r="AR14" i="18"/>
  <c r="AP14" i="18"/>
  <c r="AO14" i="18"/>
  <c r="AV14" i="18" s="1"/>
  <c r="AI14" i="18"/>
  <c r="AN14" i="18" s="1"/>
  <c r="AH14" i="18"/>
  <c r="AF14" i="18"/>
  <c r="AE14" i="18"/>
  <c r="AB14" i="18"/>
  <c r="AA14" i="18"/>
  <c r="Z14" i="18"/>
  <c r="Y14" i="18"/>
  <c r="X14" i="18"/>
  <c r="W14" i="18"/>
  <c r="P14" i="18"/>
  <c r="O14" i="18"/>
  <c r="AQ14" i="18" s="1"/>
  <c r="N14" i="18"/>
  <c r="AC14" i="18" s="1"/>
  <c r="M14" i="18"/>
  <c r="AT13" i="18"/>
  <c r="AR13" i="18"/>
  <c r="AP13" i="18"/>
  <c r="AJ13" i="18"/>
  <c r="AI13" i="18"/>
  <c r="AN13" i="18" s="1"/>
  <c r="AH13" i="18"/>
  <c r="AF13" i="18"/>
  <c r="AE13" i="18"/>
  <c r="AC13" i="18"/>
  <c r="AB13" i="18"/>
  <c r="AA13" i="18"/>
  <c r="Z13" i="18"/>
  <c r="Y13" i="18"/>
  <c r="X13" i="18"/>
  <c r="W13" i="18"/>
  <c r="P13" i="18"/>
  <c r="O13" i="18"/>
  <c r="AQ13" i="18" s="1"/>
  <c r="N13" i="18"/>
  <c r="AO13" i="18" s="1"/>
  <c r="AV13" i="18" s="1"/>
  <c r="M13" i="18"/>
  <c r="AU12" i="18"/>
  <c r="AT12" i="18"/>
  <c r="AP12" i="18"/>
  <c r="AN12" i="18"/>
  <c r="AI12" i="18"/>
  <c r="AH12" i="18"/>
  <c r="AF12" i="18"/>
  <c r="AE12" i="18"/>
  <c r="AD12" i="18"/>
  <c r="AC12" i="18"/>
  <c r="AB12" i="18"/>
  <c r="AA12" i="18"/>
  <c r="Z12" i="18"/>
  <c r="Y12" i="18"/>
  <c r="X12" i="18"/>
  <c r="W12" i="18"/>
  <c r="P12" i="18"/>
  <c r="O12" i="18"/>
  <c r="AQ12" i="18" s="1"/>
  <c r="N12" i="18"/>
  <c r="AO12" i="18" s="1"/>
  <c r="AV12" i="18" s="1"/>
  <c r="M12" i="18"/>
  <c r="AP11" i="18"/>
  <c r="AO11" i="18"/>
  <c r="AV11" i="18" s="1"/>
  <c r="AN11" i="18"/>
  <c r="AI11" i="18"/>
  <c r="AT11" i="18" s="1"/>
  <c r="AH11" i="18"/>
  <c r="AF11" i="18"/>
  <c r="AE11" i="18"/>
  <c r="AD11" i="18"/>
  <c r="AC11" i="18"/>
  <c r="AA11" i="18"/>
  <c r="Z11" i="18"/>
  <c r="Y11" i="18"/>
  <c r="X11" i="18"/>
  <c r="W11" i="18"/>
  <c r="P11" i="18"/>
  <c r="O11" i="18"/>
  <c r="AQ11" i="18" s="1"/>
  <c r="N11" i="18"/>
  <c r="M11" i="18"/>
  <c r="AR11" i="18" s="1"/>
  <c r="AT10" i="18"/>
  <c r="AP10" i="18"/>
  <c r="AN10" i="18"/>
  <c r="AI10" i="18"/>
  <c r="AH10" i="18"/>
  <c r="AF10" i="18"/>
  <c r="AE10" i="18"/>
  <c r="AD10" i="18"/>
  <c r="AA10" i="18"/>
  <c r="Z10" i="18"/>
  <c r="Y10" i="18"/>
  <c r="X10" i="18"/>
  <c r="W10" i="18"/>
  <c r="P10" i="18"/>
  <c r="O10" i="18"/>
  <c r="AQ10" i="18" s="1"/>
  <c r="N10" i="18"/>
  <c r="AO10" i="18" s="1"/>
  <c r="AV10" i="18" s="1"/>
  <c r="M10" i="18"/>
  <c r="AR10" i="18" s="1"/>
  <c r="AT9" i="18"/>
  <c r="AP9" i="18"/>
  <c r="AN9" i="18"/>
  <c r="AI9" i="18"/>
  <c r="AH9" i="18"/>
  <c r="AF9" i="18"/>
  <c r="AE9" i="18"/>
  <c r="AA9" i="18"/>
  <c r="Z9" i="18"/>
  <c r="Y9" i="18"/>
  <c r="X9" i="18"/>
  <c r="W9" i="18"/>
  <c r="P9" i="18"/>
  <c r="O9" i="18"/>
  <c r="AQ9" i="18" s="1"/>
  <c r="N9" i="18"/>
  <c r="AO9" i="18" s="1"/>
  <c r="AV9" i="18" s="1"/>
  <c r="M9" i="18"/>
  <c r="AR9" i="18" s="1"/>
  <c r="AR8" i="18"/>
  <c r="AP8" i="18"/>
  <c r="AO8" i="18"/>
  <c r="AV8" i="18" s="1"/>
  <c r="AI8" i="18"/>
  <c r="AN8" i="18" s="1"/>
  <c r="AH8" i="18"/>
  <c r="AF8" i="18"/>
  <c r="AE8" i="18"/>
  <c r="AB8" i="18"/>
  <c r="AA8" i="18"/>
  <c r="Z8" i="18"/>
  <c r="Y8" i="18"/>
  <c r="X8" i="18"/>
  <c r="W8" i="18"/>
  <c r="P8" i="18"/>
  <c r="O8" i="18"/>
  <c r="AQ8" i="18" s="1"/>
  <c r="N8" i="18"/>
  <c r="AC8" i="18" s="1"/>
  <c r="M8" i="18"/>
  <c r="AT7" i="18"/>
  <c r="AR7" i="18"/>
  <c r="AP7" i="18"/>
  <c r="AJ7" i="18"/>
  <c r="AI7" i="18"/>
  <c r="AN7" i="18" s="1"/>
  <c r="AH7" i="18"/>
  <c r="AF7" i="18"/>
  <c r="AE7" i="18"/>
  <c r="AC7" i="18"/>
  <c r="AB7" i="18"/>
  <c r="AA7" i="18"/>
  <c r="Z7" i="18"/>
  <c r="Y7" i="18"/>
  <c r="X7" i="18"/>
  <c r="W7" i="18"/>
  <c r="P7" i="18"/>
  <c r="O7" i="18"/>
  <c r="AQ7" i="18" s="1"/>
  <c r="N7" i="18"/>
  <c r="AO7" i="18" s="1"/>
  <c r="AV7" i="18" s="1"/>
  <c r="M7" i="18"/>
  <c r="AU6" i="18"/>
  <c r="AT6" i="18"/>
  <c r="AP6" i="18"/>
  <c r="AN6" i="18"/>
  <c r="AJ6" i="18"/>
  <c r="AI6" i="18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AO6" i="18" s="1"/>
  <c r="AV6" i="18" s="1"/>
  <c r="M6" i="18"/>
  <c r="AI5" i="18"/>
  <c r="AH5" i="18"/>
  <c r="W5" i="18"/>
  <c r="AI4" i="18"/>
  <c r="AQ3" i="18"/>
  <c r="AP3" i="18"/>
  <c r="AO3" i="18"/>
  <c r="AI3" i="18"/>
  <c r="AH3" i="18"/>
  <c r="AN2" i="18"/>
  <c r="AM2" i="18"/>
  <c r="AL2" i="18"/>
  <c r="AK2" i="18"/>
  <c r="AJ2" i="18"/>
  <c r="AJ12" i="18" s="1"/>
  <c r="AA2" i="18"/>
  <c r="A2" i="18"/>
  <c r="AU1" i="18"/>
  <c r="AU11" i="18" s="1"/>
  <c r="AR1" i="18"/>
  <c r="AR12" i="18" s="1"/>
  <c r="AQ1" i="18"/>
  <c r="AP1" i="18"/>
  <c r="AO1" i="18"/>
  <c r="AJ1" i="18"/>
  <c r="AH1" i="18"/>
  <c r="AH2" i="18" s="1"/>
  <c r="AA1" i="18"/>
  <c r="A1" i="18"/>
  <c r="AT8" i="17"/>
  <c r="AR8" i="17"/>
  <c r="AP8" i="17"/>
  <c r="AJ8" i="17"/>
  <c r="AI8" i="17"/>
  <c r="AN8" i="17" s="1"/>
  <c r="AH8" i="17"/>
  <c r="AF8" i="17"/>
  <c r="AE8" i="17"/>
  <c r="AC8" i="17"/>
  <c r="AB8" i="17"/>
  <c r="AA8" i="17"/>
  <c r="Z8" i="17"/>
  <c r="Y8" i="17"/>
  <c r="X8" i="17"/>
  <c r="W8" i="17"/>
  <c r="P8" i="17"/>
  <c r="O8" i="17"/>
  <c r="AQ8" i="17" s="1"/>
  <c r="N8" i="17"/>
  <c r="AO8" i="17" s="1"/>
  <c r="M8" i="17"/>
  <c r="AU7" i="17"/>
  <c r="AT7" i="17"/>
  <c r="AJ7" i="17"/>
  <c r="AI7" i="17"/>
  <c r="AH7" i="17"/>
  <c r="AF7" i="17"/>
  <c r="AE7" i="17"/>
  <c r="AD7" i="17"/>
  <c r="AC7" i="17"/>
  <c r="AB7" i="17"/>
  <c r="AA7" i="17"/>
  <c r="Z7" i="17"/>
  <c r="Y7" i="17"/>
  <c r="X7" i="17"/>
  <c r="W7" i="17"/>
  <c r="P7" i="17"/>
  <c r="O7" i="17"/>
  <c r="AQ7" i="17" s="1"/>
  <c r="N7" i="17"/>
  <c r="AO7" i="17" s="1"/>
  <c r="M7" i="17"/>
  <c r="AU6" i="17"/>
  <c r="AI6" i="17"/>
  <c r="AT6" i="17" s="1"/>
  <c r="AH6" i="17"/>
  <c r="AF6" i="17"/>
  <c r="AE6" i="17"/>
  <c r="AD6" i="17"/>
  <c r="AC6" i="17"/>
  <c r="AA6" i="17"/>
  <c r="Z6" i="17"/>
  <c r="Y6" i="17"/>
  <c r="X6" i="17"/>
  <c r="W6" i="17"/>
  <c r="P6" i="17"/>
  <c r="O6" i="17"/>
  <c r="AQ6" i="17" s="1"/>
  <c r="N6" i="17"/>
  <c r="M6" i="17"/>
  <c r="AR6" i="17" s="1"/>
  <c r="AI5" i="17"/>
  <c r="AH5" i="17"/>
  <c r="W5" i="17"/>
  <c r="AI4" i="17"/>
  <c r="AR3" i="17"/>
  <c r="AQ3" i="17"/>
  <c r="AP3" i="17"/>
  <c r="AI3" i="17"/>
  <c r="AH3" i="17"/>
  <c r="AN2" i="17"/>
  <c r="AN7" i="17" s="1"/>
  <c r="AM2" i="17"/>
  <c r="AL2" i="17"/>
  <c r="AK2" i="17"/>
  <c r="AJ2" i="17"/>
  <c r="AA2" i="17"/>
  <c r="A2" i="17"/>
  <c r="AU1" i="17"/>
  <c r="AU8" i="17" s="1"/>
  <c r="AR1" i="17"/>
  <c r="AR7" i="17" s="1"/>
  <c r="AQ1" i="17"/>
  <c r="AP1" i="17"/>
  <c r="AP7" i="17" s="1"/>
  <c r="AO1" i="17"/>
  <c r="AO6" i="17" s="1"/>
  <c r="AJ1" i="17"/>
  <c r="AH1" i="17"/>
  <c r="AH2" i="17" s="1"/>
  <c r="AA1" i="17"/>
  <c r="A1" i="17"/>
  <c r="AT32" i="16"/>
  <c r="AN32" i="16"/>
  <c r="AI32" i="16"/>
  <c r="AH32" i="16"/>
  <c r="AF32" i="16"/>
  <c r="AE32" i="16"/>
  <c r="AD32" i="16"/>
  <c r="AC32" i="16"/>
  <c r="AB32" i="16"/>
  <c r="AA32" i="16"/>
  <c r="Z32" i="16"/>
  <c r="Y32" i="16"/>
  <c r="X32" i="16"/>
  <c r="W32" i="16"/>
  <c r="P32" i="16"/>
  <c r="O32" i="16"/>
  <c r="AQ32" i="16" s="1"/>
  <c r="N32" i="16"/>
  <c r="AO32" i="16" s="1"/>
  <c r="M32" i="16"/>
  <c r="AP31" i="16"/>
  <c r="AO31" i="16"/>
  <c r="AV31" i="16" s="1"/>
  <c r="AN31" i="16"/>
  <c r="AI31" i="16"/>
  <c r="AT31" i="16" s="1"/>
  <c r="AH31" i="16"/>
  <c r="AF31" i="16"/>
  <c r="AE31" i="16"/>
  <c r="AD31" i="16"/>
  <c r="AC31" i="16"/>
  <c r="AA31" i="16"/>
  <c r="Z31" i="16"/>
  <c r="Y31" i="16"/>
  <c r="X31" i="16"/>
  <c r="W31" i="16"/>
  <c r="P31" i="16"/>
  <c r="O31" i="16"/>
  <c r="AQ31" i="16" s="1"/>
  <c r="N31" i="16"/>
  <c r="M31" i="16"/>
  <c r="AR31" i="16" s="1"/>
  <c r="AI30" i="16"/>
  <c r="AH30" i="16"/>
  <c r="W30" i="16"/>
  <c r="AT29" i="16"/>
  <c r="AI29" i="16"/>
  <c r="AN29" i="16" s="1"/>
  <c r="AH29" i="16"/>
  <c r="AF29" i="16"/>
  <c r="AE29" i="16"/>
  <c r="AC29" i="16"/>
  <c r="AB29" i="16"/>
  <c r="AA29" i="16"/>
  <c r="Z29" i="16"/>
  <c r="Y29" i="16"/>
  <c r="X29" i="16"/>
  <c r="W29" i="16"/>
  <c r="P29" i="16"/>
  <c r="O29" i="16"/>
  <c r="AQ29" i="16" s="1"/>
  <c r="N29" i="16"/>
  <c r="AO29" i="16" s="1"/>
  <c r="M29" i="16"/>
  <c r="AT28" i="16"/>
  <c r="AP28" i="16"/>
  <c r="AN28" i="16"/>
  <c r="AI28" i="16"/>
  <c r="AH28" i="16"/>
  <c r="AF28" i="16"/>
  <c r="AE28" i="16"/>
  <c r="AD28" i="16"/>
  <c r="AC28" i="16"/>
  <c r="AB28" i="16"/>
  <c r="AA28" i="16"/>
  <c r="Z28" i="16"/>
  <c r="Y28" i="16"/>
  <c r="X28" i="16"/>
  <c r="W28" i="16"/>
  <c r="P28" i="16"/>
  <c r="O28" i="16"/>
  <c r="AQ28" i="16" s="1"/>
  <c r="N28" i="16"/>
  <c r="AO28" i="16" s="1"/>
  <c r="AV28" i="16" s="1"/>
  <c r="M28" i="16"/>
  <c r="AI27" i="16"/>
  <c r="AH27" i="16"/>
  <c r="W27" i="16"/>
  <c r="AR26" i="16"/>
  <c r="AP26" i="16"/>
  <c r="AO26" i="16"/>
  <c r="AV26" i="16" s="1"/>
  <c r="AI26" i="16"/>
  <c r="AN26" i="16" s="1"/>
  <c r="AH26" i="16"/>
  <c r="AF26" i="16"/>
  <c r="AE26" i="16"/>
  <c r="AB26" i="16"/>
  <c r="AA26" i="16"/>
  <c r="Z26" i="16"/>
  <c r="Y26" i="16"/>
  <c r="X26" i="16"/>
  <c r="W26" i="16"/>
  <c r="P26" i="16"/>
  <c r="O26" i="16"/>
  <c r="AQ26" i="16" s="1"/>
  <c r="N26" i="16"/>
  <c r="AC26" i="16" s="1"/>
  <c r="M26" i="16"/>
  <c r="AI25" i="16"/>
  <c r="AH25" i="16"/>
  <c r="W25" i="16"/>
  <c r="AT24" i="16"/>
  <c r="AP24" i="16"/>
  <c r="AI24" i="16"/>
  <c r="AH24" i="16"/>
  <c r="AF24" i="16"/>
  <c r="AE24" i="16"/>
  <c r="AD24" i="16"/>
  <c r="AA24" i="16"/>
  <c r="Z24" i="16"/>
  <c r="Y24" i="16"/>
  <c r="X24" i="16"/>
  <c r="W24" i="16"/>
  <c r="P24" i="16"/>
  <c r="O24" i="16"/>
  <c r="AQ24" i="16" s="1"/>
  <c r="N24" i="16"/>
  <c r="AO24" i="16" s="1"/>
  <c r="AV24" i="16" s="1"/>
  <c r="M24" i="16"/>
  <c r="AR24" i="16" s="1"/>
  <c r="AI23" i="16"/>
  <c r="AH23" i="16"/>
  <c r="W23" i="16"/>
  <c r="AT22" i="16"/>
  <c r="AN22" i="16"/>
  <c r="AI22" i="16"/>
  <c r="AH22" i="16"/>
  <c r="AF22" i="16"/>
  <c r="AE22" i="16"/>
  <c r="AD22" i="16"/>
  <c r="AC22" i="16"/>
  <c r="AB22" i="16"/>
  <c r="AA22" i="16"/>
  <c r="Z22" i="16"/>
  <c r="Y22" i="16"/>
  <c r="X22" i="16"/>
  <c r="W22" i="16"/>
  <c r="P22" i="16"/>
  <c r="O22" i="16"/>
  <c r="AQ22" i="16" s="1"/>
  <c r="N22" i="16"/>
  <c r="AO22" i="16" s="1"/>
  <c r="M22" i="16"/>
  <c r="AO21" i="16"/>
  <c r="AN21" i="16"/>
  <c r="AI21" i="16"/>
  <c r="AT21" i="16" s="1"/>
  <c r="AH21" i="16"/>
  <c r="AF21" i="16"/>
  <c r="AE21" i="16"/>
  <c r="AD21" i="16"/>
  <c r="AC21" i="16"/>
  <c r="AA21" i="16"/>
  <c r="Z21" i="16"/>
  <c r="Y21" i="16"/>
  <c r="X21" i="16"/>
  <c r="W21" i="16"/>
  <c r="P21" i="16"/>
  <c r="O21" i="16"/>
  <c r="AQ21" i="16" s="1"/>
  <c r="N21" i="16"/>
  <c r="M21" i="16"/>
  <c r="AR21" i="16" s="1"/>
  <c r="AT20" i="16"/>
  <c r="AP20" i="16"/>
  <c r="AI20" i="16"/>
  <c r="AH20" i="16"/>
  <c r="AF20" i="16"/>
  <c r="AE20" i="16"/>
  <c r="AD20" i="16"/>
  <c r="AA20" i="16"/>
  <c r="Z20" i="16"/>
  <c r="Y20" i="16"/>
  <c r="X20" i="16"/>
  <c r="W20" i="16"/>
  <c r="P20" i="16"/>
  <c r="O20" i="16"/>
  <c r="AQ20" i="16" s="1"/>
  <c r="N20" i="16"/>
  <c r="AO20" i="16" s="1"/>
  <c r="AV20" i="16" s="1"/>
  <c r="M20" i="16"/>
  <c r="AR20" i="16" s="1"/>
  <c r="AT19" i="16"/>
  <c r="AP19" i="16"/>
  <c r="AN19" i="16"/>
  <c r="AI19" i="16"/>
  <c r="AH19" i="16"/>
  <c r="AF19" i="16"/>
  <c r="AE19" i="16"/>
  <c r="AA19" i="16"/>
  <c r="Z19" i="16"/>
  <c r="Y19" i="16"/>
  <c r="X19" i="16"/>
  <c r="W19" i="16"/>
  <c r="P19" i="16"/>
  <c r="O19" i="16"/>
  <c r="AQ19" i="16" s="1"/>
  <c r="N19" i="16"/>
  <c r="AO19" i="16" s="1"/>
  <c r="M19" i="16"/>
  <c r="AR19" i="16" s="1"/>
  <c r="AI18" i="16"/>
  <c r="AH18" i="16"/>
  <c r="W18" i="16"/>
  <c r="AP17" i="16"/>
  <c r="AO17" i="16"/>
  <c r="AV17" i="16" s="1"/>
  <c r="AN17" i="16"/>
  <c r="AI17" i="16"/>
  <c r="AT17" i="16" s="1"/>
  <c r="AH17" i="16"/>
  <c r="AF17" i="16"/>
  <c r="AE17" i="16"/>
  <c r="AD17" i="16"/>
  <c r="AC17" i="16"/>
  <c r="AA17" i="16"/>
  <c r="Z17" i="16"/>
  <c r="Y17" i="16"/>
  <c r="X17" i="16"/>
  <c r="W17" i="16"/>
  <c r="P17" i="16"/>
  <c r="O17" i="16"/>
  <c r="AQ17" i="16" s="1"/>
  <c r="N17" i="16"/>
  <c r="M17" i="16"/>
  <c r="AR17" i="16" s="1"/>
  <c r="AT16" i="16"/>
  <c r="AP16" i="16"/>
  <c r="AN16" i="16"/>
  <c r="AI16" i="16"/>
  <c r="AH16" i="16"/>
  <c r="AF16" i="16"/>
  <c r="AE16" i="16"/>
  <c r="AD16" i="16"/>
  <c r="AA16" i="16"/>
  <c r="Z16" i="16"/>
  <c r="Y16" i="16"/>
  <c r="X16" i="16"/>
  <c r="W16" i="16"/>
  <c r="P16" i="16"/>
  <c r="O16" i="16"/>
  <c r="AQ16" i="16" s="1"/>
  <c r="N16" i="16"/>
  <c r="AO16" i="16" s="1"/>
  <c r="M16" i="16"/>
  <c r="AR16" i="16" s="1"/>
  <c r="AI15" i="16"/>
  <c r="AH15" i="16"/>
  <c r="W15" i="16"/>
  <c r="AT14" i="16"/>
  <c r="AP14" i="16"/>
  <c r="AN14" i="16"/>
  <c r="AI14" i="16"/>
  <c r="AH14" i="16"/>
  <c r="AF14" i="16"/>
  <c r="AE14" i="16"/>
  <c r="AD14" i="16"/>
  <c r="AC14" i="16"/>
  <c r="AB14" i="16"/>
  <c r="AA14" i="16"/>
  <c r="Z14" i="16"/>
  <c r="Y14" i="16"/>
  <c r="X14" i="16"/>
  <c r="W14" i="16"/>
  <c r="P14" i="16"/>
  <c r="O14" i="16"/>
  <c r="AQ14" i="16" s="1"/>
  <c r="N14" i="16"/>
  <c r="AO14" i="16" s="1"/>
  <c r="AV14" i="16" s="1"/>
  <c r="M14" i="16"/>
  <c r="AP13" i="16"/>
  <c r="AO13" i="16"/>
  <c r="AV13" i="16" s="1"/>
  <c r="AN13" i="16"/>
  <c r="AI13" i="16"/>
  <c r="AT13" i="16" s="1"/>
  <c r="AH13" i="16"/>
  <c r="AF13" i="16"/>
  <c r="AE13" i="16"/>
  <c r="AD13" i="16"/>
  <c r="AC13" i="16"/>
  <c r="AA13" i="16"/>
  <c r="Z13" i="16"/>
  <c r="Y13" i="16"/>
  <c r="X13" i="16"/>
  <c r="W13" i="16"/>
  <c r="P13" i="16"/>
  <c r="O13" i="16"/>
  <c r="AQ13" i="16" s="1"/>
  <c r="N13" i="16"/>
  <c r="M13" i="16"/>
  <c r="AR13" i="16" s="1"/>
  <c r="AI12" i="16"/>
  <c r="AH12" i="16"/>
  <c r="W12" i="16"/>
  <c r="AT11" i="16"/>
  <c r="AP11" i="16"/>
  <c r="AJ11" i="16"/>
  <c r="AI11" i="16"/>
  <c r="AN11" i="16" s="1"/>
  <c r="AH11" i="16"/>
  <c r="AF11" i="16"/>
  <c r="AE11" i="16"/>
  <c r="AC11" i="16"/>
  <c r="AB11" i="16"/>
  <c r="AA11" i="16"/>
  <c r="Z11" i="16"/>
  <c r="Y11" i="16"/>
  <c r="X11" i="16"/>
  <c r="W11" i="16"/>
  <c r="P11" i="16"/>
  <c r="O11" i="16"/>
  <c r="AQ11" i="16" s="1"/>
  <c r="N11" i="16"/>
  <c r="AO11" i="16" s="1"/>
  <c r="AV11" i="16" s="1"/>
  <c r="M11" i="16"/>
  <c r="AI10" i="16"/>
  <c r="AH10" i="16"/>
  <c r="W10" i="16"/>
  <c r="AT9" i="16"/>
  <c r="AQ9" i="16"/>
  <c r="AP9" i="16"/>
  <c r="AN9" i="16"/>
  <c r="AI9" i="16"/>
  <c r="AH9" i="16"/>
  <c r="AF9" i="16"/>
  <c r="AE9" i="16"/>
  <c r="AA9" i="16"/>
  <c r="Z9" i="16"/>
  <c r="Y9" i="16"/>
  <c r="X9" i="16"/>
  <c r="W9" i="16"/>
  <c r="P9" i="16"/>
  <c r="O9" i="16"/>
  <c r="AD9" i="16" s="1"/>
  <c r="N9" i="16"/>
  <c r="AO9" i="16" s="1"/>
  <c r="AV9" i="16" s="1"/>
  <c r="M9" i="16"/>
  <c r="AR9" i="16" s="1"/>
  <c r="AR8" i="16"/>
  <c r="AP8" i="16"/>
  <c r="AO8" i="16"/>
  <c r="AV8" i="16" s="1"/>
  <c r="AI8" i="16"/>
  <c r="AH8" i="16"/>
  <c r="AF8" i="16"/>
  <c r="AE8" i="16"/>
  <c r="AB8" i="16"/>
  <c r="AA8" i="16"/>
  <c r="Z8" i="16"/>
  <c r="Y8" i="16"/>
  <c r="X8" i="16"/>
  <c r="W8" i="16"/>
  <c r="P8" i="16"/>
  <c r="O8" i="16"/>
  <c r="AQ8" i="16" s="1"/>
  <c r="N8" i="16"/>
  <c r="AC8" i="16" s="1"/>
  <c r="M8" i="16"/>
  <c r="AT7" i="16"/>
  <c r="AR7" i="16"/>
  <c r="AP7" i="16"/>
  <c r="AJ7" i="16"/>
  <c r="AI7" i="16"/>
  <c r="AN7" i="16" s="1"/>
  <c r="AH7" i="16"/>
  <c r="AF7" i="16"/>
  <c r="AE7" i="16"/>
  <c r="AC7" i="16"/>
  <c r="AB7" i="16"/>
  <c r="AA7" i="16"/>
  <c r="Z7" i="16"/>
  <c r="Y7" i="16"/>
  <c r="X7" i="16"/>
  <c r="W7" i="16"/>
  <c r="P7" i="16"/>
  <c r="O7" i="16"/>
  <c r="AQ7" i="16" s="1"/>
  <c r="N7" i="16"/>
  <c r="AO7" i="16" s="1"/>
  <c r="AV7" i="16" s="1"/>
  <c r="M7" i="16"/>
  <c r="AU6" i="16"/>
  <c r="AT6" i="16"/>
  <c r="AP6" i="16"/>
  <c r="AN6" i="16"/>
  <c r="AJ6" i="16"/>
  <c r="AI6" i="16"/>
  <c r="AH6" i="16"/>
  <c r="AF6" i="16"/>
  <c r="AE6" i="16"/>
  <c r="AD6" i="16"/>
  <c r="AC6" i="16"/>
  <c r="AB6" i="16"/>
  <c r="AA6" i="16"/>
  <c r="Z6" i="16"/>
  <c r="Y6" i="16"/>
  <c r="X6" i="16"/>
  <c r="W6" i="16"/>
  <c r="P6" i="16"/>
  <c r="O6" i="16"/>
  <c r="AQ6" i="16" s="1"/>
  <c r="N6" i="16"/>
  <c r="AO6" i="16" s="1"/>
  <c r="AV6" i="16" s="1"/>
  <c r="M6" i="16"/>
  <c r="AI5" i="16"/>
  <c r="AH5" i="16"/>
  <c r="W5" i="16"/>
  <c r="AI4" i="16"/>
  <c r="AQ3" i="16"/>
  <c r="AP3" i="16"/>
  <c r="AO3" i="16"/>
  <c r="AI3" i="16"/>
  <c r="AH3" i="16"/>
  <c r="AN2" i="16"/>
  <c r="AN24" i="16" s="1"/>
  <c r="AM2" i="16"/>
  <c r="AL2" i="16"/>
  <c r="AK2" i="16"/>
  <c r="AJ2" i="16"/>
  <c r="AJ29" i="16" s="1"/>
  <c r="AA2" i="16"/>
  <c r="A2" i="16"/>
  <c r="AU1" i="16"/>
  <c r="AU32" i="16" s="1"/>
  <c r="AR1" i="16"/>
  <c r="AR29" i="16" s="1"/>
  <c r="AQ1" i="16"/>
  <c r="AP1" i="16"/>
  <c r="AP29" i="16" s="1"/>
  <c r="AO1" i="16"/>
  <c r="AJ1" i="16"/>
  <c r="AH1" i="16"/>
  <c r="AH2" i="16" s="1"/>
  <c r="AA1" i="16"/>
  <c r="A1" i="16"/>
  <c r="AT10" i="15"/>
  <c r="AP10" i="15"/>
  <c r="AJ10" i="15"/>
  <c r="AI10" i="15"/>
  <c r="AN10" i="15" s="1"/>
  <c r="AH10" i="15"/>
  <c r="AF10" i="15"/>
  <c r="AE10" i="15"/>
  <c r="AC10" i="15"/>
  <c r="AB10" i="15"/>
  <c r="AA10" i="15"/>
  <c r="Z10" i="15"/>
  <c r="Y10" i="15"/>
  <c r="X10" i="15"/>
  <c r="W10" i="15"/>
  <c r="P10" i="15"/>
  <c r="O10" i="15"/>
  <c r="AQ10" i="15" s="1"/>
  <c r="N10" i="15"/>
  <c r="AO10" i="15" s="1"/>
  <c r="AV10" i="15" s="1"/>
  <c r="M10" i="15"/>
  <c r="AT9" i="15"/>
  <c r="AP9" i="15"/>
  <c r="AN9" i="15"/>
  <c r="AJ9" i="15"/>
  <c r="AI9" i="15"/>
  <c r="AH9" i="15"/>
  <c r="AF9" i="15"/>
  <c r="AE9" i="15"/>
  <c r="AD9" i="15"/>
  <c r="AC9" i="15"/>
  <c r="AB9" i="15"/>
  <c r="AA9" i="15"/>
  <c r="Z9" i="15"/>
  <c r="Y9" i="15"/>
  <c r="X9" i="15"/>
  <c r="W9" i="15"/>
  <c r="P9" i="15"/>
  <c r="O9" i="15"/>
  <c r="AQ9" i="15" s="1"/>
  <c r="N9" i="15"/>
  <c r="AO9" i="15" s="1"/>
  <c r="AV9" i="15" s="1"/>
  <c r="M9" i="15"/>
  <c r="AI8" i="15"/>
  <c r="AH8" i="15"/>
  <c r="W8" i="15"/>
  <c r="AP7" i="15"/>
  <c r="AO7" i="15"/>
  <c r="AV7" i="15" s="1"/>
  <c r="AI7" i="15"/>
  <c r="AH7" i="15"/>
  <c r="AF7" i="15"/>
  <c r="AE7" i="15"/>
  <c r="AB7" i="15"/>
  <c r="AA7" i="15"/>
  <c r="Z7" i="15"/>
  <c r="Y7" i="15"/>
  <c r="X7" i="15"/>
  <c r="W7" i="15"/>
  <c r="P7" i="15"/>
  <c r="O7" i="15"/>
  <c r="AD7" i="15" s="1"/>
  <c r="N7" i="15"/>
  <c r="AC7" i="15" s="1"/>
  <c r="M7" i="15"/>
  <c r="AR6" i="15"/>
  <c r="AP6" i="15"/>
  <c r="AJ6" i="15"/>
  <c r="AI6" i="15"/>
  <c r="AN6" i="15" s="1"/>
  <c r="AH6" i="15"/>
  <c r="AF6" i="15"/>
  <c r="AE6" i="15"/>
  <c r="AC6" i="15"/>
  <c r="AB6" i="15"/>
  <c r="AA6" i="15"/>
  <c r="Z6" i="15"/>
  <c r="Y6" i="15"/>
  <c r="X6" i="15"/>
  <c r="W6" i="15"/>
  <c r="P6" i="15"/>
  <c r="O6" i="15"/>
  <c r="AQ6" i="15" s="1"/>
  <c r="N6" i="15"/>
  <c r="AO6" i="15" s="1"/>
  <c r="AV6" i="15" s="1"/>
  <c r="M6" i="15"/>
  <c r="AI5" i="15"/>
  <c r="AH5" i="15"/>
  <c r="W5" i="15"/>
  <c r="AI4" i="15"/>
  <c r="AP3" i="15"/>
  <c r="AO3" i="15"/>
  <c r="AI3" i="15"/>
  <c r="AH3" i="15"/>
  <c r="AN2" i="15"/>
  <c r="AM2" i="15"/>
  <c r="AL2" i="15"/>
  <c r="AK2" i="15"/>
  <c r="AJ2" i="15"/>
  <c r="AA2" i="15"/>
  <c r="A2" i="15"/>
  <c r="AU1" i="15"/>
  <c r="AU9" i="15" s="1"/>
  <c r="AR1" i="15"/>
  <c r="AR7" i="15" s="1"/>
  <c r="AQ1" i="15"/>
  <c r="AQ3" i="15" s="1"/>
  <c r="AP1" i="15"/>
  <c r="AO1" i="15"/>
  <c r="AH1" i="15"/>
  <c r="AH2" i="15" s="1"/>
  <c r="AA1" i="15"/>
  <c r="A1" i="15"/>
  <c r="AJ1" i="15" s="1"/>
  <c r="AI48" i="14"/>
  <c r="AH48" i="14"/>
  <c r="AF48" i="14"/>
  <c r="AE48" i="14"/>
  <c r="AA48" i="14"/>
  <c r="Z48" i="14"/>
  <c r="Y48" i="14"/>
  <c r="X48" i="14"/>
  <c r="W48" i="14"/>
  <c r="P48" i="14"/>
  <c r="O48" i="14"/>
  <c r="AD48" i="14" s="1"/>
  <c r="N48" i="14"/>
  <c r="AC48" i="14" s="1"/>
  <c r="M48" i="14"/>
  <c r="AI47" i="14"/>
  <c r="AT47" i="14" s="1"/>
  <c r="AH47" i="14"/>
  <c r="AF47" i="14"/>
  <c r="AE47" i="14"/>
  <c r="AB47" i="14"/>
  <c r="AA47" i="14"/>
  <c r="Z47" i="14"/>
  <c r="Y47" i="14"/>
  <c r="X47" i="14"/>
  <c r="W47" i="14"/>
  <c r="P47" i="14"/>
  <c r="O47" i="14"/>
  <c r="N47" i="14"/>
  <c r="AC47" i="14" s="1"/>
  <c r="M47" i="14"/>
  <c r="AT46" i="14"/>
  <c r="AI46" i="14"/>
  <c r="AH46" i="14"/>
  <c r="AF46" i="14"/>
  <c r="AE46" i="14"/>
  <c r="AD46" i="14"/>
  <c r="AC46" i="14"/>
  <c r="AB46" i="14"/>
  <c r="AA46" i="14"/>
  <c r="Z46" i="14"/>
  <c r="Y46" i="14"/>
  <c r="X46" i="14"/>
  <c r="W46" i="14"/>
  <c r="P46" i="14"/>
  <c r="O46" i="14"/>
  <c r="N46" i="14"/>
  <c r="M46" i="14"/>
  <c r="AI45" i="14"/>
  <c r="AH45" i="14"/>
  <c r="AF45" i="14"/>
  <c r="AE45" i="14"/>
  <c r="AD45" i="14"/>
  <c r="AC45" i="14"/>
  <c r="AB45" i="14"/>
  <c r="AA45" i="14"/>
  <c r="Z45" i="14"/>
  <c r="Y45" i="14"/>
  <c r="X45" i="14"/>
  <c r="W45" i="14"/>
  <c r="P45" i="14"/>
  <c r="O45" i="14"/>
  <c r="N45" i="14"/>
  <c r="M45" i="14"/>
  <c r="AT44" i="14"/>
  <c r="AI44" i="14"/>
  <c r="AH44" i="14"/>
  <c r="AF44" i="14"/>
  <c r="AE44" i="14"/>
  <c r="AD44" i="14"/>
  <c r="AA44" i="14"/>
  <c r="Z44" i="14"/>
  <c r="Y44" i="14"/>
  <c r="X44" i="14"/>
  <c r="W44" i="14"/>
  <c r="P44" i="14"/>
  <c r="O44" i="14"/>
  <c r="N44" i="14"/>
  <c r="AO44" i="14" s="1"/>
  <c r="M44" i="14"/>
  <c r="AT43" i="14"/>
  <c r="AP43" i="14"/>
  <c r="AO43" i="14"/>
  <c r="AV43" i="14" s="1"/>
  <c r="AI43" i="14"/>
  <c r="AH43" i="14"/>
  <c r="AF43" i="14"/>
  <c r="AE43" i="14"/>
  <c r="AD43" i="14"/>
  <c r="AA43" i="14"/>
  <c r="Z43" i="14"/>
  <c r="Y43" i="14"/>
  <c r="X43" i="14"/>
  <c r="W43" i="14"/>
  <c r="P43" i="14"/>
  <c r="O43" i="14"/>
  <c r="AQ43" i="14" s="1"/>
  <c r="N43" i="14"/>
  <c r="AC43" i="14" s="1"/>
  <c r="M43" i="14"/>
  <c r="AI42" i="14"/>
  <c r="AH42" i="14"/>
  <c r="AF42" i="14"/>
  <c r="AE42" i="14"/>
  <c r="AB42" i="14"/>
  <c r="AA42" i="14"/>
  <c r="Z42" i="14"/>
  <c r="Y42" i="14"/>
  <c r="X42" i="14"/>
  <c r="W42" i="14"/>
  <c r="P42" i="14"/>
  <c r="O42" i="14"/>
  <c r="AD42" i="14" s="1"/>
  <c r="N42" i="14"/>
  <c r="AC42" i="14" s="1"/>
  <c r="M42" i="14"/>
  <c r="AT41" i="14"/>
  <c r="AI41" i="14"/>
  <c r="AH41" i="14"/>
  <c r="AF41" i="14"/>
  <c r="AE41" i="14"/>
  <c r="AB41" i="14"/>
  <c r="AA41" i="14"/>
  <c r="Z41" i="14"/>
  <c r="Y41" i="14"/>
  <c r="X41" i="14"/>
  <c r="W41" i="14"/>
  <c r="P41" i="14"/>
  <c r="O41" i="14"/>
  <c r="AD41" i="14" s="1"/>
  <c r="N41" i="14"/>
  <c r="M41" i="14"/>
  <c r="AI40" i="14"/>
  <c r="AT40" i="14" s="1"/>
  <c r="AH40" i="14"/>
  <c r="AF40" i="14"/>
  <c r="AE40" i="14"/>
  <c r="AD40" i="14"/>
  <c r="AC40" i="14"/>
  <c r="AB40" i="14"/>
  <c r="AA40" i="14"/>
  <c r="Z40" i="14"/>
  <c r="Y40" i="14"/>
  <c r="X40" i="14"/>
  <c r="W40" i="14"/>
  <c r="P40" i="14"/>
  <c r="O40" i="14"/>
  <c r="AQ40" i="14" s="1"/>
  <c r="N40" i="14"/>
  <c r="M40" i="14"/>
  <c r="AI39" i="14"/>
  <c r="AT39" i="14" s="1"/>
  <c r="AH39" i="14"/>
  <c r="AF39" i="14"/>
  <c r="AE39" i="14"/>
  <c r="AD39" i="14"/>
  <c r="AC39" i="14"/>
  <c r="AB39" i="14"/>
  <c r="AA39" i="14"/>
  <c r="Z39" i="14"/>
  <c r="Y39" i="14"/>
  <c r="X39" i="14"/>
  <c r="W39" i="14"/>
  <c r="P39" i="14"/>
  <c r="O39" i="14"/>
  <c r="N39" i="14"/>
  <c r="M39" i="14"/>
  <c r="AI38" i="14"/>
  <c r="AH38" i="14"/>
  <c r="W38" i="14"/>
  <c r="AP37" i="14"/>
  <c r="AI37" i="14"/>
  <c r="AT37" i="14" s="1"/>
  <c r="AH37" i="14"/>
  <c r="AF37" i="14"/>
  <c r="AE37" i="14"/>
  <c r="AB37" i="14"/>
  <c r="AA37" i="14"/>
  <c r="Z37" i="14"/>
  <c r="Y37" i="14"/>
  <c r="X37" i="14"/>
  <c r="W37" i="14"/>
  <c r="P37" i="14"/>
  <c r="O37" i="14"/>
  <c r="AD37" i="14" s="1"/>
  <c r="N37" i="14"/>
  <c r="AO37" i="14" s="1"/>
  <c r="AV37" i="14" s="1"/>
  <c r="M37" i="14"/>
  <c r="AI36" i="14"/>
  <c r="AJ36" i="14" s="1"/>
  <c r="AH36" i="14"/>
  <c r="AF36" i="14"/>
  <c r="AE36" i="14"/>
  <c r="AD36" i="14"/>
  <c r="AC36" i="14"/>
  <c r="AB36" i="14"/>
  <c r="AA36" i="14"/>
  <c r="Z36" i="14"/>
  <c r="Y36" i="14"/>
  <c r="X36" i="14"/>
  <c r="W36" i="14"/>
  <c r="P36" i="14"/>
  <c r="O36" i="14"/>
  <c r="N36" i="14"/>
  <c r="M36" i="14"/>
  <c r="AT35" i="14"/>
  <c r="AN35" i="14"/>
  <c r="AI35" i="14"/>
  <c r="AH35" i="14"/>
  <c r="AF35" i="14"/>
  <c r="AE35" i="14"/>
  <c r="AD35" i="14"/>
  <c r="AC35" i="14"/>
  <c r="AA35" i="14"/>
  <c r="Z35" i="14"/>
  <c r="Y35" i="14"/>
  <c r="X35" i="14"/>
  <c r="W35" i="14"/>
  <c r="P35" i="14"/>
  <c r="O35" i="14"/>
  <c r="N35" i="14"/>
  <c r="M35" i="14"/>
  <c r="AB35" i="14" s="1"/>
  <c r="AT34" i="14"/>
  <c r="AI34" i="14"/>
  <c r="AH34" i="14"/>
  <c r="AF34" i="14"/>
  <c r="AE34" i="14"/>
  <c r="AD34" i="14"/>
  <c r="AC34" i="14"/>
  <c r="AA34" i="14"/>
  <c r="Z34" i="14"/>
  <c r="Y34" i="14"/>
  <c r="X34" i="14"/>
  <c r="W34" i="14"/>
  <c r="P34" i="14"/>
  <c r="O34" i="14"/>
  <c r="N34" i="14"/>
  <c r="AO34" i="14" s="1"/>
  <c r="M34" i="14"/>
  <c r="AT33" i="14"/>
  <c r="AI33" i="14"/>
  <c r="AH33" i="14"/>
  <c r="AF33" i="14"/>
  <c r="AE33" i="14"/>
  <c r="AD33" i="14"/>
  <c r="AA33" i="14"/>
  <c r="Z33" i="14"/>
  <c r="Y33" i="14"/>
  <c r="X33" i="14"/>
  <c r="W33" i="14"/>
  <c r="P33" i="14"/>
  <c r="O33" i="14"/>
  <c r="N33" i="14"/>
  <c r="AC33" i="14" s="1"/>
  <c r="M33" i="14"/>
  <c r="AI32" i="14"/>
  <c r="AH32" i="14"/>
  <c r="AF32" i="14"/>
  <c r="AE32" i="14"/>
  <c r="AA32" i="14"/>
  <c r="Z32" i="14"/>
  <c r="Y32" i="14"/>
  <c r="X32" i="14"/>
  <c r="W32" i="14"/>
  <c r="P32" i="14"/>
  <c r="O32" i="14"/>
  <c r="AD32" i="14" s="1"/>
  <c r="N32" i="14"/>
  <c r="AC32" i="14" s="1"/>
  <c r="M32" i="14"/>
  <c r="AR32" i="14" s="1"/>
  <c r="AI31" i="14"/>
  <c r="AT31" i="14" s="1"/>
  <c r="AH31" i="14"/>
  <c r="AF31" i="14"/>
  <c r="AE31" i="14"/>
  <c r="AC31" i="14"/>
  <c r="AB31" i="14"/>
  <c r="AA31" i="14"/>
  <c r="Z31" i="14"/>
  <c r="Y31" i="14"/>
  <c r="X31" i="14"/>
  <c r="W31" i="14"/>
  <c r="P31" i="14"/>
  <c r="O31" i="14"/>
  <c r="AD31" i="14" s="1"/>
  <c r="N31" i="14"/>
  <c r="M31" i="14"/>
  <c r="AI30" i="14"/>
  <c r="AH30" i="14"/>
  <c r="W30" i="14"/>
  <c r="AT29" i="14"/>
  <c r="AO29" i="14"/>
  <c r="AI29" i="14"/>
  <c r="AH29" i="14"/>
  <c r="AF29" i="14"/>
  <c r="AE29" i="14"/>
  <c r="AD29" i="14"/>
  <c r="AA29" i="14"/>
  <c r="Z29" i="14"/>
  <c r="Y29" i="14"/>
  <c r="X29" i="14"/>
  <c r="W29" i="14"/>
  <c r="P29" i="14"/>
  <c r="O29" i="14"/>
  <c r="AQ29" i="14" s="1"/>
  <c r="N29" i="14"/>
  <c r="AC29" i="14" s="1"/>
  <c r="M29" i="14"/>
  <c r="AI28" i="14"/>
  <c r="AH28" i="14"/>
  <c r="AF28" i="14"/>
  <c r="AE28" i="14"/>
  <c r="AA28" i="14"/>
  <c r="Z28" i="14"/>
  <c r="Y28" i="14"/>
  <c r="X28" i="14"/>
  <c r="W28" i="14"/>
  <c r="P28" i="14"/>
  <c r="O28" i="14"/>
  <c r="AQ28" i="14" s="1"/>
  <c r="N28" i="14"/>
  <c r="AC28" i="14" s="1"/>
  <c r="M28" i="14"/>
  <c r="AB28" i="14" s="1"/>
  <c r="AP27" i="14"/>
  <c r="AI27" i="14"/>
  <c r="AH27" i="14"/>
  <c r="AF27" i="14"/>
  <c r="AE27" i="14"/>
  <c r="AC27" i="14"/>
  <c r="AA27" i="14"/>
  <c r="Z27" i="14"/>
  <c r="Y27" i="14"/>
  <c r="X27" i="14"/>
  <c r="W27" i="14"/>
  <c r="P27" i="14"/>
  <c r="O27" i="14"/>
  <c r="AD27" i="14" s="1"/>
  <c r="N27" i="14"/>
  <c r="M27" i="14"/>
  <c r="AB27" i="14" s="1"/>
  <c r="AI26" i="14"/>
  <c r="AH26" i="14"/>
  <c r="W26" i="14"/>
  <c r="AT25" i="14"/>
  <c r="AP25" i="14"/>
  <c r="AI25" i="14"/>
  <c r="AH25" i="14"/>
  <c r="AF25" i="14"/>
  <c r="AE25" i="14"/>
  <c r="AB25" i="14"/>
  <c r="AA25" i="14"/>
  <c r="Z25" i="14"/>
  <c r="Y25" i="14"/>
  <c r="X25" i="14"/>
  <c r="W25" i="14"/>
  <c r="P25" i="14"/>
  <c r="O25" i="14"/>
  <c r="AQ25" i="14" s="1"/>
  <c r="N25" i="14"/>
  <c r="AO25" i="14" s="1"/>
  <c r="AV25" i="14" s="1"/>
  <c r="M25" i="14"/>
  <c r="AI24" i="14"/>
  <c r="AN24" i="14" s="1"/>
  <c r="AH24" i="14"/>
  <c r="AF24" i="14"/>
  <c r="AE24" i="14"/>
  <c r="AC24" i="14"/>
  <c r="AB24" i="14"/>
  <c r="AA24" i="14"/>
  <c r="Z24" i="14"/>
  <c r="Y24" i="14"/>
  <c r="X24" i="14"/>
  <c r="W24" i="14"/>
  <c r="P24" i="14"/>
  <c r="O24" i="14"/>
  <c r="AQ24" i="14" s="1"/>
  <c r="N24" i="14"/>
  <c r="AO24" i="14" s="1"/>
  <c r="M24" i="14"/>
  <c r="AT23" i="14"/>
  <c r="AJ23" i="14"/>
  <c r="AI23" i="14"/>
  <c r="AH23" i="14"/>
  <c r="AF23" i="14"/>
  <c r="AE23" i="14"/>
  <c r="AD23" i="14"/>
  <c r="AC23" i="14"/>
  <c r="AB23" i="14"/>
  <c r="AA23" i="14"/>
  <c r="Z23" i="14"/>
  <c r="Y23" i="14"/>
  <c r="X23" i="14"/>
  <c r="W23" i="14"/>
  <c r="P23" i="14"/>
  <c r="O23" i="14"/>
  <c r="AQ23" i="14" s="1"/>
  <c r="N23" i="14"/>
  <c r="AO23" i="14" s="1"/>
  <c r="M23" i="14"/>
  <c r="AT22" i="14"/>
  <c r="AN22" i="14"/>
  <c r="AI22" i="14"/>
  <c r="AH22" i="14"/>
  <c r="AF22" i="14"/>
  <c r="AE22" i="14"/>
  <c r="AD22" i="14"/>
  <c r="AC22" i="14"/>
  <c r="AA22" i="14"/>
  <c r="Z22" i="14"/>
  <c r="Y22" i="14"/>
  <c r="X22" i="14"/>
  <c r="W22" i="14"/>
  <c r="P22" i="14"/>
  <c r="O22" i="14"/>
  <c r="AQ22" i="14" s="1"/>
  <c r="N22" i="14"/>
  <c r="M22" i="14"/>
  <c r="AT21" i="14"/>
  <c r="AO21" i="14"/>
  <c r="AI21" i="14"/>
  <c r="AH21" i="14"/>
  <c r="AF21" i="14"/>
  <c r="AE21" i="14"/>
  <c r="AD21" i="14"/>
  <c r="AA21" i="14"/>
  <c r="Z21" i="14"/>
  <c r="Y21" i="14"/>
  <c r="X21" i="14"/>
  <c r="W21" i="14"/>
  <c r="P21" i="14"/>
  <c r="O21" i="14"/>
  <c r="AQ21" i="14" s="1"/>
  <c r="N21" i="14"/>
  <c r="AC21" i="14" s="1"/>
  <c r="M21" i="14"/>
  <c r="AT20" i="14"/>
  <c r="AP20" i="14"/>
  <c r="AI20" i="14"/>
  <c r="AH20" i="14"/>
  <c r="AF20" i="14"/>
  <c r="AE20" i="14"/>
  <c r="AA20" i="14"/>
  <c r="Z20" i="14"/>
  <c r="Y20" i="14"/>
  <c r="X20" i="14"/>
  <c r="W20" i="14"/>
  <c r="P20" i="14"/>
  <c r="O20" i="14"/>
  <c r="AD20" i="14" s="1"/>
  <c r="N20" i="14"/>
  <c r="AO20" i="14" s="1"/>
  <c r="M20" i="14"/>
  <c r="AR20" i="14" s="1"/>
  <c r="AI19" i="14"/>
  <c r="AN19" i="14" s="1"/>
  <c r="AH19" i="14"/>
  <c r="AF19" i="14"/>
  <c r="AE19" i="14"/>
  <c r="AB19" i="14"/>
  <c r="AA19" i="14"/>
  <c r="Z19" i="14"/>
  <c r="Y19" i="14"/>
  <c r="X19" i="14"/>
  <c r="W19" i="14"/>
  <c r="P19" i="14"/>
  <c r="O19" i="14"/>
  <c r="AQ19" i="14" s="1"/>
  <c r="N19" i="14"/>
  <c r="AO19" i="14" s="1"/>
  <c r="M19" i="14"/>
  <c r="AI18" i="14"/>
  <c r="AH18" i="14"/>
  <c r="W18" i="14"/>
  <c r="AT17" i="14"/>
  <c r="AO17" i="14"/>
  <c r="AI17" i="14"/>
  <c r="AH17" i="14"/>
  <c r="AF17" i="14"/>
  <c r="AE17" i="14"/>
  <c r="AD17" i="14"/>
  <c r="AA17" i="14"/>
  <c r="Z17" i="14"/>
  <c r="Y17" i="14"/>
  <c r="X17" i="14"/>
  <c r="W17" i="14"/>
  <c r="P17" i="14"/>
  <c r="O17" i="14"/>
  <c r="AQ17" i="14" s="1"/>
  <c r="N17" i="14"/>
  <c r="AC17" i="14" s="1"/>
  <c r="M17" i="14"/>
  <c r="AT16" i="14"/>
  <c r="AP16" i="14"/>
  <c r="AI16" i="14"/>
  <c r="AH16" i="14"/>
  <c r="AF16" i="14"/>
  <c r="AE16" i="14"/>
  <c r="AA16" i="14"/>
  <c r="Z16" i="14"/>
  <c r="Y16" i="14"/>
  <c r="X16" i="14"/>
  <c r="W16" i="14"/>
  <c r="P16" i="14"/>
  <c r="O16" i="14"/>
  <c r="AD16" i="14" s="1"/>
  <c r="N16" i="14"/>
  <c r="AO16" i="14" s="1"/>
  <c r="M16" i="14"/>
  <c r="AR16" i="14" s="1"/>
  <c r="AI15" i="14"/>
  <c r="AN15" i="14" s="1"/>
  <c r="AH15" i="14"/>
  <c r="AF15" i="14"/>
  <c r="AE15" i="14"/>
  <c r="AB15" i="14"/>
  <c r="AA15" i="14"/>
  <c r="Z15" i="14"/>
  <c r="Y15" i="14"/>
  <c r="X15" i="14"/>
  <c r="W15" i="14"/>
  <c r="P15" i="14"/>
  <c r="O15" i="14"/>
  <c r="AQ15" i="14" s="1"/>
  <c r="N15" i="14"/>
  <c r="AO15" i="14" s="1"/>
  <c r="M15" i="14"/>
  <c r="AI14" i="14"/>
  <c r="AN14" i="14" s="1"/>
  <c r="AH14" i="14"/>
  <c r="AF14" i="14"/>
  <c r="AE14" i="14"/>
  <c r="AC14" i="14"/>
  <c r="AB14" i="14"/>
  <c r="AA14" i="14"/>
  <c r="Z14" i="14"/>
  <c r="Y14" i="14"/>
  <c r="X14" i="14"/>
  <c r="W14" i="14"/>
  <c r="P14" i="14"/>
  <c r="O14" i="14"/>
  <c r="AQ14" i="14" s="1"/>
  <c r="N14" i="14"/>
  <c r="AO14" i="14" s="1"/>
  <c r="M14" i="14"/>
  <c r="AT13" i="14"/>
  <c r="AN13" i="14"/>
  <c r="AJ13" i="14"/>
  <c r="AI13" i="14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AQ13" i="14" s="1"/>
  <c r="N13" i="14"/>
  <c r="AO13" i="14" s="1"/>
  <c r="M13" i="14"/>
  <c r="AU12" i="14"/>
  <c r="AT12" i="14"/>
  <c r="AO12" i="14"/>
  <c r="AN12" i="14"/>
  <c r="AI12" i="14"/>
  <c r="AH12" i="14"/>
  <c r="AF12" i="14"/>
  <c r="AE12" i="14"/>
  <c r="AD12" i="14"/>
  <c r="AC12" i="14"/>
  <c r="AA12" i="14"/>
  <c r="Z12" i="14"/>
  <c r="Y12" i="14"/>
  <c r="X12" i="14"/>
  <c r="W12" i="14"/>
  <c r="P12" i="14"/>
  <c r="O12" i="14"/>
  <c r="AQ12" i="14" s="1"/>
  <c r="N12" i="14"/>
  <c r="M12" i="14"/>
  <c r="AI11" i="14"/>
  <c r="AH11" i="14"/>
  <c r="W11" i="14"/>
  <c r="AP10" i="14"/>
  <c r="AI10" i="14"/>
  <c r="AN10" i="14" s="1"/>
  <c r="AH10" i="14"/>
  <c r="AF10" i="14"/>
  <c r="AE10" i="14"/>
  <c r="AC10" i="14"/>
  <c r="AB10" i="14"/>
  <c r="AA10" i="14"/>
  <c r="Z10" i="14"/>
  <c r="Y10" i="14"/>
  <c r="X10" i="14"/>
  <c r="W10" i="14"/>
  <c r="P10" i="14"/>
  <c r="O10" i="14"/>
  <c r="AQ10" i="14" s="1"/>
  <c r="N10" i="14"/>
  <c r="AO10" i="14" s="1"/>
  <c r="AV10" i="14" s="1"/>
  <c r="M10" i="14"/>
  <c r="AT9" i="14"/>
  <c r="AN9" i="14"/>
  <c r="AJ9" i="14"/>
  <c r="AI9" i="14"/>
  <c r="AH9" i="14"/>
  <c r="AF9" i="14"/>
  <c r="AE9" i="14"/>
  <c r="AD9" i="14"/>
  <c r="AC9" i="14"/>
  <c r="AB9" i="14"/>
  <c r="AA9" i="14"/>
  <c r="Z9" i="14"/>
  <c r="Y9" i="14"/>
  <c r="X9" i="14"/>
  <c r="W9" i="14"/>
  <c r="P9" i="14"/>
  <c r="O9" i="14"/>
  <c r="AQ9" i="14" s="1"/>
  <c r="N9" i="14"/>
  <c r="AO9" i="14" s="1"/>
  <c r="M9" i="14"/>
  <c r="AI8" i="14"/>
  <c r="AH8" i="14"/>
  <c r="W8" i="14"/>
  <c r="AI7" i="14"/>
  <c r="AN7" i="14" s="1"/>
  <c r="AH7" i="14"/>
  <c r="AF7" i="14"/>
  <c r="AE7" i="14"/>
  <c r="AB7" i="14"/>
  <c r="AA7" i="14"/>
  <c r="Z7" i="14"/>
  <c r="Y7" i="14"/>
  <c r="X7" i="14"/>
  <c r="W7" i="14"/>
  <c r="P7" i="14"/>
  <c r="O7" i="14"/>
  <c r="AQ7" i="14" s="1"/>
  <c r="N7" i="14"/>
  <c r="AO7" i="14" s="1"/>
  <c r="M7" i="14"/>
  <c r="AP6" i="14"/>
  <c r="AI6" i="14"/>
  <c r="AN6" i="14" s="1"/>
  <c r="AH6" i="14"/>
  <c r="AF6" i="14"/>
  <c r="AE6" i="14"/>
  <c r="AC6" i="14"/>
  <c r="AB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I5" i="14"/>
  <c r="AH5" i="14"/>
  <c r="W5" i="14"/>
  <c r="AI4" i="14"/>
  <c r="AP3" i="14"/>
  <c r="AO3" i="14"/>
  <c r="AI3" i="14"/>
  <c r="AH3" i="14"/>
  <c r="AN2" i="14"/>
  <c r="AN46" i="14" s="1"/>
  <c r="AM2" i="14"/>
  <c r="AL2" i="14"/>
  <c r="AK2" i="14"/>
  <c r="AJ2" i="14"/>
  <c r="AJ27" i="14" s="1"/>
  <c r="AA2" i="14"/>
  <c r="A2" i="14"/>
  <c r="AU1" i="14"/>
  <c r="AR1" i="14"/>
  <c r="AQ1" i="14"/>
  <c r="AQ42" i="14" s="1"/>
  <c r="AP1" i="14"/>
  <c r="AP34" i="14" s="1"/>
  <c r="AO1" i="14"/>
  <c r="AO27" i="14" s="1"/>
  <c r="AH1" i="14"/>
  <c r="AH2" i="14" s="1"/>
  <c r="AA1" i="14"/>
  <c r="A1" i="14"/>
  <c r="AJ1" i="14" s="1"/>
  <c r="AP46" i="13"/>
  <c r="AI46" i="13"/>
  <c r="AH46" i="13"/>
  <c r="AF46" i="13"/>
  <c r="AE46" i="13"/>
  <c r="AB46" i="13"/>
  <c r="AA46" i="13"/>
  <c r="Z46" i="13"/>
  <c r="Y46" i="13"/>
  <c r="X46" i="13"/>
  <c r="W46" i="13"/>
  <c r="P46" i="13"/>
  <c r="O46" i="13"/>
  <c r="AD46" i="13" s="1"/>
  <c r="N46" i="13"/>
  <c r="AO46" i="13" s="1"/>
  <c r="AV46" i="13" s="1"/>
  <c r="M46" i="13"/>
  <c r="AI45" i="13"/>
  <c r="AH45" i="13"/>
  <c r="AF45" i="13"/>
  <c r="AE45" i="13"/>
  <c r="AC45" i="13"/>
  <c r="AB45" i="13"/>
  <c r="AA45" i="13"/>
  <c r="Z45" i="13"/>
  <c r="Y45" i="13"/>
  <c r="X45" i="13"/>
  <c r="W45" i="13"/>
  <c r="P45" i="13"/>
  <c r="O45" i="13"/>
  <c r="N45" i="13"/>
  <c r="M45" i="13"/>
  <c r="AT44" i="13"/>
  <c r="AI44" i="13"/>
  <c r="AH44" i="13"/>
  <c r="AF44" i="13"/>
  <c r="AE44" i="13"/>
  <c r="AD44" i="13"/>
  <c r="AC44" i="13"/>
  <c r="AB44" i="13"/>
  <c r="AA44" i="13"/>
  <c r="Z44" i="13"/>
  <c r="Y44" i="13"/>
  <c r="X44" i="13"/>
  <c r="W44" i="13"/>
  <c r="P44" i="13"/>
  <c r="O44" i="13"/>
  <c r="N44" i="13"/>
  <c r="M44" i="13"/>
  <c r="AT43" i="13"/>
  <c r="AI43" i="13"/>
  <c r="AH43" i="13"/>
  <c r="AF43" i="13"/>
  <c r="AE43" i="13"/>
  <c r="AD43" i="13"/>
  <c r="AC43" i="13"/>
  <c r="AA43" i="13"/>
  <c r="Z43" i="13"/>
  <c r="Y43" i="13"/>
  <c r="X43" i="13"/>
  <c r="W43" i="13"/>
  <c r="P43" i="13"/>
  <c r="O43" i="13"/>
  <c r="N43" i="13"/>
  <c r="M43" i="13"/>
  <c r="AT42" i="13"/>
  <c r="AP42" i="13"/>
  <c r="AO42" i="13"/>
  <c r="AV42" i="13" s="1"/>
  <c r="AI42" i="13"/>
  <c r="AH42" i="13"/>
  <c r="AF42" i="13"/>
  <c r="AE42" i="13"/>
  <c r="AD42" i="13"/>
  <c r="AA42" i="13"/>
  <c r="Z42" i="13"/>
  <c r="Y42" i="13"/>
  <c r="X42" i="13"/>
  <c r="W42" i="13"/>
  <c r="P42" i="13"/>
  <c r="O42" i="13"/>
  <c r="N42" i="13"/>
  <c r="AC42" i="13" s="1"/>
  <c r="M42" i="13"/>
  <c r="AT41" i="13"/>
  <c r="AI41" i="13"/>
  <c r="AH41" i="13"/>
  <c r="AF41" i="13"/>
  <c r="AE41" i="13"/>
  <c r="AA41" i="13"/>
  <c r="Z41" i="13"/>
  <c r="Y41" i="13"/>
  <c r="X41" i="13"/>
  <c r="W41" i="13"/>
  <c r="P41" i="13"/>
  <c r="O41" i="13"/>
  <c r="AD41" i="13" s="1"/>
  <c r="N41" i="13"/>
  <c r="M41" i="13"/>
  <c r="AI40" i="13"/>
  <c r="AH40" i="13"/>
  <c r="W40" i="13"/>
  <c r="AT39" i="13"/>
  <c r="AP39" i="13"/>
  <c r="AO39" i="13"/>
  <c r="AV39" i="13" s="1"/>
  <c r="AI39" i="13"/>
  <c r="AH39" i="13"/>
  <c r="AF39" i="13"/>
  <c r="AE39" i="13"/>
  <c r="AD39" i="13"/>
  <c r="AC39" i="13"/>
  <c r="AA39" i="13"/>
  <c r="Z39" i="13"/>
  <c r="Y39" i="13"/>
  <c r="X39" i="13"/>
  <c r="W39" i="13"/>
  <c r="P39" i="13"/>
  <c r="O39" i="13"/>
  <c r="N39" i="13"/>
  <c r="M39" i="13"/>
  <c r="AT38" i="13"/>
  <c r="AP38" i="13"/>
  <c r="AO38" i="13"/>
  <c r="AV38" i="13" s="1"/>
  <c r="AI38" i="13"/>
  <c r="AH38" i="13"/>
  <c r="AF38" i="13"/>
  <c r="AE38" i="13"/>
  <c r="AD38" i="13"/>
  <c r="AA38" i="13"/>
  <c r="Z38" i="13"/>
  <c r="Y38" i="13"/>
  <c r="X38" i="13"/>
  <c r="W38" i="13"/>
  <c r="P38" i="13"/>
  <c r="O38" i="13"/>
  <c r="N38" i="13"/>
  <c r="AC38" i="13" s="1"/>
  <c r="M38" i="13"/>
  <c r="AI37" i="13"/>
  <c r="AH37" i="13"/>
  <c r="W37" i="13"/>
  <c r="AT36" i="13"/>
  <c r="AI36" i="13"/>
  <c r="AH36" i="13"/>
  <c r="AF36" i="13"/>
  <c r="AE36" i="13"/>
  <c r="AD36" i="13"/>
  <c r="AC36" i="13"/>
  <c r="AB36" i="13"/>
  <c r="AA36" i="13"/>
  <c r="Z36" i="13"/>
  <c r="Y36" i="13"/>
  <c r="X36" i="13"/>
  <c r="W36" i="13"/>
  <c r="P36" i="13"/>
  <c r="O36" i="13"/>
  <c r="N36" i="13"/>
  <c r="M36" i="13"/>
  <c r="AT35" i="13"/>
  <c r="AP35" i="13"/>
  <c r="AO35" i="13"/>
  <c r="AV35" i="13" s="1"/>
  <c r="AI35" i="13"/>
  <c r="AH35" i="13"/>
  <c r="AF35" i="13"/>
  <c r="AE35" i="13"/>
  <c r="AD35" i="13"/>
  <c r="AC35" i="13"/>
  <c r="AA35" i="13"/>
  <c r="Z35" i="13"/>
  <c r="Y35" i="13"/>
  <c r="X35" i="13"/>
  <c r="W35" i="13"/>
  <c r="P35" i="13"/>
  <c r="O35" i="13"/>
  <c r="N35" i="13"/>
  <c r="M35" i="13"/>
  <c r="AI34" i="13"/>
  <c r="AH34" i="13"/>
  <c r="W34" i="13"/>
  <c r="AP33" i="13"/>
  <c r="AI33" i="13"/>
  <c r="AH33" i="13"/>
  <c r="AF33" i="13"/>
  <c r="AE33" i="13"/>
  <c r="AC33" i="13"/>
  <c r="AB33" i="13"/>
  <c r="AA33" i="13"/>
  <c r="Z33" i="13"/>
  <c r="Y33" i="13"/>
  <c r="X33" i="13"/>
  <c r="W33" i="13"/>
  <c r="P33" i="13"/>
  <c r="O33" i="13"/>
  <c r="N33" i="13"/>
  <c r="AO33" i="13" s="1"/>
  <c r="AV33" i="13" s="1"/>
  <c r="M33" i="13"/>
  <c r="AT32" i="13"/>
  <c r="AP32" i="13"/>
  <c r="AI32" i="13"/>
  <c r="AH32" i="13"/>
  <c r="AF32" i="13"/>
  <c r="AE32" i="13"/>
  <c r="AD32" i="13"/>
  <c r="AC32" i="13"/>
  <c r="AB32" i="13"/>
  <c r="AA32" i="13"/>
  <c r="Z32" i="13"/>
  <c r="Y32" i="13"/>
  <c r="X32" i="13"/>
  <c r="W32" i="13"/>
  <c r="P32" i="13"/>
  <c r="O32" i="13"/>
  <c r="N32" i="13"/>
  <c r="AO32" i="13" s="1"/>
  <c r="AV32" i="13" s="1"/>
  <c r="M32" i="13"/>
  <c r="AI31" i="13"/>
  <c r="AH31" i="13"/>
  <c r="W31" i="13"/>
  <c r="AP30" i="13"/>
  <c r="AI30" i="13"/>
  <c r="AH30" i="13"/>
  <c r="AF30" i="13"/>
  <c r="AE30" i="13"/>
  <c r="AB30" i="13"/>
  <c r="AA30" i="13"/>
  <c r="Z30" i="13"/>
  <c r="Y30" i="13"/>
  <c r="X30" i="13"/>
  <c r="W30" i="13"/>
  <c r="P30" i="13"/>
  <c r="O30" i="13"/>
  <c r="AD30" i="13" s="1"/>
  <c r="N30" i="13"/>
  <c r="M30" i="13"/>
  <c r="AI29" i="13"/>
  <c r="AT29" i="13" s="1"/>
  <c r="AH29" i="13"/>
  <c r="AF29" i="13"/>
  <c r="AE29" i="13"/>
  <c r="AC29" i="13"/>
  <c r="AB29" i="13"/>
  <c r="AA29" i="13"/>
  <c r="Z29" i="13"/>
  <c r="Y29" i="13"/>
  <c r="X29" i="13"/>
  <c r="W29" i="13"/>
  <c r="P29" i="13"/>
  <c r="O29" i="13"/>
  <c r="AD29" i="13" s="1"/>
  <c r="N29" i="13"/>
  <c r="M29" i="13"/>
  <c r="AI28" i="13"/>
  <c r="AT28" i="13" s="1"/>
  <c r="AH28" i="13"/>
  <c r="AF28" i="13"/>
  <c r="AE28" i="13"/>
  <c r="AD28" i="13"/>
  <c r="AC28" i="13"/>
  <c r="AB28" i="13"/>
  <c r="AA28" i="13"/>
  <c r="Z28" i="13"/>
  <c r="Y28" i="13"/>
  <c r="X28" i="13"/>
  <c r="W28" i="13"/>
  <c r="P28" i="13"/>
  <c r="O28" i="13"/>
  <c r="N28" i="13"/>
  <c r="M28" i="13"/>
  <c r="AT27" i="13"/>
  <c r="AI27" i="13"/>
  <c r="AH27" i="13"/>
  <c r="AF27" i="13"/>
  <c r="AE27" i="13"/>
  <c r="AD27" i="13"/>
  <c r="AC27" i="13"/>
  <c r="AA27" i="13"/>
  <c r="Z27" i="13"/>
  <c r="Y27" i="13"/>
  <c r="X27" i="13"/>
  <c r="W27" i="13"/>
  <c r="P27" i="13"/>
  <c r="O27" i="13"/>
  <c r="N27" i="13"/>
  <c r="M27" i="13"/>
  <c r="AT26" i="13"/>
  <c r="AP26" i="13"/>
  <c r="AO26" i="13"/>
  <c r="AV26" i="13" s="1"/>
  <c r="AI26" i="13"/>
  <c r="AH26" i="13"/>
  <c r="AF26" i="13"/>
  <c r="AE26" i="13"/>
  <c r="AD26" i="13"/>
  <c r="AA26" i="13"/>
  <c r="Z26" i="13"/>
  <c r="Y26" i="13"/>
  <c r="X26" i="13"/>
  <c r="W26" i="13"/>
  <c r="P26" i="13"/>
  <c r="O26" i="13"/>
  <c r="N26" i="13"/>
  <c r="AC26" i="13" s="1"/>
  <c r="M26" i="13"/>
  <c r="AI25" i="13"/>
  <c r="AH25" i="13"/>
  <c r="W25" i="13"/>
  <c r="AP24" i="13"/>
  <c r="AI24" i="13"/>
  <c r="AT24" i="13" s="1"/>
  <c r="AH24" i="13"/>
  <c r="AF24" i="13"/>
  <c r="AE24" i="13"/>
  <c r="AD24" i="13"/>
  <c r="AC24" i="13"/>
  <c r="AB24" i="13"/>
  <c r="AA24" i="13"/>
  <c r="Z24" i="13"/>
  <c r="Y24" i="13"/>
  <c r="X24" i="13"/>
  <c r="W24" i="13"/>
  <c r="P24" i="13"/>
  <c r="O24" i="13"/>
  <c r="N24" i="13"/>
  <c r="AO24" i="13" s="1"/>
  <c r="AV24" i="13" s="1"/>
  <c r="M24" i="13"/>
  <c r="AV23" i="13"/>
  <c r="AT23" i="13"/>
  <c r="AP23" i="13"/>
  <c r="AO23" i="13"/>
  <c r="AI23" i="13"/>
  <c r="AH23" i="13"/>
  <c r="AF23" i="13"/>
  <c r="AE23" i="13"/>
  <c r="AD23" i="13"/>
  <c r="AC23" i="13"/>
  <c r="AA23" i="13"/>
  <c r="Z23" i="13"/>
  <c r="Y23" i="13"/>
  <c r="X23" i="13"/>
  <c r="W23" i="13"/>
  <c r="P23" i="13"/>
  <c r="O23" i="13"/>
  <c r="N23" i="13"/>
  <c r="M23" i="13"/>
  <c r="AP22" i="13"/>
  <c r="AI22" i="13"/>
  <c r="AT22" i="13" s="1"/>
  <c r="AH22" i="13"/>
  <c r="AF22" i="13"/>
  <c r="AE22" i="13"/>
  <c r="AD22" i="13"/>
  <c r="AA22" i="13"/>
  <c r="Z22" i="13"/>
  <c r="Y22" i="13"/>
  <c r="X22" i="13"/>
  <c r="W22" i="13"/>
  <c r="P22" i="13"/>
  <c r="O22" i="13"/>
  <c r="N22" i="13"/>
  <c r="AO22" i="13" s="1"/>
  <c r="AV22" i="13" s="1"/>
  <c r="M22" i="13"/>
  <c r="AB22" i="13" s="1"/>
  <c r="AT21" i="13"/>
  <c r="AI21" i="13"/>
  <c r="AH21" i="13"/>
  <c r="AF21" i="13"/>
  <c r="AE21" i="13"/>
  <c r="AA21" i="13"/>
  <c r="Z21" i="13"/>
  <c r="Y21" i="13"/>
  <c r="X21" i="13"/>
  <c r="W21" i="13"/>
  <c r="P21" i="13"/>
  <c r="O21" i="13"/>
  <c r="AD21" i="13" s="1"/>
  <c r="N21" i="13"/>
  <c r="AC21" i="13" s="1"/>
  <c r="M21" i="13"/>
  <c r="AO20" i="13"/>
  <c r="AI20" i="13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AQ20" i="13" s="1"/>
  <c r="N20" i="13"/>
  <c r="AC20" i="13" s="1"/>
  <c r="M20" i="13"/>
  <c r="AR20" i="13" s="1"/>
  <c r="AI19" i="13"/>
  <c r="AN19" i="13" s="1"/>
  <c r="AH19" i="13"/>
  <c r="AF19" i="13"/>
  <c r="AE19" i="13"/>
  <c r="AA19" i="13"/>
  <c r="Z19" i="13"/>
  <c r="Y19" i="13"/>
  <c r="X19" i="13"/>
  <c r="W19" i="13"/>
  <c r="P19" i="13"/>
  <c r="O19" i="13"/>
  <c r="AD19" i="13" s="1"/>
  <c r="N19" i="13"/>
  <c r="AO19" i="13" s="1"/>
  <c r="M19" i="13"/>
  <c r="AB19" i="13" s="1"/>
  <c r="AP18" i="13"/>
  <c r="AI18" i="13"/>
  <c r="AJ18" i="13" s="1"/>
  <c r="AH18" i="13"/>
  <c r="AF18" i="13"/>
  <c r="AE18" i="13"/>
  <c r="AD18" i="13"/>
  <c r="AB18" i="13"/>
  <c r="AA18" i="13"/>
  <c r="Z18" i="13"/>
  <c r="Y18" i="13"/>
  <c r="X18" i="13"/>
  <c r="W18" i="13"/>
  <c r="P18" i="13"/>
  <c r="O18" i="13"/>
  <c r="N18" i="13"/>
  <c r="AO18" i="13" s="1"/>
  <c r="AV18" i="13" s="1"/>
  <c r="M18" i="13"/>
  <c r="AI17" i="13"/>
  <c r="AH17" i="13"/>
  <c r="W17" i="13"/>
  <c r="AU16" i="13"/>
  <c r="AI16" i="13"/>
  <c r="AN16" i="13" s="1"/>
  <c r="AH16" i="13"/>
  <c r="AF16" i="13"/>
  <c r="AE16" i="13"/>
  <c r="AA16" i="13"/>
  <c r="Z16" i="13"/>
  <c r="Y16" i="13"/>
  <c r="X16" i="13"/>
  <c r="W16" i="13"/>
  <c r="P16" i="13"/>
  <c r="O16" i="13"/>
  <c r="AQ16" i="13" s="1"/>
  <c r="N16" i="13"/>
  <c r="AC16" i="13" s="1"/>
  <c r="M16" i="13"/>
  <c r="AB16" i="13" s="1"/>
  <c r="AI15" i="13"/>
  <c r="AH15" i="13"/>
  <c r="AF15" i="13"/>
  <c r="AE15" i="13"/>
  <c r="AC15" i="13"/>
  <c r="AA15" i="13"/>
  <c r="Z15" i="13"/>
  <c r="Y15" i="13"/>
  <c r="X15" i="13"/>
  <c r="W15" i="13"/>
  <c r="P15" i="13"/>
  <c r="O15" i="13"/>
  <c r="AD15" i="13" s="1"/>
  <c r="N15" i="13"/>
  <c r="M15" i="13"/>
  <c r="AB15" i="13" s="1"/>
  <c r="AN14" i="13"/>
  <c r="AI14" i="13"/>
  <c r="AT14" i="13" s="1"/>
  <c r="AH14" i="13"/>
  <c r="AF14" i="13"/>
  <c r="AE14" i="13"/>
  <c r="AD14" i="13"/>
  <c r="AC14" i="13"/>
  <c r="AB14" i="13"/>
  <c r="AA14" i="13"/>
  <c r="Z14" i="13"/>
  <c r="Y14" i="13"/>
  <c r="X14" i="13"/>
  <c r="W14" i="13"/>
  <c r="P14" i="13"/>
  <c r="O14" i="13"/>
  <c r="N14" i="13"/>
  <c r="M14" i="13"/>
  <c r="AN13" i="13"/>
  <c r="AI13" i="13"/>
  <c r="AT13" i="13" s="1"/>
  <c r="AH13" i="13"/>
  <c r="AF13" i="13"/>
  <c r="AE13" i="13"/>
  <c r="AD13" i="13"/>
  <c r="AB13" i="13"/>
  <c r="AA13" i="13"/>
  <c r="Z13" i="13"/>
  <c r="Y13" i="13"/>
  <c r="X13" i="13"/>
  <c r="W13" i="13"/>
  <c r="P13" i="13"/>
  <c r="O13" i="13"/>
  <c r="N13" i="13"/>
  <c r="AC13" i="13" s="1"/>
  <c r="M13" i="13"/>
  <c r="AR13" i="13" s="1"/>
  <c r="AT12" i="13"/>
  <c r="AO12" i="13"/>
  <c r="AI12" i="13"/>
  <c r="AH12" i="13"/>
  <c r="AF12" i="13"/>
  <c r="AE12" i="13"/>
  <c r="AC12" i="13"/>
  <c r="AA12" i="13"/>
  <c r="Z12" i="13"/>
  <c r="Y12" i="13"/>
  <c r="X12" i="13"/>
  <c r="W12" i="13"/>
  <c r="P12" i="13"/>
  <c r="O12" i="13"/>
  <c r="AD12" i="13" s="1"/>
  <c r="N12" i="13"/>
  <c r="M12" i="13"/>
  <c r="AR12" i="13" s="1"/>
  <c r="AP11" i="13"/>
  <c r="AI11" i="13"/>
  <c r="AN11" i="13" s="1"/>
  <c r="AH11" i="13"/>
  <c r="AF11" i="13"/>
  <c r="AE11" i="13"/>
  <c r="AD11" i="13"/>
  <c r="AB11" i="13"/>
  <c r="AA11" i="13"/>
  <c r="Z11" i="13"/>
  <c r="Y11" i="13"/>
  <c r="X11" i="13"/>
  <c r="W11" i="13"/>
  <c r="P11" i="13"/>
  <c r="O11" i="13"/>
  <c r="AQ11" i="13" s="1"/>
  <c r="N11" i="13"/>
  <c r="AO11" i="13" s="1"/>
  <c r="M11" i="13"/>
  <c r="AR11" i="13" s="1"/>
  <c r="AT10" i="13"/>
  <c r="AP10" i="13"/>
  <c r="AI10" i="13"/>
  <c r="AN10" i="13" s="1"/>
  <c r="AH10" i="13"/>
  <c r="AF10" i="13"/>
  <c r="AE10" i="13"/>
  <c r="AA10" i="13"/>
  <c r="Z10" i="13"/>
  <c r="Y10" i="13"/>
  <c r="X10" i="13"/>
  <c r="W10" i="13"/>
  <c r="P10" i="13"/>
  <c r="O10" i="13"/>
  <c r="AQ10" i="13" s="1"/>
  <c r="N10" i="13"/>
  <c r="AO10" i="13" s="1"/>
  <c r="AV10" i="13" s="1"/>
  <c r="M10" i="13"/>
  <c r="AR10" i="13" s="1"/>
  <c r="AR9" i="13"/>
  <c r="AP9" i="13"/>
  <c r="AI9" i="13"/>
  <c r="AN9" i="13" s="1"/>
  <c r="AH9" i="13"/>
  <c r="AF9" i="13"/>
  <c r="AE9" i="13"/>
  <c r="AB9" i="13"/>
  <c r="AA9" i="13"/>
  <c r="Z9" i="13"/>
  <c r="Y9" i="13"/>
  <c r="X9" i="13"/>
  <c r="W9" i="13"/>
  <c r="P9" i="13"/>
  <c r="O9" i="13"/>
  <c r="AQ9" i="13" s="1"/>
  <c r="N9" i="13"/>
  <c r="AO9" i="13" s="1"/>
  <c r="AV9" i="13" s="1"/>
  <c r="M9" i="13"/>
  <c r="AT8" i="13"/>
  <c r="AP8" i="13"/>
  <c r="AO8" i="13"/>
  <c r="AV8" i="13" s="1"/>
  <c r="AI8" i="13"/>
  <c r="AN8" i="13" s="1"/>
  <c r="AH8" i="13"/>
  <c r="AF8" i="13"/>
  <c r="AE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I7" i="13"/>
  <c r="AH7" i="13"/>
  <c r="W7" i="13"/>
  <c r="AT6" i="13"/>
  <c r="AI6" i="13"/>
  <c r="AN6" i="13" s="1"/>
  <c r="AH6" i="13"/>
  <c r="AF6" i="13"/>
  <c r="AE6" i="13"/>
  <c r="AA6" i="13"/>
  <c r="Z6" i="13"/>
  <c r="Y6" i="13"/>
  <c r="X6" i="13"/>
  <c r="W6" i="13"/>
  <c r="P6" i="13"/>
  <c r="O6" i="13"/>
  <c r="AQ6" i="13" s="1"/>
  <c r="N6" i="13"/>
  <c r="AO6" i="13" s="1"/>
  <c r="M6" i="13"/>
  <c r="AR6" i="13" s="1"/>
  <c r="AI5" i="13"/>
  <c r="AH5" i="13"/>
  <c r="W5" i="13"/>
  <c r="AI4" i="13"/>
  <c r="AR3" i="13"/>
  <c r="AI3" i="13"/>
  <c r="AH3" i="13"/>
  <c r="AN2" i="13"/>
  <c r="AN43" i="13" s="1"/>
  <c r="AM2" i="13"/>
  <c r="AL2" i="13"/>
  <c r="AK2" i="13"/>
  <c r="AJ2" i="13"/>
  <c r="AJ32" i="13" s="1"/>
  <c r="AA2" i="13"/>
  <c r="A2" i="13"/>
  <c r="AU1" i="13"/>
  <c r="AU22" i="13" s="1"/>
  <c r="AR1" i="13"/>
  <c r="AQ1" i="13"/>
  <c r="AQ46" i="13" s="1"/>
  <c r="AP1" i="13"/>
  <c r="AP41" i="13" s="1"/>
  <c r="AO1" i="13"/>
  <c r="AO43" i="13" s="1"/>
  <c r="AA1" i="13"/>
  <c r="A1" i="13"/>
  <c r="AJ1" i="13" s="1"/>
  <c r="AU8" i="12"/>
  <c r="AP8" i="12"/>
  <c r="AN8" i="12"/>
  <c r="AI8" i="12"/>
  <c r="AT8" i="12" s="1"/>
  <c r="AH8" i="12"/>
  <c r="AF8" i="12"/>
  <c r="AE8" i="12"/>
  <c r="AD8" i="12"/>
  <c r="AA8" i="12"/>
  <c r="Z8" i="12"/>
  <c r="Y8" i="12"/>
  <c r="X8" i="12"/>
  <c r="W8" i="12"/>
  <c r="P8" i="12"/>
  <c r="O8" i="12"/>
  <c r="AQ8" i="12" s="1"/>
  <c r="N8" i="12"/>
  <c r="AO8" i="12" s="1"/>
  <c r="M8" i="12"/>
  <c r="AR8" i="12" s="1"/>
  <c r="AT7" i="12"/>
  <c r="AI7" i="12"/>
  <c r="AN7" i="12" s="1"/>
  <c r="AH7" i="12"/>
  <c r="AF7" i="12"/>
  <c r="AE7" i="12"/>
  <c r="AA7" i="12"/>
  <c r="Z7" i="12"/>
  <c r="Y7" i="12"/>
  <c r="X7" i="12"/>
  <c r="W7" i="12"/>
  <c r="P7" i="12"/>
  <c r="O7" i="12"/>
  <c r="AQ7" i="12" s="1"/>
  <c r="N7" i="12"/>
  <c r="AO7" i="12" s="1"/>
  <c r="M7" i="12"/>
  <c r="AR7" i="12" s="1"/>
  <c r="AU6" i="12"/>
  <c r="AP6" i="12"/>
  <c r="AI6" i="12"/>
  <c r="AN6" i="12" s="1"/>
  <c r="AH6" i="12"/>
  <c r="AF6" i="12"/>
  <c r="AE6" i="12"/>
  <c r="AB6" i="12"/>
  <c r="AA6" i="12"/>
  <c r="Z6" i="12"/>
  <c r="Y6" i="12"/>
  <c r="X6" i="12"/>
  <c r="W6" i="12"/>
  <c r="P6" i="12"/>
  <c r="O6" i="12"/>
  <c r="AQ6" i="12" s="1"/>
  <c r="N6" i="12"/>
  <c r="AO6" i="12" s="1"/>
  <c r="AV6" i="12" s="1"/>
  <c r="M6" i="12"/>
  <c r="AI5" i="12"/>
  <c r="AH5" i="12"/>
  <c r="W5" i="12"/>
  <c r="AI4" i="12"/>
  <c r="AU3" i="12"/>
  <c r="AO3" i="12"/>
  <c r="AI3" i="12"/>
  <c r="AH3" i="12"/>
  <c r="AN2" i="12"/>
  <c r="AM2" i="12"/>
  <c r="AL2" i="12"/>
  <c r="AK2" i="12"/>
  <c r="AJ2" i="12"/>
  <c r="AJ7" i="12" s="1"/>
  <c r="AA2" i="12"/>
  <c r="A2" i="12"/>
  <c r="AU1" i="12"/>
  <c r="AU7" i="12" s="1"/>
  <c r="AR1" i="12"/>
  <c r="AR6" i="12" s="1"/>
  <c r="AQ1" i="12"/>
  <c r="AQ3" i="12" s="1"/>
  <c r="AP1" i="12"/>
  <c r="AP7" i="12" s="1"/>
  <c r="AO1" i="12"/>
  <c r="AA1" i="12"/>
  <c r="A1" i="12"/>
  <c r="AJ1" i="12" s="1"/>
  <c r="AT8" i="11"/>
  <c r="AP8" i="11"/>
  <c r="AI8" i="11"/>
  <c r="AN8" i="11" s="1"/>
  <c r="AH8" i="11"/>
  <c r="AF8" i="11"/>
  <c r="AE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R8" i="11" s="1"/>
  <c r="AR7" i="11"/>
  <c r="AP7" i="11"/>
  <c r="AI7" i="11"/>
  <c r="AN7" i="11" s="1"/>
  <c r="AH7" i="11"/>
  <c r="AF7" i="11"/>
  <c r="AE7" i="11"/>
  <c r="AB7" i="11"/>
  <c r="AA7" i="11"/>
  <c r="Z7" i="11"/>
  <c r="Y7" i="11"/>
  <c r="X7" i="11"/>
  <c r="W7" i="11"/>
  <c r="P7" i="11"/>
  <c r="O7" i="11"/>
  <c r="AQ7" i="11" s="1"/>
  <c r="N7" i="11"/>
  <c r="AO7" i="11" s="1"/>
  <c r="M7" i="11"/>
  <c r="AT6" i="11"/>
  <c r="AP6" i="11"/>
  <c r="AO6" i="11"/>
  <c r="AV6" i="11" s="1"/>
  <c r="AJ6" i="11"/>
  <c r="AI6" i="11"/>
  <c r="AN6" i="11" s="1"/>
  <c r="AH6" i="11"/>
  <c r="AF6" i="11"/>
  <c r="AE6" i="11"/>
  <c r="AC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P3" i="11"/>
  <c r="AO3" i="11"/>
  <c r="AI3" i="11"/>
  <c r="AH3" i="11"/>
  <c r="AN2" i="11"/>
  <c r="AM2" i="11"/>
  <c r="AL2" i="11"/>
  <c r="AK2" i="11"/>
  <c r="AJ2" i="11"/>
  <c r="AJ8" i="11" s="1"/>
  <c r="AA2" i="11"/>
  <c r="A2" i="11"/>
  <c r="AU1" i="11"/>
  <c r="AU8" i="11" s="1"/>
  <c r="AR1" i="11"/>
  <c r="AR6" i="11" s="1"/>
  <c r="AQ1" i="11"/>
  <c r="AQ3" i="11" s="1"/>
  <c r="AP1" i="11"/>
  <c r="AO1" i="11"/>
  <c r="AH1" i="11"/>
  <c r="AH2" i="11" s="1"/>
  <c r="AA1" i="11"/>
  <c r="A1" i="11"/>
  <c r="AJ1" i="11" s="1"/>
  <c r="AR12" i="10"/>
  <c r="AP12" i="10"/>
  <c r="AI12" i="10"/>
  <c r="AN12" i="10" s="1"/>
  <c r="AH12" i="10"/>
  <c r="AF12" i="10"/>
  <c r="AE12" i="10"/>
  <c r="AB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T11" i="10"/>
  <c r="AP11" i="10"/>
  <c r="AO11" i="10"/>
  <c r="AV11" i="10" s="1"/>
  <c r="AJ11" i="10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Q11" i="10" s="1"/>
  <c r="N11" i="10"/>
  <c r="M11" i="10"/>
  <c r="AU10" i="10"/>
  <c r="AP10" i="10"/>
  <c r="AN10" i="10"/>
  <c r="AI10" i="10"/>
  <c r="AT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I9" i="10"/>
  <c r="AH9" i="10"/>
  <c r="W9" i="10"/>
  <c r="AR8" i="10"/>
  <c r="AP8" i="10"/>
  <c r="AI8" i="10"/>
  <c r="AN8" i="10" s="1"/>
  <c r="AH8" i="10"/>
  <c r="AF8" i="10"/>
  <c r="AE8" i="10"/>
  <c r="AB8" i="10"/>
  <c r="AA8" i="10"/>
  <c r="Z8" i="10"/>
  <c r="Y8" i="10"/>
  <c r="X8" i="10"/>
  <c r="W8" i="10"/>
  <c r="P8" i="10"/>
  <c r="O8" i="10"/>
  <c r="AQ8" i="10" s="1"/>
  <c r="N8" i="10"/>
  <c r="AO8" i="10" s="1"/>
  <c r="AV8" i="10" s="1"/>
  <c r="M8" i="10"/>
  <c r="AT7" i="10"/>
  <c r="AP7" i="10"/>
  <c r="AO7" i="10"/>
  <c r="AV7" i="10" s="1"/>
  <c r="AJ7" i="10"/>
  <c r="AI7" i="10"/>
  <c r="AN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Q7" i="10" s="1"/>
  <c r="N7" i="10"/>
  <c r="M7" i="10"/>
  <c r="AU6" i="10"/>
  <c r="AP6" i="10"/>
  <c r="AN6" i="10"/>
  <c r="AI6" i="10"/>
  <c r="AT6" i="10" s="1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Q3" i="10"/>
  <c r="AP3" i="10"/>
  <c r="AO3" i="10"/>
  <c r="AI3" i="10"/>
  <c r="AH3" i="10"/>
  <c r="AN2" i="10"/>
  <c r="AM2" i="10"/>
  <c r="AL2" i="10"/>
  <c r="AK2" i="10"/>
  <c r="AJ2" i="10"/>
  <c r="AA2" i="10"/>
  <c r="A2" i="10"/>
  <c r="AU1" i="10"/>
  <c r="AU12" i="10" s="1"/>
  <c r="AR1" i="10"/>
  <c r="AR11" i="10" s="1"/>
  <c r="AQ1" i="10"/>
  <c r="AP1" i="10"/>
  <c r="AO1" i="10"/>
  <c r="AJ1" i="10"/>
  <c r="AH1" i="10"/>
  <c r="AH2" i="10" s="1"/>
  <c r="AA1" i="10"/>
  <c r="A1" i="10"/>
  <c r="AT134" i="9"/>
  <c r="AP134" i="9"/>
  <c r="AI134" i="9"/>
  <c r="AH134" i="9"/>
  <c r="AF134" i="9"/>
  <c r="AE134" i="9"/>
  <c r="AC134" i="9"/>
  <c r="AB134" i="9"/>
  <c r="AA134" i="9"/>
  <c r="Z134" i="9"/>
  <c r="Y134" i="9"/>
  <c r="X134" i="9"/>
  <c r="W134" i="9"/>
  <c r="P134" i="9"/>
  <c r="O134" i="9"/>
  <c r="N134" i="9"/>
  <c r="AO134" i="9" s="1"/>
  <c r="AV134" i="9" s="1"/>
  <c r="M134" i="9"/>
  <c r="AP133" i="9"/>
  <c r="AI133" i="9"/>
  <c r="AT133" i="9" s="1"/>
  <c r="AH133" i="9"/>
  <c r="AF133" i="9"/>
  <c r="AE133" i="9"/>
  <c r="AD133" i="9"/>
  <c r="AC133" i="9"/>
  <c r="AB133" i="9"/>
  <c r="AA133" i="9"/>
  <c r="Z133" i="9"/>
  <c r="Y133" i="9"/>
  <c r="X133" i="9"/>
  <c r="W133" i="9"/>
  <c r="P133" i="9"/>
  <c r="O133" i="9"/>
  <c r="N133" i="9"/>
  <c r="AO133" i="9" s="1"/>
  <c r="AV133" i="9" s="1"/>
  <c r="M133" i="9"/>
  <c r="AV132" i="9"/>
  <c r="AT132" i="9"/>
  <c r="AP132" i="9"/>
  <c r="AO132" i="9"/>
  <c r="AI132" i="9"/>
  <c r="AH132" i="9"/>
  <c r="AF132" i="9"/>
  <c r="AE132" i="9"/>
  <c r="AD132" i="9"/>
  <c r="AC132" i="9"/>
  <c r="AA132" i="9"/>
  <c r="Z132" i="9"/>
  <c r="Y132" i="9"/>
  <c r="X132" i="9"/>
  <c r="W132" i="9"/>
  <c r="P132" i="9"/>
  <c r="O132" i="9"/>
  <c r="N132" i="9"/>
  <c r="M132" i="9"/>
  <c r="AI131" i="9"/>
  <c r="AH131" i="9"/>
  <c r="W131" i="9"/>
  <c r="AT130" i="9"/>
  <c r="AI130" i="9"/>
  <c r="AH130" i="9"/>
  <c r="AF130" i="9"/>
  <c r="AE130" i="9"/>
  <c r="AC130" i="9"/>
  <c r="AB130" i="9"/>
  <c r="AA130" i="9"/>
  <c r="Z130" i="9"/>
  <c r="Y130" i="9"/>
  <c r="X130" i="9"/>
  <c r="W130" i="9"/>
  <c r="P130" i="9"/>
  <c r="O130" i="9"/>
  <c r="N130" i="9"/>
  <c r="M130" i="9"/>
  <c r="AI129" i="9"/>
  <c r="AT129" i="9" s="1"/>
  <c r="AH129" i="9"/>
  <c r="AF129" i="9"/>
  <c r="AE129" i="9"/>
  <c r="AD129" i="9"/>
  <c r="AC129" i="9"/>
  <c r="AB129" i="9"/>
  <c r="AA129" i="9"/>
  <c r="Z129" i="9"/>
  <c r="Y129" i="9"/>
  <c r="X129" i="9"/>
  <c r="W129" i="9"/>
  <c r="P129" i="9"/>
  <c r="O129" i="9"/>
  <c r="N129" i="9"/>
  <c r="M129" i="9"/>
  <c r="AT128" i="9"/>
  <c r="AP128" i="9"/>
  <c r="AO128" i="9"/>
  <c r="AV128" i="9" s="1"/>
  <c r="AI128" i="9"/>
  <c r="AH128" i="9"/>
  <c r="AF128" i="9"/>
  <c r="AE128" i="9"/>
  <c r="AD128" i="9"/>
  <c r="AC128" i="9"/>
  <c r="AA128" i="9"/>
  <c r="Z128" i="9"/>
  <c r="Y128" i="9"/>
  <c r="X128" i="9"/>
  <c r="W128" i="9"/>
  <c r="P128" i="9"/>
  <c r="O128" i="9"/>
  <c r="N128" i="9"/>
  <c r="M128" i="9"/>
  <c r="AI127" i="9"/>
  <c r="AH127" i="9"/>
  <c r="W127" i="9"/>
  <c r="AT126" i="9"/>
  <c r="AI126" i="9"/>
  <c r="AH126" i="9"/>
  <c r="AF126" i="9"/>
  <c r="AE126" i="9"/>
  <c r="AC126" i="9"/>
  <c r="AB126" i="9"/>
  <c r="AA126" i="9"/>
  <c r="Z126" i="9"/>
  <c r="Y126" i="9"/>
  <c r="X126" i="9"/>
  <c r="W126" i="9"/>
  <c r="P126" i="9"/>
  <c r="O126" i="9"/>
  <c r="N126" i="9"/>
  <c r="M126" i="9"/>
  <c r="AP125" i="9"/>
  <c r="AI125" i="9"/>
  <c r="AT125" i="9" s="1"/>
  <c r="AH125" i="9"/>
  <c r="AF125" i="9"/>
  <c r="AE125" i="9"/>
  <c r="AD125" i="9"/>
  <c r="AC125" i="9"/>
  <c r="AB125" i="9"/>
  <c r="AA125" i="9"/>
  <c r="Z125" i="9"/>
  <c r="Y125" i="9"/>
  <c r="X125" i="9"/>
  <c r="W125" i="9"/>
  <c r="P125" i="9"/>
  <c r="O125" i="9"/>
  <c r="N125" i="9"/>
  <c r="AO125" i="9" s="1"/>
  <c r="AV125" i="9" s="1"/>
  <c r="M125" i="9"/>
  <c r="AT124" i="9"/>
  <c r="AI124" i="9"/>
  <c r="AH124" i="9"/>
  <c r="AF124" i="9"/>
  <c r="AE124" i="9"/>
  <c r="AD124" i="9"/>
  <c r="AC124" i="9"/>
  <c r="AA124" i="9"/>
  <c r="Z124" i="9"/>
  <c r="Y124" i="9"/>
  <c r="X124" i="9"/>
  <c r="W124" i="9"/>
  <c r="P124" i="9"/>
  <c r="O124" i="9"/>
  <c r="N124" i="9"/>
  <c r="M124" i="9"/>
  <c r="AT123" i="9"/>
  <c r="AP123" i="9"/>
  <c r="AI123" i="9"/>
  <c r="AH123" i="9"/>
  <c r="AF123" i="9"/>
  <c r="AE123" i="9"/>
  <c r="AD123" i="9"/>
  <c r="AA123" i="9"/>
  <c r="Z123" i="9"/>
  <c r="Y123" i="9"/>
  <c r="X123" i="9"/>
  <c r="W123" i="9"/>
  <c r="P123" i="9"/>
  <c r="O123" i="9"/>
  <c r="N123" i="9"/>
  <c r="M123" i="9"/>
  <c r="AI122" i="9"/>
  <c r="AH122" i="9"/>
  <c r="W122" i="9"/>
  <c r="AP121" i="9"/>
  <c r="AI121" i="9"/>
  <c r="AT121" i="9" s="1"/>
  <c r="AH121" i="9"/>
  <c r="AF121" i="9"/>
  <c r="AE121" i="9"/>
  <c r="AD121" i="9"/>
  <c r="AB121" i="9"/>
  <c r="AA121" i="9"/>
  <c r="Z121" i="9"/>
  <c r="Y121" i="9"/>
  <c r="X121" i="9"/>
  <c r="W121" i="9"/>
  <c r="P121" i="9"/>
  <c r="O121" i="9"/>
  <c r="N121" i="9"/>
  <c r="AC121" i="9" s="1"/>
  <c r="M121" i="9"/>
  <c r="AT120" i="9"/>
  <c r="AI120" i="9"/>
  <c r="AH120" i="9"/>
  <c r="AF120" i="9"/>
  <c r="AE120" i="9"/>
  <c r="AC120" i="9"/>
  <c r="AA120" i="9"/>
  <c r="Z120" i="9"/>
  <c r="Y120" i="9"/>
  <c r="X120" i="9"/>
  <c r="W120" i="9"/>
  <c r="P120" i="9"/>
  <c r="O120" i="9"/>
  <c r="AD120" i="9" s="1"/>
  <c r="N120" i="9"/>
  <c r="M120" i="9"/>
  <c r="AT119" i="9"/>
  <c r="AI119" i="9"/>
  <c r="AH119" i="9"/>
  <c r="AF119" i="9"/>
  <c r="AE119" i="9"/>
  <c r="AD119" i="9"/>
  <c r="AA119" i="9"/>
  <c r="Z119" i="9"/>
  <c r="Y119" i="9"/>
  <c r="X119" i="9"/>
  <c r="W119" i="9"/>
  <c r="P119" i="9"/>
  <c r="O119" i="9"/>
  <c r="N119" i="9"/>
  <c r="M119" i="9"/>
  <c r="AT118" i="9"/>
  <c r="AP118" i="9"/>
  <c r="AO118" i="9"/>
  <c r="AV118" i="9" s="1"/>
  <c r="AI118" i="9"/>
  <c r="AH118" i="9"/>
  <c r="AF118" i="9"/>
  <c r="AE118" i="9"/>
  <c r="AA118" i="9"/>
  <c r="Z118" i="9"/>
  <c r="Y118" i="9"/>
  <c r="X118" i="9"/>
  <c r="W118" i="9"/>
  <c r="P118" i="9"/>
  <c r="O118" i="9"/>
  <c r="AD118" i="9" s="1"/>
  <c r="N118" i="9"/>
  <c r="AC118" i="9" s="1"/>
  <c r="M118" i="9"/>
  <c r="AI117" i="9"/>
  <c r="AH117" i="9"/>
  <c r="AF117" i="9"/>
  <c r="AE117" i="9"/>
  <c r="AB117" i="9"/>
  <c r="AA117" i="9"/>
  <c r="Z117" i="9"/>
  <c r="Y117" i="9"/>
  <c r="X117" i="9"/>
  <c r="W117" i="9"/>
  <c r="P117" i="9"/>
  <c r="O117" i="9"/>
  <c r="N117" i="9"/>
  <c r="M117" i="9"/>
  <c r="AI116" i="9"/>
  <c r="AH116" i="9"/>
  <c r="W116" i="9"/>
  <c r="AT115" i="9"/>
  <c r="AI115" i="9"/>
  <c r="AH115" i="9"/>
  <c r="AF115" i="9"/>
  <c r="AE115" i="9"/>
  <c r="AD115" i="9"/>
  <c r="AA115" i="9"/>
  <c r="Z115" i="9"/>
  <c r="Y115" i="9"/>
  <c r="X115" i="9"/>
  <c r="W115" i="9"/>
  <c r="P115" i="9"/>
  <c r="O115" i="9"/>
  <c r="N115" i="9"/>
  <c r="M115" i="9"/>
  <c r="AT114" i="9"/>
  <c r="AI114" i="9"/>
  <c r="AH114" i="9"/>
  <c r="AF114" i="9"/>
  <c r="AE114" i="9"/>
  <c r="AA114" i="9"/>
  <c r="Z114" i="9"/>
  <c r="Y114" i="9"/>
  <c r="X114" i="9"/>
  <c r="W114" i="9"/>
  <c r="P114" i="9"/>
  <c r="O114" i="9"/>
  <c r="AD114" i="9" s="1"/>
  <c r="N114" i="9"/>
  <c r="AC114" i="9" s="1"/>
  <c r="M114" i="9"/>
  <c r="AP113" i="9"/>
  <c r="AI113" i="9"/>
  <c r="AH113" i="9"/>
  <c r="AF113" i="9"/>
  <c r="AE113" i="9"/>
  <c r="AB113" i="9"/>
  <c r="AA113" i="9"/>
  <c r="Z113" i="9"/>
  <c r="Y113" i="9"/>
  <c r="X113" i="9"/>
  <c r="W113" i="9"/>
  <c r="P113" i="9"/>
  <c r="O113" i="9"/>
  <c r="N113" i="9"/>
  <c r="M113" i="9"/>
  <c r="AI112" i="9"/>
  <c r="AH112" i="9"/>
  <c r="W112" i="9"/>
  <c r="AT111" i="9"/>
  <c r="AI111" i="9"/>
  <c r="AH111" i="9"/>
  <c r="AF111" i="9"/>
  <c r="AE111" i="9"/>
  <c r="AD111" i="9"/>
  <c r="AA111" i="9"/>
  <c r="Z111" i="9"/>
  <c r="Y111" i="9"/>
  <c r="X111" i="9"/>
  <c r="W111" i="9"/>
  <c r="P111" i="9"/>
  <c r="O111" i="9"/>
  <c r="N111" i="9"/>
  <c r="M111" i="9"/>
  <c r="AT110" i="9"/>
  <c r="AI110" i="9"/>
  <c r="AH110" i="9"/>
  <c r="AF110" i="9"/>
  <c r="AE110" i="9"/>
  <c r="AA110" i="9"/>
  <c r="Z110" i="9"/>
  <c r="Y110" i="9"/>
  <c r="X110" i="9"/>
  <c r="W110" i="9"/>
  <c r="P110" i="9"/>
  <c r="O110" i="9"/>
  <c r="AD110" i="9" s="1"/>
  <c r="N110" i="9"/>
  <c r="AC110" i="9" s="1"/>
  <c r="M110" i="9"/>
  <c r="AI109" i="9"/>
  <c r="AH109" i="9"/>
  <c r="AF109" i="9"/>
  <c r="AE109" i="9"/>
  <c r="AB109" i="9"/>
  <c r="AA109" i="9"/>
  <c r="Z109" i="9"/>
  <c r="Y109" i="9"/>
  <c r="X109" i="9"/>
  <c r="W109" i="9"/>
  <c r="P109" i="9"/>
  <c r="O109" i="9"/>
  <c r="N109" i="9"/>
  <c r="M109" i="9"/>
  <c r="AI108" i="9"/>
  <c r="AH108" i="9"/>
  <c r="W108" i="9"/>
  <c r="AT107" i="9"/>
  <c r="AP107" i="9"/>
  <c r="AI107" i="9"/>
  <c r="AH107" i="9"/>
  <c r="AF107" i="9"/>
  <c r="AE107" i="9"/>
  <c r="AD107" i="9"/>
  <c r="AA107" i="9"/>
  <c r="Z107" i="9"/>
  <c r="Y107" i="9"/>
  <c r="X107" i="9"/>
  <c r="W107" i="9"/>
  <c r="P107" i="9"/>
  <c r="O107" i="9"/>
  <c r="N107" i="9"/>
  <c r="M107" i="9"/>
  <c r="AI106" i="9"/>
  <c r="AH106" i="9"/>
  <c r="W106" i="9"/>
  <c r="AI105" i="9"/>
  <c r="AH105" i="9"/>
  <c r="AF105" i="9"/>
  <c r="AE105" i="9"/>
  <c r="AD105" i="9"/>
  <c r="AC105" i="9"/>
  <c r="AB105" i="9"/>
  <c r="AA105" i="9"/>
  <c r="Z105" i="9"/>
  <c r="Y105" i="9"/>
  <c r="X105" i="9"/>
  <c r="W105" i="9"/>
  <c r="P105" i="9"/>
  <c r="O105" i="9"/>
  <c r="N105" i="9"/>
  <c r="M105" i="9"/>
  <c r="AT104" i="9"/>
  <c r="AI104" i="9"/>
  <c r="AH104" i="9"/>
  <c r="AF104" i="9"/>
  <c r="AE104" i="9"/>
  <c r="AD104" i="9"/>
  <c r="AC104" i="9"/>
  <c r="AA104" i="9"/>
  <c r="Z104" i="9"/>
  <c r="Y104" i="9"/>
  <c r="X104" i="9"/>
  <c r="W104" i="9"/>
  <c r="P104" i="9"/>
  <c r="O104" i="9"/>
  <c r="N104" i="9"/>
  <c r="M104" i="9"/>
  <c r="AT103" i="9"/>
  <c r="AI103" i="9"/>
  <c r="AH103" i="9"/>
  <c r="AF103" i="9"/>
  <c r="AE103" i="9"/>
  <c r="AD103" i="9"/>
  <c r="AA103" i="9"/>
  <c r="Z103" i="9"/>
  <c r="Y103" i="9"/>
  <c r="X103" i="9"/>
  <c r="W103" i="9"/>
  <c r="P103" i="9"/>
  <c r="O103" i="9"/>
  <c r="N103" i="9"/>
  <c r="M103" i="9"/>
  <c r="AT102" i="9"/>
  <c r="AI102" i="9"/>
  <c r="AH102" i="9"/>
  <c r="AF102" i="9"/>
  <c r="AE102" i="9"/>
  <c r="AD102" i="9"/>
  <c r="AA102" i="9"/>
  <c r="Z102" i="9"/>
  <c r="Y102" i="9"/>
  <c r="X102" i="9"/>
  <c r="W102" i="9"/>
  <c r="P102" i="9"/>
  <c r="O102" i="9"/>
  <c r="N102" i="9"/>
  <c r="AC102" i="9" s="1"/>
  <c r="M102" i="9"/>
  <c r="AI101" i="9"/>
  <c r="AH101" i="9"/>
  <c r="W101" i="9"/>
  <c r="AI100" i="9"/>
  <c r="AN100" i="9" s="1"/>
  <c r="AH100" i="9"/>
  <c r="AF100" i="9"/>
  <c r="AE100" i="9"/>
  <c r="AC100" i="9"/>
  <c r="AB100" i="9"/>
  <c r="AA100" i="9"/>
  <c r="Z100" i="9"/>
  <c r="Y100" i="9"/>
  <c r="X100" i="9"/>
  <c r="W100" i="9"/>
  <c r="P100" i="9"/>
  <c r="O100" i="9"/>
  <c r="AD100" i="9" s="1"/>
  <c r="N100" i="9"/>
  <c r="M100" i="9"/>
  <c r="AI99" i="9"/>
  <c r="AH99" i="9"/>
  <c r="AF99" i="9"/>
  <c r="AE99" i="9"/>
  <c r="AD99" i="9"/>
  <c r="AB99" i="9"/>
  <c r="AA99" i="9"/>
  <c r="Z99" i="9"/>
  <c r="Y99" i="9"/>
  <c r="X99" i="9"/>
  <c r="W99" i="9"/>
  <c r="P99" i="9"/>
  <c r="O99" i="9"/>
  <c r="N99" i="9"/>
  <c r="M99" i="9"/>
  <c r="AT98" i="9"/>
  <c r="AI98" i="9"/>
  <c r="AH98" i="9"/>
  <c r="AF98" i="9"/>
  <c r="AE98" i="9"/>
  <c r="AA98" i="9"/>
  <c r="Z98" i="9"/>
  <c r="Y98" i="9"/>
  <c r="X98" i="9"/>
  <c r="W98" i="9"/>
  <c r="P98" i="9"/>
  <c r="O98" i="9"/>
  <c r="AD98" i="9" s="1"/>
  <c r="N98" i="9"/>
  <c r="AO98" i="9" s="1"/>
  <c r="M98" i="9"/>
  <c r="AP97" i="9"/>
  <c r="AO97" i="9"/>
  <c r="AV97" i="9" s="1"/>
  <c r="AI97" i="9"/>
  <c r="AH97" i="9"/>
  <c r="AF97" i="9"/>
  <c r="AE97" i="9"/>
  <c r="AD97" i="9"/>
  <c r="AA97" i="9"/>
  <c r="Z97" i="9"/>
  <c r="Y97" i="9"/>
  <c r="X97" i="9"/>
  <c r="W97" i="9"/>
  <c r="P97" i="9"/>
  <c r="O97" i="9"/>
  <c r="N97" i="9"/>
  <c r="AC97" i="9" s="1"/>
  <c r="M97" i="9"/>
  <c r="AB97" i="9" s="1"/>
  <c r="AI96" i="9"/>
  <c r="AH96" i="9"/>
  <c r="W96" i="9"/>
  <c r="AP95" i="9"/>
  <c r="AI95" i="9"/>
  <c r="AH95" i="9"/>
  <c r="AF95" i="9"/>
  <c r="AE95" i="9"/>
  <c r="AD95" i="9"/>
  <c r="AB95" i="9"/>
  <c r="AA95" i="9"/>
  <c r="Z95" i="9"/>
  <c r="Y95" i="9"/>
  <c r="X95" i="9"/>
  <c r="W95" i="9"/>
  <c r="P95" i="9"/>
  <c r="O95" i="9"/>
  <c r="N95" i="9"/>
  <c r="AO95" i="9" s="1"/>
  <c r="AV95" i="9" s="1"/>
  <c r="M95" i="9"/>
  <c r="AT94" i="9"/>
  <c r="AP94" i="9"/>
  <c r="AI94" i="9"/>
  <c r="AH94" i="9"/>
  <c r="AF94" i="9"/>
  <c r="AE94" i="9"/>
  <c r="AA94" i="9"/>
  <c r="Z94" i="9"/>
  <c r="Y94" i="9"/>
  <c r="X94" i="9"/>
  <c r="W94" i="9"/>
  <c r="P94" i="9"/>
  <c r="O94" i="9"/>
  <c r="AD94" i="9" s="1"/>
  <c r="N94" i="9"/>
  <c r="AO94" i="9" s="1"/>
  <c r="AV94" i="9" s="1"/>
  <c r="M94" i="9"/>
  <c r="AP93" i="9"/>
  <c r="AO93" i="9"/>
  <c r="AV93" i="9" s="1"/>
  <c r="AI93" i="9"/>
  <c r="AH93" i="9"/>
  <c r="AF93" i="9"/>
  <c r="AE93" i="9"/>
  <c r="AD93" i="9"/>
  <c r="AA93" i="9"/>
  <c r="Z93" i="9"/>
  <c r="Y93" i="9"/>
  <c r="X93" i="9"/>
  <c r="W93" i="9"/>
  <c r="P93" i="9"/>
  <c r="O93" i="9"/>
  <c r="N93" i="9"/>
  <c r="AC93" i="9" s="1"/>
  <c r="M93" i="9"/>
  <c r="AB93" i="9" s="1"/>
  <c r="AV92" i="9"/>
  <c r="AP92" i="9"/>
  <c r="AO92" i="9"/>
  <c r="AI92" i="9"/>
  <c r="AJ92" i="9" s="1"/>
  <c r="AH92" i="9"/>
  <c r="AF92" i="9"/>
  <c r="AE92" i="9"/>
  <c r="AC92" i="9"/>
  <c r="AB92" i="9"/>
  <c r="AA92" i="9"/>
  <c r="Z92" i="9"/>
  <c r="Y92" i="9"/>
  <c r="X92" i="9"/>
  <c r="W92" i="9"/>
  <c r="P92" i="9"/>
  <c r="O92" i="9"/>
  <c r="AD92" i="9" s="1"/>
  <c r="N92" i="9"/>
  <c r="M92" i="9"/>
  <c r="AI91" i="9"/>
  <c r="AH91" i="9"/>
  <c r="W91" i="9"/>
  <c r="AV90" i="9"/>
  <c r="AT90" i="9"/>
  <c r="AP90" i="9"/>
  <c r="AO90" i="9"/>
  <c r="AI90" i="9"/>
  <c r="AH90" i="9"/>
  <c r="AF90" i="9"/>
  <c r="AE90" i="9"/>
  <c r="AD90" i="9"/>
  <c r="AA90" i="9"/>
  <c r="Z90" i="9"/>
  <c r="Y90" i="9"/>
  <c r="X90" i="9"/>
  <c r="W90" i="9"/>
  <c r="P90" i="9"/>
  <c r="O90" i="9"/>
  <c r="N90" i="9"/>
  <c r="AC90" i="9" s="1"/>
  <c r="M90" i="9"/>
  <c r="AI89" i="9"/>
  <c r="AH89" i="9"/>
  <c r="AF89" i="9"/>
  <c r="AE89" i="9"/>
  <c r="AB89" i="9"/>
  <c r="AA89" i="9"/>
  <c r="Z89" i="9"/>
  <c r="Y89" i="9"/>
  <c r="X89" i="9"/>
  <c r="W89" i="9"/>
  <c r="P89" i="9"/>
  <c r="O89" i="9"/>
  <c r="AQ89" i="9" s="1"/>
  <c r="N89" i="9"/>
  <c r="AC89" i="9" s="1"/>
  <c r="M89" i="9"/>
  <c r="AP88" i="9"/>
  <c r="AI88" i="9"/>
  <c r="AH88" i="9"/>
  <c r="AF88" i="9"/>
  <c r="AE88" i="9"/>
  <c r="AA88" i="9"/>
  <c r="Z88" i="9"/>
  <c r="Y88" i="9"/>
  <c r="X88" i="9"/>
  <c r="W88" i="9"/>
  <c r="P88" i="9"/>
  <c r="O88" i="9"/>
  <c r="AD88" i="9" s="1"/>
  <c r="N88" i="9"/>
  <c r="AO88" i="9" s="1"/>
  <c r="AV88" i="9" s="1"/>
  <c r="M88" i="9"/>
  <c r="AB88" i="9" s="1"/>
  <c r="AI87" i="9"/>
  <c r="AH87" i="9"/>
  <c r="W87" i="9"/>
  <c r="AV86" i="9"/>
  <c r="AT86" i="9"/>
  <c r="AP86" i="9"/>
  <c r="AO86" i="9"/>
  <c r="AI86" i="9"/>
  <c r="AH86" i="9"/>
  <c r="AF86" i="9"/>
  <c r="AE86" i="9"/>
  <c r="AC86" i="9"/>
  <c r="AA86" i="9"/>
  <c r="Z86" i="9"/>
  <c r="Y86" i="9"/>
  <c r="X86" i="9"/>
  <c r="W86" i="9"/>
  <c r="P86" i="9"/>
  <c r="O86" i="9"/>
  <c r="AQ86" i="9" s="1"/>
  <c r="N86" i="9"/>
  <c r="M86" i="9"/>
  <c r="AI85" i="9"/>
  <c r="AH85" i="9"/>
  <c r="AF85" i="9"/>
  <c r="AE85" i="9"/>
  <c r="AA85" i="9"/>
  <c r="Z85" i="9"/>
  <c r="Y85" i="9"/>
  <c r="X85" i="9"/>
  <c r="W85" i="9"/>
  <c r="P85" i="9"/>
  <c r="O85" i="9"/>
  <c r="AD85" i="9" s="1"/>
  <c r="N85" i="9"/>
  <c r="AC85" i="9" s="1"/>
  <c r="M85" i="9"/>
  <c r="AB85" i="9" s="1"/>
  <c r="AI84" i="9"/>
  <c r="AH84" i="9"/>
  <c r="AF84" i="9"/>
  <c r="AE84" i="9"/>
  <c r="AC84" i="9"/>
  <c r="AA84" i="9"/>
  <c r="Z84" i="9"/>
  <c r="Y84" i="9"/>
  <c r="X84" i="9"/>
  <c r="W84" i="9"/>
  <c r="P84" i="9"/>
  <c r="O84" i="9"/>
  <c r="AD84" i="9" s="1"/>
  <c r="N84" i="9"/>
  <c r="M84" i="9"/>
  <c r="AB84" i="9" s="1"/>
  <c r="AP83" i="9"/>
  <c r="AI83" i="9"/>
  <c r="AT83" i="9" s="1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AQ83" i="9" s="1"/>
  <c r="N83" i="9"/>
  <c r="AO83" i="9" s="1"/>
  <c r="AV83" i="9" s="1"/>
  <c r="M83" i="9"/>
  <c r="AI82" i="9"/>
  <c r="AH82" i="9"/>
  <c r="W82" i="9"/>
  <c r="AP81" i="9"/>
  <c r="AO81" i="9"/>
  <c r="AV81" i="9" s="1"/>
  <c r="AI81" i="9"/>
  <c r="AH81" i="9"/>
  <c r="AF81" i="9"/>
  <c r="AE81" i="9"/>
  <c r="AD81" i="9"/>
  <c r="AA81" i="9"/>
  <c r="Z81" i="9"/>
  <c r="Y81" i="9"/>
  <c r="X81" i="9"/>
  <c r="W81" i="9"/>
  <c r="P81" i="9"/>
  <c r="O81" i="9"/>
  <c r="N81" i="9"/>
  <c r="AC81" i="9" s="1"/>
  <c r="M81" i="9"/>
  <c r="AB81" i="9" s="1"/>
  <c r="AI80" i="9"/>
  <c r="AJ80" i="9" s="1"/>
  <c r="AH80" i="9"/>
  <c r="AF80" i="9"/>
  <c r="AE80" i="9"/>
  <c r="AC80" i="9"/>
  <c r="AB80" i="9"/>
  <c r="AA80" i="9"/>
  <c r="Z80" i="9"/>
  <c r="Y80" i="9"/>
  <c r="X80" i="9"/>
  <c r="W80" i="9"/>
  <c r="P80" i="9"/>
  <c r="O80" i="9"/>
  <c r="AD80" i="9" s="1"/>
  <c r="N80" i="9"/>
  <c r="M80" i="9"/>
  <c r="AI79" i="9"/>
  <c r="AH79" i="9"/>
  <c r="W79" i="9"/>
  <c r="AV78" i="9"/>
  <c r="AT78" i="9"/>
  <c r="AP78" i="9"/>
  <c r="AO78" i="9"/>
  <c r="AI78" i="9"/>
  <c r="AH78" i="9"/>
  <c r="AF78" i="9"/>
  <c r="AE78" i="9"/>
  <c r="AD78" i="9"/>
  <c r="AA78" i="9"/>
  <c r="Z78" i="9"/>
  <c r="Y78" i="9"/>
  <c r="X78" i="9"/>
  <c r="W78" i="9"/>
  <c r="P78" i="9"/>
  <c r="O78" i="9"/>
  <c r="N78" i="9"/>
  <c r="AC78" i="9" s="1"/>
  <c r="M78" i="9"/>
  <c r="AV77" i="9"/>
  <c r="AP77" i="9"/>
  <c r="AO77" i="9"/>
  <c r="AI77" i="9"/>
  <c r="AN77" i="9" s="1"/>
  <c r="AH77" i="9"/>
  <c r="AF77" i="9"/>
  <c r="AE77" i="9"/>
  <c r="AB77" i="9"/>
  <c r="AA77" i="9"/>
  <c r="Z77" i="9"/>
  <c r="Y77" i="9"/>
  <c r="X77" i="9"/>
  <c r="W77" i="9"/>
  <c r="P77" i="9"/>
  <c r="O77" i="9"/>
  <c r="AQ77" i="9" s="1"/>
  <c r="N77" i="9"/>
  <c r="AC77" i="9" s="1"/>
  <c r="M77" i="9"/>
  <c r="AI76" i="9"/>
  <c r="AN76" i="9" s="1"/>
  <c r="AH76" i="9"/>
  <c r="AF76" i="9"/>
  <c r="AE76" i="9"/>
  <c r="AD76" i="9"/>
  <c r="AC76" i="9"/>
  <c r="AB76" i="9"/>
  <c r="AA76" i="9"/>
  <c r="Z76" i="9"/>
  <c r="Y76" i="9"/>
  <c r="X76" i="9"/>
  <c r="W76" i="9"/>
  <c r="P76" i="9"/>
  <c r="O76" i="9"/>
  <c r="AQ76" i="9" s="1"/>
  <c r="N76" i="9"/>
  <c r="M76" i="9"/>
  <c r="AT75" i="9"/>
  <c r="AI75" i="9"/>
  <c r="AH75" i="9"/>
  <c r="AF75" i="9"/>
  <c r="AE75" i="9"/>
  <c r="AD75" i="9"/>
  <c r="AC75" i="9"/>
  <c r="AA75" i="9"/>
  <c r="Z75" i="9"/>
  <c r="Y75" i="9"/>
  <c r="X75" i="9"/>
  <c r="W75" i="9"/>
  <c r="P75" i="9"/>
  <c r="O75" i="9"/>
  <c r="AQ75" i="9" s="1"/>
  <c r="N75" i="9"/>
  <c r="M75" i="9"/>
  <c r="AR75" i="9" s="1"/>
  <c r="AI74" i="9"/>
  <c r="AH74" i="9"/>
  <c r="W74" i="9"/>
  <c r="AP73" i="9"/>
  <c r="AI73" i="9"/>
  <c r="AN73" i="9" s="1"/>
  <c r="AH73" i="9"/>
  <c r="AF73" i="9"/>
  <c r="AE73" i="9"/>
  <c r="AC73" i="9"/>
  <c r="AB73" i="9"/>
  <c r="AA73" i="9"/>
  <c r="Z73" i="9"/>
  <c r="Y73" i="9"/>
  <c r="X73" i="9"/>
  <c r="W73" i="9"/>
  <c r="P73" i="9"/>
  <c r="O73" i="9"/>
  <c r="AQ73" i="9" s="1"/>
  <c r="N73" i="9"/>
  <c r="AO73" i="9" s="1"/>
  <c r="AV73" i="9" s="1"/>
  <c r="M73" i="9"/>
  <c r="AP72" i="9"/>
  <c r="AO72" i="9"/>
  <c r="AV72" i="9" s="1"/>
  <c r="AI72" i="9"/>
  <c r="AH72" i="9"/>
  <c r="AF72" i="9"/>
  <c r="AE72" i="9"/>
  <c r="AD72" i="9"/>
  <c r="AC72" i="9"/>
  <c r="AB72" i="9"/>
  <c r="AA72" i="9"/>
  <c r="Z72" i="9"/>
  <c r="Y72" i="9"/>
  <c r="X72" i="9"/>
  <c r="W72" i="9"/>
  <c r="P72" i="9"/>
  <c r="O72" i="9"/>
  <c r="AQ72" i="9" s="1"/>
  <c r="N72" i="9"/>
  <c r="M72" i="9"/>
  <c r="AI71" i="9"/>
  <c r="AH71" i="9"/>
  <c r="W71" i="9"/>
  <c r="AI70" i="9"/>
  <c r="AN70" i="9" s="1"/>
  <c r="AH70" i="9"/>
  <c r="AF70" i="9"/>
  <c r="AE70" i="9"/>
  <c r="AB70" i="9"/>
  <c r="AA70" i="9"/>
  <c r="Z70" i="9"/>
  <c r="Y70" i="9"/>
  <c r="X70" i="9"/>
  <c r="W70" i="9"/>
  <c r="P70" i="9"/>
  <c r="O70" i="9"/>
  <c r="AD70" i="9" s="1"/>
  <c r="N70" i="9"/>
  <c r="AO70" i="9" s="1"/>
  <c r="M70" i="9"/>
  <c r="AI69" i="9"/>
  <c r="AH69" i="9"/>
  <c r="AF69" i="9"/>
  <c r="AE69" i="9"/>
  <c r="AC69" i="9"/>
  <c r="AB69" i="9"/>
  <c r="AA69" i="9"/>
  <c r="Z69" i="9"/>
  <c r="Y69" i="9"/>
  <c r="X69" i="9"/>
  <c r="W69" i="9"/>
  <c r="P69" i="9"/>
  <c r="O69" i="9"/>
  <c r="AQ69" i="9" s="1"/>
  <c r="N69" i="9"/>
  <c r="M69" i="9"/>
  <c r="AI68" i="9"/>
  <c r="AH68" i="9"/>
  <c r="W68" i="9"/>
  <c r="AI67" i="9"/>
  <c r="AH67" i="9"/>
  <c r="AF67" i="9"/>
  <c r="AE67" i="9"/>
  <c r="AA67" i="9"/>
  <c r="Z67" i="9"/>
  <c r="Y67" i="9"/>
  <c r="X67" i="9"/>
  <c r="W67" i="9"/>
  <c r="P67" i="9"/>
  <c r="O67" i="9"/>
  <c r="AD67" i="9" s="1"/>
  <c r="N67" i="9"/>
  <c r="AC67" i="9" s="1"/>
  <c r="M67" i="9"/>
  <c r="AR67" i="9" s="1"/>
  <c r="AP66" i="9"/>
  <c r="AI66" i="9"/>
  <c r="AN66" i="9" s="1"/>
  <c r="AH66" i="9"/>
  <c r="AF66" i="9"/>
  <c r="AE66" i="9"/>
  <c r="AB66" i="9"/>
  <c r="AA66" i="9"/>
  <c r="Z66" i="9"/>
  <c r="Y66" i="9"/>
  <c r="X66" i="9"/>
  <c r="W66" i="9"/>
  <c r="P66" i="9"/>
  <c r="O66" i="9"/>
  <c r="AD66" i="9" s="1"/>
  <c r="N66" i="9"/>
  <c r="AO66" i="9" s="1"/>
  <c r="AV66" i="9" s="1"/>
  <c r="M66" i="9"/>
  <c r="AP65" i="9"/>
  <c r="AI65" i="9"/>
  <c r="AH65" i="9"/>
  <c r="AF65" i="9"/>
  <c r="AE65" i="9"/>
  <c r="AC65" i="9"/>
  <c r="AB65" i="9"/>
  <c r="AA65" i="9"/>
  <c r="Z65" i="9"/>
  <c r="Y65" i="9"/>
  <c r="X65" i="9"/>
  <c r="W65" i="9"/>
  <c r="P65" i="9"/>
  <c r="O65" i="9"/>
  <c r="AQ65" i="9" s="1"/>
  <c r="N65" i="9"/>
  <c r="AO65" i="9" s="1"/>
  <c r="AV65" i="9" s="1"/>
  <c r="M65" i="9"/>
  <c r="AI64" i="9"/>
  <c r="AN64" i="9" s="1"/>
  <c r="AH64" i="9"/>
  <c r="AF64" i="9"/>
  <c r="AE64" i="9"/>
  <c r="AD64" i="9"/>
  <c r="AC64" i="9"/>
  <c r="AB64" i="9"/>
  <c r="AA64" i="9"/>
  <c r="Z64" i="9"/>
  <c r="Y64" i="9"/>
  <c r="X64" i="9"/>
  <c r="W64" i="9"/>
  <c r="P64" i="9"/>
  <c r="O64" i="9"/>
  <c r="AQ64" i="9" s="1"/>
  <c r="N64" i="9"/>
  <c r="M64" i="9"/>
  <c r="AT63" i="9"/>
  <c r="AI63" i="9"/>
  <c r="AH63" i="9"/>
  <c r="AF63" i="9"/>
  <c r="AE63" i="9"/>
  <c r="AD63" i="9"/>
  <c r="AC63" i="9"/>
  <c r="AA63" i="9"/>
  <c r="Z63" i="9"/>
  <c r="Y63" i="9"/>
  <c r="X63" i="9"/>
  <c r="W63" i="9"/>
  <c r="P63" i="9"/>
  <c r="O63" i="9"/>
  <c r="AQ63" i="9" s="1"/>
  <c r="N63" i="9"/>
  <c r="M63" i="9"/>
  <c r="AR63" i="9" s="1"/>
  <c r="AI62" i="9"/>
  <c r="AH62" i="9"/>
  <c r="W62" i="9"/>
  <c r="AI61" i="9"/>
  <c r="AH61" i="9"/>
  <c r="AF61" i="9"/>
  <c r="AE61" i="9"/>
  <c r="AC61" i="9"/>
  <c r="AB61" i="9"/>
  <c r="AA61" i="9"/>
  <c r="Z61" i="9"/>
  <c r="Y61" i="9"/>
  <c r="X61" i="9"/>
  <c r="W61" i="9"/>
  <c r="P61" i="9"/>
  <c r="O61" i="9"/>
  <c r="AQ61" i="9" s="1"/>
  <c r="N61" i="9"/>
  <c r="AO61" i="9" s="1"/>
  <c r="M61" i="9"/>
  <c r="AI60" i="9"/>
  <c r="AN60" i="9" s="1"/>
  <c r="AH60" i="9"/>
  <c r="AF60" i="9"/>
  <c r="AE60" i="9"/>
  <c r="AD60" i="9"/>
  <c r="AC60" i="9"/>
  <c r="AB60" i="9"/>
  <c r="AA60" i="9"/>
  <c r="Z60" i="9"/>
  <c r="Y60" i="9"/>
  <c r="X60" i="9"/>
  <c r="W60" i="9"/>
  <c r="P60" i="9"/>
  <c r="O60" i="9"/>
  <c r="AQ60" i="9" s="1"/>
  <c r="N60" i="9"/>
  <c r="M60" i="9"/>
  <c r="AT59" i="9"/>
  <c r="AP59" i="9"/>
  <c r="AO59" i="9"/>
  <c r="AV59" i="9" s="1"/>
  <c r="AI59" i="9"/>
  <c r="AH59" i="9"/>
  <c r="AF59" i="9"/>
  <c r="AE59" i="9"/>
  <c r="AD59" i="9"/>
  <c r="AC59" i="9"/>
  <c r="AA59" i="9"/>
  <c r="Z59" i="9"/>
  <c r="Y59" i="9"/>
  <c r="X59" i="9"/>
  <c r="W59" i="9"/>
  <c r="P59" i="9"/>
  <c r="O59" i="9"/>
  <c r="AQ59" i="9" s="1"/>
  <c r="N59" i="9"/>
  <c r="M59" i="9"/>
  <c r="AR59" i="9" s="1"/>
  <c r="AT58" i="9"/>
  <c r="AP58" i="9"/>
  <c r="AO58" i="9"/>
  <c r="AV58" i="9" s="1"/>
  <c r="AI58" i="9"/>
  <c r="AH58" i="9"/>
  <c r="AF58" i="9"/>
  <c r="AE58" i="9"/>
  <c r="AD58" i="9"/>
  <c r="AA58" i="9"/>
  <c r="Z58" i="9"/>
  <c r="Y58" i="9"/>
  <c r="X58" i="9"/>
  <c r="W58" i="9"/>
  <c r="P58" i="9"/>
  <c r="O58" i="9"/>
  <c r="AQ58" i="9" s="1"/>
  <c r="N58" i="9"/>
  <c r="AC58" i="9" s="1"/>
  <c r="M58" i="9"/>
  <c r="AR58" i="9" s="1"/>
  <c r="AP57" i="9"/>
  <c r="AO57" i="9"/>
  <c r="AV57" i="9" s="1"/>
  <c r="AI57" i="9"/>
  <c r="AN57" i="9" s="1"/>
  <c r="AH57" i="9"/>
  <c r="AF57" i="9"/>
  <c r="AE57" i="9"/>
  <c r="AA57" i="9"/>
  <c r="Z57" i="9"/>
  <c r="Y57" i="9"/>
  <c r="X57" i="9"/>
  <c r="W57" i="9"/>
  <c r="P57" i="9"/>
  <c r="O57" i="9"/>
  <c r="AD57" i="9" s="1"/>
  <c r="N57" i="9"/>
  <c r="AC57" i="9" s="1"/>
  <c r="M57" i="9"/>
  <c r="AR57" i="9" s="1"/>
  <c r="AP56" i="9"/>
  <c r="AI56" i="9"/>
  <c r="AH56" i="9"/>
  <c r="AF56" i="9"/>
  <c r="AE56" i="9"/>
  <c r="AB56" i="9"/>
  <c r="AA56" i="9"/>
  <c r="Z56" i="9"/>
  <c r="Y56" i="9"/>
  <c r="X56" i="9"/>
  <c r="W56" i="9"/>
  <c r="P56" i="9"/>
  <c r="O56" i="9"/>
  <c r="AD56" i="9" s="1"/>
  <c r="N56" i="9"/>
  <c r="AO56" i="9" s="1"/>
  <c r="AV56" i="9" s="1"/>
  <c r="M56" i="9"/>
  <c r="AP55" i="9"/>
  <c r="AI55" i="9"/>
  <c r="AN55" i="9" s="1"/>
  <c r="AH55" i="9"/>
  <c r="AF55" i="9"/>
  <c r="AE55" i="9"/>
  <c r="AC55" i="9"/>
  <c r="AB55" i="9"/>
  <c r="AA55" i="9"/>
  <c r="Z55" i="9"/>
  <c r="Y55" i="9"/>
  <c r="X55" i="9"/>
  <c r="W55" i="9"/>
  <c r="P55" i="9"/>
  <c r="O55" i="9"/>
  <c r="AQ55" i="9" s="1"/>
  <c r="N55" i="9"/>
  <c r="AO55" i="9" s="1"/>
  <c r="AV55" i="9" s="1"/>
  <c r="M55" i="9"/>
  <c r="AI54" i="9"/>
  <c r="AH54" i="9"/>
  <c r="AF54" i="9"/>
  <c r="AE54" i="9"/>
  <c r="AD54" i="9"/>
  <c r="AC54" i="9"/>
  <c r="AB54" i="9"/>
  <c r="AA54" i="9"/>
  <c r="Z54" i="9"/>
  <c r="Y54" i="9"/>
  <c r="X54" i="9"/>
  <c r="W54" i="9"/>
  <c r="P54" i="9"/>
  <c r="O54" i="9"/>
  <c r="AQ54" i="9" s="1"/>
  <c r="N54" i="9"/>
  <c r="M54" i="9"/>
  <c r="AT53" i="9"/>
  <c r="AI53" i="9"/>
  <c r="AH53" i="9"/>
  <c r="AF53" i="9"/>
  <c r="AE53" i="9"/>
  <c r="AD53" i="9"/>
  <c r="AC53" i="9"/>
  <c r="AA53" i="9"/>
  <c r="Z53" i="9"/>
  <c r="Y53" i="9"/>
  <c r="X53" i="9"/>
  <c r="W53" i="9"/>
  <c r="P53" i="9"/>
  <c r="O53" i="9"/>
  <c r="AQ53" i="9" s="1"/>
  <c r="N53" i="9"/>
  <c r="M53" i="9"/>
  <c r="AR53" i="9" s="1"/>
  <c r="AT52" i="9"/>
  <c r="AP52" i="9"/>
  <c r="AO52" i="9"/>
  <c r="AV52" i="9" s="1"/>
  <c r="AI52" i="9"/>
  <c r="AH52" i="9"/>
  <c r="AF52" i="9"/>
  <c r="AE52" i="9"/>
  <c r="AD52" i="9"/>
  <c r="AA52" i="9"/>
  <c r="Z52" i="9"/>
  <c r="Y52" i="9"/>
  <c r="X52" i="9"/>
  <c r="W52" i="9"/>
  <c r="P52" i="9"/>
  <c r="O52" i="9"/>
  <c r="AQ52" i="9" s="1"/>
  <c r="N52" i="9"/>
  <c r="AC52" i="9" s="1"/>
  <c r="M52" i="9"/>
  <c r="AR52" i="9" s="1"/>
  <c r="AI51" i="9"/>
  <c r="AH51" i="9"/>
  <c r="W51" i="9"/>
  <c r="AI50" i="9"/>
  <c r="AN50" i="9" s="1"/>
  <c r="AH50" i="9"/>
  <c r="AF50" i="9"/>
  <c r="AE50" i="9"/>
  <c r="AD50" i="9"/>
  <c r="AC50" i="9"/>
  <c r="AB50" i="9"/>
  <c r="AA50" i="9"/>
  <c r="Z50" i="9"/>
  <c r="Y50" i="9"/>
  <c r="X50" i="9"/>
  <c r="W50" i="9"/>
  <c r="P50" i="9"/>
  <c r="O50" i="9"/>
  <c r="AQ50" i="9" s="1"/>
  <c r="N50" i="9"/>
  <c r="M50" i="9"/>
  <c r="AT49" i="9"/>
  <c r="AI49" i="9"/>
  <c r="AH49" i="9"/>
  <c r="AF49" i="9"/>
  <c r="AE49" i="9"/>
  <c r="AD49" i="9"/>
  <c r="AC49" i="9"/>
  <c r="AA49" i="9"/>
  <c r="Z49" i="9"/>
  <c r="Y49" i="9"/>
  <c r="X49" i="9"/>
  <c r="W49" i="9"/>
  <c r="P49" i="9"/>
  <c r="O49" i="9"/>
  <c r="AQ49" i="9" s="1"/>
  <c r="N49" i="9"/>
  <c r="AO49" i="9" s="1"/>
  <c r="M49" i="9"/>
  <c r="AR49" i="9" s="1"/>
  <c r="AI48" i="9"/>
  <c r="AH48" i="9"/>
  <c r="W48" i="9"/>
  <c r="AI47" i="9"/>
  <c r="AN47" i="9" s="1"/>
  <c r="AH47" i="9"/>
  <c r="AF47" i="9"/>
  <c r="AE47" i="9"/>
  <c r="AC47" i="9"/>
  <c r="AB47" i="9"/>
  <c r="AA47" i="9"/>
  <c r="Z47" i="9"/>
  <c r="Y47" i="9"/>
  <c r="X47" i="9"/>
  <c r="W47" i="9"/>
  <c r="P47" i="9"/>
  <c r="O47" i="9"/>
  <c r="AQ47" i="9" s="1"/>
  <c r="N47" i="9"/>
  <c r="AO47" i="9" s="1"/>
  <c r="M47" i="9"/>
  <c r="AI46" i="9"/>
  <c r="AH46" i="9"/>
  <c r="AF46" i="9"/>
  <c r="AE46" i="9"/>
  <c r="AD46" i="9"/>
  <c r="AC46" i="9"/>
  <c r="AB46" i="9"/>
  <c r="AA46" i="9"/>
  <c r="Z46" i="9"/>
  <c r="Y46" i="9"/>
  <c r="X46" i="9"/>
  <c r="W46" i="9"/>
  <c r="P46" i="9"/>
  <c r="O46" i="9"/>
  <c r="AQ46" i="9" s="1"/>
  <c r="N46" i="9"/>
  <c r="M46" i="9"/>
  <c r="AI45" i="9"/>
  <c r="AH45" i="9"/>
  <c r="W45" i="9"/>
  <c r="AI44" i="9"/>
  <c r="AH44" i="9"/>
  <c r="AF44" i="9"/>
  <c r="AE44" i="9"/>
  <c r="AB44" i="9"/>
  <c r="AA44" i="9"/>
  <c r="Z44" i="9"/>
  <c r="Y44" i="9"/>
  <c r="X44" i="9"/>
  <c r="W44" i="9"/>
  <c r="P44" i="9"/>
  <c r="O44" i="9"/>
  <c r="AD44" i="9" s="1"/>
  <c r="N44" i="9"/>
  <c r="M44" i="9"/>
  <c r="AI43" i="9"/>
  <c r="AN43" i="9" s="1"/>
  <c r="AH43" i="9"/>
  <c r="AF43" i="9"/>
  <c r="AE43" i="9"/>
  <c r="AC43" i="9"/>
  <c r="AB43" i="9"/>
  <c r="AA43" i="9"/>
  <c r="Z43" i="9"/>
  <c r="Y43" i="9"/>
  <c r="X43" i="9"/>
  <c r="W43" i="9"/>
  <c r="P43" i="9"/>
  <c r="O43" i="9"/>
  <c r="AQ43" i="9" s="1"/>
  <c r="N43" i="9"/>
  <c r="AO43" i="9" s="1"/>
  <c r="M43" i="9"/>
  <c r="AI42" i="9"/>
  <c r="AH42" i="9"/>
  <c r="W42" i="9"/>
  <c r="AP41" i="9"/>
  <c r="AO41" i="9"/>
  <c r="AV41" i="9" s="1"/>
  <c r="AI41" i="9"/>
  <c r="AN41" i="9" s="1"/>
  <c r="AH41" i="9"/>
  <c r="AF41" i="9"/>
  <c r="AE41" i="9"/>
  <c r="AA41" i="9"/>
  <c r="Z41" i="9"/>
  <c r="Y41" i="9"/>
  <c r="X41" i="9"/>
  <c r="W41" i="9"/>
  <c r="P41" i="9"/>
  <c r="O41" i="9"/>
  <c r="AD41" i="9" s="1"/>
  <c r="N41" i="9"/>
  <c r="AC41" i="9" s="1"/>
  <c r="M41" i="9"/>
  <c r="AR41" i="9" s="1"/>
  <c r="AI40" i="9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M40" i="9"/>
  <c r="AI39" i="9"/>
  <c r="AH39" i="9"/>
  <c r="AF39" i="9"/>
  <c r="AE39" i="9"/>
  <c r="AC39" i="9"/>
  <c r="AB39" i="9"/>
  <c r="AA39" i="9"/>
  <c r="Z39" i="9"/>
  <c r="Y39" i="9"/>
  <c r="X39" i="9"/>
  <c r="W39" i="9"/>
  <c r="P39" i="9"/>
  <c r="O39" i="9"/>
  <c r="AQ39" i="9" s="1"/>
  <c r="N39" i="9"/>
  <c r="AO39" i="9" s="1"/>
  <c r="M39" i="9"/>
  <c r="AI38" i="9"/>
  <c r="AH38" i="9"/>
  <c r="W38" i="9"/>
  <c r="AP37" i="9"/>
  <c r="AO37" i="9"/>
  <c r="AV37" i="9" s="1"/>
  <c r="AI37" i="9"/>
  <c r="AN37" i="9" s="1"/>
  <c r="AH37" i="9"/>
  <c r="AF37" i="9"/>
  <c r="AE37" i="9"/>
  <c r="AA37" i="9"/>
  <c r="Z37" i="9"/>
  <c r="Y37" i="9"/>
  <c r="X37" i="9"/>
  <c r="W37" i="9"/>
  <c r="P37" i="9"/>
  <c r="O37" i="9"/>
  <c r="AD37" i="9" s="1"/>
  <c r="N37" i="9"/>
  <c r="AC37" i="9" s="1"/>
  <c r="M37" i="9"/>
  <c r="AR37" i="9" s="1"/>
  <c r="AP36" i="9"/>
  <c r="AI36" i="9"/>
  <c r="AH36" i="9"/>
  <c r="AF36" i="9"/>
  <c r="AE36" i="9"/>
  <c r="AB36" i="9"/>
  <c r="AA36" i="9"/>
  <c r="Z36" i="9"/>
  <c r="Y36" i="9"/>
  <c r="X36" i="9"/>
  <c r="W36" i="9"/>
  <c r="P36" i="9"/>
  <c r="O36" i="9"/>
  <c r="AD36" i="9" s="1"/>
  <c r="N36" i="9"/>
  <c r="AO36" i="9" s="1"/>
  <c r="AV36" i="9" s="1"/>
  <c r="M36" i="9"/>
  <c r="AP35" i="9"/>
  <c r="AI35" i="9"/>
  <c r="AN35" i="9" s="1"/>
  <c r="AH35" i="9"/>
  <c r="AF35" i="9"/>
  <c r="AE35" i="9"/>
  <c r="AC35" i="9"/>
  <c r="AB35" i="9"/>
  <c r="AA35" i="9"/>
  <c r="Z35" i="9"/>
  <c r="Y35" i="9"/>
  <c r="X35" i="9"/>
  <c r="W35" i="9"/>
  <c r="P35" i="9"/>
  <c r="O35" i="9"/>
  <c r="AQ35" i="9" s="1"/>
  <c r="N35" i="9"/>
  <c r="AO35" i="9" s="1"/>
  <c r="AV35" i="9" s="1"/>
  <c r="M35" i="9"/>
  <c r="AI34" i="9"/>
  <c r="AH34" i="9"/>
  <c r="W34" i="9"/>
  <c r="AI33" i="9"/>
  <c r="AN33" i="9" s="1"/>
  <c r="AH33" i="9"/>
  <c r="AF33" i="9"/>
  <c r="AE33" i="9"/>
  <c r="AA33" i="9"/>
  <c r="Z33" i="9"/>
  <c r="Y33" i="9"/>
  <c r="X33" i="9"/>
  <c r="W33" i="9"/>
  <c r="P33" i="9"/>
  <c r="O33" i="9"/>
  <c r="AD33" i="9" s="1"/>
  <c r="N33" i="9"/>
  <c r="AC33" i="9" s="1"/>
  <c r="M33" i="9"/>
  <c r="AR33" i="9" s="1"/>
  <c r="AI32" i="9"/>
  <c r="AH32" i="9"/>
  <c r="W32" i="9"/>
  <c r="AT31" i="9"/>
  <c r="AP31" i="9"/>
  <c r="AO31" i="9"/>
  <c r="AV31" i="9" s="1"/>
  <c r="AI31" i="9"/>
  <c r="AH31" i="9"/>
  <c r="AF31" i="9"/>
  <c r="AE31" i="9"/>
  <c r="AD31" i="9"/>
  <c r="AC31" i="9"/>
  <c r="AA31" i="9"/>
  <c r="Z31" i="9"/>
  <c r="Y31" i="9"/>
  <c r="X31" i="9"/>
  <c r="W31" i="9"/>
  <c r="P31" i="9"/>
  <c r="O31" i="9"/>
  <c r="AQ31" i="9" s="1"/>
  <c r="N31" i="9"/>
  <c r="M31" i="9"/>
  <c r="AR31" i="9" s="1"/>
  <c r="AI30" i="9"/>
  <c r="AH30" i="9"/>
  <c r="W30" i="9"/>
  <c r="AP29" i="9"/>
  <c r="AI29" i="9"/>
  <c r="AN29" i="9" s="1"/>
  <c r="AH29" i="9"/>
  <c r="AF29" i="9"/>
  <c r="AE29" i="9"/>
  <c r="AC29" i="9"/>
  <c r="AB29" i="9"/>
  <c r="AA29" i="9"/>
  <c r="Z29" i="9"/>
  <c r="Y29" i="9"/>
  <c r="X29" i="9"/>
  <c r="W29" i="9"/>
  <c r="P29" i="9"/>
  <c r="O29" i="9"/>
  <c r="AQ29" i="9" s="1"/>
  <c r="N29" i="9"/>
  <c r="AO29" i="9" s="1"/>
  <c r="AV29" i="9" s="1"/>
  <c r="M29" i="9"/>
  <c r="AR28" i="9"/>
  <c r="AP28" i="9"/>
  <c r="AO28" i="9"/>
  <c r="AV28" i="9" s="1"/>
  <c r="AI28" i="9"/>
  <c r="AN28" i="9" s="1"/>
  <c r="AH28" i="9"/>
  <c r="AF28" i="9"/>
  <c r="AE28" i="9"/>
  <c r="AD28" i="9"/>
  <c r="AC28" i="9"/>
  <c r="AB28" i="9"/>
  <c r="AA28" i="9"/>
  <c r="Z28" i="9"/>
  <c r="Y28" i="9"/>
  <c r="X28" i="9"/>
  <c r="W28" i="9"/>
  <c r="P28" i="9"/>
  <c r="O28" i="9"/>
  <c r="AQ28" i="9" s="1"/>
  <c r="N28" i="9"/>
  <c r="M28" i="9"/>
  <c r="AT27" i="9"/>
  <c r="AP27" i="9"/>
  <c r="AO27" i="9"/>
  <c r="AV27" i="9" s="1"/>
  <c r="AI27" i="9"/>
  <c r="AH27" i="9"/>
  <c r="AF27" i="9"/>
  <c r="AE27" i="9"/>
  <c r="AD27" i="9"/>
  <c r="AC27" i="9"/>
  <c r="AA27" i="9"/>
  <c r="Z27" i="9"/>
  <c r="Y27" i="9"/>
  <c r="X27" i="9"/>
  <c r="W27" i="9"/>
  <c r="P27" i="9"/>
  <c r="O27" i="9"/>
  <c r="AQ27" i="9" s="1"/>
  <c r="N27" i="9"/>
  <c r="M27" i="9"/>
  <c r="AR27" i="9" s="1"/>
  <c r="AI26" i="9"/>
  <c r="AH26" i="9"/>
  <c r="W26" i="9"/>
  <c r="AR25" i="9"/>
  <c r="AP25" i="9"/>
  <c r="AI25" i="9"/>
  <c r="AH25" i="9"/>
  <c r="AF25" i="9"/>
  <c r="AE25" i="9"/>
  <c r="AC25" i="9"/>
  <c r="AB25" i="9"/>
  <c r="AA25" i="9"/>
  <c r="Z25" i="9"/>
  <c r="Y25" i="9"/>
  <c r="X25" i="9"/>
  <c r="W25" i="9"/>
  <c r="P25" i="9"/>
  <c r="O25" i="9"/>
  <c r="AQ25" i="9" s="1"/>
  <c r="N25" i="9"/>
  <c r="AO25" i="9" s="1"/>
  <c r="AV25" i="9" s="1"/>
  <c r="M25" i="9"/>
  <c r="AR24" i="9"/>
  <c r="AI24" i="9"/>
  <c r="AH24" i="9"/>
  <c r="AF24" i="9"/>
  <c r="AE24" i="9"/>
  <c r="AD24" i="9"/>
  <c r="AC24" i="9"/>
  <c r="AB24" i="9"/>
  <c r="AA24" i="9"/>
  <c r="Z24" i="9"/>
  <c r="Y24" i="9"/>
  <c r="X24" i="9"/>
  <c r="W24" i="9"/>
  <c r="P24" i="9"/>
  <c r="O24" i="9"/>
  <c r="AQ24" i="9" s="1"/>
  <c r="N24" i="9"/>
  <c r="M24" i="9"/>
  <c r="AT23" i="9"/>
  <c r="AP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AQ23" i="9" s="1"/>
  <c r="N23" i="9"/>
  <c r="AO23" i="9" s="1"/>
  <c r="AV23" i="9" s="1"/>
  <c r="M23" i="9"/>
  <c r="AR23" i="9" s="1"/>
  <c r="AU22" i="9"/>
  <c r="AT22" i="9"/>
  <c r="AI22" i="9"/>
  <c r="AH22" i="9"/>
  <c r="AF22" i="9"/>
  <c r="AE22" i="9"/>
  <c r="AD22" i="9"/>
  <c r="AA22" i="9"/>
  <c r="Z22" i="9"/>
  <c r="Y22" i="9"/>
  <c r="X22" i="9"/>
  <c r="W22" i="9"/>
  <c r="P22" i="9"/>
  <c r="O22" i="9"/>
  <c r="AQ22" i="9" s="1"/>
  <c r="N22" i="9"/>
  <c r="AC22" i="9" s="1"/>
  <c r="M22" i="9"/>
  <c r="AR22" i="9" s="1"/>
  <c r="AI21" i="9"/>
  <c r="AH21" i="9"/>
  <c r="W21" i="9"/>
  <c r="AR20" i="9"/>
  <c r="AP20" i="9"/>
  <c r="AO20" i="9"/>
  <c r="AV20" i="9" s="1"/>
  <c r="AI20" i="9"/>
  <c r="AH20" i="9"/>
  <c r="AF20" i="9"/>
  <c r="AE20" i="9"/>
  <c r="AD20" i="9"/>
  <c r="AC20" i="9"/>
  <c r="AB20" i="9"/>
  <c r="AA20" i="9"/>
  <c r="Z20" i="9"/>
  <c r="Y20" i="9"/>
  <c r="X20" i="9"/>
  <c r="W20" i="9"/>
  <c r="P20" i="9"/>
  <c r="O20" i="9"/>
  <c r="AQ20" i="9" s="1"/>
  <c r="N20" i="9"/>
  <c r="M20" i="9"/>
  <c r="AT19" i="9"/>
  <c r="AJ19" i="9"/>
  <c r="AI19" i="9"/>
  <c r="AH19" i="9"/>
  <c r="AF19" i="9"/>
  <c r="AE19" i="9"/>
  <c r="AD19" i="9"/>
  <c r="AC19" i="9"/>
  <c r="AA19" i="9"/>
  <c r="Z19" i="9"/>
  <c r="Y19" i="9"/>
  <c r="X19" i="9"/>
  <c r="W19" i="9"/>
  <c r="P19" i="9"/>
  <c r="O19" i="9"/>
  <c r="AQ19" i="9" s="1"/>
  <c r="N19" i="9"/>
  <c r="M19" i="9"/>
  <c r="AR19" i="9" s="1"/>
  <c r="AU18" i="9"/>
  <c r="AT18" i="9"/>
  <c r="AI18" i="9"/>
  <c r="AH18" i="9"/>
  <c r="AF18" i="9"/>
  <c r="AE18" i="9"/>
  <c r="AD18" i="9"/>
  <c r="AA18" i="9"/>
  <c r="Z18" i="9"/>
  <c r="Y18" i="9"/>
  <c r="X18" i="9"/>
  <c r="W18" i="9"/>
  <c r="P18" i="9"/>
  <c r="O18" i="9"/>
  <c r="AQ18" i="9" s="1"/>
  <c r="N18" i="9"/>
  <c r="AC18" i="9" s="1"/>
  <c r="M18" i="9"/>
  <c r="AR18" i="9" s="1"/>
  <c r="AI17" i="9"/>
  <c r="AH17" i="9"/>
  <c r="W17" i="9"/>
  <c r="AR16" i="9"/>
  <c r="AI16" i="9"/>
  <c r="AH16" i="9"/>
  <c r="AF16" i="9"/>
  <c r="AE16" i="9"/>
  <c r="AD16" i="9"/>
  <c r="AC16" i="9"/>
  <c r="AB16" i="9"/>
  <c r="AA16" i="9"/>
  <c r="Z16" i="9"/>
  <c r="Y16" i="9"/>
  <c r="X16" i="9"/>
  <c r="W16" i="9"/>
  <c r="P16" i="9"/>
  <c r="O16" i="9"/>
  <c r="AQ16" i="9" s="1"/>
  <c r="N16" i="9"/>
  <c r="M16" i="9"/>
  <c r="AI15" i="9"/>
  <c r="AH15" i="9"/>
  <c r="W15" i="9"/>
  <c r="AT14" i="9"/>
  <c r="AR14" i="9"/>
  <c r="AP14" i="9"/>
  <c r="AI14" i="9"/>
  <c r="AN14" i="9" s="1"/>
  <c r="AH14" i="9"/>
  <c r="AF14" i="9"/>
  <c r="AE14" i="9"/>
  <c r="AB14" i="9"/>
  <c r="AA14" i="9"/>
  <c r="Z14" i="9"/>
  <c r="Y14" i="9"/>
  <c r="X14" i="9"/>
  <c r="W14" i="9"/>
  <c r="P14" i="9"/>
  <c r="O14" i="9"/>
  <c r="AD14" i="9" s="1"/>
  <c r="N14" i="9"/>
  <c r="M14" i="9"/>
  <c r="AR13" i="9"/>
  <c r="AI13" i="9"/>
  <c r="AN13" i="9" s="1"/>
  <c r="AH13" i="9"/>
  <c r="AF13" i="9"/>
  <c r="AE13" i="9"/>
  <c r="AC13" i="9"/>
  <c r="AB13" i="9"/>
  <c r="AA13" i="9"/>
  <c r="Z13" i="9"/>
  <c r="Y13" i="9"/>
  <c r="X13" i="9"/>
  <c r="W13" i="9"/>
  <c r="P13" i="9"/>
  <c r="O13" i="9"/>
  <c r="AD13" i="9" s="1"/>
  <c r="N13" i="9"/>
  <c r="AO13" i="9" s="1"/>
  <c r="M13" i="9"/>
  <c r="AI12" i="9"/>
  <c r="AH12" i="9"/>
  <c r="W12" i="9"/>
  <c r="AV11" i="9"/>
  <c r="AP11" i="9"/>
  <c r="AO11" i="9"/>
  <c r="AI11" i="9"/>
  <c r="AH11" i="9"/>
  <c r="AF11" i="9"/>
  <c r="AE11" i="9"/>
  <c r="AA11" i="9"/>
  <c r="Z11" i="9"/>
  <c r="Y11" i="9"/>
  <c r="X11" i="9"/>
  <c r="W11" i="9"/>
  <c r="P11" i="9"/>
  <c r="O11" i="9"/>
  <c r="AD11" i="9" s="1"/>
  <c r="N11" i="9"/>
  <c r="AC11" i="9" s="1"/>
  <c r="M11" i="9"/>
  <c r="AT10" i="9"/>
  <c r="AR10" i="9"/>
  <c r="AP10" i="9"/>
  <c r="AI10" i="9"/>
  <c r="AN10" i="9" s="1"/>
  <c r="AH10" i="9"/>
  <c r="AF10" i="9"/>
  <c r="AE10" i="9"/>
  <c r="AB10" i="9"/>
  <c r="AA10" i="9"/>
  <c r="Z10" i="9"/>
  <c r="Y10" i="9"/>
  <c r="X10" i="9"/>
  <c r="W10" i="9"/>
  <c r="P10" i="9"/>
  <c r="O10" i="9"/>
  <c r="AD10" i="9" s="1"/>
  <c r="N10" i="9"/>
  <c r="M10" i="9"/>
  <c r="AU9" i="9"/>
  <c r="AR9" i="9"/>
  <c r="AP9" i="9"/>
  <c r="AI9" i="9"/>
  <c r="AN9" i="9" s="1"/>
  <c r="AH9" i="9"/>
  <c r="AF9" i="9"/>
  <c r="AE9" i="9"/>
  <c r="AC9" i="9"/>
  <c r="AB9" i="9"/>
  <c r="AA9" i="9"/>
  <c r="Z9" i="9"/>
  <c r="Y9" i="9"/>
  <c r="X9" i="9"/>
  <c r="W9" i="9"/>
  <c r="P9" i="9"/>
  <c r="O9" i="9"/>
  <c r="AD9" i="9" s="1"/>
  <c r="N9" i="9"/>
  <c r="AO9" i="9" s="1"/>
  <c r="AV9" i="9" s="1"/>
  <c r="M9" i="9"/>
  <c r="AR8" i="9"/>
  <c r="AP8" i="9"/>
  <c r="AO8" i="9"/>
  <c r="AV8" i="9" s="1"/>
  <c r="AI8" i="9"/>
  <c r="AH8" i="9"/>
  <c r="AF8" i="9"/>
  <c r="AE8" i="9"/>
  <c r="AD8" i="9"/>
  <c r="AC8" i="9"/>
  <c r="AB8" i="9"/>
  <c r="AA8" i="9"/>
  <c r="Z8" i="9"/>
  <c r="Y8" i="9"/>
  <c r="X8" i="9"/>
  <c r="W8" i="9"/>
  <c r="P8" i="9"/>
  <c r="O8" i="9"/>
  <c r="AQ8" i="9" s="1"/>
  <c r="N8" i="9"/>
  <c r="M8" i="9"/>
  <c r="AU7" i="9"/>
  <c r="AT7" i="9"/>
  <c r="AP7" i="9"/>
  <c r="AJ7" i="9"/>
  <c r="AI7" i="9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R7" i="9" s="1"/>
  <c r="AU6" i="9"/>
  <c r="AT6" i="9"/>
  <c r="AP6" i="9"/>
  <c r="AO6" i="9"/>
  <c r="AV6" i="9" s="1"/>
  <c r="AI6" i="9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AC6" i="9" s="1"/>
  <c r="M6" i="9"/>
  <c r="AI5" i="9"/>
  <c r="AH5" i="9"/>
  <c r="W5" i="9"/>
  <c r="AI4" i="9"/>
  <c r="AU3" i="9"/>
  <c r="AR3" i="9"/>
  <c r="AQ3" i="9"/>
  <c r="AI3" i="9"/>
  <c r="AH3" i="9"/>
  <c r="AN2" i="9"/>
  <c r="AM2" i="9"/>
  <c r="AL2" i="9"/>
  <c r="AK2" i="9"/>
  <c r="AJ2" i="9"/>
  <c r="AJ130" i="9" s="1"/>
  <c r="AA2" i="9"/>
  <c r="A2" i="9"/>
  <c r="AU1" i="9"/>
  <c r="AU129" i="9" s="1"/>
  <c r="AR1" i="9"/>
  <c r="AR117" i="9" s="1"/>
  <c r="AQ1" i="9"/>
  <c r="AQ100" i="9" s="1"/>
  <c r="AP1" i="9"/>
  <c r="AP109" i="9" s="1"/>
  <c r="AO1" i="9"/>
  <c r="AJ1" i="9"/>
  <c r="AA1" i="9"/>
  <c r="A1" i="9"/>
  <c r="AH1" i="9" s="1"/>
  <c r="AH2" i="9" s="1"/>
  <c r="AT9" i="8"/>
  <c r="AP9" i="8"/>
  <c r="AN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AQ9" i="8" s="1"/>
  <c r="N9" i="8"/>
  <c r="AO9" i="8" s="1"/>
  <c r="AV9" i="8" s="1"/>
  <c r="M9" i="8"/>
  <c r="AR9" i="8" s="1"/>
  <c r="AT8" i="8"/>
  <c r="AQ8" i="8"/>
  <c r="AP8" i="8"/>
  <c r="AO8" i="8"/>
  <c r="AV8" i="8" s="1"/>
  <c r="AN8" i="8"/>
  <c r="AI8" i="8"/>
  <c r="AH8" i="8"/>
  <c r="AF8" i="8"/>
  <c r="AE8" i="8"/>
  <c r="AD8" i="8"/>
  <c r="AA8" i="8"/>
  <c r="Z8" i="8"/>
  <c r="Y8" i="8"/>
  <c r="X8" i="8"/>
  <c r="W8" i="8"/>
  <c r="P8" i="8"/>
  <c r="O8" i="8"/>
  <c r="N8" i="8"/>
  <c r="AC8" i="8" s="1"/>
  <c r="M8" i="8"/>
  <c r="AP7" i="8"/>
  <c r="AI7" i="8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AC7" i="8" s="1"/>
  <c r="M7" i="8"/>
  <c r="AT6" i="8"/>
  <c r="AP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AO6" i="8" s="1"/>
  <c r="AV6" i="8" s="1"/>
  <c r="M6" i="8"/>
  <c r="AI5" i="8"/>
  <c r="AH5" i="8"/>
  <c r="W5" i="8"/>
  <c r="AI4" i="8"/>
  <c r="AP3" i="8"/>
  <c r="AO3" i="8"/>
  <c r="AI3" i="8"/>
  <c r="AH3" i="8"/>
  <c r="AN2" i="8"/>
  <c r="AM2" i="8"/>
  <c r="AL2" i="8"/>
  <c r="AK2" i="8"/>
  <c r="AJ2" i="8"/>
  <c r="AJ8" i="8" s="1"/>
  <c r="AA2" i="8"/>
  <c r="A2" i="8"/>
  <c r="AU1" i="8"/>
  <c r="AU8" i="8" s="1"/>
  <c r="AR1" i="8"/>
  <c r="AQ1" i="8"/>
  <c r="AQ3" i="8" s="1"/>
  <c r="AP1" i="8"/>
  <c r="AO1" i="8"/>
  <c r="AA1" i="8"/>
  <c r="A1" i="8"/>
  <c r="AJ1" i="8" s="1"/>
  <c r="AP14" i="7"/>
  <c r="AO14" i="7"/>
  <c r="AV14" i="7" s="1"/>
  <c r="AI14" i="7"/>
  <c r="AH14" i="7"/>
  <c r="AF14" i="7"/>
  <c r="AE14" i="7"/>
  <c r="AA14" i="7"/>
  <c r="Z14" i="7"/>
  <c r="Y14" i="7"/>
  <c r="X14" i="7"/>
  <c r="W14" i="7"/>
  <c r="P14" i="7"/>
  <c r="O14" i="7"/>
  <c r="AD14" i="7" s="1"/>
  <c r="N14" i="7"/>
  <c r="AC14" i="7" s="1"/>
  <c r="M14" i="7"/>
  <c r="AR14" i="7" s="1"/>
  <c r="AP13" i="7"/>
  <c r="AI13" i="7"/>
  <c r="AN13" i="7" s="1"/>
  <c r="AH13" i="7"/>
  <c r="AF13" i="7"/>
  <c r="AE13" i="7"/>
  <c r="AC13" i="7"/>
  <c r="AB13" i="7"/>
  <c r="AA13" i="7"/>
  <c r="Z13" i="7"/>
  <c r="Y13" i="7"/>
  <c r="X13" i="7"/>
  <c r="W13" i="7"/>
  <c r="P13" i="7"/>
  <c r="O13" i="7"/>
  <c r="AD13" i="7" s="1"/>
  <c r="N13" i="7"/>
  <c r="M13" i="7"/>
  <c r="AT12" i="7"/>
  <c r="AJ12" i="7"/>
  <c r="AI12" i="7"/>
  <c r="AH12" i="7"/>
  <c r="AF12" i="7"/>
  <c r="AE12" i="7"/>
  <c r="AC12" i="7"/>
  <c r="AB12" i="7"/>
  <c r="AA12" i="7"/>
  <c r="Z12" i="7"/>
  <c r="Y12" i="7"/>
  <c r="X12" i="7"/>
  <c r="W12" i="7"/>
  <c r="P12" i="7"/>
  <c r="O12" i="7"/>
  <c r="AQ12" i="7" s="1"/>
  <c r="N12" i="7"/>
  <c r="AO12" i="7" s="1"/>
  <c r="M12" i="7"/>
  <c r="AR11" i="7"/>
  <c r="AP11" i="7"/>
  <c r="AO11" i="7"/>
  <c r="AV11" i="7" s="1"/>
  <c r="AJ11" i="7"/>
  <c r="AI11" i="7"/>
  <c r="AT11" i="7" s="1"/>
  <c r="AH11" i="7"/>
  <c r="AF11" i="7"/>
  <c r="AE11" i="7"/>
  <c r="AD11" i="7"/>
  <c r="AC11" i="7"/>
  <c r="AA11" i="7"/>
  <c r="Z11" i="7"/>
  <c r="Y11" i="7"/>
  <c r="X11" i="7"/>
  <c r="W11" i="7"/>
  <c r="P11" i="7"/>
  <c r="O11" i="7"/>
  <c r="AQ11" i="7" s="1"/>
  <c r="N11" i="7"/>
  <c r="M11" i="7"/>
  <c r="AB11" i="7" s="1"/>
  <c r="AR10" i="7"/>
  <c r="AP10" i="7"/>
  <c r="AO10" i="7"/>
  <c r="AV10" i="7" s="1"/>
  <c r="AJ10" i="7"/>
  <c r="AI10" i="7"/>
  <c r="AT10" i="7" s="1"/>
  <c r="AH10" i="7"/>
  <c r="AF10" i="7"/>
  <c r="AE10" i="7"/>
  <c r="AD10" i="7"/>
  <c r="AA10" i="7"/>
  <c r="Z10" i="7"/>
  <c r="Y10" i="7"/>
  <c r="X10" i="7"/>
  <c r="W10" i="7"/>
  <c r="P10" i="7"/>
  <c r="O10" i="7"/>
  <c r="AQ10" i="7" s="1"/>
  <c r="N10" i="7"/>
  <c r="AC10" i="7" s="1"/>
  <c r="M10" i="7"/>
  <c r="AB10" i="7" s="1"/>
  <c r="AI9" i="7"/>
  <c r="AH9" i="7"/>
  <c r="W9" i="7"/>
  <c r="AR8" i="7"/>
  <c r="AP8" i="7"/>
  <c r="AJ8" i="7"/>
  <c r="AI8" i="7"/>
  <c r="AT8" i="7" s="1"/>
  <c r="AH8" i="7"/>
  <c r="AF8" i="7"/>
  <c r="AE8" i="7"/>
  <c r="AC8" i="7"/>
  <c r="AB8" i="7"/>
  <c r="AA8" i="7"/>
  <c r="Z8" i="7"/>
  <c r="Y8" i="7"/>
  <c r="X8" i="7"/>
  <c r="W8" i="7"/>
  <c r="P8" i="7"/>
  <c r="O8" i="7"/>
  <c r="AQ8" i="7" s="1"/>
  <c r="N8" i="7"/>
  <c r="AO8" i="7" s="1"/>
  <c r="AV8" i="7" s="1"/>
  <c r="M8" i="7"/>
  <c r="AR7" i="7"/>
  <c r="AJ7" i="7"/>
  <c r="AI7" i="7"/>
  <c r="AT7" i="7" s="1"/>
  <c r="AH7" i="7"/>
  <c r="AF7" i="7"/>
  <c r="AE7" i="7"/>
  <c r="AC7" i="7"/>
  <c r="AB7" i="7"/>
  <c r="AA7" i="7"/>
  <c r="Z7" i="7"/>
  <c r="Y7" i="7"/>
  <c r="X7" i="7"/>
  <c r="W7" i="7"/>
  <c r="P7" i="7"/>
  <c r="O7" i="7"/>
  <c r="AQ7" i="7" s="1"/>
  <c r="N7" i="7"/>
  <c r="M7" i="7"/>
  <c r="AR6" i="7"/>
  <c r="AJ6" i="7"/>
  <c r="AI6" i="7"/>
  <c r="AT6" i="7" s="1"/>
  <c r="AH6" i="7"/>
  <c r="AF6" i="7"/>
  <c r="AE6" i="7"/>
  <c r="AD6" i="7"/>
  <c r="AC6" i="7"/>
  <c r="AB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Q3" i="7"/>
  <c r="AP3" i="7"/>
  <c r="AO3" i="7"/>
  <c r="AI3" i="7"/>
  <c r="AH3" i="7"/>
  <c r="AN2" i="7"/>
  <c r="AN12" i="7" s="1"/>
  <c r="AM2" i="7"/>
  <c r="AL2" i="7"/>
  <c r="AK2" i="7"/>
  <c r="AJ2" i="7"/>
  <c r="AA2" i="7"/>
  <c r="A2" i="7"/>
  <c r="AU1" i="7"/>
  <c r="AR1" i="7"/>
  <c r="AR12" i="7" s="1"/>
  <c r="AQ1" i="7"/>
  <c r="AP1" i="7"/>
  <c r="AO1" i="7"/>
  <c r="AO7" i="7" s="1"/>
  <c r="AJ1" i="7"/>
  <c r="AH1" i="7"/>
  <c r="AH2" i="7" s="1"/>
  <c r="AA1" i="7"/>
  <c r="A1" i="7"/>
  <c r="AR15" i="6"/>
  <c r="AI15" i="6"/>
  <c r="AT15" i="6" s="1"/>
  <c r="AH15" i="6"/>
  <c r="AF15" i="6"/>
  <c r="AE15" i="6"/>
  <c r="AC15" i="6"/>
  <c r="AA15" i="6"/>
  <c r="Z15" i="6"/>
  <c r="Y15" i="6"/>
  <c r="X15" i="6"/>
  <c r="W15" i="6"/>
  <c r="P15" i="6"/>
  <c r="O15" i="6"/>
  <c r="AQ15" i="6" s="1"/>
  <c r="N15" i="6"/>
  <c r="M15" i="6"/>
  <c r="AB15" i="6" s="1"/>
  <c r="AI14" i="6"/>
  <c r="AH14" i="6"/>
  <c r="W14" i="6"/>
  <c r="AR13" i="6"/>
  <c r="AJ13" i="6"/>
  <c r="AI13" i="6"/>
  <c r="AH13" i="6"/>
  <c r="AF13" i="6"/>
  <c r="AE13" i="6"/>
  <c r="AB13" i="6"/>
  <c r="AA13" i="6"/>
  <c r="Z13" i="6"/>
  <c r="Y13" i="6"/>
  <c r="X13" i="6"/>
  <c r="W13" i="6"/>
  <c r="P13" i="6"/>
  <c r="O13" i="6"/>
  <c r="AD13" i="6" s="1"/>
  <c r="N13" i="6"/>
  <c r="AO13" i="6" s="1"/>
  <c r="M13" i="6"/>
  <c r="AT12" i="6"/>
  <c r="AR12" i="6"/>
  <c r="AJ12" i="6"/>
  <c r="AI12" i="6"/>
  <c r="AN12" i="6" s="1"/>
  <c r="AH12" i="6"/>
  <c r="AF12" i="6"/>
  <c r="AE12" i="6"/>
  <c r="AC12" i="6"/>
  <c r="AB12" i="6"/>
  <c r="AA12" i="6"/>
  <c r="Z12" i="6"/>
  <c r="Y12" i="6"/>
  <c r="X12" i="6"/>
  <c r="W12" i="6"/>
  <c r="P12" i="6"/>
  <c r="O12" i="6"/>
  <c r="AQ12" i="6" s="1"/>
  <c r="N12" i="6"/>
  <c r="M12" i="6"/>
  <c r="AU11" i="6"/>
  <c r="AR11" i="6"/>
  <c r="AI11" i="6"/>
  <c r="AT11" i="6" s="1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AQ11" i="6" s="1"/>
  <c r="N11" i="6"/>
  <c r="AO11" i="6" s="1"/>
  <c r="M11" i="6"/>
  <c r="AT10" i="6"/>
  <c r="AJ10" i="6"/>
  <c r="AI10" i="6"/>
  <c r="AH10" i="6"/>
  <c r="AF10" i="6"/>
  <c r="AE10" i="6"/>
  <c r="AD10" i="6"/>
  <c r="AC10" i="6"/>
  <c r="AA10" i="6"/>
  <c r="Z10" i="6"/>
  <c r="Y10" i="6"/>
  <c r="X10" i="6"/>
  <c r="W10" i="6"/>
  <c r="P10" i="6"/>
  <c r="O10" i="6"/>
  <c r="AQ10" i="6" s="1"/>
  <c r="N10" i="6"/>
  <c r="M10" i="6"/>
  <c r="AR10" i="6" s="1"/>
  <c r="AI9" i="6"/>
  <c r="AH9" i="6"/>
  <c r="W9" i="6"/>
  <c r="AT8" i="6"/>
  <c r="AR8" i="6"/>
  <c r="AJ8" i="6"/>
  <c r="AI8" i="6"/>
  <c r="AN8" i="6" s="1"/>
  <c r="AH8" i="6"/>
  <c r="AF8" i="6"/>
  <c r="AE8" i="6"/>
  <c r="AC8" i="6"/>
  <c r="AB8" i="6"/>
  <c r="AA8" i="6"/>
  <c r="Z8" i="6"/>
  <c r="Y8" i="6"/>
  <c r="X8" i="6"/>
  <c r="W8" i="6"/>
  <c r="P8" i="6"/>
  <c r="O8" i="6"/>
  <c r="AQ8" i="6" s="1"/>
  <c r="N8" i="6"/>
  <c r="M8" i="6"/>
  <c r="AU7" i="6"/>
  <c r="AR7" i="6"/>
  <c r="AP7" i="6"/>
  <c r="AI7" i="6"/>
  <c r="AT7" i="6" s="1"/>
  <c r="AH7" i="6"/>
  <c r="AF7" i="6"/>
  <c r="AE7" i="6"/>
  <c r="AD7" i="6"/>
  <c r="AC7" i="6"/>
  <c r="AB7" i="6"/>
  <c r="AA7" i="6"/>
  <c r="Z7" i="6"/>
  <c r="Y7" i="6"/>
  <c r="X7" i="6"/>
  <c r="W7" i="6"/>
  <c r="P7" i="6"/>
  <c r="O7" i="6"/>
  <c r="AQ7" i="6" s="1"/>
  <c r="N7" i="6"/>
  <c r="AO7" i="6" s="1"/>
  <c r="AV7" i="6" s="1"/>
  <c r="M7" i="6"/>
  <c r="AT6" i="6"/>
  <c r="AP6" i="6"/>
  <c r="AO6" i="6"/>
  <c r="AV6" i="6" s="1"/>
  <c r="AJ6" i="6"/>
  <c r="AI6" i="6"/>
  <c r="AH6" i="6"/>
  <c r="AF6" i="6"/>
  <c r="AE6" i="6"/>
  <c r="AD6" i="6"/>
  <c r="AC6" i="6"/>
  <c r="AA6" i="6"/>
  <c r="Z6" i="6"/>
  <c r="Y6" i="6"/>
  <c r="X6" i="6"/>
  <c r="W6" i="6"/>
  <c r="P6" i="6"/>
  <c r="O6" i="6"/>
  <c r="AQ6" i="6" s="1"/>
  <c r="N6" i="6"/>
  <c r="M6" i="6"/>
  <c r="AR6" i="6" s="1"/>
  <c r="AI5" i="6"/>
  <c r="AH5" i="6"/>
  <c r="W5" i="6"/>
  <c r="AI4" i="6"/>
  <c r="AR3" i="6"/>
  <c r="AQ3" i="6"/>
  <c r="AP3" i="6"/>
  <c r="AI3" i="6"/>
  <c r="AH3" i="6"/>
  <c r="AN2" i="6"/>
  <c r="AN10" i="6" s="1"/>
  <c r="AM2" i="6"/>
  <c r="AL2" i="6"/>
  <c r="AK2" i="6"/>
  <c r="AJ2" i="6"/>
  <c r="AJ15" i="6" s="1"/>
  <c r="AA2" i="6"/>
  <c r="A2" i="6"/>
  <c r="AU1" i="6"/>
  <c r="AU13" i="6" s="1"/>
  <c r="AR1" i="6"/>
  <c r="AQ1" i="6"/>
  <c r="AP1" i="6"/>
  <c r="AP15" i="6" s="1"/>
  <c r="AO1" i="6"/>
  <c r="AO15" i="6" s="1"/>
  <c r="AJ1" i="6"/>
  <c r="AH1" i="6"/>
  <c r="AH2" i="6" s="1"/>
  <c r="AA1" i="6"/>
  <c r="A1" i="6"/>
  <c r="C56" i="3"/>
  <c r="C69" i="3" s="1"/>
  <c r="A55" i="3"/>
  <c r="A68" i="3" s="1"/>
  <c r="C54" i="3"/>
  <c r="C67" i="3" s="1"/>
  <c r="A53" i="3"/>
  <c r="A66" i="3" s="1"/>
  <c r="C52" i="3"/>
  <c r="C65" i="3" s="1"/>
  <c r="A51" i="3"/>
  <c r="A64" i="3" s="1"/>
  <c r="C50" i="3"/>
  <c r="C63" i="3" s="1"/>
  <c r="A49" i="3"/>
  <c r="A62" i="3" s="1"/>
  <c r="C48" i="3"/>
  <c r="C61" i="3" s="1"/>
  <c r="A47" i="3"/>
  <c r="A60" i="3" s="1"/>
  <c r="C43" i="3"/>
  <c r="C42" i="3"/>
  <c r="C55" i="3" s="1"/>
  <c r="C68" i="3" s="1"/>
  <c r="B42" i="3"/>
  <c r="B55" i="3" s="1"/>
  <c r="B68" i="3" s="1"/>
  <c r="A42" i="3"/>
  <c r="C41" i="3"/>
  <c r="C40" i="3"/>
  <c r="C53" i="3" s="1"/>
  <c r="C66" i="3" s="1"/>
  <c r="B40" i="3"/>
  <c r="B53" i="3" s="1"/>
  <c r="B66" i="3" s="1"/>
  <c r="A40" i="3"/>
  <c r="C39" i="3"/>
  <c r="C38" i="3"/>
  <c r="C51" i="3" s="1"/>
  <c r="C64" i="3" s="1"/>
  <c r="B38" i="3"/>
  <c r="B51" i="3" s="1"/>
  <c r="B64" i="3" s="1"/>
  <c r="A38" i="3"/>
  <c r="C37" i="3"/>
  <c r="C36" i="3"/>
  <c r="C49" i="3" s="1"/>
  <c r="C62" i="3" s="1"/>
  <c r="B36" i="3"/>
  <c r="B49" i="3" s="1"/>
  <c r="B62" i="3" s="1"/>
  <c r="A36" i="3"/>
  <c r="C35" i="3"/>
  <c r="C34" i="3"/>
  <c r="C47" i="3" s="1"/>
  <c r="C60" i="3" s="1"/>
  <c r="B34" i="3"/>
  <c r="B47" i="3" s="1"/>
  <c r="B60" i="3" s="1"/>
  <c r="A34" i="3"/>
  <c r="T33" i="3"/>
  <c r="T46" i="3" s="1"/>
  <c r="T59" i="3" s="1"/>
  <c r="S33" i="3"/>
  <c r="S46" i="3" s="1"/>
  <c r="S59" i="3" s="1"/>
  <c r="N33" i="3"/>
  <c r="N46" i="3" s="1"/>
  <c r="N59" i="3" s="1"/>
  <c r="M33" i="3"/>
  <c r="M46" i="3" s="1"/>
  <c r="M59" i="3" s="1"/>
  <c r="G33" i="3"/>
  <c r="G46" i="3" s="1"/>
  <c r="G59" i="3" s="1"/>
  <c r="C30" i="3"/>
  <c r="B30" i="3"/>
  <c r="B43" i="3" s="1"/>
  <c r="B56" i="3" s="1"/>
  <c r="B69" i="3" s="1"/>
  <c r="A30" i="3"/>
  <c r="A43" i="3" s="1"/>
  <c r="A56" i="3" s="1"/>
  <c r="A69" i="3" s="1"/>
  <c r="C29" i="3"/>
  <c r="B29" i="3"/>
  <c r="A29" i="3"/>
  <c r="C28" i="3"/>
  <c r="B28" i="3"/>
  <c r="B41" i="3" s="1"/>
  <c r="B54" i="3" s="1"/>
  <c r="B67" i="3" s="1"/>
  <c r="A28" i="3"/>
  <c r="A41" i="3" s="1"/>
  <c r="A54" i="3" s="1"/>
  <c r="A67" i="3" s="1"/>
  <c r="C27" i="3"/>
  <c r="B27" i="3"/>
  <c r="A27" i="3"/>
  <c r="C26" i="3"/>
  <c r="B26" i="3"/>
  <c r="B39" i="3" s="1"/>
  <c r="B52" i="3" s="1"/>
  <c r="B65" i="3" s="1"/>
  <c r="A26" i="3"/>
  <c r="A39" i="3" s="1"/>
  <c r="A52" i="3" s="1"/>
  <c r="A65" i="3" s="1"/>
  <c r="C25" i="3"/>
  <c r="B25" i="3"/>
  <c r="A25" i="3"/>
  <c r="C24" i="3"/>
  <c r="B24" i="3"/>
  <c r="B37" i="3" s="1"/>
  <c r="B50" i="3" s="1"/>
  <c r="B63" i="3" s="1"/>
  <c r="A24" i="3"/>
  <c r="A37" i="3" s="1"/>
  <c r="A50" i="3" s="1"/>
  <c r="A63" i="3" s="1"/>
  <c r="C23" i="3"/>
  <c r="B23" i="3"/>
  <c r="A23" i="3"/>
  <c r="C22" i="3"/>
  <c r="B22" i="3"/>
  <c r="B35" i="3" s="1"/>
  <c r="B48" i="3" s="1"/>
  <c r="B61" i="3" s="1"/>
  <c r="A22" i="3"/>
  <c r="A35" i="3" s="1"/>
  <c r="A48" i="3" s="1"/>
  <c r="A61" i="3" s="1"/>
  <c r="C21" i="3"/>
  <c r="B21" i="3"/>
  <c r="A21" i="3"/>
  <c r="V20" i="3"/>
  <c r="V33" i="3" s="1"/>
  <c r="V46" i="3" s="1"/>
  <c r="V59" i="3" s="1"/>
  <c r="U20" i="3"/>
  <c r="U33" i="3" s="1"/>
  <c r="U46" i="3" s="1"/>
  <c r="U59" i="3" s="1"/>
  <c r="T20" i="3"/>
  <c r="S20" i="3"/>
  <c r="P20" i="3"/>
  <c r="P33" i="3" s="1"/>
  <c r="P46" i="3" s="1"/>
  <c r="P59" i="3" s="1"/>
  <c r="O20" i="3"/>
  <c r="O33" i="3" s="1"/>
  <c r="O46" i="3" s="1"/>
  <c r="O59" i="3" s="1"/>
  <c r="N20" i="3"/>
  <c r="M20" i="3"/>
  <c r="J20" i="3"/>
  <c r="J33" i="3" s="1"/>
  <c r="J46" i="3" s="1"/>
  <c r="J59" i="3" s="1"/>
  <c r="G20" i="3"/>
  <c r="D20" i="3"/>
  <c r="D33" i="3" s="1"/>
  <c r="D46" i="3" s="1"/>
  <c r="D59" i="3" s="1"/>
  <c r="W7" i="3"/>
  <c r="W20" i="3" s="1"/>
  <c r="W33" i="3" s="1"/>
  <c r="W46" i="3" s="1"/>
  <c r="W59" i="3" s="1"/>
  <c r="V7" i="3"/>
  <c r="U7" i="3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17" i="1" l="1"/>
  <c r="AV6" i="1"/>
  <c r="AV12" i="1"/>
  <c r="AV8" i="1"/>
  <c r="AV18" i="1"/>
  <c r="AV30" i="1"/>
  <c r="AQ20" i="1"/>
  <c r="AQ37" i="1"/>
  <c r="AQ6" i="1"/>
  <c r="AQ12" i="1"/>
  <c r="AN15" i="1"/>
  <c r="AQ18" i="1"/>
  <c r="AN21" i="1"/>
  <c r="AQ24" i="1"/>
  <c r="AN27" i="1"/>
  <c r="AQ30" i="1"/>
  <c r="AR32" i="1"/>
  <c r="AV32" i="1" s="1"/>
  <c r="AB32" i="1"/>
  <c r="AQ26" i="1"/>
  <c r="AD4" i="1"/>
  <c r="AC5" i="1"/>
  <c r="AJ5" i="1"/>
  <c r="AB6" i="1"/>
  <c r="AO9" i="1"/>
  <c r="AV9" i="1" s="1"/>
  <c r="AD10" i="1"/>
  <c r="AC11" i="1"/>
  <c r="AJ11" i="1"/>
  <c r="AB12" i="1"/>
  <c r="AO15" i="1"/>
  <c r="AV15" i="1" s="1"/>
  <c r="AD16" i="1"/>
  <c r="AC17" i="1"/>
  <c r="AJ17" i="1"/>
  <c r="AB18" i="1"/>
  <c r="AO21" i="1"/>
  <c r="AV21" i="1" s="1"/>
  <c r="AD22" i="1"/>
  <c r="AC23" i="1"/>
  <c r="AJ23" i="1"/>
  <c r="AB24" i="1"/>
  <c r="AO27" i="1"/>
  <c r="AV27" i="1" s="1"/>
  <c r="AD28" i="1"/>
  <c r="AC29" i="1"/>
  <c r="AJ29" i="1"/>
  <c r="AB30" i="1"/>
  <c r="AR33" i="1"/>
  <c r="AV33" i="1" s="1"/>
  <c r="AB33" i="1"/>
  <c r="AT34" i="1"/>
  <c r="AV34" i="1" s="1"/>
  <c r="AO36" i="1"/>
  <c r="AV36" i="1" s="1"/>
  <c r="AC36" i="1"/>
  <c r="AN36" i="1"/>
  <c r="AT36" i="1"/>
  <c r="AJ36" i="1"/>
  <c r="AV73" i="1"/>
  <c r="AQ8" i="1"/>
  <c r="AQ14" i="1"/>
  <c r="AC7" i="1"/>
  <c r="AJ7" i="1"/>
  <c r="AT7" i="1"/>
  <c r="AV7" i="1" s="1"/>
  <c r="AB8" i="1"/>
  <c r="AC13" i="1"/>
  <c r="AJ13" i="1"/>
  <c r="AT13" i="1"/>
  <c r="AV13" i="1" s="1"/>
  <c r="AB14" i="1"/>
  <c r="AC19" i="1"/>
  <c r="AJ19" i="1"/>
  <c r="AT19" i="1"/>
  <c r="AB20" i="1"/>
  <c r="AC25" i="1"/>
  <c r="AJ25" i="1"/>
  <c r="AT25" i="1"/>
  <c r="AB26" i="1"/>
  <c r="AC31" i="1"/>
  <c r="AJ31" i="1"/>
  <c r="AT31" i="1"/>
  <c r="AV31" i="1" s="1"/>
  <c r="AD32" i="1"/>
  <c r="AJ34" i="1"/>
  <c r="AQ36" i="1"/>
  <c r="AR39" i="1"/>
  <c r="AB39" i="1"/>
  <c r="AV80" i="1"/>
  <c r="AV72" i="1"/>
  <c r="AV52" i="1"/>
  <c r="AB4" i="1"/>
  <c r="AJ9" i="1"/>
  <c r="AB10" i="1"/>
  <c r="AJ15" i="1"/>
  <c r="AB16" i="1"/>
  <c r="AJ21" i="1"/>
  <c r="AB22" i="1"/>
  <c r="AJ27" i="1"/>
  <c r="AB28" i="1"/>
  <c r="AO38" i="1"/>
  <c r="AV38" i="1" s="1"/>
  <c r="AC38" i="1"/>
  <c r="AV51" i="1"/>
  <c r="AB37" i="1"/>
  <c r="AD41" i="1"/>
  <c r="AC42" i="1"/>
  <c r="AJ42" i="1"/>
  <c r="AT42" i="1"/>
  <c r="AB43" i="1"/>
  <c r="AD47" i="1"/>
  <c r="AC48" i="1"/>
  <c r="AJ48" i="1"/>
  <c r="AT48" i="1"/>
  <c r="AV48" i="1" s="1"/>
  <c r="AB49" i="1"/>
  <c r="AD53" i="1"/>
  <c r="AC54" i="1"/>
  <c r="AJ54" i="1"/>
  <c r="AT54" i="1"/>
  <c r="AV54" i="1" s="1"/>
  <c r="AB55" i="1"/>
  <c r="AD59" i="1"/>
  <c r="AC60" i="1"/>
  <c r="AJ60" i="1"/>
  <c r="AT60" i="1"/>
  <c r="AB61" i="1"/>
  <c r="AD65" i="1"/>
  <c r="AC66" i="1"/>
  <c r="AJ66" i="1"/>
  <c r="AT66" i="1"/>
  <c r="AV66" i="1" s="1"/>
  <c r="AB67" i="1"/>
  <c r="AD71" i="1"/>
  <c r="AC72" i="1"/>
  <c r="AJ72" i="1"/>
  <c r="AT72" i="1"/>
  <c r="AB73" i="1"/>
  <c r="AD77" i="1"/>
  <c r="AC78" i="1"/>
  <c r="AJ78" i="1"/>
  <c r="AT78" i="1"/>
  <c r="AB79" i="1"/>
  <c r="AT84" i="1"/>
  <c r="AJ84" i="1"/>
  <c r="AO90" i="1"/>
  <c r="AV90" i="1" s="1"/>
  <c r="AC90" i="1"/>
  <c r="AR91" i="1"/>
  <c r="AB91" i="1"/>
  <c r="AC37" i="1"/>
  <c r="AJ37" i="1"/>
  <c r="AT37" i="1"/>
  <c r="AB38" i="1"/>
  <c r="AD42" i="1"/>
  <c r="AC43" i="1"/>
  <c r="AJ43" i="1"/>
  <c r="AT43" i="1"/>
  <c r="AB44" i="1"/>
  <c r="AD48" i="1"/>
  <c r="AC49" i="1"/>
  <c r="AJ49" i="1"/>
  <c r="AT49" i="1"/>
  <c r="AV49" i="1" s="1"/>
  <c r="AB50" i="1"/>
  <c r="AD54" i="1"/>
  <c r="AJ55" i="1"/>
  <c r="AT55" i="1"/>
  <c r="AV55" i="1" s="1"/>
  <c r="AB56" i="1"/>
  <c r="AD60" i="1"/>
  <c r="AC61" i="1"/>
  <c r="AJ61" i="1"/>
  <c r="AT61" i="1"/>
  <c r="AB62" i="1"/>
  <c r="AD66" i="1"/>
  <c r="AC67" i="1"/>
  <c r="AJ67" i="1"/>
  <c r="AT67" i="1"/>
  <c r="AV67" i="1" s="1"/>
  <c r="AB68" i="1"/>
  <c r="AD72" i="1"/>
  <c r="AC73" i="1"/>
  <c r="AJ73" i="1"/>
  <c r="AT73" i="1"/>
  <c r="AB74" i="1"/>
  <c r="AD78" i="1"/>
  <c r="AC79" i="1"/>
  <c r="AJ79" i="1"/>
  <c r="AT79" i="1"/>
  <c r="AB80" i="1"/>
  <c r="AN84" i="1"/>
  <c r="AO88" i="1"/>
  <c r="AV88" i="1" s="1"/>
  <c r="AC88" i="1"/>
  <c r="AR89" i="1"/>
  <c r="AB89" i="1"/>
  <c r="AQ89" i="1"/>
  <c r="AT90" i="1"/>
  <c r="AJ90" i="1"/>
  <c r="AO96" i="1"/>
  <c r="AV96" i="1" s="1"/>
  <c r="AC96" i="1"/>
  <c r="AR97" i="1"/>
  <c r="AV97" i="1" s="1"/>
  <c r="AB97" i="1"/>
  <c r="AQ99" i="1"/>
  <c r="AV107" i="1"/>
  <c r="AV119" i="1"/>
  <c r="AJ32" i="1"/>
  <c r="AJ38" i="1"/>
  <c r="AD43" i="1"/>
  <c r="AC44" i="1"/>
  <c r="AJ44" i="1"/>
  <c r="AB45" i="1"/>
  <c r="AD49" i="1"/>
  <c r="AC50" i="1"/>
  <c r="AJ50" i="1"/>
  <c r="AB51" i="1"/>
  <c r="AD55" i="1"/>
  <c r="AC56" i="1"/>
  <c r="AJ56" i="1"/>
  <c r="AB57" i="1"/>
  <c r="AD61" i="1"/>
  <c r="AC62" i="1"/>
  <c r="AJ62" i="1"/>
  <c r="AB63" i="1"/>
  <c r="AD67" i="1"/>
  <c r="AC68" i="1"/>
  <c r="AJ68" i="1"/>
  <c r="AB69" i="1"/>
  <c r="AD73" i="1"/>
  <c r="AC74" i="1"/>
  <c r="AJ74" i="1"/>
  <c r="AB75" i="1"/>
  <c r="AD79" i="1"/>
  <c r="AC80" i="1"/>
  <c r="AJ80" i="1"/>
  <c r="AB81" i="1"/>
  <c r="AQ87" i="1"/>
  <c r="AT88" i="1"/>
  <c r="AJ88" i="1"/>
  <c r="AN90" i="1"/>
  <c r="AO94" i="1"/>
  <c r="AC94" i="1"/>
  <c r="AR95" i="1"/>
  <c r="AV95" i="1" s="1"/>
  <c r="AB95" i="1"/>
  <c r="AQ95" i="1"/>
  <c r="AC86" i="1"/>
  <c r="AO86" i="1"/>
  <c r="AV86" i="1" s="1"/>
  <c r="AR87" i="1"/>
  <c r="AV87" i="1" s="1"/>
  <c r="AB87" i="1"/>
  <c r="AQ93" i="1"/>
  <c r="AT94" i="1"/>
  <c r="AJ94" i="1"/>
  <c r="AJ52" i="1"/>
  <c r="AJ58" i="1"/>
  <c r="AJ64" i="1"/>
  <c r="AT86" i="1"/>
  <c r="AJ86" i="1"/>
  <c r="AC92" i="1"/>
  <c r="AO92" i="1"/>
  <c r="AV92" i="1" s="1"/>
  <c r="AR93" i="1"/>
  <c r="AB93" i="1"/>
  <c r="AN98" i="1"/>
  <c r="AT98" i="1"/>
  <c r="AJ98" i="1"/>
  <c r="AV106" i="1"/>
  <c r="AV144" i="1"/>
  <c r="AR83" i="1"/>
  <c r="AV83" i="1" s="1"/>
  <c r="AB83" i="1"/>
  <c r="AO84" i="1"/>
  <c r="AC84" i="1"/>
  <c r="AR85" i="1"/>
  <c r="AB85" i="1"/>
  <c r="AN86" i="1"/>
  <c r="AT92" i="1"/>
  <c r="AJ92" i="1"/>
  <c r="AO100" i="1"/>
  <c r="AV100" i="1" s="1"/>
  <c r="AC100" i="1"/>
  <c r="AO98" i="1"/>
  <c r="AV98" i="1" s="1"/>
  <c r="AJ100" i="1"/>
  <c r="AT100" i="1"/>
  <c r="AB101" i="1"/>
  <c r="AO104" i="1"/>
  <c r="AD105" i="1"/>
  <c r="AC106" i="1"/>
  <c r="AJ106" i="1"/>
  <c r="AT106" i="1"/>
  <c r="AB107" i="1"/>
  <c r="AO110" i="1"/>
  <c r="AD111" i="1"/>
  <c r="AC112" i="1"/>
  <c r="AJ112" i="1"/>
  <c r="AT112" i="1"/>
  <c r="AB113" i="1"/>
  <c r="AO116" i="1"/>
  <c r="AD117" i="1"/>
  <c r="AC118" i="1"/>
  <c r="AJ118" i="1"/>
  <c r="AB119" i="1"/>
  <c r="AO122" i="1"/>
  <c r="AV122" i="1" s="1"/>
  <c r="AD123" i="1"/>
  <c r="AC124" i="1"/>
  <c r="AJ124" i="1"/>
  <c r="AB125" i="1"/>
  <c r="AT129" i="1"/>
  <c r="AN135" i="1"/>
  <c r="AT135" i="1"/>
  <c r="AJ135" i="1"/>
  <c r="AV141" i="1"/>
  <c r="AO142" i="1"/>
  <c r="AC142" i="1"/>
  <c r="AR144" i="1"/>
  <c r="AB144" i="1"/>
  <c r="AV173" i="1"/>
  <c r="AV178" i="1"/>
  <c r="AV180" i="1"/>
  <c r="AV193" i="1"/>
  <c r="AQ97" i="1"/>
  <c r="AQ103" i="1"/>
  <c r="AQ109" i="1"/>
  <c r="AQ115" i="1"/>
  <c r="AQ121" i="1"/>
  <c r="AQ127" i="1"/>
  <c r="AD131" i="1"/>
  <c r="AQ131" i="1"/>
  <c r="AR132" i="1"/>
  <c r="AV135" i="1"/>
  <c r="AO136" i="1"/>
  <c r="AV136" i="1" s="1"/>
  <c r="AC136" i="1"/>
  <c r="AR137" i="1"/>
  <c r="AB137" i="1"/>
  <c r="AV140" i="1"/>
  <c r="AT140" i="1"/>
  <c r="AR150" i="1"/>
  <c r="AB150" i="1"/>
  <c r="AV174" i="1"/>
  <c r="AV187" i="1"/>
  <c r="AJ96" i="1"/>
  <c r="AD101" i="1"/>
  <c r="AC102" i="1"/>
  <c r="AJ102" i="1"/>
  <c r="AB103" i="1"/>
  <c r="AD107" i="1"/>
  <c r="AC108" i="1"/>
  <c r="AJ108" i="1"/>
  <c r="AB109" i="1"/>
  <c r="AD113" i="1"/>
  <c r="AC114" i="1"/>
  <c r="AJ114" i="1"/>
  <c r="AB115" i="1"/>
  <c r="AD119" i="1"/>
  <c r="AC120" i="1"/>
  <c r="AJ120" i="1"/>
  <c r="AB121" i="1"/>
  <c r="AD125" i="1"/>
  <c r="AC126" i="1"/>
  <c r="AJ126" i="1"/>
  <c r="AB127" i="1"/>
  <c r="AT128" i="1"/>
  <c r="AV134" i="1"/>
  <c r="AR138" i="1"/>
  <c r="AB138" i="1"/>
  <c r="AV139" i="1"/>
  <c r="AQ141" i="1"/>
  <c r="AQ142" i="1"/>
  <c r="AV171" i="1"/>
  <c r="AV181" i="1"/>
  <c r="AT132" i="1"/>
  <c r="AJ132" i="1"/>
  <c r="AN147" i="1"/>
  <c r="AT147" i="1"/>
  <c r="AJ147" i="1"/>
  <c r="AO149" i="1"/>
  <c r="AV149" i="1" s="1"/>
  <c r="AC149" i="1"/>
  <c r="AB99" i="1"/>
  <c r="AJ104" i="1"/>
  <c r="AT104" i="1"/>
  <c r="AB105" i="1"/>
  <c r="AJ110" i="1"/>
  <c r="AT110" i="1"/>
  <c r="AB111" i="1"/>
  <c r="AJ116" i="1"/>
  <c r="AT116" i="1"/>
  <c r="AB117" i="1"/>
  <c r="AJ122" i="1"/>
  <c r="AT122" i="1"/>
  <c r="AB123" i="1"/>
  <c r="AC128" i="1"/>
  <c r="AJ128" i="1"/>
  <c r="AO130" i="1"/>
  <c r="AV130" i="1" s="1"/>
  <c r="AC130" i="1"/>
  <c r="AN132" i="1"/>
  <c r="AQ136" i="1"/>
  <c r="AJ140" i="1"/>
  <c r="AV147" i="1"/>
  <c r="AN153" i="1"/>
  <c r="AT153" i="1"/>
  <c r="AJ153" i="1"/>
  <c r="AV192" i="1"/>
  <c r="AT130" i="1"/>
  <c r="AJ130" i="1"/>
  <c r="AR131" i="1"/>
  <c r="AB131" i="1"/>
  <c r="AN141" i="1"/>
  <c r="AT141" i="1"/>
  <c r="AJ141" i="1"/>
  <c r="AR143" i="1"/>
  <c r="AV143" i="1" s="1"/>
  <c r="AB143" i="1"/>
  <c r="AV153" i="1"/>
  <c r="AV186" i="1"/>
  <c r="AQ154" i="1"/>
  <c r="AQ160" i="1"/>
  <c r="AQ166" i="1"/>
  <c r="AQ172" i="1"/>
  <c r="AQ178" i="1"/>
  <c r="AQ184" i="1"/>
  <c r="AQ190" i="1"/>
  <c r="AQ196" i="1"/>
  <c r="AQ202" i="1"/>
  <c r="AQ208" i="1"/>
  <c r="AQ214" i="1"/>
  <c r="AQ220" i="1"/>
  <c r="AR226" i="1"/>
  <c r="AV226" i="1" s="1"/>
  <c r="AB226" i="1"/>
  <c r="AO229" i="1"/>
  <c r="AV229" i="1" s="1"/>
  <c r="AC229" i="1"/>
  <c r="AN229" i="1"/>
  <c r="AT229" i="1"/>
  <c r="AJ229" i="1"/>
  <c r="AQ137" i="1"/>
  <c r="AQ143" i="1"/>
  <c r="AQ149" i="1"/>
  <c r="AQ155" i="1"/>
  <c r="AJ159" i="1"/>
  <c r="AT159" i="1"/>
  <c r="AQ161" i="1"/>
  <c r="AJ165" i="1"/>
  <c r="AT165" i="1"/>
  <c r="AV165" i="1" s="1"/>
  <c r="AQ167" i="1"/>
  <c r="AJ171" i="1"/>
  <c r="AT171" i="1"/>
  <c r="AQ173" i="1"/>
  <c r="AJ177" i="1"/>
  <c r="AT177" i="1"/>
  <c r="AV177" i="1" s="1"/>
  <c r="AQ179" i="1"/>
  <c r="AJ183" i="1"/>
  <c r="AT183" i="1"/>
  <c r="AV183" i="1" s="1"/>
  <c r="AQ185" i="1"/>
  <c r="AJ189" i="1"/>
  <c r="AT189" i="1"/>
  <c r="AV189" i="1" s="1"/>
  <c r="AQ191" i="1"/>
  <c r="AJ195" i="1"/>
  <c r="AT195" i="1"/>
  <c r="AQ197" i="1"/>
  <c r="AJ201" i="1"/>
  <c r="AT201" i="1"/>
  <c r="AV201" i="1" s="1"/>
  <c r="AQ203" i="1"/>
  <c r="AJ207" i="1"/>
  <c r="AT207" i="1"/>
  <c r="AQ209" i="1"/>
  <c r="AJ213" i="1"/>
  <c r="AT213" i="1"/>
  <c r="AQ215" i="1"/>
  <c r="AJ219" i="1"/>
  <c r="AT219" i="1"/>
  <c r="AV219" i="1" s="1"/>
  <c r="AQ221" i="1"/>
  <c r="AT227" i="1"/>
  <c r="AJ227" i="1"/>
  <c r="AQ230" i="1"/>
  <c r="AR236" i="1"/>
  <c r="AB236" i="1"/>
  <c r="AV284" i="1"/>
  <c r="AJ136" i="1"/>
  <c r="AJ142" i="1"/>
  <c r="AT142" i="1"/>
  <c r="AD147" i="1"/>
  <c r="AC148" i="1"/>
  <c r="AJ148" i="1"/>
  <c r="AT148" i="1"/>
  <c r="AV148" i="1" s="1"/>
  <c r="AB149" i="1"/>
  <c r="AD153" i="1"/>
  <c r="AC154" i="1"/>
  <c r="AJ154" i="1"/>
  <c r="AT154" i="1"/>
  <c r="AV154" i="1" s="1"/>
  <c r="AB155" i="1"/>
  <c r="AD159" i="1"/>
  <c r="AC160" i="1"/>
  <c r="AJ160" i="1"/>
  <c r="AT160" i="1"/>
  <c r="AV160" i="1" s="1"/>
  <c r="AB161" i="1"/>
  <c r="AD165" i="1"/>
  <c r="AC166" i="1"/>
  <c r="AJ166" i="1"/>
  <c r="AT166" i="1"/>
  <c r="AV166" i="1" s="1"/>
  <c r="AB167" i="1"/>
  <c r="AD171" i="1"/>
  <c r="AC172" i="1"/>
  <c r="AJ172" i="1"/>
  <c r="AT172" i="1"/>
  <c r="AB173" i="1"/>
  <c r="AD177" i="1"/>
  <c r="AC178" i="1"/>
  <c r="AJ178" i="1"/>
  <c r="AT178" i="1"/>
  <c r="AB179" i="1"/>
  <c r="AD183" i="1"/>
  <c r="AC184" i="1"/>
  <c r="AJ184" i="1"/>
  <c r="AT184" i="1"/>
  <c r="AV184" i="1" s="1"/>
  <c r="AB185" i="1"/>
  <c r="AD189" i="1"/>
  <c r="AC190" i="1"/>
  <c r="AJ190" i="1"/>
  <c r="AT190" i="1"/>
  <c r="AV190" i="1" s="1"/>
  <c r="AB191" i="1"/>
  <c r="AD195" i="1"/>
  <c r="AC196" i="1"/>
  <c r="AJ196" i="1"/>
  <c r="AT196" i="1"/>
  <c r="AV196" i="1" s="1"/>
  <c r="AB197" i="1"/>
  <c r="AD201" i="1"/>
  <c r="AC202" i="1"/>
  <c r="AJ202" i="1"/>
  <c r="AT202" i="1"/>
  <c r="AV202" i="1" s="1"/>
  <c r="AB203" i="1"/>
  <c r="AD207" i="1"/>
  <c r="AC208" i="1"/>
  <c r="AJ208" i="1"/>
  <c r="AT208" i="1"/>
  <c r="AB209" i="1"/>
  <c r="AD213" i="1"/>
  <c r="AC214" i="1"/>
  <c r="AJ214" i="1"/>
  <c r="AT214" i="1"/>
  <c r="AB215" i="1"/>
  <c r="AD219" i="1"/>
  <c r="AC220" i="1"/>
  <c r="AJ220" i="1"/>
  <c r="AT220" i="1"/>
  <c r="AB221" i="1"/>
  <c r="AN227" i="1"/>
  <c r="AV228" i="1"/>
  <c r="AV242" i="1"/>
  <c r="AV286" i="1"/>
  <c r="AC155" i="1"/>
  <c r="AB156" i="1"/>
  <c r="AC161" i="1"/>
  <c r="AB162" i="1"/>
  <c r="AC167" i="1"/>
  <c r="AB168" i="1"/>
  <c r="AC173" i="1"/>
  <c r="AB174" i="1"/>
  <c r="AC179" i="1"/>
  <c r="AB180" i="1"/>
  <c r="AC185" i="1"/>
  <c r="AB186" i="1"/>
  <c r="AC191" i="1"/>
  <c r="AB192" i="1"/>
  <c r="AC197" i="1"/>
  <c r="AB198" i="1"/>
  <c r="AC203" i="1"/>
  <c r="AB204" i="1"/>
  <c r="AC209" i="1"/>
  <c r="AB210" i="1"/>
  <c r="AC215" i="1"/>
  <c r="AB216" i="1"/>
  <c r="AC221" i="1"/>
  <c r="AB222" i="1"/>
  <c r="AC226" i="1"/>
  <c r="AR232" i="1"/>
  <c r="AB232" i="1"/>
  <c r="AO235" i="1"/>
  <c r="AV235" i="1" s="1"/>
  <c r="AC235" i="1"/>
  <c r="AN235" i="1"/>
  <c r="AT235" i="1"/>
  <c r="AJ235" i="1"/>
  <c r="AO241" i="1"/>
  <c r="AV241" i="1" s="1"/>
  <c r="AC241" i="1"/>
  <c r="AB133" i="1"/>
  <c r="AJ138" i="1"/>
  <c r="AB139" i="1"/>
  <c r="AJ144" i="1"/>
  <c r="AB145" i="1"/>
  <c r="AJ150" i="1"/>
  <c r="AB151" i="1"/>
  <c r="AJ156" i="1"/>
  <c r="AB157" i="1"/>
  <c r="AJ162" i="1"/>
  <c r="AB163" i="1"/>
  <c r="AJ168" i="1"/>
  <c r="AB169" i="1"/>
  <c r="AJ174" i="1"/>
  <c r="AB175" i="1"/>
  <c r="AJ180" i="1"/>
  <c r="AB181" i="1"/>
  <c r="AJ186" i="1"/>
  <c r="AB187" i="1"/>
  <c r="AJ192" i="1"/>
  <c r="AB193" i="1"/>
  <c r="AJ198" i="1"/>
  <c r="AB199" i="1"/>
  <c r="AJ204" i="1"/>
  <c r="AB205" i="1"/>
  <c r="AJ210" i="1"/>
  <c r="AB211" i="1"/>
  <c r="AJ216" i="1"/>
  <c r="AB217" i="1"/>
  <c r="AJ222" i="1"/>
  <c r="AB223" i="1"/>
  <c r="AR230" i="1"/>
  <c r="AV230" i="1" s="1"/>
  <c r="AB230" i="1"/>
  <c r="AT233" i="1"/>
  <c r="AJ233" i="1"/>
  <c r="AQ234" i="1"/>
  <c r="AQ240" i="1"/>
  <c r="AV254" i="1"/>
  <c r="AV268" i="1"/>
  <c r="AC231" i="1"/>
  <c r="AO231" i="1"/>
  <c r="AV231" i="1" s="1"/>
  <c r="AN239" i="1"/>
  <c r="AT239" i="1"/>
  <c r="AJ239" i="1"/>
  <c r="AV256" i="1"/>
  <c r="AQ229" i="1"/>
  <c r="AQ235" i="1"/>
  <c r="AO237" i="1"/>
  <c r="AV237" i="1" s="1"/>
  <c r="AQ241" i="1"/>
  <c r="AO243" i="1"/>
  <c r="AV243" i="1" s="1"/>
  <c r="AJ245" i="1"/>
  <c r="AT245" i="1"/>
  <c r="AQ247" i="1"/>
  <c r="AO249" i="1"/>
  <c r="AV249" i="1" s="1"/>
  <c r="AJ251" i="1"/>
  <c r="AT251" i="1"/>
  <c r="AV251" i="1" s="1"/>
  <c r="AQ253" i="1"/>
  <c r="AO255" i="1"/>
  <c r="AV255" i="1" s="1"/>
  <c r="AJ257" i="1"/>
  <c r="AT257" i="1"/>
  <c r="AQ259" i="1"/>
  <c r="AO261" i="1"/>
  <c r="AV261" i="1" s="1"/>
  <c r="AJ263" i="1"/>
  <c r="AT263" i="1"/>
  <c r="AQ265" i="1"/>
  <c r="AO267" i="1"/>
  <c r="AV267" i="1" s="1"/>
  <c r="AJ269" i="1"/>
  <c r="AT269" i="1"/>
  <c r="AQ271" i="1"/>
  <c r="AO273" i="1"/>
  <c r="AV273" i="1" s="1"/>
  <c r="AJ275" i="1"/>
  <c r="AQ277" i="1"/>
  <c r="AO279" i="1"/>
  <c r="AV279" i="1" s="1"/>
  <c r="AJ281" i="1"/>
  <c r="AQ283" i="1"/>
  <c r="AO285" i="1"/>
  <c r="AV285" i="1" s="1"/>
  <c r="AJ287" i="1"/>
  <c r="AQ289" i="1"/>
  <c r="AO291" i="1"/>
  <c r="AV291" i="1" s="1"/>
  <c r="AD292" i="1"/>
  <c r="AC293" i="1"/>
  <c r="AB294" i="1"/>
  <c r="AB296" i="1"/>
  <c r="AO299" i="1"/>
  <c r="AV299" i="1" s="1"/>
  <c r="AC299" i="1"/>
  <c r="AN299" i="1"/>
  <c r="AT299" i="1"/>
  <c r="AJ299" i="1"/>
  <c r="AC301" i="1"/>
  <c r="AO301" i="1"/>
  <c r="AV301" i="1" s="1"/>
  <c r="AR302" i="1"/>
  <c r="AV302" i="1" s="1"/>
  <c r="AB302" i="1"/>
  <c r="AV326" i="1"/>
  <c r="AQ236" i="1"/>
  <c r="AQ242" i="1"/>
  <c r="AQ248" i="1"/>
  <c r="AQ254" i="1"/>
  <c r="AQ260" i="1"/>
  <c r="AQ266" i="1"/>
  <c r="AQ272" i="1"/>
  <c r="AO274" i="1"/>
  <c r="AV274" i="1" s="1"/>
  <c r="AQ278" i="1"/>
  <c r="AO280" i="1"/>
  <c r="AV280" i="1" s="1"/>
  <c r="AQ284" i="1"/>
  <c r="AQ290" i="1"/>
  <c r="AO305" i="1"/>
  <c r="AV305" i="1" s="1"/>
  <c r="AC305" i="1"/>
  <c r="AJ241" i="1"/>
  <c r="AT241" i="1"/>
  <c r="AB242" i="1"/>
  <c r="AD246" i="1"/>
  <c r="AC247" i="1"/>
  <c r="AJ247" i="1"/>
  <c r="AT247" i="1"/>
  <c r="AV247" i="1" s="1"/>
  <c r="AB248" i="1"/>
  <c r="AD252" i="1"/>
  <c r="AC253" i="1"/>
  <c r="AJ253" i="1"/>
  <c r="AT253" i="1"/>
  <c r="AB254" i="1"/>
  <c r="AD258" i="1"/>
  <c r="AC259" i="1"/>
  <c r="AJ259" i="1"/>
  <c r="AT259" i="1"/>
  <c r="AB260" i="1"/>
  <c r="AD264" i="1"/>
  <c r="AC265" i="1"/>
  <c r="AJ265" i="1"/>
  <c r="AT265" i="1"/>
  <c r="AV265" i="1" s="1"/>
  <c r="AB266" i="1"/>
  <c r="AD270" i="1"/>
  <c r="AC271" i="1"/>
  <c r="AJ271" i="1"/>
  <c r="AT271" i="1"/>
  <c r="AB272" i="1"/>
  <c r="AQ273" i="1"/>
  <c r="AJ277" i="1"/>
  <c r="AT277" i="1"/>
  <c r="AQ279" i="1"/>
  <c r="AJ283" i="1"/>
  <c r="AT283" i="1"/>
  <c r="AQ285" i="1"/>
  <c r="AD288" i="1"/>
  <c r="AC289" i="1"/>
  <c r="AJ289" i="1"/>
  <c r="AT289" i="1"/>
  <c r="AV289" i="1" s="1"/>
  <c r="AQ291" i="1"/>
  <c r="AV295" i="1"/>
  <c r="AJ230" i="1"/>
  <c r="AT230" i="1"/>
  <c r="AB231" i="1"/>
  <c r="AJ236" i="1"/>
  <c r="AT236" i="1"/>
  <c r="AB237" i="1"/>
  <c r="AJ242" i="1"/>
  <c r="AT242" i="1"/>
  <c r="AB243" i="1"/>
  <c r="AJ248" i="1"/>
  <c r="AT248" i="1"/>
  <c r="AB249" i="1"/>
  <c r="AJ254" i="1"/>
  <c r="AT254" i="1"/>
  <c r="AB255" i="1"/>
  <c r="AJ260" i="1"/>
  <c r="AT260" i="1"/>
  <c r="AV260" i="1" s="1"/>
  <c r="AB261" i="1"/>
  <c r="AJ266" i="1"/>
  <c r="AT266" i="1"/>
  <c r="AB267" i="1"/>
  <c r="AJ272" i="1"/>
  <c r="AT272" i="1"/>
  <c r="AV272" i="1" s="1"/>
  <c r="AB273" i="1"/>
  <c r="AJ278" i="1"/>
  <c r="AT278" i="1"/>
  <c r="AB279" i="1"/>
  <c r="AC284" i="1"/>
  <c r="AJ284" i="1"/>
  <c r="AT284" i="1"/>
  <c r="AB285" i="1"/>
  <c r="AC290" i="1"/>
  <c r="AJ290" i="1"/>
  <c r="AT290" i="1"/>
  <c r="AB291" i="1"/>
  <c r="AT297" i="1"/>
  <c r="AJ297" i="1"/>
  <c r="AV324" i="1"/>
  <c r="AJ225" i="1"/>
  <c r="AJ231" i="1"/>
  <c r="AJ237" i="1"/>
  <c r="AB238" i="1"/>
  <c r="AJ243" i="1"/>
  <c r="AB244" i="1"/>
  <c r="AJ249" i="1"/>
  <c r="AB250" i="1"/>
  <c r="AJ255" i="1"/>
  <c r="AB256" i="1"/>
  <c r="AJ261" i="1"/>
  <c r="AB262" i="1"/>
  <c r="AJ267" i="1"/>
  <c r="AB268" i="1"/>
  <c r="AJ273" i="1"/>
  <c r="AB274" i="1"/>
  <c r="AJ279" i="1"/>
  <c r="AB280" i="1"/>
  <c r="AJ285" i="1"/>
  <c r="AB286" i="1"/>
  <c r="AJ291" i="1"/>
  <c r="AT291" i="1"/>
  <c r="AB292" i="1"/>
  <c r="AC295" i="1"/>
  <c r="AT296" i="1"/>
  <c r="AV296" i="1" s="1"/>
  <c r="AN297" i="1"/>
  <c r="AR300" i="1"/>
  <c r="AV300" i="1" s="1"/>
  <c r="AB300" i="1"/>
  <c r="AT303" i="1"/>
  <c r="AJ303" i="1"/>
  <c r="AB275" i="1"/>
  <c r="AB281" i="1"/>
  <c r="AB293" i="1"/>
  <c r="AT294" i="1"/>
  <c r="AV294" i="1" s="1"/>
  <c r="AJ294" i="1"/>
  <c r="AD297" i="1"/>
  <c r="AV311" i="1"/>
  <c r="AV312" i="1"/>
  <c r="AV327" i="1"/>
  <c r="AQ310" i="1"/>
  <c r="AQ316" i="1"/>
  <c r="AQ322" i="1"/>
  <c r="AQ328" i="1"/>
  <c r="AQ334" i="1"/>
  <c r="AQ338" i="1"/>
  <c r="AO344" i="1"/>
  <c r="AV344" i="1" s="1"/>
  <c r="AC344" i="1"/>
  <c r="AR345" i="1"/>
  <c r="AB345" i="1"/>
  <c r="AO356" i="1"/>
  <c r="AV356" i="1" s="1"/>
  <c r="AC356" i="1"/>
  <c r="AR357" i="1"/>
  <c r="AV357" i="1" s="1"/>
  <c r="AB357" i="1"/>
  <c r="AO362" i="1"/>
  <c r="AV362" i="1" s="1"/>
  <c r="AC362" i="1"/>
  <c r="AR363" i="1"/>
  <c r="AB363" i="1"/>
  <c r="AQ373" i="1"/>
  <c r="AD296" i="1"/>
  <c r="AC297" i="1"/>
  <c r="AQ299" i="1"/>
  <c r="AD302" i="1"/>
  <c r="AC303" i="1"/>
  <c r="AQ305" i="1"/>
  <c r="AO307" i="1"/>
  <c r="AV307" i="1" s="1"/>
  <c r="AJ309" i="1"/>
  <c r="AT309" i="1"/>
  <c r="AV309" i="1" s="1"/>
  <c r="AQ311" i="1"/>
  <c r="AO313" i="1"/>
  <c r="AV313" i="1" s="1"/>
  <c r="AJ315" i="1"/>
  <c r="AQ317" i="1"/>
  <c r="AO319" i="1"/>
  <c r="AV319" i="1" s="1"/>
  <c r="AJ321" i="1"/>
  <c r="AQ323" i="1"/>
  <c r="AO325" i="1"/>
  <c r="AV325" i="1" s="1"/>
  <c r="AJ327" i="1"/>
  <c r="AQ329" i="1"/>
  <c r="AO331" i="1"/>
  <c r="AV331" i="1" s="1"/>
  <c r="AJ333" i="1"/>
  <c r="AQ335" i="1"/>
  <c r="AR338" i="1"/>
  <c r="AV348" i="1"/>
  <c r="AN360" i="1"/>
  <c r="AT360" i="1"/>
  <c r="AV360" i="1" s="1"/>
  <c r="AJ360" i="1"/>
  <c r="AO368" i="1"/>
  <c r="AV368" i="1" s="1"/>
  <c r="AC368" i="1"/>
  <c r="AR369" i="1"/>
  <c r="AB369" i="1"/>
  <c r="AV376" i="1"/>
  <c r="AQ379" i="1"/>
  <c r="AQ306" i="1"/>
  <c r="AQ312" i="1"/>
  <c r="AQ318" i="1"/>
  <c r="AQ324" i="1"/>
  <c r="AQ330" i="1"/>
  <c r="AQ336" i="1"/>
  <c r="AT338" i="1"/>
  <c r="AJ338" i="1"/>
  <c r="AO342" i="1"/>
  <c r="AV342" i="1" s="1"/>
  <c r="AC342" i="1"/>
  <c r="AR343" i="1"/>
  <c r="AV343" i="1" s="1"/>
  <c r="AB343" i="1"/>
  <c r="AN348" i="1"/>
  <c r="AT348" i="1"/>
  <c r="AJ348" i="1"/>
  <c r="AN366" i="1"/>
  <c r="AT366" i="1"/>
  <c r="AJ366" i="1"/>
  <c r="AR375" i="1"/>
  <c r="AV375" i="1" s="1"/>
  <c r="AB375" i="1"/>
  <c r="AJ305" i="1"/>
  <c r="AT305" i="1"/>
  <c r="AB306" i="1"/>
  <c r="AC311" i="1"/>
  <c r="AJ311" i="1"/>
  <c r="AT311" i="1"/>
  <c r="AB312" i="1"/>
  <c r="AC317" i="1"/>
  <c r="AJ317" i="1"/>
  <c r="AT317" i="1"/>
  <c r="AB318" i="1"/>
  <c r="AC323" i="1"/>
  <c r="AJ323" i="1"/>
  <c r="AT323" i="1"/>
  <c r="AB324" i="1"/>
  <c r="AC329" i="1"/>
  <c r="AJ329" i="1"/>
  <c r="AT329" i="1"/>
  <c r="AB330" i="1"/>
  <c r="AC335" i="1"/>
  <c r="AJ335" i="1"/>
  <c r="AT335" i="1"/>
  <c r="AB336" i="1"/>
  <c r="AT337" i="1"/>
  <c r="AN338" i="1"/>
  <c r="AC340" i="1"/>
  <c r="AO340" i="1"/>
  <c r="AR341" i="1"/>
  <c r="AV341" i="1" s="1"/>
  <c r="AB341" i="1"/>
  <c r="AT342" i="1"/>
  <c r="AJ342" i="1"/>
  <c r="AV349" i="1"/>
  <c r="AO350" i="1"/>
  <c r="AV350" i="1" s="1"/>
  <c r="AC350" i="1"/>
  <c r="AR351" i="1"/>
  <c r="AV351" i="1" s="1"/>
  <c r="AB351" i="1"/>
  <c r="AQ361" i="1"/>
  <c r="AN372" i="1"/>
  <c r="AT372" i="1"/>
  <c r="AV372" i="1" s="1"/>
  <c r="AJ372" i="1"/>
  <c r="AO374" i="1"/>
  <c r="AV374" i="1" s="1"/>
  <c r="AC374" i="1"/>
  <c r="AR381" i="1"/>
  <c r="AB381" i="1"/>
  <c r="AO386" i="1"/>
  <c r="AV386" i="1" s="1"/>
  <c r="AC386" i="1"/>
  <c r="AB295" i="1"/>
  <c r="AJ300" i="1"/>
  <c r="AB301" i="1"/>
  <c r="AJ306" i="1"/>
  <c r="AB307" i="1"/>
  <c r="AJ312" i="1"/>
  <c r="AB313" i="1"/>
  <c r="AJ318" i="1"/>
  <c r="AB319" i="1"/>
  <c r="AJ324" i="1"/>
  <c r="AB325" i="1"/>
  <c r="AJ330" i="1"/>
  <c r="AB331" i="1"/>
  <c r="AJ336" i="1"/>
  <c r="AT336" i="1"/>
  <c r="AJ337" i="1"/>
  <c r="AO338" i="1"/>
  <c r="AR339" i="1"/>
  <c r="AV339" i="1" s="1"/>
  <c r="AB339" i="1"/>
  <c r="AQ339" i="1"/>
  <c r="AT340" i="1"/>
  <c r="AJ340" i="1"/>
  <c r="AN342" i="1"/>
  <c r="AQ367" i="1"/>
  <c r="AN378" i="1"/>
  <c r="AT378" i="1"/>
  <c r="AV378" i="1" s="1"/>
  <c r="AJ378" i="1"/>
  <c r="AN384" i="1"/>
  <c r="AT384" i="1"/>
  <c r="AJ384" i="1"/>
  <c r="AB308" i="1"/>
  <c r="AB314" i="1"/>
  <c r="AB320" i="1"/>
  <c r="AB326" i="1"/>
  <c r="AB332" i="1"/>
  <c r="AC337" i="1"/>
  <c r="AQ349" i="1"/>
  <c r="AN354" i="1"/>
  <c r="AT354" i="1"/>
  <c r="AV354" i="1" s="1"/>
  <c r="AJ354" i="1"/>
  <c r="AO380" i="1"/>
  <c r="AV380" i="1" s="1"/>
  <c r="AC380" i="1"/>
  <c r="AQ385" i="1"/>
  <c r="AO346" i="1"/>
  <c r="AV346" i="1" s="1"/>
  <c r="AD347" i="1"/>
  <c r="AC348" i="1"/>
  <c r="AB349" i="1"/>
  <c r="AO352" i="1"/>
  <c r="AV352" i="1" s="1"/>
  <c r="AD353" i="1"/>
  <c r="AC354" i="1"/>
  <c r="AB355" i="1"/>
  <c r="AO358" i="1"/>
  <c r="AV358" i="1" s="1"/>
  <c r="AD359" i="1"/>
  <c r="AC360" i="1"/>
  <c r="AB361" i="1"/>
  <c r="AO364" i="1"/>
  <c r="AV364" i="1" s="1"/>
  <c r="AD365" i="1"/>
  <c r="AC366" i="1"/>
  <c r="AB367" i="1"/>
  <c r="AD371" i="1"/>
  <c r="AC372" i="1"/>
  <c r="AQ374" i="1"/>
  <c r="AQ380" i="1"/>
  <c r="AQ386" i="1"/>
  <c r="AQ345" i="1"/>
  <c r="AQ351" i="1"/>
  <c r="AQ357" i="1"/>
  <c r="AD360" i="1"/>
  <c r="AJ361" i="1"/>
  <c r="AT361" i="1"/>
  <c r="AV361" i="1" s="1"/>
  <c r="AQ363" i="1"/>
  <c r="AJ367" i="1"/>
  <c r="AT367" i="1"/>
  <c r="AQ369" i="1"/>
  <c r="AJ373" i="1"/>
  <c r="AT373" i="1"/>
  <c r="AV373" i="1" s="1"/>
  <c r="AQ375" i="1"/>
  <c r="AJ379" i="1"/>
  <c r="AT379" i="1"/>
  <c r="AQ381" i="1"/>
  <c r="AD384" i="1"/>
  <c r="AC385" i="1"/>
  <c r="AJ385" i="1"/>
  <c r="AT385" i="1"/>
  <c r="AJ344" i="1"/>
  <c r="AJ350" i="1"/>
  <c r="AJ356" i="1"/>
  <c r="AJ362" i="1"/>
  <c r="AJ368" i="1"/>
  <c r="AJ374" i="1"/>
  <c r="AJ380" i="1"/>
  <c r="AT380" i="1"/>
  <c r="AJ386" i="1"/>
  <c r="AT386" i="1"/>
  <c r="AB376" i="1"/>
  <c r="AB382" i="1"/>
  <c r="AJ346" i="1"/>
  <c r="AB347" i="1"/>
  <c r="AJ352" i="1"/>
  <c r="AB353" i="1"/>
  <c r="AJ358" i="1"/>
  <c r="AB359" i="1"/>
  <c r="AJ364" i="1"/>
  <c r="AB365" i="1"/>
  <c r="AJ370" i="1"/>
  <c r="AB371" i="1"/>
  <c r="AJ376" i="1"/>
  <c r="AB377" i="1"/>
  <c r="AJ382" i="1"/>
  <c r="AV11" i="6"/>
  <c r="AU14" i="7"/>
  <c r="AU13" i="7"/>
  <c r="AU6" i="7"/>
  <c r="AR6" i="9"/>
  <c r="AB6" i="9"/>
  <c r="AU3" i="6"/>
  <c r="AD8" i="6"/>
  <c r="AU8" i="6"/>
  <c r="AP10" i="6"/>
  <c r="AD12" i="6"/>
  <c r="AU12" i="6"/>
  <c r="AC13" i="6"/>
  <c r="AN6" i="7"/>
  <c r="AD7" i="7"/>
  <c r="AN7" i="7"/>
  <c r="AD8" i="7"/>
  <c r="AN8" i="7"/>
  <c r="AU12" i="7"/>
  <c r="AQ13" i="7"/>
  <c r="AB14" i="7"/>
  <c r="AH1" i="8"/>
  <c r="AH2" i="8" s="1"/>
  <c r="AU3" i="8"/>
  <c r="AR8" i="8"/>
  <c r="AB8" i="8"/>
  <c r="AJ9" i="8"/>
  <c r="AQ9" i="9"/>
  <c r="AQ13" i="9"/>
  <c r="AO19" i="9"/>
  <c r="AN25" i="9"/>
  <c r="AN39" i="9"/>
  <c r="AN61" i="9"/>
  <c r="AO69" i="9"/>
  <c r="AN89" i="9"/>
  <c r="AN11" i="6"/>
  <c r="AO8" i="6"/>
  <c r="AP11" i="6"/>
  <c r="AO12" i="6"/>
  <c r="AP13" i="6"/>
  <c r="AV13" i="6" s="1"/>
  <c r="AU15" i="6"/>
  <c r="AV15" i="6" s="1"/>
  <c r="AR3" i="7"/>
  <c r="AO6" i="7"/>
  <c r="AU10" i="7"/>
  <c r="AU11" i="7"/>
  <c r="AR13" i="7"/>
  <c r="AQ14" i="7"/>
  <c r="AN7" i="8"/>
  <c r="AT7" i="8"/>
  <c r="AJ7" i="8"/>
  <c r="AN132" i="9"/>
  <c r="AN128" i="9"/>
  <c r="AN104" i="9"/>
  <c r="AN123" i="9"/>
  <c r="AN119" i="9"/>
  <c r="AN115" i="9"/>
  <c r="AN118" i="9"/>
  <c r="AN114" i="9"/>
  <c r="AN110" i="9"/>
  <c r="AN133" i="9"/>
  <c r="AN102" i="9"/>
  <c r="AN90" i="9"/>
  <c r="AN78" i="9"/>
  <c r="AN58" i="9"/>
  <c r="AN52" i="9"/>
  <c r="AN22" i="9"/>
  <c r="AN125" i="9"/>
  <c r="AN103" i="9"/>
  <c r="AN97" i="9"/>
  <c r="AN93" i="9"/>
  <c r="AN81" i="9"/>
  <c r="AN111" i="9"/>
  <c r="AN107" i="9"/>
  <c r="AN98" i="9"/>
  <c r="AN94" i="9"/>
  <c r="AN129" i="9"/>
  <c r="AN121" i="9"/>
  <c r="AN86" i="9"/>
  <c r="AN75" i="9"/>
  <c r="AN63" i="9"/>
  <c r="AN59" i="9"/>
  <c r="AN53" i="9"/>
  <c r="AN49" i="9"/>
  <c r="AN31" i="9"/>
  <c r="AN27" i="9"/>
  <c r="AN23" i="9"/>
  <c r="AN19" i="9"/>
  <c r="AN7" i="9"/>
  <c r="AN6" i="9"/>
  <c r="AN16" i="9"/>
  <c r="AT16" i="9"/>
  <c r="AJ16" i="9"/>
  <c r="AN20" i="9"/>
  <c r="AO44" i="9"/>
  <c r="AN44" i="9"/>
  <c r="AN67" i="9"/>
  <c r="AN69" i="9"/>
  <c r="AN95" i="9"/>
  <c r="AO99" i="9"/>
  <c r="AU7" i="7"/>
  <c r="AU8" i="7"/>
  <c r="AO3" i="6"/>
  <c r="AB6" i="6"/>
  <c r="AP8" i="6"/>
  <c r="AB10" i="6"/>
  <c r="AP12" i="6"/>
  <c r="AQ13" i="6"/>
  <c r="AD15" i="6"/>
  <c r="AN15" i="6"/>
  <c r="AP12" i="7"/>
  <c r="AP7" i="7"/>
  <c r="AV7" i="7" s="1"/>
  <c r="AU3" i="7"/>
  <c r="AP6" i="7"/>
  <c r="AN10" i="7"/>
  <c r="AN11" i="7"/>
  <c r="AD12" i="7"/>
  <c r="AO13" i="7"/>
  <c r="AT13" i="7"/>
  <c r="AJ6" i="8"/>
  <c r="AO7" i="8"/>
  <c r="AO114" i="9"/>
  <c r="AO84" i="9"/>
  <c r="AO67" i="9"/>
  <c r="AO33" i="9"/>
  <c r="AO100" i="9"/>
  <c r="AO124" i="9"/>
  <c r="AO110" i="9"/>
  <c r="AO3" i="9"/>
  <c r="AO120" i="9"/>
  <c r="AO76" i="9"/>
  <c r="AO64" i="9"/>
  <c r="AO60" i="9"/>
  <c r="AO54" i="9"/>
  <c r="AO50" i="9"/>
  <c r="AO46" i="9"/>
  <c r="AO24" i="9"/>
  <c r="AO16" i="9"/>
  <c r="AO89" i="9"/>
  <c r="AO80" i="9"/>
  <c r="AO75" i="9"/>
  <c r="AO63" i="9"/>
  <c r="AO53" i="9"/>
  <c r="AO104" i="9"/>
  <c r="AO102" i="9"/>
  <c r="AO22" i="9"/>
  <c r="AO18" i="9"/>
  <c r="AR11" i="9"/>
  <c r="AB11" i="9"/>
  <c r="AN11" i="9"/>
  <c r="AN18" i="9"/>
  <c r="AN24" i="9"/>
  <c r="AN36" i="9"/>
  <c r="AO40" i="9"/>
  <c r="AN40" i="9"/>
  <c r="AN46" i="9"/>
  <c r="AN54" i="9"/>
  <c r="AN56" i="9"/>
  <c r="AN65" i="9"/>
  <c r="AN99" i="9"/>
  <c r="AN7" i="6"/>
  <c r="AO10" i="6"/>
  <c r="AU7" i="8"/>
  <c r="AU6" i="8"/>
  <c r="AO14" i="9"/>
  <c r="AC14" i="9"/>
  <c r="AN6" i="6"/>
  <c r="AU6" i="6"/>
  <c r="AJ7" i="6"/>
  <c r="AU10" i="6"/>
  <c r="AJ11" i="6"/>
  <c r="AN13" i="6"/>
  <c r="AT13" i="6"/>
  <c r="AV12" i="7"/>
  <c r="AJ13" i="7"/>
  <c r="AN14" i="7"/>
  <c r="AT14" i="7"/>
  <c r="AJ14" i="7"/>
  <c r="AR3" i="8"/>
  <c r="AR6" i="8"/>
  <c r="AQ6" i="8"/>
  <c r="AR7" i="8"/>
  <c r="AU9" i="8"/>
  <c r="AN8" i="9"/>
  <c r="AT8" i="9"/>
  <c r="AJ8" i="9"/>
  <c r="AO10" i="9"/>
  <c r="AV10" i="9" s="1"/>
  <c r="AC10" i="9"/>
  <c r="AV49" i="9"/>
  <c r="AN72" i="9"/>
  <c r="AQ10" i="9"/>
  <c r="AQ14" i="9"/>
  <c r="AU19" i="9"/>
  <c r="AJ20" i="9"/>
  <c r="AT20" i="9"/>
  <c r="AU23" i="9"/>
  <c r="AJ24" i="9"/>
  <c r="AT24" i="9"/>
  <c r="AU27" i="9"/>
  <c r="AJ28" i="9"/>
  <c r="AT28" i="9"/>
  <c r="AR29" i="9"/>
  <c r="AU31" i="9"/>
  <c r="AP33" i="9"/>
  <c r="AR35" i="9"/>
  <c r="AQ36" i="9"/>
  <c r="AR39" i="9"/>
  <c r="AQ40" i="9"/>
  <c r="AR43" i="9"/>
  <c r="AQ44" i="9"/>
  <c r="AJ46" i="9"/>
  <c r="AT46" i="9"/>
  <c r="AR47" i="9"/>
  <c r="AU49" i="9"/>
  <c r="AJ50" i="9"/>
  <c r="AT50" i="9"/>
  <c r="AU53" i="9"/>
  <c r="AJ54" i="9"/>
  <c r="AT54" i="9"/>
  <c r="AR55" i="9"/>
  <c r="AQ56" i="9"/>
  <c r="AU59" i="9"/>
  <c r="AJ60" i="9"/>
  <c r="AT60" i="9"/>
  <c r="AR61" i="9"/>
  <c r="AU63" i="9"/>
  <c r="AJ64" i="9"/>
  <c r="AT64" i="9"/>
  <c r="AR65" i="9"/>
  <c r="AQ66" i="9"/>
  <c r="AP67" i="9"/>
  <c r="AR69" i="9"/>
  <c r="AQ70" i="9"/>
  <c r="AJ72" i="9"/>
  <c r="AT72" i="9"/>
  <c r="AR73" i="9"/>
  <c r="AU75" i="9"/>
  <c r="AJ76" i="9"/>
  <c r="AT76" i="9"/>
  <c r="AJ83" i="9"/>
  <c r="AU83" i="9"/>
  <c r="AP84" i="9"/>
  <c r="AR85" i="9"/>
  <c r="AJ86" i="9"/>
  <c r="AU86" i="9"/>
  <c r="AR88" i="9"/>
  <c r="AQ94" i="9"/>
  <c r="AQ95" i="9"/>
  <c r="AR95" i="9"/>
  <c r="AQ98" i="9"/>
  <c r="AQ99" i="9"/>
  <c r="AR99" i="9"/>
  <c r="AR100" i="9"/>
  <c r="AR103" i="9"/>
  <c r="AB103" i="9"/>
  <c r="AT105" i="9"/>
  <c r="AJ105" i="9"/>
  <c r="AU107" i="9"/>
  <c r="AQ109" i="9"/>
  <c r="AU111" i="9"/>
  <c r="AQ113" i="9"/>
  <c r="AO115" i="9"/>
  <c r="AC115" i="9"/>
  <c r="AQ118" i="9"/>
  <c r="AR120" i="9"/>
  <c r="AB120" i="9"/>
  <c r="AR124" i="9"/>
  <c r="AB124" i="9"/>
  <c r="AU125" i="9"/>
  <c r="AQ129" i="9"/>
  <c r="AQ130" i="9"/>
  <c r="AN130" i="9"/>
  <c r="AR132" i="9"/>
  <c r="AB132" i="9"/>
  <c r="AV8" i="12"/>
  <c r="AQ7" i="8"/>
  <c r="AP114" i="9"/>
  <c r="AP110" i="9"/>
  <c r="AP117" i="9"/>
  <c r="AP130" i="9"/>
  <c r="AP126" i="9"/>
  <c r="AP129" i="9"/>
  <c r="AP105" i="9"/>
  <c r="AP124" i="9"/>
  <c r="AP120" i="9"/>
  <c r="AP104" i="9"/>
  <c r="AP100" i="9"/>
  <c r="AU8" i="9"/>
  <c r="AJ9" i="9"/>
  <c r="AT9" i="9"/>
  <c r="AQ11" i="9"/>
  <c r="AJ13" i="9"/>
  <c r="AT13" i="9"/>
  <c r="AU16" i="9"/>
  <c r="AP18" i="9"/>
  <c r="AU20" i="9"/>
  <c r="AP22" i="9"/>
  <c r="AU24" i="9"/>
  <c r="AJ25" i="9"/>
  <c r="AT25" i="9"/>
  <c r="AU28" i="9"/>
  <c r="AJ29" i="9"/>
  <c r="AT29" i="9"/>
  <c r="AQ33" i="9"/>
  <c r="AJ35" i="9"/>
  <c r="AT35" i="9"/>
  <c r="AR36" i="9"/>
  <c r="AQ37" i="9"/>
  <c r="AJ39" i="9"/>
  <c r="AT39" i="9"/>
  <c r="AR40" i="9"/>
  <c r="AQ41" i="9"/>
  <c r="AJ43" i="9"/>
  <c r="AT43" i="9"/>
  <c r="AR44" i="9"/>
  <c r="AU46" i="9"/>
  <c r="AJ47" i="9"/>
  <c r="AT47" i="9"/>
  <c r="AU50" i="9"/>
  <c r="AU54" i="9"/>
  <c r="AJ55" i="9"/>
  <c r="AT55" i="9"/>
  <c r="AR56" i="9"/>
  <c r="AQ57" i="9"/>
  <c r="AU60" i="9"/>
  <c r="AJ61" i="9"/>
  <c r="AT61" i="9"/>
  <c r="AU64" i="9"/>
  <c r="AJ65" i="9"/>
  <c r="AT65" i="9"/>
  <c r="AR66" i="9"/>
  <c r="AQ67" i="9"/>
  <c r="AJ69" i="9"/>
  <c r="AT69" i="9"/>
  <c r="AR70" i="9"/>
  <c r="AU72" i="9"/>
  <c r="AJ73" i="9"/>
  <c r="AT73" i="9"/>
  <c r="AU76" i="9"/>
  <c r="AD77" i="9"/>
  <c r="AR78" i="9"/>
  <c r="AB78" i="9"/>
  <c r="AQ81" i="9"/>
  <c r="AN83" i="9"/>
  <c r="AQ84" i="9"/>
  <c r="AT85" i="9"/>
  <c r="AJ85" i="9"/>
  <c r="AU85" i="9"/>
  <c r="AD86" i="9"/>
  <c r="AN88" i="9"/>
  <c r="AT88" i="9"/>
  <c r="AD89" i="9"/>
  <c r="AR90" i="9"/>
  <c r="AB90" i="9"/>
  <c r="AQ93" i="9"/>
  <c r="AT95" i="9"/>
  <c r="AQ97" i="9"/>
  <c r="AT99" i="9"/>
  <c r="AT100" i="9"/>
  <c r="AR102" i="9"/>
  <c r="AB102" i="9"/>
  <c r="AP102" i="9"/>
  <c r="AO103" i="9"/>
  <c r="AU103" i="9"/>
  <c r="AN105" i="9"/>
  <c r="AR107" i="9"/>
  <c r="AR109" i="9"/>
  <c r="AR111" i="9"/>
  <c r="AR113" i="9"/>
  <c r="AQ115" i="9"/>
  <c r="AP115" i="9"/>
  <c r="AO117" i="9"/>
  <c r="AN117" i="9"/>
  <c r="AT117" i="9"/>
  <c r="AJ117" i="9"/>
  <c r="AN120" i="9"/>
  <c r="AQ121" i="9"/>
  <c r="AU133" i="9"/>
  <c r="AJ132" i="9"/>
  <c r="AJ128" i="9"/>
  <c r="AJ124" i="9"/>
  <c r="AJ120" i="9"/>
  <c r="AJ123" i="9"/>
  <c r="AJ119" i="9"/>
  <c r="AJ115" i="9"/>
  <c r="AJ111" i="9"/>
  <c r="AJ107" i="9"/>
  <c r="AJ118" i="9"/>
  <c r="AJ114" i="9"/>
  <c r="AJ110" i="9"/>
  <c r="AJ10" i="9"/>
  <c r="AU13" i="9"/>
  <c r="AJ14" i="9"/>
  <c r="AP19" i="9"/>
  <c r="AD25" i="9"/>
  <c r="AU25" i="9"/>
  <c r="AD29" i="9"/>
  <c r="AU29" i="9"/>
  <c r="AB33" i="9"/>
  <c r="AD35" i="9"/>
  <c r="AU35" i="9"/>
  <c r="AC36" i="9"/>
  <c r="AJ36" i="9"/>
  <c r="AT36" i="9"/>
  <c r="AB37" i="9"/>
  <c r="AD39" i="9"/>
  <c r="AU39" i="9"/>
  <c r="AC40" i="9"/>
  <c r="AJ40" i="9"/>
  <c r="AT40" i="9"/>
  <c r="AB41" i="9"/>
  <c r="AD43" i="9"/>
  <c r="AU43" i="9"/>
  <c r="AC44" i="9"/>
  <c r="AJ44" i="9"/>
  <c r="AT44" i="9"/>
  <c r="AD47" i="9"/>
  <c r="AU47" i="9"/>
  <c r="AP49" i="9"/>
  <c r="AP53" i="9"/>
  <c r="AD55" i="9"/>
  <c r="AU55" i="9"/>
  <c r="AC56" i="9"/>
  <c r="AJ56" i="9"/>
  <c r="AT56" i="9"/>
  <c r="AB57" i="9"/>
  <c r="AD61" i="9"/>
  <c r="AU61" i="9"/>
  <c r="AP63" i="9"/>
  <c r="AD65" i="9"/>
  <c r="AU65" i="9"/>
  <c r="AC66" i="9"/>
  <c r="AJ66" i="9"/>
  <c r="AT66" i="9"/>
  <c r="AB67" i="9"/>
  <c r="AD69" i="9"/>
  <c r="AU69" i="9"/>
  <c r="AC70" i="9"/>
  <c r="AJ70" i="9"/>
  <c r="AT70" i="9"/>
  <c r="AD73" i="9"/>
  <c r="AU73" i="9"/>
  <c r="AP75" i="9"/>
  <c r="AQ78" i="9"/>
  <c r="AP80" i="9"/>
  <c r="AR81" i="9"/>
  <c r="AR84" i="9"/>
  <c r="AN85" i="9"/>
  <c r="AJ88" i="9"/>
  <c r="AP89" i="9"/>
  <c r="AQ90" i="9"/>
  <c r="AR93" i="9"/>
  <c r="AC94" i="9"/>
  <c r="AJ94" i="9"/>
  <c r="AU94" i="9"/>
  <c r="AC95" i="9"/>
  <c r="AJ95" i="9"/>
  <c r="AU95" i="9"/>
  <c r="AR97" i="9"/>
  <c r="AC98" i="9"/>
  <c r="AJ98" i="9"/>
  <c r="AU98" i="9"/>
  <c r="AC99" i="9"/>
  <c r="AJ99" i="9"/>
  <c r="AU99" i="9"/>
  <c r="AJ100" i="9"/>
  <c r="AU100" i="9"/>
  <c r="AQ102" i="9"/>
  <c r="AQ103" i="9"/>
  <c r="AR104" i="9"/>
  <c r="AB104" i="9"/>
  <c r="AR105" i="9"/>
  <c r="AO107" i="9"/>
  <c r="AV107" i="9" s="1"/>
  <c r="AC107" i="9"/>
  <c r="AR110" i="9"/>
  <c r="AB110" i="9"/>
  <c r="AO111" i="9"/>
  <c r="AC111" i="9"/>
  <c r="AR114" i="9"/>
  <c r="AB114" i="9"/>
  <c r="AQ117" i="9"/>
  <c r="AR119" i="9"/>
  <c r="AR123" i="9"/>
  <c r="AQ124" i="9"/>
  <c r="AN124" i="9"/>
  <c r="AQ125" i="9"/>
  <c r="AO126" i="9"/>
  <c r="AQ132" i="9"/>
  <c r="AR134" i="9"/>
  <c r="AR130" i="9"/>
  <c r="AR126" i="9"/>
  <c r="AR133" i="9"/>
  <c r="AR129" i="9"/>
  <c r="AR125" i="9"/>
  <c r="AR121" i="9"/>
  <c r="AU10" i="9"/>
  <c r="AJ11" i="9"/>
  <c r="AT11" i="9"/>
  <c r="AU14" i="9"/>
  <c r="AP16" i="9"/>
  <c r="AB18" i="9"/>
  <c r="AB22" i="9"/>
  <c r="AP24" i="9"/>
  <c r="AJ33" i="9"/>
  <c r="AT33" i="9"/>
  <c r="AU36" i="9"/>
  <c r="AJ37" i="9"/>
  <c r="AT37" i="9"/>
  <c r="AU40" i="9"/>
  <c r="AJ41" i="9"/>
  <c r="AT41" i="9"/>
  <c r="AU44" i="9"/>
  <c r="AP46" i="9"/>
  <c r="AP50" i="9"/>
  <c r="AB52" i="9"/>
  <c r="AP54" i="9"/>
  <c r="AU56" i="9"/>
  <c r="AJ57" i="9"/>
  <c r="AT57" i="9"/>
  <c r="AB58" i="9"/>
  <c r="AP60" i="9"/>
  <c r="AP64" i="9"/>
  <c r="AU66" i="9"/>
  <c r="AJ67" i="9"/>
  <c r="AT67" i="9"/>
  <c r="AU70" i="9"/>
  <c r="AP76" i="9"/>
  <c r="AQ80" i="9"/>
  <c r="AT81" i="9"/>
  <c r="AJ81" i="9"/>
  <c r="AU81" i="9"/>
  <c r="AN84" i="9"/>
  <c r="AT84" i="9"/>
  <c r="AO85" i="9"/>
  <c r="AR86" i="9"/>
  <c r="AB86" i="9"/>
  <c r="AC88" i="9"/>
  <c r="AQ92" i="9"/>
  <c r="AT93" i="9"/>
  <c r="AJ93" i="9"/>
  <c r="AU93" i="9"/>
  <c r="AT97" i="9"/>
  <c r="AJ97" i="9"/>
  <c r="AU97" i="9"/>
  <c r="AC103" i="9"/>
  <c r="AJ103" i="9"/>
  <c r="AU105" i="9"/>
  <c r="AQ107" i="9"/>
  <c r="AQ111" i="9"/>
  <c r="AQ114" i="9"/>
  <c r="AR118" i="9"/>
  <c r="AO119" i="9"/>
  <c r="AC119" i="9"/>
  <c r="AO123" i="9"/>
  <c r="AV123" i="9" s="1"/>
  <c r="AC123" i="9"/>
  <c r="AQ126" i="9"/>
  <c r="AN126" i="9"/>
  <c r="AR128" i="9"/>
  <c r="AB128" i="9"/>
  <c r="AQ133" i="9"/>
  <c r="AB9" i="8"/>
  <c r="AU132" i="9"/>
  <c r="AU128" i="9"/>
  <c r="AU124" i="9"/>
  <c r="AU120" i="9"/>
  <c r="AU104" i="9"/>
  <c r="AU123" i="9"/>
  <c r="AU119" i="9"/>
  <c r="AU115" i="9"/>
  <c r="AU118" i="9"/>
  <c r="AU114" i="9"/>
  <c r="AU110" i="9"/>
  <c r="AU117" i="9"/>
  <c r="AU113" i="9"/>
  <c r="AU109" i="9"/>
  <c r="AU134" i="9"/>
  <c r="AU130" i="9"/>
  <c r="AU126" i="9"/>
  <c r="AU92" i="9"/>
  <c r="AU88" i="9"/>
  <c r="AU84" i="9"/>
  <c r="AU80" i="9"/>
  <c r="AP3" i="9"/>
  <c r="AJ6" i="9"/>
  <c r="AB7" i="9"/>
  <c r="AU11" i="9"/>
  <c r="AP13" i="9"/>
  <c r="AV13" i="9" s="1"/>
  <c r="AJ18" i="9"/>
  <c r="AB19" i="9"/>
  <c r="AJ22" i="9"/>
  <c r="AB23" i="9"/>
  <c r="AB27" i="9"/>
  <c r="AB31" i="9"/>
  <c r="AU33" i="9"/>
  <c r="AU37" i="9"/>
  <c r="AP39" i="9"/>
  <c r="AV39" i="9" s="1"/>
  <c r="AU41" i="9"/>
  <c r="AP43" i="9"/>
  <c r="AV43" i="9" s="1"/>
  <c r="AP47" i="9"/>
  <c r="AV47" i="9" s="1"/>
  <c r="AB49" i="9"/>
  <c r="AJ52" i="9"/>
  <c r="AB53" i="9"/>
  <c r="AU57" i="9"/>
  <c r="AJ58" i="9"/>
  <c r="AB59" i="9"/>
  <c r="AP61" i="9"/>
  <c r="AV61" i="9" s="1"/>
  <c r="AB63" i="9"/>
  <c r="AU67" i="9"/>
  <c r="AP69" i="9"/>
  <c r="AB75" i="9"/>
  <c r="AR77" i="9"/>
  <c r="AJ78" i="9"/>
  <c r="AU78" i="9"/>
  <c r="AR80" i="9"/>
  <c r="AR83" i="9"/>
  <c r="AJ84" i="9"/>
  <c r="AP85" i="9"/>
  <c r="AR89" i="9"/>
  <c r="AJ90" i="9"/>
  <c r="AU90" i="9"/>
  <c r="AR92" i="9"/>
  <c r="AJ102" i="9"/>
  <c r="AU102" i="9"/>
  <c r="AQ104" i="9"/>
  <c r="AO105" i="9"/>
  <c r="AV105" i="9" s="1"/>
  <c r="AQ110" i="9"/>
  <c r="AP111" i="9"/>
  <c r="AQ119" i="9"/>
  <c r="AP119" i="9"/>
  <c r="AU121" i="9"/>
  <c r="AQ123" i="9"/>
  <c r="AJ126" i="9"/>
  <c r="AQ134" i="9"/>
  <c r="AN134" i="9"/>
  <c r="AV7" i="12"/>
  <c r="AJ23" i="9"/>
  <c r="AJ27" i="9"/>
  <c r="AJ31" i="9"/>
  <c r="AP40" i="9"/>
  <c r="AP44" i="9"/>
  <c r="AR46" i="9"/>
  <c r="AJ49" i="9"/>
  <c r="AR50" i="9"/>
  <c r="AU52" i="9"/>
  <c r="AJ53" i="9"/>
  <c r="AR54" i="9"/>
  <c r="AU58" i="9"/>
  <c r="AJ59" i="9"/>
  <c r="AR60" i="9"/>
  <c r="AJ63" i="9"/>
  <c r="AR64" i="9"/>
  <c r="AP70" i="9"/>
  <c r="AV70" i="9" s="1"/>
  <c r="AR72" i="9"/>
  <c r="AJ75" i="9"/>
  <c r="AR76" i="9"/>
  <c r="AT77" i="9"/>
  <c r="AJ77" i="9"/>
  <c r="AU77" i="9"/>
  <c r="AN80" i="9"/>
  <c r="AT80" i="9"/>
  <c r="AQ85" i="9"/>
  <c r="AQ88" i="9"/>
  <c r="AT89" i="9"/>
  <c r="AJ89" i="9"/>
  <c r="AU89" i="9"/>
  <c r="AN92" i="9"/>
  <c r="AT92" i="9"/>
  <c r="AR94" i="9"/>
  <c r="AB94" i="9"/>
  <c r="AR98" i="9"/>
  <c r="AB98" i="9"/>
  <c r="AP98" i="9"/>
  <c r="AV98" i="9" s="1"/>
  <c r="AP99" i="9"/>
  <c r="AP103" i="9"/>
  <c r="AJ104" i="9"/>
  <c r="AQ105" i="9"/>
  <c r="AO109" i="9"/>
  <c r="AV109" i="9" s="1"/>
  <c r="AC109" i="9"/>
  <c r="AN109" i="9"/>
  <c r="AT109" i="9"/>
  <c r="AJ109" i="9"/>
  <c r="AO113" i="9"/>
  <c r="AV113" i="9" s="1"/>
  <c r="AC113" i="9"/>
  <c r="AN113" i="9"/>
  <c r="AT113" i="9"/>
  <c r="AJ113" i="9"/>
  <c r="AR115" i="9"/>
  <c r="AQ128" i="9"/>
  <c r="AO129" i="9"/>
  <c r="AV129" i="9" s="1"/>
  <c r="AO130" i="9"/>
  <c r="AJ134" i="9"/>
  <c r="AC117" i="9"/>
  <c r="AB118" i="9"/>
  <c r="AO121" i="9"/>
  <c r="AV121" i="9" s="1"/>
  <c r="AD126" i="9"/>
  <c r="AD130" i="9"/>
  <c r="AD134" i="9"/>
  <c r="AR3" i="10"/>
  <c r="AD7" i="10"/>
  <c r="AU7" i="10"/>
  <c r="AC8" i="10"/>
  <c r="AJ8" i="10"/>
  <c r="AT8" i="10"/>
  <c r="AD11" i="10"/>
  <c r="AU11" i="10"/>
  <c r="AC12" i="10"/>
  <c r="AJ12" i="10"/>
  <c r="AT12" i="10"/>
  <c r="AD6" i="11"/>
  <c r="AU6" i="11"/>
  <c r="AC7" i="11"/>
  <c r="AJ7" i="11"/>
  <c r="AT7" i="11"/>
  <c r="AV7" i="11" s="1"/>
  <c r="AB8" i="11"/>
  <c r="AH1" i="12"/>
  <c r="AH2" i="12" s="1"/>
  <c r="AP3" i="12"/>
  <c r="AC6" i="12"/>
  <c r="AJ6" i="12"/>
  <c r="AT6" i="12"/>
  <c r="AB7" i="12"/>
  <c r="AR44" i="13"/>
  <c r="AR36" i="13"/>
  <c r="AR32" i="13"/>
  <c r="AR46" i="13"/>
  <c r="AO3" i="13"/>
  <c r="AB6" i="13"/>
  <c r="AD8" i="13"/>
  <c r="AU8" i="13"/>
  <c r="AC9" i="13"/>
  <c r="AJ9" i="13"/>
  <c r="AT9" i="13"/>
  <c r="AB10" i="13"/>
  <c r="AP12" i="13"/>
  <c r="AV12" i="13" s="1"/>
  <c r="AO13" i="13"/>
  <c r="AP14" i="13"/>
  <c r="AR15" i="13"/>
  <c r="AR18" i="13"/>
  <c r="AJ19" i="13"/>
  <c r="AP20" i="13"/>
  <c r="AV20" i="13" s="1"/>
  <c r="AQ21" i="13"/>
  <c r="AQ22" i="13"/>
  <c r="AN23" i="13"/>
  <c r="AJ27" i="13"/>
  <c r="AR28" i="13"/>
  <c r="AJ29" i="13"/>
  <c r="AN35" i="13"/>
  <c r="AO36" i="13"/>
  <c r="AQ42" i="13"/>
  <c r="AQ43" i="13"/>
  <c r="AQ44" i="13"/>
  <c r="AQ45" i="13"/>
  <c r="AN45" i="13"/>
  <c r="AT45" i="13"/>
  <c r="AJ45" i="13"/>
  <c r="AR46" i="14"/>
  <c r="AR41" i="14"/>
  <c r="AR28" i="14"/>
  <c r="AR24" i="14"/>
  <c r="AR14" i="14"/>
  <c r="AR10" i="14"/>
  <c r="AR6" i="14"/>
  <c r="AR23" i="14"/>
  <c r="AR13" i="14"/>
  <c r="AR9" i="14"/>
  <c r="AR37" i="14"/>
  <c r="AR47" i="14"/>
  <c r="AR40" i="14"/>
  <c r="AR31" i="14"/>
  <c r="AR3" i="14"/>
  <c r="AR42" i="14"/>
  <c r="AR36" i="14"/>
  <c r="AR19" i="14"/>
  <c r="AR15" i="14"/>
  <c r="AR7" i="14"/>
  <c r="AR22" i="14"/>
  <c r="AR48" i="14"/>
  <c r="AB107" i="9"/>
  <c r="AD109" i="9"/>
  <c r="AB111" i="9"/>
  <c r="AD113" i="9"/>
  <c r="AB115" i="9"/>
  <c r="AD117" i="9"/>
  <c r="AB119" i="9"/>
  <c r="AQ120" i="9"/>
  <c r="AB123" i="9"/>
  <c r="AU3" i="10"/>
  <c r="AD8" i="10"/>
  <c r="AU8" i="10"/>
  <c r="AD12" i="10"/>
  <c r="AR3" i="11"/>
  <c r="AD7" i="11"/>
  <c r="AU7" i="11"/>
  <c r="AC8" i="11"/>
  <c r="AD6" i="12"/>
  <c r="AC7" i="12"/>
  <c r="AB8" i="12"/>
  <c r="AH1" i="13"/>
  <c r="AH2" i="13" s="1"/>
  <c r="AU42" i="13"/>
  <c r="AU38" i="13"/>
  <c r="AU41" i="13"/>
  <c r="AU46" i="13"/>
  <c r="AU30" i="13"/>
  <c r="AU45" i="13"/>
  <c r="AU33" i="13"/>
  <c r="AU29" i="13"/>
  <c r="AU19" i="13"/>
  <c r="AU15" i="13"/>
  <c r="AU44" i="13"/>
  <c r="AU36" i="13"/>
  <c r="AU32" i="13"/>
  <c r="AP3" i="13"/>
  <c r="AC6" i="13"/>
  <c r="AJ6" i="13"/>
  <c r="AD9" i="13"/>
  <c r="AU9" i="13"/>
  <c r="AC10" i="13"/>
  <c r="AJ10" i="13"/>
  <c r="AQ12" i="13"/>
  <c r="AQ13" i="13"/>
  <c r="AO14" i="13"/>
  <c r="AQ14" i="13"/>
  <c r="AN15" i="13"/>
  <c r="AT15" i="13"/>
  <c r="AD16" i="13"/>
  <c r="AO16" i="13"/>
  <c r="AT18" i="13"/>
  <c r="AC19" i="13"/>
  <c r="AR24" i="13"/>
  <c r="AR26" i="13"/>
  <c r="AB26" i="13"/>
  <c r="AU26" i="13"/>
  <c r="AN27" i="13"/>
  <c r="AO28" i="13"/>
  <c r="AQ29" i="13"/>
  <c r="AQ30" i="13"/>
  <c r="AQ36" i="13"/>
  <c r="AR41" i="13"/>
  <c r="AR45" i="13"/>
  <c r="AR45" i="14"/>
  <c r="AU3" i="11"/>
  <c r="AD8" i="11"/>
  <c r="AR3" i="12"/>
  <c r="AD7" i="12"/>
  <c r="AC8" i="12"/>
  <c r="AJ8" i="12"/>
  <c r="AQ3" i="13"/>
  <c r="AD6" i="13"/>
  <c r="AU6" i="13"/>
  <c r="AD10" i="13"/>
  <c r="AU10" i="13"/>
  <c r="AC11" i="13"/>
  <c r="AJ11" i="13"/>
  <c r="AT11" i="13"/>
  <c r="AV11" i="13" s="1"/>
  <c r="AB12" i="13"/>
  <c r="AR14" i="13"/>
  <c r="AJ15" i="13"/>
  <c r="AP16" i="13"/>
  <c r="AC18" i="13"/>
  <c r="AU18" i="13"/>
  <c r="AP19" i="13"/>
  <c r="AV19" i="13" s="1"/>
  <c r="AJ21" i="13"/>
  <c r="AU21" i="13"/>
  <c r="AC22" i="13"/>
  <c r="AJ22" i="13"/>
  <c r="AR23" i="13"/>
  <c r="AB23" i="13"/>
  <c r="AQ24" i="13"/>
  <c r="AO27" i="13"/>
  <c r="AQ28" i="13"/>
  <c r="AU28" i="13"/>
  <c r="AR29" i="13"/>
  <c r="AR30" i="13"/>
  <c r="AQ32" i="13"/>
  <c r="AR38" i="13"/>
  <c r="AB38" i="13"/>
  <c r="AR39" i="13"/>
  <c r="AO41" i="13"/>
  <c r="AC41" i="13"/>
  <c r="AJ44" i="13"/>
  <c r="AV12" i="14"/>
  <c r="AR17" i="14"/>
  <c r="AR21" i="14"/>
  <c r="AR6" i="10"/>
  <c r="AR10" i="10"/>
  <c r="AV43" i="13"/>
  <c r="AN42" i="13"/>
  <c r="AN38" i="13"/>
  <c r="AN41" i="13"/>
  <c r="AN44" i="13"/>
  <c r="AN36" i="13"/>
  <c r="AN32" i="13"/>
  <c r="AU11" i="13"/>
  <c r="AJ12" i="13"/>
  <c r="AO15" i="13"/>
  <c r="AV15" i="13" s="1"/>
  <c r="AN18" i="13"/>
  <c r="AQ19" i="13"/>
  <c r="AT20" i="13"/>
  <c r="AJ20" i="13"/>
  <c r="AU20" i="13"/>
  <c r="AN21" i="13"/>
  <c r="AN22" i="13"/>
  <c r="AU24" i="13"/>
  <c r="AQ26" i="13"/>
  <c r="AN26" i="13"/>
  <c r="AR27" i="13"/>
  <c r="AB27" i="13"/>
  <c r="AQ33" i="13"/>
  <c r="AN33" i="13"/>
  <c r="AT33" i="13"/>
  <c r="AJ33" i="13"/>
  <c r="AR35" i="13"/>
  <c r="AJ36" i="13"/>
  <c r="AU39" i="13"/>
  <c r="AU43" i="13"/>
  <c r="AN46" i="13"/>
  <c r="AJ121" i="9"/>
  <c r="AJ125" i="9"/>
  <c r="AJ129" i="9"/>
  <c r="AJ133" i="9"/>
  <c r="AJ6" i="10"/>
  <c r="AR7" i="10"/>
  <c r="AJ10" i="10"/>
  <c r="AP45" i="13"/>
  <c r="AP29" i="13"/>
  <c r="AP44" i="13"/>
  <c r="AP36" i="13"/>
  <c r="AP28" i="13"/>
  <c r="AP43" i="13"/>
  <c r="AP27" i="13"/>
  <c r="AP13" i="13"/>
  <c r="AU3" i="13"/>
  <c r="AP6" i="13"/>
  <c r="AV6" i="13" s="1"/>
  <c r="AB8" i="13"/>
  <c r="AN12" i="13"/>
  <c r="AU12" i="13"/>
  <c r="AJ13" i="13"/>
  <c r="AU13" i="13"/>
  <c r="AJ14" i="13"/>
  <c r="AU14" i="13"/>
  <c r="AP15" i="13"/>
  <c r="AR16" i="13"/>
  <c r="AR19" i="13"/>
  <c r="AN20" i="13"/>
  <c r="AO21" i="13"/>
  <c r="AV21" i="13" s="1"/>
  <c r="AR22" i="13"/>
  <c r="AQ23" i="13"/>
  <c r="AU23" i="13"/>
  <c r="AJ24" i="13"/>
  <c r="AU27" i="13"/>
  <c r="AJ28" i="13"/>
  <c r="AO29" i="13"/>
  <c r="AU35" i="13"/>
  <c r="AQ38" i="13"/>
  <c r="AQ39" i="13"/>
  <c r="AR42" i="13"/>
  <c r="AB42" i="13"/>
  <c r="AR43" i="13"/>
  <c r="AR12" i="14"/>
  <c r="AR39" i="14"/>
  <c r="AJ43" i="13"/>
  <c r="AJ39" i="13"/>
  <c r="AJ35" i="13"/>
  <c r="AJ42" i="13"/>
  <c r="AJ38" i="13"/>
  <c r="AJ26" i="13"/>
  <c r="AJ41" i="13"/>
  <c r="AJ8" i="13"/>
  <c r="AQ15" i="13"/>
  <c r="AT16" i="13"/>
  <c r="AJ16" i="13"/>
  <c r="AQ18" i="13"/>
  <c r="AT19" i="13"/>
  <c r="AR21" i="13"/>
  <c r="AB21" i="13"/>
  <c r="AP21" i="13"/>
  <c r="AJ23" i="13"/>
  <c r="AN24" i="13"/>
  <c r="AQ27" i="13"/>
  <c r="AN28" i="13"/>
  <c r="AN29" i="13"/>
  <c r="AO30" i="13"/>
  <c r="AV30" i="13" s="1"/>
  <c r="AC30" i="13"/>
  <c r="AN30" i="13"/>
  <c r="AT30" i="13"/>
  <c r="AJ30" i="13"/>
  <c r="AR33" i="13"/>
  <c r="AQ35" i="13"/>
  <c r="AN39" i="13"/>
  <c r="AO44" i="13"/>
  <c r="AO45" i="13"/>
  <c r="AV45" i="13" s="1"/>
  <c r="AQ41" i="13"/>
  <c r="AU48" i="14"/>
  <c r="AU42" i="14"/>
  <c r="AU32" i="14"/>
  <c r="AU47" i="14"/>
  <c r="AU41" i="14"/>
  <c r="AU37" i="14"/>
  <c r="AU31" i="14"/>
  <c r="AU27" i="14"/>
  <c r="AJ6" i="14"/>
  <c r="AT6" i="14"/>
  <c r="AU9" i="14"/>
  <c r="AV9" i="14" s="1"/>
  <c r="AJ10" i="14"/>
  <c r="AT10" i="14"/>
  <c r="AU13" i="14"/>
  <c r="AJ14" i="14"/>
  <c r="AT14" i="14"/>
  <c r="AQ16" i="14"/>
  <c r="AP17" i="14"/>
  <c r="AV17" i="14" s="1"/>
  <c r="AQ20" i="14"/>
  <c r="AP21" i="14"/>
  <c r="AO22" i="14"/>
  <c r="AN23" i="14"/>
  <c r="AU23" i="14"/>
  <c r="AJ24" i="14"/>
  <c r="AT24" i="14"/>
  <c r="AQ27" i="14"/>
  <c r="AT28" i="14"/>
  <c r="AJ28" i="14"/>
  <c r="AU28" i="14"/>
  <c r="AP29" i="14"/>
  <c r="AV29" i="14" s="1"/>
  <c r="AP31" i="14"/>
  <c r="AO32" i="14"/>
  <c r="AU33" i="14"/>
  <c r="AN34" i="14"/>
  <c r="AO35" i="14"/>
  <c r="AO36" i="14"/>
  <c r="AJ37" i="14"/>
  <c r="AJ39" i="14"/>
  <c r="AN40" i="14"/>
  <c r="AO41" i="14"/>
  <c r="AT45" i="14"/>
  <c r="AJ45" i="14"/>
  <c r="AQ46" i="14"/>
  <c r="AJ47" i="14"/>
  <c r="AO48" i="14"/>
  <c r="AV7" i="19"/>
  <c r="AD33" i="13"/>
  <c r="AB41" i="13"/>
  <c r="AD45" i="13"/>
  <c r="AC46" i="13"/>
  <c r="AJ46" i="13"/>
  <c r="AT46" i="13"/>
  <c r="AQ3" i="14"/>
  <c r="AD6" i="14"/>
  <c r="AU6" i="14"/>
  <c r="AC7" i="14"/>
  <c r="AJ7" i="14"/>
  <c r="AT7" i="14"/>
  <c r="AD10" i="14"/>
  <c r="AU10" i="14"/>
  <c r="AP12" i="14"/>
  <c r="AD14" i="14"/>
  <c r="AU14" i="14"/>
  <c r="AC15" i="14"/>
  <c r="AJ15" i="14"/>
  <c r="AT15" i="14"/>
  <c r="AB16" i="14"/>
  <c r="AC19" i="14"/>
  <c r="AJ19" i="14"/>
  <c r="AT19" i="14"/>
  <c r="AV19" i="14" s="1"/>
  <c r="AB20" i="14"/>
  <c r="AP22" i="14"/>
  <c r="AD24" i="14"/>
  <c r="AU24" i="14"/>
  <c r="AC25" i="14"/>
  <c r="AJ25" i="14"/>
  <c r="AU25" i="14"/>
  <c r="AR27" i="14"/>
  <c r="AV27" i="14" s="1"/>
  <c r="AN28" i="14"/>
  <c r="AQ31" i="14"/>
  <c r="AB32" i="14"/>
  <c r="AP32" i="14"/>
  <c r="AN33" i="14"/>
  <c r="AR35" i="14"/>
  <c r="AT36" i="14"/>
  <c r="AC37" i="14"/>
  <c r="AN39" i="14"/>
  <c r="AN41" i="14"/>
  <c r="AQ44" i="14"/>
  <c r="AU44" i="14"/>
  <c r="AN45" i="14"/>
  <c r="AO46" i="14"/>
  <c r="AP47" i="14"/>
  <c r="AB48" i="14"/>
  <c r="AQ48" i="14"/>
  <c r="AQ7" i="15"/>
  <c r="AD7" i="14"/>
  <c r="AU7" i="14"/>
  <c r="AP9" i="14"/>
  <c r="AP13" i="14"/>
  <c r="AV13" i="14" s="1"/>
  <c r="AD15" i="14"/>
  <c r="AU15" i="14"/>
  <c r="AC16" i="14"/>
  <c r="AJ16" i="14"/>
  <c r="AB17" i="14"/>
  <c r="AD19" i="14"/>
  <c r="AU19" i="14"/>
  <c r="AC20" i="14"/>
  <c r="AJ20" i="14"/>
  <c r="AB21" i="14"/>
  <c r="AP23" i="14"/>
  <c r="AV23" i="14" s="1"/>
  <c r="AD25" i="14"/>
  <c r="AN25" i="14"/>
  <c r="AN27" i="14"/>
  <c r="AT27" i="14"/>
  <c r="AD28" i="14"/>
  <c r="AO28" i="14"/>
  <c r="AR29" i="14"/>
  <c r="AB29" i="14"/>
  <c r="AQ32" i="14"/>
  <c r="AO33" i="14"/>
  <c r="AR34" i="14"/>
  <c r="AV34" i="14" s="1"/>
  <c r="AB34" i="14"/>
  <c r="AQ35" i="14"/>
  <c r="AU36" i="14"/>
  <c r="AQ37" i="14"/>
  <c r="AO39" i="14"/>
  <c r="AO40" i="14"/>
  <c r="AJ41" i="14"/>
  <c r="AN42" i="14"/>
  <c r="AT42" i="14"/>
  <c r="AJ42" i="14"/>
  <c r="AR43" i="14"/>
  <c r="AB43" i="14"/>
  <c r="AC44" i="14"/>
  <c r="AJ44" i="14"/>
  <c r="AO45" i="14"/>
  <c r="AV45" i="14" s="1"/>
  <c r="AU46" i="14"/>
  <c r="AT6" i="15"/>
  <c r="AB35" i="13"/>
  <c r="AB39" i="13"/>
  <c r="AB43" i="13"/>
  <c r="AP48" i="14"/>
  <c r="AP46" i="14"/>
  <c r="AP40" i="14"/>
  <c r="AP36" i="14"/>
  <c r="AP45" i="14"/>
  <c r="AP39" i="14"/>
  <c r="AP35" i="14"/>
  <c r="AU3" i="14"/>
  <c r="AB12" i="14"/>
  <c r="AP14" i="14"/>
  <c r="AV14" i="14" s="1"/>
  <c r="AN16" i="14"/>
  <c r="AU16" i="14"/>
  <c r="AV16" i="14" s="1"/>
  <c r="AJ17" i="14"/>
  <c r="AN20" i="14"/>
  <c r="AU20" i="14"/>
  <c r="AV20" i="14" s="1"/>
  <c r="AJ21" i="14"/>
  <c r="AB22" i="14"/>
  <c r="AP24" i="14"/>
  <c r="AV24" i="14" s="1"/>
  <c r="AR25" i="14"/>
  <c r="AP28" i="14"/>
  <c r="AU29" i="14"/>
  <c r="AO31" i="14"/>
  <c r="AP33" i="14"/>
  <c r="AU35" i="14"/>
  <c r="AC41" i="14"/>
  <c r="AP41" i="14"/>
  <c r="AO42" i="14"/>
  <c r="AU43" i="14"/>
  <c r="AN44" i="14"/>
  <c r="AR10" i="15"/>
  <c r="AR9" i="15"/>
  <c r="AR3" i="15"/>
  <c r="AN8" i="16"/>
  <c r="AT8" i="16"/>
  <c r="AJ8" i="16"/>
  <c r="AV29" i="16"/>
  <c r="AV7" i="17"/>
  <c r="AJ43" i="14"/>
  <c r="AJ33" i="14"/>
  <c r="AJ29" i="14"/>
  <c r="AP7" i="14"/>
  <c r="AV7" i="14" s="1"/>
  <c r="AJ12" i="14"/>
  <c r="AP15" i="14"/>
  <c r="AV15" i="14" s="1"/>
  <c r="AN17" i="14"/>
  <c r="AU17" i="14"/>
  <c r="AP19" i="14"/>
  <c r="AN21" i="14"/>
  <c r="AU21" i="14"/>
  <c r="AV21" i="14" s="1"/>
  <c r="AJ22" i="14"/>
  <c r="AN29" i="14"/>
  <c r="AN31" i="14"/>
  <c r="AQ33" i="14"/>
  <c r="AQ34" i="14"/>
  <c r="AU34" i="14"/>
  <c r="AJ35" i="14"/>
  <c r="AN36" i="14"/>
  <c r="AQ39" i="14"/>
  <c r="AU40" i="14"/>
  <c r="AQ41" i="14"/>
  <c r="AP42" i="14"/>
  <c r="AN43" i="14"/>
  <c r="AU45" i="14"/>
  <c r="AJ46" i="14"/>
  <c r="AO47" i="14"/>
  <c r="AU3" i="15"/>
  <c r="AU7" i="15"/>
  <c r="AU10" i="15"/>
  <c r="AU6" i="15"/>
  <c r="AN7" i="15"/>
  <c r="AT7" i="15"/>
  <c r="AJ7" i="15"/>
  <c r="AV32" i="16"/>
  <c r="AV8" i="17"/>
  <c r="AU22" i="14"/>
  <c r="AJ31" i="14"/>
  <c r="AN32" i="14"/>
  <c r="AT32" i="14"/>
  <c r="AJ32" i="14"/>
  <c r="AR33" i="14"/>
  <c r="AB33" i="14"/>
  <c r="AJ34" i="14"/>
  <c r="AQ36" i="14"/>
  <c r="AN37" i="14"/>
  <c r="AU39" i="14"/>
  <c r="AJ40" i="14"/>
  <c r="AR44" i="14"/>
  <c r="AB44" i="14"/>
  <c r="AP44" i="14"/>
  <c r="AV44" i="14" s="1"/>
  <c r="AQ45" i="14"/>
  <c r="AQ47" i="14"/>
  <c r="AN47" i="14"/>
  <c r="AN48" i="14"/>
  <c r="AT48" i="14"/>
  <c r="AJ48" i="14"/>
  <c r="AD47" i="14"/>
  <c r="AD6" i="15"/>
  <c r="AD10" i="15"/>
  <c r="AR3" i="16"/>
  <c r="AD7" i="16"/>
  <c r="AU7" i="16"/>
  <c r="AB9" i="16"/>
  <c r="AD11" i="16"/>
  <c r="AU11" i="16"/>
  <c r="AB19" i="16"/>
  <c r="AP21" i="16"/>
  <c r="AJ26" i="16"/>
  <c r="AT26" i="16"/>
  <c r="AD29" i="16"/>
  <c r="AU29" i="16"/>
  <c r="AU3" i="17"/>
  <c r="AP6" i="17"/>
  <c r="AV6" i="17" s="1"/>
  <c r="AD8" i="17"/>
  <c r="AR3" i="18"/>
  <c r="AD7" i="18"/>
  <c r="AU7" i="18"/>
  <c r="AJ8" i="18"/>
  <c r="AT8" i="18"/>
  <c r="AB9" i="18"/>
  <c r="AD13" i="18"/>
  <c r="AU13" i="18"/>
  <c r="AJ14" i="18"/>
  <c r="AT14" i="18"/>
  <c r="AB15" i="18"/>
  <c r="AH1" i="19"/>
  <c r="AH2" i="19" s="1"/>
  <c r="AU42" i="19"/>
  <c r="AU41" i="19"/>
  <c r="AU25" i="19"/>
  <c r="AU21" i="19"/>
  <c r="AU36" i="19"/>
  <c r="AU32" i="19"/>
  <c r="AU28" i="19"/>
  <c r="AU18" i="19"/>
  <c r="AU14" i="19"/>
  <c r="AU43" i="19"/>
  <c r="AU39" i="19"/>
  <c r="AU35" i="19"/>
  <c r="AU31" i="19"/>
  <c r="AU27" i="19"/>
  <c r="AP3" i="19"/>
  <c r="AJ6" i="19"/>
  <c r="AT6" i="19"/>
  <c r="AB7" i="19"/>
  <c r="AD9" i="19"/>
  <c r="AU9" i="19"/>
  <c r="AD13" i="19"/>
  <c r="AU13" i="19"/>
  <c r="AJ14" i="19"/>
  <c r="AT14" i="19"/>
  <c r="AD15" i="19"/>
  <c r="AO15" i="19"/>
  <c r="AR19" i="19"/>
  <c r="AB19" i="19"/>
  <c r="AJ27" i="19"/>
  <c r="AQ28" i="19"/>
  <c r="AN28" i="19"/>
  <c r="AT28" i="19"/>
  <c r="AJ28" i="19"/>
  <c r="AR31" i="19"/>
  <c r="AQ35" i="19"/>
  <c r="AJ35" i="19"/>
  <c r="AU38" i="19"/>
  <c r="AQ42" i="19"/>
  <c r="AQ10" i="20"/>
  <c r="AQ13" i="20"/>
  <c r="AT27" i="20"/>
  <c r="AJ27" i="20"/>
  <c r="AN27" i="20"/>
  <c r="AD30" i="20"/>
  <c r="AQ30" i="20"/>
  <c r="AU3" i="16"/>
  <c r="AD8" i="16"/>
  <c r="AU8" i="16"/>
  <c r="AC9" i="16"/>
  <c r="AJ9" i="16"/>
  <c r="AB16" i="16"/>
  <c r="AC19" i="16"/>
  <c r="AJ19" i="16"/>
  <c r="AB20" i="16"/>
  <c r="AP22" i="16"/>
  <c r="AV22" i="16" s="1"/>
  <c r="AB24" i="16"/>
  <c r="AD26" i="16"/>
  <c r="AU26" i="16"/>
  <c r="AP32" i="16"/>
  <c r="AU3" i="18"/>
  <c r="AD8" i="18"/>
  <c r="AU8" i="18"/>
  <c r="AC9" i="18"/>
  <c r="AJ9" i="18"/>
  <c r="AB10" i="18"/>
  <c r="AD14" i="18"/>
  <c r="AU14" i="18"/>
  <c r="AC15" i="18"/>
  <c r="AJ15" i="18"/>
  <c r="AQ3" i="19"/>
  <c r="AD6" i="19"/>
  <c r="AU6" i="19"/>
  <c r="AC7" i="19"/>
  <c r="AJ7" i="19"/>
  <c r="AD14" i="19"/>
  <c r="AQ16" i="19"/>
  <c r="AU16" i="19"/>
  <c r="AQ18" i="19"/>
  <c r="AN18" i="19"/>
  <c r="AT18" i="19"/>
  <c r="AJ18" i="19"/>
  <c r="AU19" i="19"/>
  <c r="AC20" i="19"/>
  <c r="AJ20" i="19"/>
  <c r="AU23" i="19"/>
  <c r="AJ24" i="19"/>
  <c r="AD26" i="19"/>
  <c r="AC27" i="19"/>
  <c r="AB28" i="19"/>
  <c r="AO28" i="19"/>
  <c r="AV28" i="19" s="1"/>
  <c r="AU29" i="19"/>
  <c r="AO31" i="19"/>
  <c r="AQ32" i="19"/>
  <c r="AN32" i="19"/>
  <c r="AT32" i="19"/>
  <c r="AJ32" i="19"/>
  <c r="AD34" i="19"/>
  <c r="AP35" i="19"/>
  <c r="AR39" i="19"/>
  <c r="AR43" i="19"/>
  <c r="AJ46" i="20"/>
  <c r="AJ42" i="20"/>
  <c r="AJ56" i="20"/>
  <c r="AJ52" i="20"/>
  <c r="AJ48" i="20"/>
  <c r="AJ44" i="20"/>
  <c r="AJ40" i="20"/>
  <c r="AJ36" i="20"/>
  <c r="AJ49" i="20"/>
  <c r="AJ32" i="20"/>
  <c r="AJ29" i="20"/>
  <c r="AJ26" i="20"/>
  <c r="AJ25" i="20"/>
  <c r="AJ21" i="20"/>
  <c r="AJ11" i="20"/>
  <c r="AJ7" i="20"/>
  <c r="AJ57" i="20"/>
  <c r="AJ54" i="20"/>
  <c r="AJ17" i="20"/>
  <c r="AJ13" i="20"/>
  <c r="AJ53" i="20"/>
  <c r="AJ34" i="20"/>
  <c r="AQ8" i="20"/>
  <c r="AQ12" i="20"/>
  <c r="AQ17" i="20"/>
  <c r="AC25" i="20"/>
  <c r="AO25" i="20"/>
  <c r="AD27" i="20"/>
  <c r="AQ27" i="20"/>
  <c r="AO29" i="20"/>
  <c r="AC29" i="20"/>
  <c r="AR43" i="20"/>
  <c r="AB43" i="20"/>
  <c r="AC51" i="20"/>
  <c r="AO51" i="20"/>
  <c r="AN59" i="20"/>
  <c r="AT59" i="20"/>
  <c r="AJ59" i="20"/>
  <c r="AU9" i="16"/>
  <c r="AB13" i="16"/>
  <c r="AC16" i="16"/>
  <c r="AJ16" i="16"/>
  <c r="AB17" i="16"/>
  <c r="AD19" i="16"/>
  <c r="AU19" i="16"/>
  <c r="AV19" i="16" s="1"/>
  <c r="AC20" i="16"/>
  <c r="AJ20" i="16"/>
  <c r="AB21" i="16"/>
  <c r="AC24" i="16"/>
  <c r="AJ24" i="16"/>
  <c r="AB31" i="16"/>
  <c r="AO3" i="17"/>
  <c r="AB6" i="17"/>
  <c r="AD9" i="18"/>
  <c r="AU9" i="18"/>
  <c r="AC10" i="18"/>
  <c r="AJ10" i="18"/>
  <c r="AB11" i="18"/>
  <c r="AD15" i="18"/>
  <c r="AU15" i="18"/>
  <c r="AN42" i="19"/>
  <c r="AN43" i="19"/>
  <c r="AN39" i="19"/>
  <c r="AN35" i="19"/>
  <c r="AN31" i="19"/>
  <c r="AR3" i="19"/>
  <c r="AO6" i="19"/>
  <c r="AV6" i="19" s="1"/>
  <c r="AD7" i="19"/>
  <c r="AN7" i="19"/>
  <c r="AB11" i="19"/>
  <c r="AP13" i="19"/>
  <c r="AV13" i="19" s="1"/>
  <c r="AB18" i="19"/>
  <c r="AO18" i="19"/>
  <c r="AN20" i="19"/>
  <c r="AN21" i="19"/>
  <c r="AN23" i="19"/>
  <c r="AN24" i="19"/>
  <c r="AN25" i="19"/>
  <c r="AR26" i="19"/>
  <c r="AQ27" i="19"/>
  <c r="AN29" i="19"/>
  <c r="AQ31" i="19"/>
  <c r="AD31" i="19"/>
  <c r="AJ31" i="19"/>
  <c r="AB32" i="19"/>
  <c r="AR36" i="19"/>
  <c r="AO39" i="19"/>
  <c r="AR41" i="19"/>
  <c r="AC43" i="19"/>
  <c r="AO43" i="19"/>
  <c r="AV43" i="19" s="1"/>
  <c r="AQ36" i="20"/>
  <c r="AQ3" i="20"/>
  <c r="AQ32" i="20"/>
  <c r="AC7" i="20"/>
  <c r="AO7" i="20"/>
  <c r="AV7" i="20" s="1"/>
  <c r="AQ14" i="20"/>
  <c r="AC21" i="20"/>
  <c r="AO21" i="20"/>
  <c r="AQ25" i="20"/>
  <c r="AQ29" i="20"/>
  <c r="AQ34" i="20"/>
  <c r="AQ39" i="20"/>
  <c r="AC46" i="20"/>
  <c r="AO46" i="20"/>
  <c r="AR6" i="16"/>
  <c r="AJ13" i="16"/>
  <c r="AR14" i="16"/>
  <c r="AU16" i="16"/>
  <c r="AV16" i="16" s="1"/>
  <c r="AJ17" i="16"/>
  <c r="AN20" i="16"/>
  <c r="AU20" i="16"/>
  <c r="AJ21" i="16"/>
  <c r="AR22" i="16"/>
  <c r="AU24" i="16"/>
  <c r="AR28" i="16"/>
  <c r="AJ31" i="16"/>
  <c r="AR32" i="16"/>
  <c r="AJ6" i="17"/>
  <c r="AR6" i="18"/>
  <c r="AU10" i="18"/>
  <c r="AJ11" i="18"/>
  <c r="AP15" i="19"/>
  <c r="AP38" i="19"/>
  <c r="AP26" i="19"/>
  <c r="AP21" i="19"/>
  <c r="AV21" i="19" s="1"/>
  <c r="AP6" i="19"/>
  <c r="AJ11" i="19"/>
  <c r="AR12" i="19"/>
  <c r="AU15" i="19"/>
  <c r="AJ16" i="19"/>
  <c r="AP18" i="19"/>
  <c r="AN19" i="19"/>
  <c r="AJ21" i="19"/>
  <c r="AP24" i="19"/>
  <c r="AJ25" i="19"/>
  <c r="AU26" i="19"/>
  <c r="AP31" i="19"/>
  <c r="AU34" i="19"/>
  <c r="AQ39" i="19"/>
  <c r="AQ43" i="19"/>
  <c r="AQ7" i="20"/>
  <c r="AC11" i="20"/>
  <c r="AO11" i="20"/>
  <c r="AQ18" i="20"/>
  <c r="AQ21" i="20"/>
  <c r="AN23" i="20"/>
  <c r="AT23" i="20"/>
  <c r="AJ23" i="20"/>
  <c r="AB26" i="20"/>
  <c r="AR26" i="20"/>
  <c r="AQ31" i="20"/>
  <c r="AD38" i="20"/>
  <c r="AQ38" i="20"/>
  <c r="AJ38" i="20"/>
  <c r="AJ58" i="20"/>
  <c r="AD7" i="21"/>
  <c r="AQ7" i="21"/>
  <c r="AD7" i="22"/>
  <c r="AQ7" i="22"/>
  <c r="AN7" i="22"/>
  <c r="AJ7" i="22"/>
  <c r="AT7" i="22"/>
  <c r="AR11" i="16"/>
  <c r="AU13" i="16"/>
  <c r="AJ14" i="16"/>
  <c r="AU17" i="16"/>
  <c r="AU21" i="16"/>
  <c r="AV21" i="16" s="1"/>
  <c r="AJ22" i="16"/>
  <c r="AJ28" i="16"/>
  <c r="AU31" i="16"/>
  <c r="AJ32" i="16"/>
  <c r="AN6" i="17"/>
  <c r="AJ43" i="19"/>
  <c r="AJ29" i="19"/>
  <c r="AJ23" i="19"/>
  <c r="AR9" i="19"/>
  <c r="AJ12" i="19"/>
  <c r="AT15" i="19"/>
  <c r="AJ15" i="19"/>
  <c r="AN16" i="19"/>
  <c r="AO24" i="19"/>
  <c r="AV24" i="19" s="1"/>
  <c r="AR27" i="19"/>
  <c r="AR35" i="19"/>
  <c r="AN38" i="19"/>
  <c r="AP39" i="19"/>
  <c r="AJ1" i="20"/>
  <c r="AH1" i="20"/>
  <c r="AH2" i="20" s="1"/>
  <c r="AN15" i="20"/>
  <c r="AT15" i="20"/>
  <c r="AJ15" i="20"/>
  <c r="AN19" i="20"/>
  <c r="AT19" i="20"/>
  <c r="AJ19" i="20"/>
  <c r="AQ24" i="20"/>
  <c r="AQ26" i="20"/>
  <c r="AQ52" i="20"/>
  <c r="AU14" i="16"/>
  <c r="AU22" i="16"/>
  <c r="AU28" i="16"/>
  <c r="AR42" i="19"/>
  <c r="AR38" i="19"/>
  <c r="AR34" i="19"/>
  <c r="AR24" i="19"/>
  <c r="AR20" i="19"/>
  <c r="AR6" i="19"/>
  <c r="AR14" i="19"/>
  <c r="AR16" i="19"/>
  <c r="AQ20" i="19"/>
  <c r="AR21" i="19"/>
  <c r="AR23" i="19"/>
  <c r="AB23" i="19"/>
  <c r="AQ23" i="19"/>
  <c r="AQ24" i="19"/>
  <c r="AT26" i="19"/>
  <c r="AJ26" i="19"/>
  <c r="AR29" i="19"/>
  <c r="AB29" i="19"/>
  <c r="AQ29" i="19"/>
  <c r="AO35" i="19"/>
  <c r="AV35" i="19" s="1"/>
  <c r="AQ36" i="19"/>
  <c r="AN36" i="19"/>
  <c r="AT36" i="19"/>
  <c r="AJ36" i="19"/>
  <c r="AN41" i="19"/>
  <c r="AT41" i="19"/>
  <c r="AJ41" i="19"/>
  <c r="AR8" i="20"/>
  <c r="AB8" i="20"/>
  <c r="AR12" i="20"/>
  <c r="AB12" i="20"/>
  <c r="AN30" i="20"/>
  <c r="AJ30" i="20"/>
  <c r="AR32" i="20"/>
  <c r="AV32" i="20" s="1"/>
  <c r="AB32" i="20"/>
  <c r="AO26" i="19"/>
  <c r="AV26" i="19" s="1"/>
  <c r="AO34" i="19"/>
  <c r="AV34" i="19" s="1"/>
  <c r="AD35" i="19"/>
  <c r="AO38" i="19"/>
  <c r="AD39" i="19"/>
  <c r="AO42" i="19"/>
  <c r="AV42" i="19" s="1"/>
  <c r="AD43" i="19"/>
  <c r="AN51" i="20"/>
  <c r="AN46" i="20"/>
  <c r="AR3" i="20"/>
  <c r="AO6" i="20"/>
  <c r="AD7" i="20"/>
  <c r="AN7" i="20"/>
  <c r="AJ8" i="20"/>
  <c r="AT8" i="20"/>
  <c r="AO10" i="20"/>
  <c r="AV10" i="20" s="1"/>
  <c r="AD11" i="20"/>
  <c r="AN11" i="20"/>
  <c r="AU11" i="20"/>
  <c r="AJ12" i="20"/>
  <c r="AT12" i="20"/>
  <c r="AB13" i="20"/>
  <c r="AB17" i="20"/>
  <c r="AO20" i="20"/>
  <c r="AV20" i="20" s="1"/>
  <c r="AD21" i="20"/>
  <c r="AN21" i="20"/>
  <c r="AU21" i="20"/>
  <c r="AO24" i="20"/>
  <c r="AV24" i="20" s="1"/>
  <c r="AD25" i="20"/>
  <c r="AN25" i="20"/>
  <c r="AU25" i="20"/>
  <c r="AC26" i="20"/>
  <c r="AN29" i="20"/>
  <c r="AT31" i="20"/>
  <c r="AJ31" i="20"/>
  <c r="AU31" i="20"/>
  <c r="AN32" i="20"/>
  <c r="AQ35" i="20"/>
  <c r="AN35" i="20"/>
  <c r="AT35" i="20"/>
  <c r="AJ35" i="20"/>
  <c r="AR38" i="20"/>
  <c r="AR39" i="20"/>
  <c r="AB39" i="20"/>
  <c r="AQ42" i="20"/>
  <c r="AN47" i="20"/>
  <c r="AQ48" i="20"/>
  <c r="AN49" i="20"/>
  <c r="AR52" i="20"/>
  <c r="AB52" i="20"/>
  <c r="AU52" i="20"/>
  <c r="AN54" i="20"/>
  <c r="AU7" i="21"/>
  <c r="AU11" i="21"/>
  <c r="AU10" i="21"/>
  <c r="AU9" i="21"/>
  <c r="AU8" i="21"/>
  <c r="AU6" i="21"/>
  <c r="AU3" i="21"/>
  <c r="AC8" i="21"/>
  <c r="AO8" i="21"/>
  <c r="AV8" i="21" s="1"/>
  <c r="AC6" i="26"/>
  <c r="AO6" i="26"/>
  <c r="AC12" i="26"/>
  <c r="AO12" i="26"/>
  <c r="AC24" i="26"/>
  <c r="AO24" i="26"/>
  <c r="AD27" i="26"/>
  <c r="AQ27" i="26"/>
  <c r="AJ19" i="19"/>
  <c r="AQ21" i="19"/>
  <c r="AQ25" i="19"/>
  <c r="AQ41" i="19"/>
  <c r="AP57" i="20"/>
  <c r="AP53" i="20"/>
  <c r="AP56" i="20"/>
  <c r="AP52" i="20"/>
  <c r="AP40" i="20"/>
  <c r="AP59" i="20"/>
  <c r="AP54" i="20"/>
  <c r="AV54" i="20" s="1"/>
  <c r="AP6" i="20"/>
  <c r="AU12" i="20"/>
  <c r="AR14" i="20"/>
  <c r="AV14" i="20" s="1"/>
  <c r="AQ15" i="20"/>
  <c r="AQ19" i="20"/>
  <c r="AP20" i="20"/>
  <c r="AQ23" i="20"/>
  <c r="AP26" i="20"/>
  <c r="AV26" i="20" s="1"/>
  <c r="AP29" i="20"/>
  <c r="AN31" i="20"/>
  <c r="AP34" i="20"/>
  <c r="AO35" i="20"/>
  <c r="AU36" i="20"/>
  <c r="AN38" i="20"/>
  <c r="AN39" i="20"/>
  <c r="AQ40" i="20"/>
  <c r="AR44" i="20"/>
  <c r="AB44" i="20"/>
  <c r="AR46" i="20"/>
  <c r="AQ47" i="20"/>
  <c r="AN48" i="20"/>
  <c r="AR51" i="20"/>
  <c r="AB51" i="20"/>
  <c r="AN53" i="20"/>
  <c r="AR56" i="20"/>
  <c r="AB56" i="20"/>
  <c r="AU56" i="20"/>
  <c r="AN58" i="20"/>
  <c r="AJ6" i="21"/>
  <c r="AN7" i="21"/>
  <c r="AT7" i="21"/>
  <c r="AJ7" i="21"/>
  <c r="AQ8" i="21"/>
  <c r="AR9" i="21"/>
  <c r="AD11" i="21"/>
  <c r="AQ11" i="21"/>
  <c r="AN11" i="21"/>
  <c r="AJ11" i="21"/>
  <c r="AR8" i="25"/>
  <c r="AB8" i="25"/>
  <c r="AN10" i="26"/>
  <c r="AT10" i="26"/>
  <c r="AJ10" i="26"/>
  <c r="AD23" i="26"/>
  <c r="AQ23" i="26"/>
  <c r="AQ10" i="26"/>
  <c r="AR57" i="20"/>
  <c r="AR53" i="20"/>
  <c r="AR49" i="20"/>
  <c r="AR6" i="20"/>
  <c r="AR10" i="20"/>
  <c r="AN14" i="20"/>
  <c r="AN18" i="20"/>
  <c r="AU18" i="20"/>
  <c r="AV18" i="20" s="1"/>
  <c r="AR20" i="20"/>
  <c r="AR24" i="20"/>
  <c r="AR29" i="20"/>
  <c r="AP31" i="20"/>
  <c r="AV31" i="20" s="1"/>
  <c r="AR35" i="20"/>
  <c r="AP39" i="20"/>
  <c r="AV39" i="20" s="1"/>
  <c r="AO40" i="20"/>
  <c r="AN43" i="20"/>
  <c r="AQ44" i="20"/>
  <c r="AQ46" i="20"/>
  <c r="AQ49" i="20"/>
  <c r="AU49" i="20"/>
  <c r="AQ51" i="20"/>
  <c r="AN52" i="20"/>
  <c r="AO53" i="20"/>
  <c r="AV53" i="20" s="1"/>
  <c r="AQ56" i="20"/>
  <c r="AQ59" i="20"/>
  <c r="AR11" i="21"/>
  <c r="AO9" i="22"/>
  <c r="AO3" i="22"/>
  <c r="AO6" i="22"/>
  <c r="AC20" i="26"/>
  <c r="AO20" i="26"/>
  <c r="AR63" i="26"/>
  <c r="AB63" i="26"/>
  <c r="AB27" i="19"/>
  <c r="AB31" i="19"/>
  <c r="AJ34" i="19"/>
  <c r="AB35" i="19"/>
  <c r="AJ38" i="19"/>
  <c r="AB39" i="19"/>
  <c r="AJ42" i="19"/>
  <c r="AB43" i="19"/>
  <c r="AU59" i="20"/>
  <c r="AU58" i="20"/>
  <c r="AU54" i="20"/>
  <c r="AU51" i="20"/>
  <c r="AU47" i="20"/>
  <c r="AU43" i="20"/>
  <c r="AU39" i="20"/>
  <c r="AU35" i="20"/>
  <c r="AU46" i="20"/>
  <c r="AU42" i="20"/>
  <c r="AU38" i="20"/>
  <c r="AU34" i="20"/>
  <c r="AU30" i="20"/>
  <c r="AV30" i="20" s="1"/>
  <c r="AU26" i="20"/>
  <c r="AP3" i="20"/>
  <c r="AJ6" i="20"/>
  <c r="AB7" i="20"/>
  <c r="AJ10" i="20"/>
  <c r="AB11" i="20"/>
  <c r="AU15" i="20"/>
  <c r="AU19" i="20"/>
  <c r="AJ20" i="20"/>
  <c r="AB21" i="20"/>
  <c r="AU23" i="20"/>
  <c r="AV23" i="20" s="1"/>
  <c r="AJ24" i="20"/>
  <c r="AB25" i="20"/>
  <c r="AN26" i="20"/>
  <c r="AT26" i="20"/>
  <c r="AO27" i="20"/>
  <c r="AV27" i="20" s="1"/>
  <c r="AC30" i="20"/>
  <c r="AR34" i="20"/>
  <c r="AB34" i="20"/>
  <c r="AR42" i="20"/>
  <c r="AN42" i="20"/>
  <c r="AQ43" i="20"/>
  <c r="AO43" i="20"/>
  <c r="AN44" i="20"/>
  <c r="AR48" i="20"/>
  <c r="AB48" i="20"/>
  <c r="AP51" i="20"/>
  <c r="AO52" i="20"/>
  <c r="AV52" i="20" s="1"/>
  <c r="AQ53" i="20"/>
  <c r="AN56" i="20"/>
  <c r="AO57" i="20"/>
  <c r="AV57" i="20" s="1"/>
  <c r="AU57" i="20"/>
  <c r="AR59" i="20"/>
  <c r="AR6" i="21"/>
  <c r="AR7" i="21"/>
  <c r="AR7" i="26"/>
  <c r="AB7" i="26"/>
  <c r="AN9" i="26"/>
  <c r="AJ9" i="26"/>
  <c r="AT9" i="26"/>
  <c r="AR13" i="26"/>
  <c r="AB13" i="26"/>
  <c r="AR33" i="26"/>
  <c r="AB33" i="26"/>
  <c r="AP30" i="20"/>
  <c r="AR31" i="20"/>
  <c r="AU32" i="20"/>
  <c r="AO34" i="20"/>
  <c r="AV34" i="20" s="1"/>
  <c r="AN34" i="20"/>
  <c r="AR36" i="20"/>
  <c r="AB36" i="20"/>
  <c r="AR40" i="20"/>
  <c r="AB40" i="20"/>
  <c r="AU40" i="20"/>
  <c r="AC42" i="20"/>
  <c r="AO42" i="20"/>
  <c r="AP42" i="20"/>
  <c r="AP43" i="20"/>
  <c r="AR47" i="20"/>
  <c r="AB47" i="20"/>
  <c r="AU48" i="20"/>
  <c r="AO56" i="20"/>
  <c r="AQ57" i="20"/>
  <c r="AR58" i="20"/>
  <c r="AN9" i="21"/>
  <c r="AJ9" i="21"/>
  <c r="AQ10" i="21"/>
  <c r="AD10" i="21"/>
  <c r="AN10" i="21"/>
  <c r="AJ10" i="21"/>
  <c r="AV9" i="23"/>
  <c r="AR6" i="26"/>
  <c r="AB6" i="26"/>
  <c r="AR12" i="26"/>
  <c r="AB12" i="26"/>
  <c r="AD39" i="26"/>
  <c r="AQ39" i="26"/>
  <c r="AJ39" i="20"/>
  <c r="AT39" i="20"/>
  <c r="AJ43" i="20"/>
  <c r="AT43" i="20"/>
  <c r="AJ47" i="20"/>
  <c r="AT47" i="20"/>
  <c r="AJ51" i="20"/>
  <c r="AO59" i="20"/>
  <c r="AV59" i="20" s="1"/>
  <c r="AO7" i="21"/>
  <c r="AV7" i="21" s="1"/>
  <c r="AO9" i="21"/>
  <c r="AV9" i="21" s="1"/>
  <c r="AN8" i="22"/>
  <c r="AN9" i="22"/>
  <c r="AT9" i="22"/>
  <c r="AJ9" i="22"/>
  <c r="AJ6" i="23"/>
  <c r="AR8" i="23"/>
  <c r="AB8" i="23"/>
  <c r="AJ10" i="23"/>
  <c r="AU8" i="24"/>
  <c r="AU3" i="24"/>
  <c r="AU7" i="24"/>
  <c r="AU9" i="24"/>
  <c r="AQ9" i="24"/>
  <c r="AN6" i="25"/>
  <c r="AT6" i="25"/>
  <c r="AJ6" i="25"/>
  <c r="AC7" i="25"/>
  <c r="AO7" i="25"/>
  <c r="AV7" i="25" s="1"/>
  <c r="AQ9" i="25"/>
  <c r="AP6" i="26"/>
  <c r="AC11" i="26"/>
  <c r="AO11" i="26"/>
  <c r="AP11" i="26"/>
  <c r="AP12" i="26"/>
  <c r="AO14" i="26"/>
  <c r="AJ17" i="26"/>
  <c r="AQ54" i="20"/>
  <c r="AQ58" i="20"/>
  <c r="AQ6" i="21"/>
  <c r="AR8" i="21"/>
  <c r="AB8" i="21"/>
  <c r="AU9" i="22"/>
  <c r="AU8" i="22"/>
  <c r="AU3" i="22"/>
  <c r="AJ8" i="22"/>
  <c r="AQ8" i="24"/>
  <c r="AJ1" i="25"/>
  <c r="AH1" i="25"/>
  <c r="AH2" i="25" s="1"/>
  <c r="AQ7" i="25"/>
  <c r="AQ11" i="26"/>
  <c r="AN27" i="26"/>
  <c r="AB38" i="20"/>
  <c r="AB42" i="20"/>
  <c r="AB46" i="20"/>
  <c r="AU6" i="22"/>
  <c r="AT8" i="22"/>
  <c r="AR3" i="23"/>
  <c r="AR9" i="23"/>
  <c r="AN8" i="24"/>
  <c r="AT8" i="24"/>
  <c r="AJ8" i="24"/>
  <c r="AC9" i="24"/>
  <c r="AO9" i="24"/>
  <c r="AV9" i="24" s="1"/>
  <c r="AJ7" i="25"/>
  <c r="AJ8" i="25"/>
  <c r="AR6" i="25"/>
  <c r="AR9" i="25"/>
  <c r="AB9" i="25"/>
  <c r="AO55" i="26"/>
  <c r="AO51" i="26"/>
  <c r="AO47" i="26"/>
  <c r="AO31" i="26"/>
  <c r="AO33" i="26"/>
  <c r="AO17" i="26"/>
  <c r="AO3" i="26"/>
  <c r="AO53" i="26"/>
  <c r="AV53" i="26" s="1"/>
  <c r="AO25" i="26"/>
  <c r="AO10" i="26"/>
  <c r="AN45" i="26"/>
  <c r="AN39" i="26"/>
  <c r="AN51" i="26"/>
  <c r="AN47" i="26"/>
  <c r="AN29" i="26"/>
  <c r="AN63" i="26"/>
  <c r="AN57" i="26"/>
  <c r="AN34" i="26"/>
  <c r="AN54" i="26"/>
  <c r="AN42" i="26"/>
  <c r="AN12" i="26"/>
  <c r="AN6" i="26"/>
  <c r="AN11" i="26"/>
  <c r="AN14" i="26"/>
  <c r="AO15" i="26"/>
  <c r="AT20" i="26"/>
  <c r="AJ20" i="26"/>
  <c r="AN20" i="26"/>
  <c r="AN30" i="26"/>
  <c r="AR37" i="26"/>
  <c r="AB37" i="26"/>
  <c r="AN50" i="26"/>
  <c r="AN6" i="27"/>
  <c r="AT6" i="27"/>
  <c r="AJ6" i="27"/>
  <c r="AO8" i="22"/>
  <c r="AU10" i="23"/>
  <c r="AU6" i="23"/>
  <c r="AV6" i="23" s="1"/>
  <c r="AU3" i="23"/>
  <c r="AU8" i="23"/>
  <c r="AQ8" i="25"/>
  <c r="AP55" i="26"/>
  <c r="AP51" i="26"/>
  <c r="AP47" i="26"/>
  <c r="AP29" i="26"/>
  <c r="AP17" i="26"/>
  <c r="AP50" i="26"/>
  <c r="AP53" i="26"/>
  <c r="AP33" i="26"/>
  <c r="AP25" i="26"/>
  <c r="AP31" i="26"/>
  <c r="AP19" i="26"/>
  <c r="AV19" i="26" s="1"/>
  <c r="AP48" i="26"/>
  <c r="AP30" i="26"/>
  <c r="AP20" i="26"/>
  <c r="AP18" i="26"/>
  <c r="AP14" i="26"/>
  <c r="AP8" i="26"/>
  <c r="AV8" i="26" s="1"/>
  <c r="AP7" i="26"/>
  <c r="AV7" i="26" s="1"/>
  <c r="AP32" i="26"/>
  <c r="AP10" i="26"/>
  <c r="AP24" i="26"/>
  <c r="AP9" i="26"/>
  <c r="AV9" i="26" s="1"/>
  <c r="AP3" i="26"/>
  <c r="AP15" i="26"/>
  <c r="AN18" i="26"/>
  <c r="AN22" i="26"/>
  <c r="AR25" i="26"/>
  <c r="AB25" i="26"/>
  <c r="AO29" i="26"/>
  <c r="AN58" i="26"/>
  <c r="AP6" i="23"/>
  <c r="AN7" i="25"/>
  <c r="AU65" i="26"/>
  <c r="AU61" i="26"/>
  <c r="AU45" i="26"/>
  <c r="AU39" i="26"/>
  <c r="AU31" i="26"/>
  <c r="AU27" i="26"/>
  <c r="AU23" i="26"/>
  <c r="AU19" i="26"/>
  <c r="AU15" i="26"/>
  <c r="AU60" i="26"/>
  <c r="AU48" i="26"/>
  <c r="AU44" i="26"/>
  <c r="AU59" i="26"/>
  <c r="AU55" i="26"/>
  <c r="AU51" i="26"/>
  <c r="AU47" i="26"/>
  <c r="AU43" i="26"/>
  <c r="AU29" i="26"/>
  <c r="AU63" i="26"/>
  <c r="AU57" i="26"/>
  <c r="AU53" i="26"/>
  <c r="AU41" i="26"/>
  <c r="AU37" i="26"/>
  <c r="AU33" i="26"/>
  <c r="AU25" i="26"/>
  <c r="AU62" i="26"/>
  <c r="AU40" i="26"/>
  <c r="AU36" i="26"/>
  <c r="AU32" i="26"/>
  <c r="AU11" i="26"/>
  <c r="AN15" i="26"/>
  <c r="AT15" i="26"/>
  <c r="AQ17" i="26"/>
  <c r="AO18" i="26"/>
  <c r="AQ18" i="26"/>
  <c r="AN19" i="26"/>
  <c r="AR20" i="26"/>
  <c r="AO22" i="26"/>
  <c r="AC22" i="26"/>
  <c r="AR23" i="26"/>
  <c r="AB23" i="26"/>
  <c r="AO30" i="26"/>
  <c r="AN31" i="26"/>
  <c r="AQ32" i="26"/>
  <c r="AT32" i="26"/>
  <c r="AJ32" i="26"/>
  <c r="AN32" i="26"/>
  <c r="AC36" i="26"/>
  <c r="AO36" i="26"/>
  <c r="AV36" i="26" s="1"/>
  <c r="AR39" i="26"/>
  <c r="AQ41" i="26"/>
  <c r="AQ42" i="26"/>
  <c r="AJ43" i="26"/>
  <c r="AQ44" i="26"/>
  <c r="AN44" i="26"/>
  <c r="AT44" i="26"/>
  <c r="AJ44" i="26"/>
  <c r="AR47" i="26"/>
  <c r="AQ48" i="26"/>
  <c r="AN48" i="26"/>
  <c r="AT48" i="26"/>
  <c r="AJ48" i="26"/>
  <c r="AO50" i="26"/>
  <c r="AJ51" i="26"/>
  <c r="AN53" i="26"/>
  <c r="AQ54" i="26"/>
  <c r="AJ55" i="26"/>
  <c r="AN59" i="26"/>
  <c r="AQ62" i="26"/>
  <c r="AN65" i="26"/>
  <c r="AQ8" i="22"/>
  <c r="AQ6" i="23"/>
  <c r="AJ8" i="23"/>
  <c r="AQ10" i="23"/>
  <c r="AR6" i="24"/>
  <c r="AQ7" i="24"/>
  <c r="AJ9" i="25"/>
  <c r="AU6" i="26"/>
  <c r="AJ7" i="26"/>
  <c r="AQ9" i="26"/>
  <c r="AU12" i="26"/>
  <c r="AJ13" i="26"/>
  <c r="AR14" i="26"/>
  <c r="AJ15" i="26"/>
  <c r="AR17" i="26"/>
  <c r="AR18" i="26"/>
  <c r="AJ19" i="26"/>
  <c r="AU20" i="26"/>
  <c r="AQ22" i="26"/>
  <c r="AT22" i="26"/>
  <c r="AJ22" i="26"/>
  <c r="AN23" i="26"/>
  <c r="AR24" i="26"/>
  <c r="AQ25" i="26"/>
  <c r="AR27" i="26"/>
  <c r="AJ29" i="26"/>
  <c r="AQ30" i="26"/>
  <c r="AT30" i="26"/>
  <c r="AJ30" i="26"/>
  <c r="AJ31" i="26"/>
  <c r="AU34" i="26"/>
  <c r="AQ36" i="26"/>
  <c r="AC40" i="26"/>
  <c r="AO40" i="26"/>
  <c r="AV40" i="26" s="1"/>
  <c r="AR48" i="26"/>
  <c r="AQ50" i="26"/>
  <c r="AQ53" i="26"/>
  <c r="AQ57" i="26"/>
  <c r="AQ58" i="26"/>
  <c r="AQ60" i="26"/>
  <c r="AN60" i="26"/>
  <c r="AT60" i="26"/>
  <c r="AJ60" i="26"/>
  <c r="AP8" i="23"/>
  <c r="AV8" i="23" s="1"/>
  <c r="AB9" i="24"/>
  <c r="AB7" i="25"/>
  <c r="AJ65" i="26"/>
  <c r="AJ61" i="26"/>
  <c r="AJ45" i="26"/>
  <c r="AJ39" i="26"/>
  <c r="AJ63" i="26"/>
  <c r="AJ57" i="26"/>
  <c r="AJ53" i="26"/>
  <c r="AJ41" i="26"/>
  <c r="AJ37" i="26"/>
  <c r="AJ33" i="26"/>
  <c r="AU9" i="26"/>
  <c r="AB11" i="26"/>
  <c r="AQ15" i="26"/>
  <c r="AQ24" i="26"/>
  <c r="AT24" i="26"/>
  <c r="AJ24" i="26"/>
  <c r="AN25" i="26"/>
  <c r="AU30" i="26"/>
  <c r="AN33" i="26"/>
  <c r="AQ34" i="26"/>
  <c r="AN37" i="26"/>
  <c r="AR41" i="26"/>
  <c r="AB41" i="26"/>
  <c r="AR43" i="26"/>
  <c r="AR51" i="26"/>
  <c r="AR55" i="26"/>
  <c r="AU58" i="26"/>
  <c r="AR61" i="26"/>
  <c r="AQ63" i="26"/>
  <c r="AJ9" i="24"/>
  <c r="AR62" i="26"/>
  <c r="AR40" i="26"/>
  <c r="AR36" i="26"/>
  <c r="AR58" i="26"/>
  <c r="AR54" i="26"/>
  <c r="AR50" i="26"/>
  <c r="AR42" i="26"/>
  <c r="AR34" i="26"/>
  <c r="AU10" i="26"/>
  <c r="AJ11" i="26"/>
  <c r="AT19" i="26"/>
  <c r="AU22" i="26"/>
  <c r="AN24" i="26"/>
  <c r="AJ25" i="26"/>
  <c r="AR29" i="26"/>
  <c r="AB29" i="26"/>
  <c r="AR31" i="26"/>
  <c r="AC32" i="26"/>
  <c r="AO32" i="26"/>
  <c r="AV32" i="26" s="1"/>
  <c r="AQ33" i="26"/>
  <c r="AD33" i="26"/>
  <c r="AQ37" i="26"/>
  <c r="AN41" i="26"/>
  <c r="AN43" i="26"/>
  <c r="AO48" i="26"/>
  <c r="AV48" i="26" s="1"/>
  <c r="AR53" i="26"/>
  <c r="AB53" i="26"/>
  <c r="AN55" i="26"/>
  <c r="AR57" i="26"/>
  <c r="AB57" i="26"/>
  <c r="AR59" i="26"/>
  <c r="AN61" i="26"/>
  <c r="AC62" i="26"/>
  <c r="AO62" i="26"/>
  <c r="AV62" i="26" s="1"/>
  <c r="AR65" i="26"/>
  <c r="AR6" i="27"/>
  <c r="AQ29" i="26"/>
  <c r="AN36" i="26"/>
  <c r="AN40" i="26"/>
  <c r="AQ43" i="26"/>
  <c r="AQ47" i="26"/>
  <c r="AQ51" i="26"/>
  <c r="AQ55" i="26"/>
  <c r="AQ59" i="26"/>
  <c r="AN62" i="26"/>
  <c r="AC34" i="26"/>
  <c r="AJ34" i="26"/>
  <c r="AD37" i="26"/>
  <c r="AD41" i="26"/>
  <c r="AC42" i="26"/>
  <c r="AJ42" i="26"/>
  <c r="AB43" i="26"/>
  <c r="AB47" i="26"/>
  <c r="AC50" i="26"/>
  <c r="AJ50" i="26"/>
  <c r="AB51" i="26"/>
  <c r="AD53" i="26"/>
  <c r="AC54" i="26"/>
  <c r="AJ54" i="26"/>
  <c r="AB55" i="26"/>
  <c r="AD57" i="26"/>
  <c r="AC58" i="26"/>
  <c r="AJ58" i="26"/>
  <c r="AB59" i="26"/>
  <c r="AD63" i="26"/>
  <c r="AB27" i="26"/>
  <c r="AC30" i="26"/>
  <c r="AB31" i="26"/>
  <c r="AB39" i="26"/>
  <c r="AC44" i="26"/>
  <c r="AB45" i="26"/>
  <c r="AC48" i="26"/>
  <c r="AC60" i="26"/>
  <c r="AB61" i="26"/>
  <c r="AB65" i="26"/>
  <c r="AC6" i="27"/>
  <c r="AJ36" i="26"/>
  <c r="AJ40" i="26"/>
  <c r="AJ62" i="26"/>
  <c r="AV338" i="1" l="1"/>
  <c r="AV340" i="1"/>
  <c r="AV142" i="1"/>
  <c r="AV116" i="1"/>
  <c r="AV110" i="1"/>
  <c r="AV104" i="1"/>
  <c r="AV84" i="1"/>
  <c r="AV94" i="1"/>
  <c r="AV22" i="26"/>
  <c r="AV10" i="26"/>
  <c r="AV31" i="26"/>
  <c r="AV35" i="20"/>
  <c r="AV21" i="20"/>
  <c r="AV39" i="19"/>
  <c r="AV25" i="20"/>
  <c r="AV31" i="19"/>
  <c r="AV39" i="14"/>
  <c r="AV33" i="14"/>
  <c r="AV36" i="14"/>
  <c r="AV130" i="9"/>
  <c r="AV119" i="9"/>
  <c r="AV85" i="9"/>
  <c r="AV14" i="9"/>
  <c r="AV18" i="9"/>
  <c r="AV75" i="9"/>
  <c r="AV50" i="9"/>
  <c r="AV84" i="9"/>
  <c r="AV19" i="9"/>
  <c r="AV25" i="26"/>
  <c r="AV47" i="26"/>
  <c r="AV43" i="20"/>
  <c r="AV24" i="26"/>
  <c r="AV15" i="19"/>
  <c r="AV35" i="14"/>
  <c r="AV27" i="13"/>
  <c r="AV28" i="13"/>
  <c r="AV126" i="9"/>
  <c r="AV103" i="9"/>
  <c r="AV115" i="9"/>
  <c r="AV22" i="9"/>
  <c r="AV80" i="9"/>
  <c r="AV54" i="9"/>
  <c r="AV110" i="9"/>
  <c r="AV114" i="9"/>
  <c r="AV30" i="26"/>
  <c r="AV51" i="26"/>
  <c r="AV6" i="22"/>
  <c r="AV11" i="20"/>
  <c r="AV18" i="19"/>
  <c r="AV41" i="14"/>
  <c r="AV14" i="13"/>
  <c r="AV36" i="13"/>
  <c r="AV102" i="9"/>
  <c r="AV89" i="9"/>
  <c r="AV60" i="9"/>
  <c r="AV124" i="9"/>
  <c r="AV7" i="8"/>
  <c r="AV44" i="9"/>
  <c r="AV69" i="9"/>
  <c r="AV14" i="26"/>
  <c r="AV15" i="26"/>
  <c r="AV55" i="26"/>
  <c r="AV12" i="26"/>
  <c r="AV6" i="20"/>
  <c r="AV29" i="20"/>
  <c r="AV46" i="14"/>
  <c r="AV48" i="14"/>
  <c r="AV22" i="14"/>
  <c r="AV44" i="13"/>
  <c r="AV16" i="13"/>
  <c r="AV13" i="13"/>
  <c r="AV10" i="6"/>
  <c r="AV104" i="9"/>
  <c r="AV16" i="9"/>
  <c r="AV64" i="9"/>
  <c r="AV100" i="9"/>
  <c r="AV99" i="9"/>
  <c r="AV12" i="6"/>
  <c r="AV18" i="26"/>
  <c r="AV8" i="22"/>
  <c r="AV17" i="26"/>
  <c r="AV56" i="20"/>
  <c r="AV42" i="20"/>
  <c r="AV9" i="22"/>
  <c r="AV40" i="20"/>
  <c r="AV51" i="20"/>
  <c r="AV47" i="14"/>
  <c r="AV31" i="14"/>
  <c r="AV28" i="14"/>
  <c r="AV32" i="14"/>
  <c r="AV41" i="13"/>
  <c r="AV117" i="9"/>
  <c r="AV53" i="9"/>
  <c r="AV24" i="9"/>
  <c r="AV76" i="9"/>
  <c r="AV33" i="9"/>
  <c r="AV50" i="26"/>
  <c r="AV29" i="26"/>
  <c r="AV33" i="26"/>
  <c r="AV11" i="26"/>
  <c r="AV20" i="26"/>
  <c r="AV6" i="26"/>
  <c r="AV38" i="19"/>
  <c r="AV8" i="20"/>
  <c r="AV46" i="20"/>
  <c r="AV42" i="14"/>
  <c r="AV40" i="14"/>
  <c r="AV29" i="13"/>
  <c r="AV111" i="9"/>
  <c r="AV40" i="9"/>
  <c r="AV63" i="9"/>
  <c r="AV46" i="9"/>
  <c r="AV120" i="9"/>
  <c r="AV67" i="9"/>
  <c r="AV13" i="7"/>
  <c r="AV6" i="7"/>
  <c r="AV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<sst xmlns="http://schemas.openxmlformats.org/spreadsheetml/2006/main" count="15603" uniqueCount="1887">
  <si>
    <t>전북 군산시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</si>
  <si>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</si>
  <si>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</si>
  <si>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</si>
  <si>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</si>
  <si>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</si>
  <si>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</si>
  <si>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</si>
  <si>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</si>
  <si>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</si>
  <si>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</si>
  <si>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</si>
  <si>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</si>
  <si>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</si>
  <si>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</si>
  <si>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</si>
  <si>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</si>
  <si>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</si>
  <si>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</si>
  <si>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</si>
  <si>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</si>
  <si>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</si>
  <si>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</si>
  <si>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</si>
  <si>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</si>
  <si>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</si>
  <si>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</si>
  <si>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</si>
  <si>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</si>
  <si>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</si>
  <si>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</si>
  <si>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</si>
  <si>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</si>
  <si>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</si>
  <si>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</si>
  <si>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</si>
  <si>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</si>
  <si>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</si>
  <si>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</si>
  <si>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</si>
  <si>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</si>
  <si>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</si>
  <si>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</si>
  <si>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</si>
  <si>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</si>
  <si>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</si>
  <si>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</si>
  <si>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</si>
  <si>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</si>
  <si>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</si>
  <si>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</si>
  <si>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</si>
  <si>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</si>
  <si>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</si>
  <si>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</si>
  <si>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</si>
  <si>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</si>
  <si>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</si>
  <si>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</si>
  <si>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</si>
  <si>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6</t>
  </si>
  <si>
    <t>계</t>
  </si>
  <si>
    <t>110A</t>
  </si>
  <si>
    <t>A+</t>
  </si>
  <si>
    <t>B+</t>
  </si>
  <si>
    <t>13</t>
  </si>
  <si>
    <t>고</t>
  </si>
  <si>
    <t>15</t>
  </si>
  <si>
    <t>5</t>
  </si>
  <si>
    <t>14</t>
  </si>
  <si>
    <t>8</t>
  </si>
  <si>
    <t>7</t>
  </si>
  <si>
    <t>10</t>
  </si>
  <si>
    <t>76A</t>
  </si>
  <si>
    <t>12</t>
  </si>
  <si>
    <t>20</t>
  </si>
  <si>
    <t>복</t>
  </si>
  <si>
    <t>19</t>
  </si>
  <si>
    <t>111B</t>
  </si>
  <si>
    <t>111C</t>
  </si>
  <si>
    <t>18</t>
  </si>
  <si>
    <t>11</t>
  </si>
  <si>
    <t>65C</t>
  </si>
  <si>
    <t>77A</t>
  </si>
  <si>
    <t>9</t>
  </si>
  <si>
    <t>80B</t>
  </si>
  <si>
    <t>80C</t>
  </si>
  <si>
    <t>80A</t>
  </si>
  <si>
    <t>16</t>
  </si>
  <si>
    <t>99C</t>
  </si>
  <si>
    <t>82B</t>
  </si>
  <si>
    <t>17</t>
  </si>
  <si>
    <t>111A</t>
  </si>
  <si>
    <t>115A</t>
  </si>
  <si>
    <t>115B</t>
  </si>
  <si>
    <t>24</t>
  </si>
  <si>
    <t>30</t>
  </si>
  <si>
    <t>110B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</si>
  <si>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</si>
  <si>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</si>
  <si>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</si>
  <si>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</si>
  <si>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</si>
  <si>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</si>
  <si>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</si>
  <si>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</si>
  <si>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</si>
  <si>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</si>
  <si>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113A</t>
  </si>
  <si>
    <t>28</t>
  </si>
  <si>
    <t>114A</t>
  </si>
  <si>
    <t>중</t>
  </si>
  <si>
    <t>203B</t>
  </si>
  <si>
    <t>26</t>
  </si>
  <si>
    <t>101A</t>
  </si>
  <si>
    <t>100A</t>
  </si>
  <si>
    <t>100B</t>
  </si>
  <si>
    <t>135A</t>
  </si>
  <si>
    <t>99A</t>
  </si>
  <si>
    <t>160A</t>
  </si>
  <si>
    <t>23</t>
  </si>
  <si>
    <t>81A</t>
  </si>
  <si>
    <t>158B</t>
  </si>
  <si>
    <t>109A</t>
  </si>
  <si>
    <t>21</t>
  </si>
  <si>
    <t>87B</t>
  </si>
  <si>
    <t>112B</t>
  </si>
  <si>
    <t>65B</t>
  </si>
  <si>
    <t>54B</t>
  </si>
  <si>
    <t>53A</t>
  </si>
  <si>
    <t>106B</t>
  </si>
  <si>
    <t>84A</t>
  </si>
  <si>
    <t>95B</t>
  </si>
  <si>
    <t>78B</t>
  </si>
  <si>
    <t>103B</t>
  </si>
  <si>
    <t>68A</t>
  </si>
  <si>
    <t>79A</t>
  </si>
  <si>
    <t>78A</t>
  </si>
  <si>
    <t>62A</t>
  </si>
  <si>
    <t>74B</t>
  </si>
  <si>
    <t>112A</t>
  </si>
  <si>
    <t>115C</t>
  </si>
  <si>
    <t>107B</t>
  </si>
  <si>
    <t>131A</t>
  </si>
  <si>
    <t>69A</t>
  </si>
  <si>
    <t>44B</t>
  </si>
  <si>
    <t>49B</t>
  </si>
  <si>
    <t>77B</t>
  </si>
  <si>
    <t>132A</t>
  </si>
  <si>
    <t>159A</t>
  </si>
  <si>
    <t>161B</t>
  </si>
  <si>
    <t>76B</t>
  </si>
  <si>
    <t>103A</t>
  </si>
  <si>
    <t>92S</t>
  </si>
  <si>
    <t>25</t>
  </si>
  <si>
    <t>동1</t>
  </si>
  <si>
    <t>미장동</t>
  </si>
  <si>
    <t>수송동</t>
  </si>
  <si>
    <t>나운동</t>
  </si>
  <si>
    <t>조촌동</t>
  </si>
  <si>
    <t>동2</t>
  </si>
  <si>
    <t>동3</t>
  </si>
  <si>
    <t>전체</t>
  </si>
  <si>
    <t>~</t>
  </si>
  <si>
    <t>e편한세상군산디오션시티(34평/5.0)</t>
  </si>
  <si>
    <t>군산수송제일오투그란데1단지(30평/2.7)</t>
  </si>
  <si>
    <t>e편한세상군산디오션시티('18/5.0)</t>
  </si>
  <si>
    <t>군산수송제일오투그란데1단지('08/2.7)</t>
  </si>
  <si>
    <t>20평대(방3)</t>
  </si>
  <si>
    <t>주공3단지('83/2.2)</t>
  </si>
  <si>
    <t>현대('97/1.8)</t>
  </si>
  <si>
    <t>수송코아루('09/2.0)</t>
  </si>
  <si>
    <t>20평대(방2)</t>
  </si>
  <si>
    <t>수송오투그란데2차('11/1.8)</t>
  </si>
  <si>
    <t>동 이름 :</t>
  </si>
  <si>
    <t>KB 평면도입력</t>
  </si>
  <si>
    <t>[경암동]</t>
  </si>
  <si>
    <t>새한</t>
  </si>
  <si>
    <t>1995.06.</t>
  </si>
  <si>
    <t>복도식</t>
  </si>
  <si>
    <t>https://new.land.naver.com/complexes/4952?tab=detail&amp;rf=Y</t>
  </si>
  <si>
    <t>전라북도 군산시 경암동 539-9</t>
  </si>
  <si>
    <t>전라북도</t>
  </si>
  <si>
    <t>군산시</t>
  </si>
  <si>
    <t>경암동</t>
  </si>
  <si>
    <t>전라북도 군산시 경촌3길 23</t>
  </si>
  <si>
    <t>계단식</t>
  </si>
  <si>
    <t>명성타운</t>
  </si>
  <si>
    <t>1992.07.</t>
  </si>
  <si>
    <t>https://new.land.naver.com/complexes/16980?tab=detail&amp;rf=Y</t>
  </si>
  <si>
    <t>전라북도 군산시 경암동 540-13</t>
  </si>
  <si>
    <t>전라북도 군산시 경촌1길 52</t>
  </si>
  <si>
    <t>경암제일오투그란데</t>
  </si>
  <si>
    <t>2015.11.</t>
  </si>
  <si>
    <t>108C</t>
  </si>
  <si>
    <t>https://new.land.naver.com/complexes/107110?tab=detail&amp;rf=Y</t>
  </si>
  <si>
    <t>전라북도 군산시 경암동 709</t>
  </si>
  <si>
    <t>전라북도 군산시 조촌로 214</t>
  </si>
  <si>
    <t>109D</t>
  </si>
  <si>
    <t>신흥</t>
  </si>
  <si>
    <t>1994.01.</t>
  </si>
  <si>
    <t>https://new.land.naver.com/complexes/14952?tab=detail&amp;rf=Y</t>
  </si>
  <si>
    <t>전라북도 군산시 경암동 544-8</t>
  </si>
  <si>
    <t>전라북도 군산시 경촌안1길 38</t>
  </si>
  <si>
    <t>경암부향하나로</t>
  </si>
  <si>
    <t>1998.09.</t>
  </si>
  <si>
    <t>https://new.land.naver.com/complexes/117452?tab=detail&amp;rf=Y</t>
  </si>
  <si>
    <t>전라북도 군산시 경암동 540-8</t>
  </si>
  <si>
    <t>전라북도 군산시 경촌1길 56</t>
  </si>
  <si>
    <t>[경장동]</t>
  </si>
  <si>
    <t>오르빌</t>
  </si>
  <si>
    <t>2004.05.</t>
  </si>
  <si>
    <t>https://new.land.naver.com/complexes/100924?tab=detail&amp;rf=Y</t>
  </si>
  <si>
    <t>전라북도 군산시 경장동 511-6</t>
  </si>
  <si>
    <t>경장동</t>
  </si>
  <si>
    <t>전라북도 군산시 번영로 86</t>
  </si>
  <si>
    <t>[구암동]</t>
  </si>
  <si>
    <t>현대</t>
  </si>
  <si>
    <t>1994.03.</t>
  </si>
  <si>
    <t>https://new.land.naver.com/complexes/4953?tab=detail&amp;rf=Y</t>
  </si>
  <si>
    <t>전라북도 군산시 구암동 65</t>
  </si>
  <si>
    <t>구암동</t>
  </si>
  <si>
    <t>전라북도 군산시 서당길 11</t>
  </si>
  <si>
    <t>세풍</t>
  </si>
  <si>
    <t>1997.01.</t>
  </si>
  <si>
    <t>https://new.land.naver.com/complexes/14954?tab=detail&amp;rf=Y</t>
  </si>
  <si>
    <t>전라북도 군산시 구암동 333-1</t>
  </si>
  <si>
    <t>전라북도 군산시 영명길 6</t>
  </si>
  <si>
    <t>74A</t>
  </si>
  <si>
    <t>106A</t>
  </si>
  <si>
    <t>리버힐스</t>
  </si>
  <si>
    <t>2019.05.</t>
  </si>
  <si>
    <t>66A</t>
  </si>
  <si>
    <t>https://new.land.naver.com/complexes/140320?tab=detail&amp;rf=Y</t>
  </si>
  <si>
    <t>전라북도 군산시 구암동 358-9</t>
  </si>
  <si>
    <t>전라북도 군산시 외산3길 11</t>
  </si>
  <si>
    <t>67B</t>
  </si>
  <si>
    <t>97A</t>
  </si>
  <si>
    <t>98B</t>
  </si>
  <si>
    <t>141A</t>
  </si>
  <si>
    <t>142B</t>
  </si>
  <si>
    <t>[금광동]</t>
  </si>
  <si>
    <t>삼성</t>
  </si>
  <si>
    <t>1990.11.</t>
  </si>
  <si>
    <t>https://new.land.naver.com/complexes/4960?tab=detail&amp;rf=Y</t>
  </si>
  <si>
    <t>전라북도 군산시 금광동 172</t>
  </si>
  <si>
    <t>금광동</t>
  </si>
  <si>
    <t>전라북도 군산시 대학로 114-1</t>
  </si>
  <si>
    <t>[금동]</t>
  </si>
  <si>
    <t>동신</t>
  </si>
  <si>
    <t>1992.08.</t>
  </si>
  <si>
    <t>https://new.land.naver.com/complexes/14955?tab=detail&amp;rf=Y</t>
  </si>
  <si>
    <t>전라북도 군산시 금동 10</t>
  </si>
  <si>
    <t>금동</t>
  </si>
  <si>
    <t>전라북도 군산시 구영신창길 77</t>
  </si>
  <si>
    <t>81B</t>
  </si>
  <si>
    <t>한신88맨션</t>
  </si>
  <si>
    <t>1989.04.</t>
  </si>
  <si>
    <t>https://new.land.naver.com/complexes/14958?tab=detail&amp;rf=Y</t>
  </si>
  <si>
    <t>전라북도 군산시 금동 26-2</t>
  </si>
  <si>
    <t>전라북도 군산시 구영1길 113</t>
  </si>
  <si>
    <t>[나운동]</t>
  </si>
  <si>
    <t>나운금호어울림센트럴</t>
  </si>
  <si>
    <t>2022.09.</t>
  </si>
  <si>
    <t>https://new.land.naver.com/complexes/132110?tab=detail&amp;rf=Y</t>
  </si>
  <si>
    <t>전라북도 군산시 나운동 831번지 일원</t>
  </si>
  <si>
    <t>전라북도 군산시</t>
  </si>
  <si>
    <t>113B</t>
  </si>
  <si>
    <t>금호2차</t>
  </si>
  <si>
    <t>1987.09.</t>
  </si>
  <si>
    <t>71B</t>
  </si>
  <si>
    <t>https://new.land.naver.com/complexes/14959?tab=detail&amp;rf=Y</t>
  </si>
  <si>
    <t>전라북도 군산시 나운동 1187-2</t>
  </si>
  <si>
    <t>전라북도 군산시 한밭2길 10</t>
  </si>
  <si>
    <t>71A</t>
  </si>
  <si>
    <t>동북</t>
  </si>
  <si>
    <t>1988.07.</t>
  </si>
  <si>
    <t>https://new.land.naver.com/complexes/117992?tab=detail&amp;rf=Y</t>
  </si>
  <si>
    <t>전라북도 군산시 나운동 785-1</t>
  </si>
  <si>
    <t>전라북도 군산시 신설1길 27</t>
  </si>
  <si>
    <t>하이스타운3차</t>
  </si>
  <si>
    <t>2011.04.</t>
  </si>
  <si>
    <t>https://new.land.naver.com/complexes/140899?tab=detail&amp;rf=Y</t>
  </si>
  <si>
    <t>전라북도 군산시 나운동 763-1</t>
  </si>
  <si>
    <t>전라북도 군산시 상신3길 19-3</t>
  </si>
  <si>
    <t>116A</t>
  </si>
  <si>
    <t>116B</t>
  </si>
  <si>
    <t>1987.03.</t>
  </si>
  <si>
    <t>https://new.land.naver.com/complexes/112786?tab=detail&amp;rf=Y</t>
  </si>
  <si>
    <t>전라북도 군산시 나운동 783-4</t>
  </si>
  <si>
    <t>전라북도 군산시 신설2길 18</t>
  </si>
  <si>
    <t>힐하우스</t>
  </si>
  <si>
    <t>2001.02.</t>
  </si>
  <si>
    <t>https://new.land.naver.com/complexes/132778?tab=detail&amp;rf=Y</t>
  </si>
  <si>
    <t>전라북도 군산시 나운동 754-2</t>
  </si>
  <si>
    <t>전라북도 군산시 상신6길 21-6</t>
  </si>
  <si>
    <t>129A</t>
  </si>
  <si>
    <t>129B</t>
  </si>
  <si>
    <t>세경</t>
  </si>
  <si>
    <t>2002.12.</t>
  </si>
  <si>
    <t>https://new.land.naver.com/complexes/110310?tab=detail&amp;rf=Y</t>
  </si>
  <si>
    <t>전라북도 군산시 나운동 155</t>
  </si>
  <si>
    <t>전라북도 군산시 하나운로 28</t>
  </si>
  <si>
    <t>1991.10.</t>
  </si>
  <si>
    <t>https://new.land.naver.com/complexes/105136?tab=detail&amp;rf=Y</t>
  </si>
  <si>
    <t>전라북도 군산시 나운동 786-1</t>
  </si>
  <si>
    <t>전라북도 군산시 상나운로 59</t>
  </si>
  <si>
    <t>상지파크뷰(도시형)</t>
  </si>
  <si>
    <t>2014.06.</t>
  </si>
  <si>
    <t>55A</t>
  </si>
  <si>
    <t>https://new.land.naver.com/complexes/120933?tab=detail&amp;rf=Y</t>
  </si>
  <si>
    <t>전라북도 군산시 나운동 795-10</t>
  </si>
  <si>
    <t>전라북도 군산시 상나운1길 6-6</t>
  </si>
  <si>
    <t>56B</t>
  </si>
  <si>
    <t>65D</t>
  </si>
  <si>
    <t>65E</t>
  </si>
  <si>
    <t>66C</t>
  </si>
  <si>
    <t>수송코아루</t>
  </si>
  <si>
    <t>2009.03.</t>
  </si>
  <si>
    <t>https://new.land.naver.com/complexes/27028?tab=detail&amp;rf=Y</t>
  </si>
  <si>
    <t>전라북도 군산시 나운동 1526</t>
  </si>
  <si>
    <t>전라북도 군산시 축동로 83</t>
  </si>
  <si>
    <t>C&amp;G빌</t>
  </si>
  <si>
    <t>2005.01.</t>
  </si>
  <si>
    <t>94A</t>
  </si>
  <si>
    <t>https://new.land.naver.com/complexes/140531?tab=detail&amp;rf=Y</t>
  </si>
  <si>
    <t>전라북도 군산시 나운동 757-3</t>
  </si>
  <si>
    <t>전라북도 군산시 상신4길 15-6</t>
  </si>
  <si>
    <t>94B</t>
  </si>
  <si>
    <t>금호타운2차</t>
  </si>
  <si>
    <t>1994.09.</t>
  </si>
  <si>
    <t>https://new.land.naver.com/complexes/4969?tab=detail&amp;rf=Y</t>
  </si>
  <si>
    <t>전라북도 군산시 나운동 92</t>
  </si>
  <si>
    <t>전라북도 군산시 수송로 71</t>
  </si>
  <si>
    <t>대명(834-1)</t>
  </si>
  <si>
    <t>1990.07.</t>
  </si>
  <si>
    <t>https://new.land.naver.com/complexes/14960?tab=detail&amp;rf=Y</t>
  </si>
  <si>
    <t>전라북도 군산시 나운동 834-1</t>
  </si>
  <si>
    <t>전라북도 군산시 나운로 70</t>
  </si>
  <si>
    <t>나운현대2차</t>
  </si>
  <si>
    <t>1993.10.</t>
  </si>
  <si>
    <t>https://new.land.naver.com/complexes/102461?tab=detail&amp;rf=Y</t>
  </si>
  <si>
    <t>전라북도 군산시 나운동 527</t>
  </si>
  <si>
    <t>전라북도 군산시 나운로 39</t>
  </si>
  <si>
    <t>현대1차</t>
  </si>
  <si>
    <t>1990.04.</t>
  </si>
  <si>
    <t>https://new.land.naver.com/complexes/5014?tab=detail&amp;rf=Y</t>
  </si>
  <si>
    <t>전라북도 군산시 나운동 1255-8</t>
  </si>
  <si>
    <t>전라북도 군산시 현충로 33</t>
  </si>
  <si>
    <t>세광타운</t>
  </si>
  <si>
    <t>https://new.land.naver.com/complexes/14962?tab=detail&amp;rf=Y</t>
  </si>
  <si>
    <t>전라북도 군산시 나운동 833-1</t>
  </si>
  <si>
    <t>전라북도 군산시 하나운1길 32</t>
  </si>
  <si>
    <t>나운청솔</t>
  </si>
  <si>
    <t>https://new.land.naver.com/complexes/16984?tab=detail&amp;rf=Y</t>
  </si>
  <si>
    <t>전라북도 군산시 나운동 161</t>
  </si>
  <si>
    <t>전라북도 군산시 나운로 133</t>
  </si>
  <si>
    <t>신일</t>
  </si>
  <si>
    <t>1995.12.</t>
  </si>
  <si>
    <t>https://new.land.naver.com/complexes/4995?tab=detail&amp;rf=Y</t>
  </si>
  <si>
    <t>전라북도 군산시 나운동 156-2</t>
  </si>
  <si>
    <t>전라북도 군산시 의료원로 163</t>
  </si>
  <si>
    <t>나운하이스빌</t>
  </si>
  <si>
    <t>2011.07.</t>
  </si>
  <si>
    <t>https://new.land.naver.com/complexes/122926?tab=detail&amp;rf=Y</t>
  </si>
  <si>
    <t>전라북도 군산시 나운동 749-4</t>
  </si>
  <si>
    <t>전라북도 군산시 상신3길 26</t>
  </si>
  <si>
    <t>하이스타운</t>
  </si>
  <si>
    <t>2013.04.</t>
  </si>
  <si>
    <t>https://new.land.naver.com/complexes/132202?tab=detail&amp;rf=Y</t>
  </si>
  <si>
    <t>전라북도 군산시 나운동 788-1</t>
  </si>
  <si>
    <t>전라북도 군산시 신설2길 9</t>
  </si>
  <si>
    <t>롯데4차</t>
  </si>
  <si>
    <t>1996.04.</t>
  </si>
  <si>
    <t>https://new.land.naver.com/complexes/4987?tab=detail&amp;rf=Y</t>
  </si>
  <si>
    <t>전라북도 군산시 나운동 155-6</t>
  </si>
  <si>
    <t>전라북도 군산시 백토로 242</t>
  </si>
  <si>
    <t>동원</t>
  </si>
  <si>
    <t>1987.06.</t>
  </si>
  <si>
    <t>https://new.land.naver.com/complexes/106426?tab=detail&amp;rf=Y</t>
  </si>
  <si>
    <t>전라북도 군산시 나운동 803-2</t>
  </si>
  <si>
    <t>전라북도 군산시 상나운로 9</t>
  </si>
  <si>
    <t>롯데2차</t>
  </si>
  <si>
    <t>https://new.land.naver.com/complexes/4980?tab=detail&amp;rf=Y</t>
  </si>
  <si>
    <t>전라북도 군산시 나운동 345</t>
  </si>
  <si>
    <t>전라북도 군산시 하나운로 45</t>
  </si>
  <si>
    <t>대명(775-1)</t>
  </si>
  <si>
    <t>1988.10.</t>
  </si>
  <si>
    <t>https://new.land.naver.com/complexes/109105?tab=detail&amp;rf=Y</t>
  </si>
  <si>
    <t>전라북도 군산시 나운동 775-1</t>
  </si>
  <si>
    <t>전라북도 군산시 신설1길 37</t>
  </si>
  <si>
    <t>삼진아트맨션</t>
  </si>
  <si>
    <t>1990.06.</t>
  </si>
  <si>
    <t>https://new.land.naver.com/complexes/135672?tab=detail&amp;rf=Y</t>
  </si>
  <si>
    <t>전라북도 군산시 나운동 768-6</t>
  </si>
  <si>
    <t>전라북도 군산시 신설로 34</t>
  </si>
  <si>
    <t>우성</t>
  </si>
  <si>
    <t>https://new.land.naver.com/complexes/4999?tab=detail&amp;rf=Y</t>
  </si>
  <si>
    <t>전라북도 군산시 나운동 155-7</t>
  </si>
  <si>
    <t>전라북도 군산시 백토로 230</t>
  </si>
  <si>
    <t>금호타운1차</t>
  </si>
  <si>
    <t>1991.09.</t>
  </si>
  <si>
    <t>https://new.land.naver.com/complexes/4966?tab=detail&amp;rf=Y</t>
  </si>
  <si>
    <t>전라북도 군산시 나운동 489</t>
  </si>
  <si>
    <t>전라북도 군산시 수송로 49</t>
  </si>
  <si>
    <t>희산</t>
  </si>
  <si>
    <t>1989.03.</t>
  </si>
  <si>
    <t>https://new.land.naver.com/complexes/117430?tab=detail&amp;rf=Y</t>
  </si>
  <si>
    <t>전라북도 군산시 나운동 802-5</t>
  </si>
  <si>
    <t>전라북도 군산시 상나운3길 30-3</t>
  </si>
  <si>
    <t>서호</t>
  </si>
  <si>
    <t>https://new.land.naver.com/complexes/4994?tab=detail&amp;rf=Y</t>
  </si>
  <si>
    <t>전라북도 군산시 나운동 153-12</t>
  </si>
  <si>
    <t>전라북도 군산시 의료원로 188</t>
  </si>
  <si>
    <t>주공3단지</t>
  </si>
  <si>
    <t>1983.12.</t>
  </si>
  <si>
    <t>https://new.land.naver.com/complexes/5008?tab=detail&amp;rf=Y</t>
  </si>
  <si>
    <t>전라북도 군산시 나운동 835</t>
  </si>
  <si>
    <t>전라북도 군산시 하나운안1길 40</t>
  </si>
  <si>
    <t>54C</t>
  </si>
  <si>
    <t>61A</t>
  </si>
  <si>
    <t>61B</t>
  </si>
  <si>
    <t>62C</t>
  </si>
  <si>
    <t>65A</t>
  </si>
  <si>
    <t>청남하이츠빌리지</t>
  </si>
  <si>
    <t>147A</t>
  </si>
  <si>
    <t>https://new.land.naver.com/complexes/125648?tab=detail&amp;rf=Y</t>
  </si>
  <si>
    <t>전라북도 군산시 나운동 772-1</t>
  </si>
  <si>
    <t>전라북도 군산시 신설로 57</t>
  </si>
  <si>
    <t>147B</t>
  </si>
  <si>
    <t>148C</t>
  </si>
  <si>
    <t>149D</t>
  </si>
  <si>
    <t>나운보람더하임</t>
  </si>
  <si>
    <t>2010.03.</t>
  </si>
  <si>
    <t>https://new.land.naver.com/complexes/101461?tab=detail&amp;rf=Y</t>
  </si>
  <si>
    <t>전라북도 군산시 나운동 1556</t>
  </si>
  <si>
    <t>전라북도 군산시 하신3길 7</t>
  </si>
  <si>
    <t>110C</t>
  </si>
  <si>
    <t>1997.12.</t>
  </si>
  <si>
    <t>https://new.land.naver.com/complexes/4974?tab=detail&amp;rf=Y</t>
  </si>
  <si>
    <t>전라북도 군산시 나운동 155-10</t>
  </si>
  <si>
    <t>전라북도 군산시 백토로 216</t>
  </si>
  <si>
    <t>대우</t>
  </si>
  <si>
    <t>1997.02.</t>
  </si>
  <si>
    <t>https://new.land.naver.com/complexes/4973?tab=detail&amp;rf=Y</t>
  </si>
  <si>
    <t>전라북도 군산시 나운동 155-5</t>
  </si>
  <si>
    <t>전라북도 군산시 의료원로 136</t>
  </si>
  <si>
    <t>로얄맨션4차</t>
  </si>
  <si>
    <t>1991.12.</t>
  </si>
  <si>
    <t>https://new.land.naver.com/complexes/126610?tab=detail&amp;rf=Y</t>
  </si>
  <si>
    <t>전라북도 군산시 나운동 759-8</t>
  </si>
  <si>
    <t>전라북도 군산시 상신2길 10-6</t>
  </si>
  <si>
    <t>롯데1차</t>
  </si>
  <si>
    <t>1991.03.</t>
  </si>
  <si>
    <t>https://new.land.naver.com/complexes/4977?tab=detail&amp;rf=Y</t>
  </si>
  <si>
    <t>삼성(1187-7)</t>
  </si>
  <si>
    <t>1988.06.</t>
  </si>
  <si>
    <t>https://new.land.naver.com/complexes/144827?tab=detail&amp;rf=Y</t>
  </si>
  <si>
    <t>전라북도 군산시 나운동 1187-7</t>
  </si>
  <si>
    <t>전라북도 군산시 한밭1길 12</t>
  </si>
  <si>
    <t>아리랑</t>
  </si>
  <si>
    <t>1988.11.</t>
  </si>
  <si>
    <t>https://new.land.naver.com/complexes/13526?tab=detail&amp;rf=Y</t>
  </si>
  <si>
    <t>전라북도 군산시 나운동 1189-1</t>
  </si>
  <si>
    <t>전라북도 군산시 한밭3길 9</t>
  </si>
  <si>
    <t>한울</t>
  </si>
  <si>
    <t>1996.07.</t>
  </si>
  <si>
    <t>https://new.land.naver.com/complexes/14963?tab=detail&amp;rf=Y</t>
  </si>
  <si>
    <t>전라북도 군산시 나운동 155-1</t>
  </si>
  <si>
    <t>전라북도 군산시 하나운로 20</t>
  </si>
  <si>
    <t>동산은파</t>
  </si>
  <si>
    <t>1985.04.</t>
  </si>
  <si>
    <t>64A</t>
  </si>
  <si>
    <t>https://new.land.naver.com/complexes/140966?tab=detail&amp;rf=Y</t>
  </si>
  <si>
    <t>전라북도 군산시 나운동 1188-5</t>
  </si>
  <si>
    <t>전라북도 군산시 한밭1길 32</t>
  </si>
  <si>
    <t>현대3차</t>
  </si>
  <si>
    <t>https://new.land.naver.com/complexes/5022?tab=detail&amp;rf=Y</t>
  </si>
  <si>
    <t>전라북도 군산시 나운동 501</t>
  </si>
  <si>
    <t>전라북도 군산시 나운안2길 8</t>
  </si>
  <si>
    <t>현대백조</t>
  </si>
  <si>
    <t>1992.11.</t>
  </si>
  <si>
    <t>https://new.land.naver.com/complexes/5030?tab=detail&amp;rf=Y</t>
  </si>
  <si>
    <t>전라북도 군산시 나운동 1155-9</t>
  </si>
  <si>
    <t>전라북도 군산시 상나운1길 30</t>
  </si>
  <si>
    <t>95A</t>
  </si>
  <si>
    <t>동신진주</t>
  </si>
  <si>
    <t>1993.12.</t>
  </si>
  <si>
    <t>https://new.land.naver.com/complexes/4964?tab=detail&amp;rf=Y</t>
  </si>
  <si>
    <t>전라북도 군산시 나운동 733-1</t>
  </si>
  <si>
    <t>전라북도 군산시 상신7길 15</t>
  </si>
  <si>
    <t>한신맨션</t>
  </si>
  <si>
    <t>1987.11.</t>
  </si>
  <si>
    <t>https://new.land.naver.com/complexes/115453?tab=detail&amp;rf=Y</t>
  </si>
  <si>
    <t>전라북도 군산시 나운동 793-1</t>
  </si>
  <si>
    <t>전라북도 군산시 상나운1길 14</t>
  </si>
  <si>
    <t>그린골든맨션</t>
  </si>
  <si>
    <t>1993.06.</t>
  </si>
  <si>
    <t>https://new.land.naver.com/complexes/102445?tab=detail&amp;rf=Y</t>
  </si>
  <si>
    <t>전라북도 군산시 나운동 800-2</t>
  </si>
  <si>
    <t>전라북도 군산시 상나운1길 25</t>
  </si>
  <si>
    <t>수송금호어울림</t>
  </si>
  <si>
    <t>2008.08.</t>
  </si>
  <si>
    <t>https://new.land.naver.com/complexes/26916?tab=detail&amp;rf=Y</t>
  </si>
  <si>
    <t>전라북도 군산시 나운동 1525</t>
  </si>
  <si>
    <t>전라북도 군산시 서수송2길 23</t>
  </si>
  <si>
    <t>112D</t>
  </si>
  <si>
    <t>성보</t>
  </si>
  <si>
    <t>2016.12.</t>
  </si>
  <si>
    <t>86A</t>
  </si>
  <si>
    <t>https://new.land.naver.com/complexes/131885?tab=detail&amp;rf=Y</t>
  </si>
  <si>
    <t>전라북도 군산시 나운동 798-8</t>
  </si>
  <si>
    <t>전라북도 군산시 상나운안길 7</t>
  </si>
  <si>
    <t>영창</t>
  </si>
  <si>
    <t>https://new.land.naver.com/complexes/4998?tab=detail&amp;rf=Y</t>
  </si>
  <si>
    <t>전라북도 군산시 나운동 156-6</t>
  </si>
  <si>
    <t>전라북도 군산시 의료원로 137</t>
  </si>
  <si>
    <t>비사벌</t>
  </si>
  <si>
    <t>https://new.land.naver.com/complexes/27019?tab=detail&amp;rf=Y</t>
  </si>
  <si>
    <t>전라북도 군산시 나운동 153-11</t>
  </si>
  <si>
    <t>전라북도 군산시 하나운로 7</t>
  </si>
  <si>
    <t>나운유원</t>
  </si>
  <si>
    <t>https://new.land.naver.com/complexes/5004?tab=detail&amp;rf=Y</t>
  </si>
  <si>
    <t>전라북도 군산시 나운동 866-1</t>
  </si>
  <si>
    <t>전라북도 군산시 부곡1길 39</t>
  </si>
  <si>
    <t>주공5단지</t>
  </si>
  <si>
    <t>1995.07.</t>
  </si>
  <si>
    <t>https://new.land.naver.com/complexes/5012?tab=detail&amp;rf=Y</t>
  </si>
  <si>
    <t>전라북도 군산시 나운동 45-7</t>
  </si>
  <si>
    <t>전라북도 군산시 백토로 117</t>
  </si>
  <si>
    <t>금호</t>
  </si>
  <si>
    <t>https://new.land.naver.com/complexes/139866?tab=detail&amp;rf=Y</t>
  </si>
  <si>
    <t>전라북도 군산시 나운동 787-4</t>
  </si>
  <si>
    <t>전라북도 군산시 신설3길 14</t>
  </si>
  <si>
    <t>64B</t>
  </si>
  <si>
    <t>로얄맨션7차</t>
  </si>
  <si>
    <t>1992.12.</t>
  </si>
  <si>
    <t>https://new.land.naver.com/complexes/136405?tab=detail&amp;rf=Y</t>
  </si>
  <si>
    <t>전라북도 군산시 나운동 774-6</t>
  </si>
  <si>
    <t>전라북도 군산시 신설1길 41</t>
  </si>
  <si>
    <t>99B</t>
  </si>
  <si>
    <t>101C</t>
  </si>
  <si>
    <t>명성(778-9)</t>
  </si>
  <si>
    <t>1989.01.</t>
  </si>
  <si>
    <t>https://new.land.naver.com/complexes/133504?tab=detail&amp;rf=Y</t>
  </si>
  <si>
    <t>전라북도 군산시 나운동 778-9</t>
  </si>
  <si>
    <t>전라북도 군산시 상신안길 16</t>
  </si>
  <si>
    <t>한신</t>
  </si>
  <si>
    <t>1986.04.</t>
  </si>
  <si>
    <t>https://new.land.naver.com/complexes/125674?tab=detail&amp;rf=Y</t>
  </si>
  <si>
    <t>전라북도 군산시 나운동 799-1</t>
  </si>
  <si>
    <t>전라북도 군산시 상나운로 19</t>
  </si>
  <si>
    <t>춘광아티움(도시형)</t>
  </si>
  <si>
    <t>2013.06.</t>
  </si>
  <si>
    <t>https://new.land.naver.com/complexes/136392?tab=detail&amp;rf=Y</t>
  </si>
  <si>
    <t>전라북도 군산시 나운동 132-7</t>
  </si>
  <si>
    <t>전라북도 군산시 나운안1길 32-23</t>
  </si>
  <si>
    <t>현대4차</t>
  </si>
  <si>
    <t>https://new.land.naver.com/complexes/14966?tab=detail&amp;rf=Y</t>
  </si>
  <si>
    <t>전라북도 군산시 나운동 109-6</t>
  </si>
  <si>
    <t>전라북도 군산시 나운안1길 24</t>
  </si>
  <si>
    <t>삼성(401)</t>
  </si>
  <si>
    <t>1998.05.</t>
  </si>
  <si>
    <t>https://new.land.naver.com/complexes/4990?tab=detail&amp;rf=Y</t>
  </si>
  <si>
    <t>전라북도 군산시 나운동 401</t>
  </si>
  <si>
    <t>전라북도 군산시 나운3길 9</t>
  </si>
  <si>
    <t>동신진주3차</t>
  </si>
  <si>
    <t>1995.04.</t>
  </si>
  <si>
    <t>https://new.land.naver.com/complexes/4965?tab=detail&amp;rf=Y</t>
  </si>
  <si>
    <t>전라북도 군산시 나운동 737-1</t>
  </si>
  <si>
    <t>전라북도 군산시 상신6길 2</t>
  </si>
  <si>
    <t>롯데3차</t>
  </si>
  <si>
    <t>1994.06.</t>
  </si>
  <si>
    <t>https://new.land.naver.com/complexes/4984?tab=detail&amp;rf=Y</t>
  </si>
  <si>
    <t>전라북도 군산시 나운동 100-11</t>
  </si>
  <si>
    <t>전라북도 군산시 하나운로 48</t>
  </si>
  <si>
    <t>에코하우스(도시형)</t>
  </si>
  <si>
    <t>2013.05.</t>
  </si>
  <si>
    <t>https://new.land.naver.com/complexes/139522?tab=detail&amp;rf=Y</t>
  </si>
  <si>
    <t>전라북도 군산시 나운동 741-1</t>
  </si>
  <si>
    <t>전라북도 군산시 나운우회로 13</t>
  </si>
  <si>
    <t>75C</t>
  </si>
  <si>
    <t>75D</t>
  </si>
  <si>
    <t>대우하늘채2차</t>
  </si>
  <si>
    <t>2013.07.</t>
  </si>
  <si>
    <t>https://new.land.naver.com/complexes/142718?tab=detail&amp;rf=Y</t>
  </si>
  <si>
    <t>전라북도 군산시 나운동 754-8</t>
  </si>
  <si>
    <t>전라북도 군산시 나운우회로 75</t>
  </si>
  <si>
    <t>54A</t>
  </si>
  <si>
    <t>우진</t>
  </si>
  <si>
    <t>1979.01.</t>
  </si>
  <si>
    <t>https://new.land.naver.com/complexes/14967?tab=detail&amp;rf=Y</t>
  </si>
  <si>
    <t>전라북도 군산시 나운동 555-1</t>
  </si>
  <si>
    <t>전라북도 군산시 하신재길 23</t>
  </si>
  <si>
    <t>군산월드</t>
  </si>
  <si>
    <t>1995.09.</t>
  </si>
  <si>
    <t>https://new.land.naver.com/complexes/130728?tab=detail&amp;rf=Y</t>
  </si>
  <si>
    <t>전라북도 군산시 나운동 854-1</t>
  </si>
  <si>
    <t>전라북도 군산시 부곡1길 69</t>
  </si>
  <si>
    <t>현대2차</t>
  </si>
  <si>
    <t>https://new.land.naver.com/complexes/5016?tab=detail&amp;rf=Y</t>
  </si>
  <si>
    <t>전라북도 군산시 나운동 792-1</t>
  </si>
  <si>
    <t>전라북도 군산시 신설4길 14</t>
  </si>
  <si>
    <t>명성(785-4)</t>
  </si>
  <si>
    <t>1989.09.</t>
  </si>
  <si>
    <t>https://new.land.naver.com/complexes/24067?tab=detail&amp;rf=Y</t>
  </si>
  <si>
    <t>전라북도 군산시 나운동 785-4</t>
  </si>
  <si>
    <t>전라북도 군산시 신설2길 30</t>
  </si>
  <si>
    <t>[대명동]</t>
  </si>
  <si>
    <t>현대메트로타워2차</t>
  </si>
  <si>
    <t>2016.04.</t>
  </si>
  <si>
    <t>https://new.land.naver.com/complexes/115362?tab=detail&amp;rf=Y</t>
  </si>
  <si>
    <t>전라북도 군산시 대명동 403</t>
  </si>
  <si>
    <t>대명동</t>
  </si>
  <si>
    <t>전라북도 군산시 구암3.1로 30</t>
  </si>
  <si>
    <t>현대메트로타워</t>
  </si>
  <si>
    <t>2011.10.</t>
  </si>
  <si>
    <t>https://new.land.naver.com/complexes/103553?tab=detail&amp;rf=Y</t>
  </si>
  <si>
    <t>전라북도 군산시 대명동 385-60</t>
  </si>
  <si>
    <t>전라북도 군산시 대명길 3</t>
  </si>
  <si>
    <t>아이플러스시티(도시형)</t>
  </si>
  <si>
    <t>2012.09.</t>
  </si>
  <si>
    <t>https://new.land.naver.com/complexes/119697?tab=detail&amp;rf=Y</t>
  </si>
  <si>
    <t>전라북도 군산시 대명동 384-87</t>
  </si>
  <si>
    <t>전라북도 군산시 동팔마길 32</t>
  </si>
  <si>
    <t>61C</t>
  </si>
  <si>
    <t>61I</t>
  </si>
  <si>
    <t>61E</t>
  </si>
  <si>
    <t>61M</t>
  </si>
  <si>
    <t>61J</t>
  </si>
  <si>
    <t>61K</t>
  </si>
  <si>
    <t>62H</t>
  </si>
  <si>
    <t>62L</t>
  </si>
  <si>
    <t>62D</t>
  </si>
  <si>
    <t>63B</t>
  </si>
  <si>
    <t>63F</t>
  </si>
  <si>
    <t>63G</t>
  </si>
  <si>
    <t>63A</t>
  </si>
  <si>
    <t>67C</t>
  </si>
  <si>
    <t>67D</t>
  </si>
  <si>
    <t>[대야면]</t>
  </si>
  <si>
    <t>한신타운</t>
  </si>
  <si>
    <t>https://new.land.naver.com/complexes/128332?tab=detail&amp;rf=Y</t>
  </si>
  <si>
    <t>전라북도 군산시 대야면 지경리 699-147</t>
  </si>
  <si>
    <t>대야면</t>
  </si>
  <si>
    <t>전라북도 군산시 대야관통로 26</t>
  </si>
  <si>
    <t>대야보라무지개</t>
  </si>
  <si>
    <t>2001.09.</t>
  </si>
  <si>
    <t>https://new.land.naver.com/complexes/116583?tab=detail&amp;rf=Y</t>
  </si>
  <si>
    <t>전라북도 군산시 대야면 산월리 536-2</t>
  </si>
  <si>
    <t>전라북도 군산시 수림로 7-10</t>
  </si>
  <si>
    <t>[동흥남동]</t>
  </si>
  <si>
    <t>군산동흥남주공</t>
  </si>
  <si>
    <t>2006.02.</t>
  </si>
  <si>
    <t>https://new.land.naver.com/complexes/105137?tab=detail&amp;rf=Y</t>
  </si>
  <si>
    <t>전라북도 군산시 동흥남동 100</t>
  </si>
  <si>
    <t>동흥남동</t>
  </si>
  <si>
    <t>전라북도 군산시 동흥남길 9</t>
  </si>
  <si>
    <t>동영</t>
  </si>
  <si>
    <t>1989.06.</t>
  </si>
  <si>
    <t>https://new.land.naver.com/complexes/125193?tab=detail&amp;rf=Y</t>
  </si>
  <si>
    <t>전라북도 군산시 동흥남동 95-36</t>
  </si>
  <si>
    <t>전라북도 군산시 흥남2길 49-2</t>
  </si>
  <si>
    <t>96C</t>
  </si>
  <si>
    <t>[문화동]</t>
  </si>
  <si>
    <t>문화</t>
  </si>
  <si>
    <t>1981.02.</t>
  </si>
  <si>
    <t>https://new.land.naver.com/complexes/14970?tab=detail&amp;rf=Y</t>
  </si>
  <si>
    <t>전라북도 군산시 문화동 769-2</t>
  </si>
  <si>
    <t>문화동</t>
  </si>
  <si>
    <t>전라북도 군산시 석치안길 7</t>
  </si>
  <si>
    <t>https://new.land.naver.com/complexes/5035?tab=detail&amp;rf=Y</t>
  </si>
  <si>
    <t>전라북도 군산시 문화동 26</t>
  </si>
  <si>
    <t>전라북도 군산시 백토로 93</t>
  </si>
  <si>
    <t>다우미빌</t>
  </si>
  <si>
    <t>https://new.land.naver.com/complexes/24248?tab=detail&amp;rf=Y</t>
  </si>
  <si>
    <t>전라북도 군산시 문화동 904</t>
  </si>
  <si>
    <t>전라북도 군산시 서흥길 24</t>
  </si>
  <si>
    <t>쉘브르타운</t>
  </si>
  <si>
    <t>2014.05.</t>
  </si>
  <si>
    <t>https://new.land.naver.com/complexes/110388?tab=detail&amp;rf=Y</t>
  </si>
  <si>
    <t>전라북도 군산시 문화동 935</t>
  </si>
  <si>
    <t>전라북도 군산시 문화2길 11</t>
  </si>
  <si>
    <t>[미룡동]</t>
  </si>
  <si>
    <t>미룡대명1차</t>
  </si>
  <si>
    <t>1998.06.</t>
  </si>
  <si>
    <t>https://new.land.naver.com/complexes/104842?tab=detail&amp;rf=Y</t>
  </si>
  <si>
    <t>전라북도 군산시 미룡동 858</t>
  </si>
  <si>
    <t>미룡동</t>
  </si>
  <si>
    <t>전라북도 군산시 칠성4길 20</t>
  </si>
  <si>
    <t>금광베네스타</t>
  </si>
  <si>
    <t>2008.12.</t>
  </si>
  <si>
    <t>https://new.land.naver.com/complexes/27505?tab=detail&amp;rf=Y</t>
  </si>
  <si>
    <t>전라북도 군산시 미룡동 71</t>
  </si>
  <si>
    <t>전라북도 군산시 용둔길 12</t>
  </si>
  <si>
    <t>160B</t>
  </si>
  <si>
    <t>204A</t>
  </si>
  <si>
    <t>미룡대명3차</t>
  </si>
  <si>
    <t>2002.05.</t>
  </si>
  <si>
    <t>https://new.land.naver.com/complexes/109106?tab=detail&amp;rf=Y</t>
  </si>
  <si>
    <t>전라북도 군산시 미룡동 854</t>
  </si>
  <si>
    <t>전라북도 군산시 칠성3길 22</t>
  </si>
  <si>
    <t>은파롯데캐슬</t>
  </si>
  <si>
    <t>2007.09.</t>
  </si>
  <si>
    <t>https://new.land.naver.com/complexes/27504?tab=detail&amp;rf=Y</t>
  </si>
  <si>
    <t>전라북도 군산시 미룡동 59-118</t>
  </si>
  <si>
    <t>전라북도 군산시 미룡로 63</t>
  </si>
  <si>
    <t>158A</t>
  </si>
  <si>
    <t>위즈홈(도시형)</t>
  </si>
  <si>
    <t>2017.05.</t>
  </si>
  <si>
    <t>https://new.land.naver.com/complexes/128348?tab=detail&amp;rf=Y</t>
  </si>
  <si>
    <t>전라북도 군산시 미룡동 842-5</t>
  </si>
  <si>
    <t>전라북도 군산시 칠성2길 48</t>
  </si>
  <si>
    <t>미룡주공3단지</t>
  </si>
  <si>
    <t>2001.06.</t>
  </si>
  <si>
    <t>https://new.land.naver.com/complexes/27131?tab=detail&amp;rf=Y</t>
  </si>
  <si>
    <t>전라북도 군산시 미룡동 900-1</t>
  </si>
  <si>
    <t>전라북도 군산시 미룡로 42</t>
  </si>
  <si>
    <t>산북부향하나로3차</t>
  </si>
  <si>
    <t>1998.04.</t>
  </si>
  <si>
    <t>https://new.land.naver.com/complexes/114910?tab=detail&amp;rf=Y</t>
  </si>
  <si>
    <t>전라북도 군산시 미룡동 852</t>
  </si>
  <si>
    <t>전라북도 군산시 칠성5길 30</t>
  </si>
  <si>
    <t>은파리젠시빌파크</t>
  </si>
  <si>
    <t>2007.02.</t>
  </si>
  <si>
    <t>https://new.land.naver.com/complexes/27503?tab=detail&amp;rf=Y</t>
  </si>
  <si>
    <t>전라북도 군산시 미룡동 59-59</t>
  </si>
  <si>
    <t>전라북도 군산시 미룡로 64</t>
  </si>
  <si>
    <t>미룡대명2차</t>
  </si>
  <si>
    <t>68B</t>
  </si>
  <si>
    <t>https://new.land.naver.com/complexes/104840?tab=detail&amp;rf=Y</t>
  </si>
  <si>
    <t>전라북도 군산시 미룡동 857</t>
  </si>
  <si>
    <t>전라북도 군산시 칠성3길 8</t>
  </si>
  <si>
    <t>해강솔비앙미룡시티2차(도시형)</t>
  </si>
  <si>
    <t>2018.12.</t>
  </si>
  <si>
    <t>https://new.land.naver.com/complexes/126472?tab=detail&amp;rf=Y</t>
  </si>
  <si>
    <t>전라북도 군산시 미룡동 860-2</t>
  </si>
  <si>
    <t>전라북도 군산시 칠성5길 10</t>
  </si>
  <si>
    <t>미룡주공2단지</t>
  </si>
  <si>
    <t>2001.03.</t>
  </si>
  <si>
    <t>https://new.land.naver.com/complexes/16988?tab=detail&amp;rf=Y</t>
  </si>
  <si>
    <t>전라북도 군산시 미룡동 896-1</t>
  </si>
  <si>
    <t>전라북도 군산시 미룡로 41</t>
  </si>
  <si>
    <t>70B</t>
  </si>
  <si>
    <t>[미장동]</t>
  </si>
  <si>
    <t>파인빌2차</t>
  </si>
  <si>
    <t>2006.06.</t>
  </si>
  <si>
    <t>https://new.land.naver.com/complexes/27527?tab=detail&amp;rf=Y</t>
  </si>
  <si>
    <t>전라북도 군산시 미장동 51-1</t>
  </si>
  <si>
    <t>전라북도 군산시 미장안길 55</t>
  </si>
  <si>
    <t>파인빌1차</t>
  </si>
  <si>
    <t>2004.11.</t>
  </si>
  <si>
    <t>https://new.land.naver.com/complexes/27526?tab=detail&amp;rf=Y</t>
  </si>
  <si>
    <t>전라북도 군산시 미장동 53-1</t>
  </si>
  <si>
    <t>전라북도 군산시 문화로 208-8</t>
  </si>
  <si>
    <t>군산미장2차아이파크</t>
  </si>
  <si>
    <t>2017.06.</t>
  </si>
  <si>
    <t>https://new.land.naver.com/complexes/110132?tab=detail&amp;rf=Y</t>
  </si>
  <si>
    <t>전라북도 군산시 미장동 484</t>
  </si>
  <si>
    <t>전라북도 군산시 미장안길 45</t>
  </si>
  <si>
    <t>99D</t>
  </si>
  <si>
    <t>100E</t>
  </si>
  <si>
    <t>군산미장아이파크</t>
  </si>
  <si>
    <t>2015.01.</t>
  </si>
  <si>
    <t>https://new.land.naver.com/complexes/106162?tab=detail&amp;rf=Y</t>
  </si>
  <si>
    <t>전라북도 군산시 미장동 542</t>
  </si>
  <si>
    <t>전라북도 군산시 미장남로 10</t>
  </si>
  <si>
    <t>111E</t>
  </si>
  <si>
    <t>112C</t>
  </si>
  <si>
    <t>미장코아루</t>
  </si>
  <si>
    <t>2007.06.</t>
  </si>
  <si>
    <t>https://new.land.naver.com/complexes/27793?tab=detail&amp;rf=Y</t>
  </si>
  <si>
    <t>전라북도 군산시 미장동 55-5</t>
  </si>
  <si>
    <t>전라북도 군산시 미장안길 42</t>
  </si>
  <si>
    <t>예그린</t>
  </si>
  <si>
    <t>1992.06.</t>
  </si>
  <si>
    <t>75B</t>
  </si>
  <si>
    <t>https://new.land.naver.com/complexes/27794?tab=detail&amp;rf=Y</t>
  </si>
  <si>
    <t>전라북도 군산시 미장동 52-1</t>
  </si>
  <si>
    <t>전라북도 군산시 문화로 205</t>
  </si>
  <si>
    <t>수송공원삼성쉐르빌</t>
  </si>
  <si>
    <t>2009.12.</t>
  </si>
  <si>
    <t>https://new.land.naver.com/complexes/27010?tab=detail&amp;rf=Y</t>
  </si>
  <si>
    <t>전라북도 군산시 미장동 473</t>
  </si>
  <si>
    <t>전라북도 군산시 경포천로 66</t>
  </si>
  <si>
    <t>135B</t>
  </si>
  <si>
    <t>미장대원칸타빌</t>
  </si>
  <si>
    <t>2018.06.</t>
  </si>
  <si>
    <t>https://new.land.naver.com/complexes/112656?tab=detail&amp;rf=Y</t>
  </si>
  <si>
    <t>전라북도 군산시 미장동 558</t>
  </si>
  <si>
    <t>전라북도 군산시 미장남로 100</t>
  </si>
  <si>
    <t>88A</t>
  </si>
  <si>
    <t>100C</t>
  </si>
  <si>
    <t>[사정동]</t>
  </si>
  <si>
    <t>금호타운2단지</t>
  </si>
  <si>
    <t>1996.11.</t>
  </si>
  <si>
    <t>https://new.land.naver.com/complexes/5042?tab=detail&amp;rf=Y</t>
  </si>
  <si>
    <t>전라북도 군산시 사정동 100</t>
  </si>
  <si>
    <t>사정동</t>
  </si>
  <si>
    <t>전라북도 군산시 두란뜸2길 8</t>
  </si>
  <si>
    <t>금호타운1단지</t>
  </si>
  <si>
    <t>1993.02.</t>
  </si>
  <si>
    <t>https://new.land.naver.com/complexes/5036?tab=detail&amp;rf=Y</t>
  </si>
  <si>
    <t>전라북도 군산시 사정동 421</t>
  </si>
  <si>
    <t>전라북도 군산시 내사길 43</t>
  </si>
  <si>
    <t>자연애</t>
  </si>
  <si>
    <t>2014.04.</t>
  </si>
  <si>
    <t>https://new.land.naver.com/complexes/125020?tab=detail&amp;rf=Y</t>
  </si>
  <si>
    <t>전라북도 군산시 사정동 488-1</t>
  </si>
  <si>
    <t>전라북도 군산시 경기장로 36-12</t>
  </si>
  <si>
    <t>[산북동]</t>
  </si>
  <si>
    <t>시영1단지</t>
  </si>
  <si>
    <t>1990.12.</t>
  </si>
  <si>
    <t>43A</t>
  </si>
  <si>
    <t>https://new.land.naver.com/complexes/5044?tab=detail&amp;rf=Y</t>
  </si>
  <si>
    <t>전라북도 군산시 산북동 3551-1</t>
  </si>
  <si>
    <t>산북동</t>
  </si>
  <si>
    <t>전라북도 군산시 칠성안1길 16</t>
  </si>
  <si>
    <t>하나리움시티2차</t>
  </si>
  <si>
    <t>2014.12.</t>
  </si>
  <si>
    <t>89A</t>
  </si>
  <si>
    <t>https://new.land.naver.com/complexes/144163?tab=detail&amp;rf=Y</t>
  </si>
  <si>
    <t>전라북도 군산시 산북동 3646</t>
  </si>
  <si>
    <t>전라북도 군산시 원산북2길 6</t>
  </si>
  <si>
    <t>89B</t>
  </si>
  <si>
    <t>산북대명1차</t>
  </si>
  <si>
    <t>1997.09.</t>
  </si>
  <si>
    <t>https://new.land.naver.com/complexes/107967?tab=detail&amp;rf=Y</t>
  </si>
  <si>
    <t>전라북도 군산시 산북동 3579-1</t>
  </si>
  <si>
    <t>전라북도 군산시 원산북2길 35</t>
  </si>
  <si>
    <t>시영2단지</t>
  </si>
  <si>
    <t>1991.11.</t>
  </si>
  <si>
    <t>https://new.land.naver.com/complexes/5045?tab=detail&amp;rf=Y</t>
  </si>
  <si>
    <t>전라북도 군산시 산북동 3551</t>
  </si>
  <si>
    <t>전라북도 군산시 산북로 162</t>
  </si>
  <si>
    <t>성일맨션(3537-4)</t>
  </si>
  <si>
    <t>1996.08.</t>
  </si>
  <si>
    <t>122B</t>
  </si>
  <si>
    <t>https://new.land.naver.com/complexes/143519?tab=detail&amp;rf=Y</t>
  </si>
  <si>
    <t>전라북도 군산시 산북동 3537-4</t>
  </si>
  <si>
    <t>전라북도 군산시 칠성안1길 49</t>
  </si>
  <si>
    <t>122A</t>
  </si>
  <si>
    <t>코오롱</t>
  </si>
  <si>
    <t>1994.11.</t>
  </si>
  <si>
    <t>https://new.land.naver.com/complexes/5046?tab=detail&amp;rf=Y</t>
  </si>
  <si>
    <t>전라북도 군산시 산북동 3538</t>
  </si>
  <si>
    <t>전라북도 군산시 소룡안3길 24</t>
  </si>
  <si>
    <t>산북주공</t>
  </si>
  <si>
    <t>49A</t>
  </si>
  <si>
    <t>https://new.land.naver.com/complexes/5043?tab=detail&amp;rf=Y</t>
  </si>
  <si>
    <t>전라북도 군산시 산북동 3542</t>
  </si>
  <si>
    <t>전라북도 군산시 동아로 145-1</t>
  </si>
  <si>
    <t>산북하늘가201동</t>
  </si>
  <si>
    <t>https://new.land.naver.com/complexes/118058?tab=detail&amp;rf=Y</t>
  </si>
  <si>
    <t>전라북도 군산시 산북동 3560-1</t>
  </si>
  <si>
    <t>전라북도 군산시 칠성로 126</t>
  </si>
  <si>
    <t>하늘가1차</t>
  </si>
  <si>
    <t>2001.08.</t>
  </si>
  <si>
    <t>https://new.land.naver.com/complexes/106888?tab=detail&amp;rf=Y</t>
  </si>
  <si>
    <t>전라북도 군산시 산북동 3589</t>
  </si>
  <si>
    <t>전라북도 군산시 부원로 116</t>
  </si>
  <si>
    <t>부향하나로2차</t>
  </si>
  <si>
    <t>https://new.land.naver.com/complexes/127042?tab=detail&amp;rf=Y</t>
  </si>
  <si>
    <t>전라북도 군산시 산북동 3602-4</t>
  </si>
  <si>
    <t>전라북도 군산시 동아로 17</t>
  </si>
  <si>
    <t>산북부향하나로4차</t>
  </si>
  <si>
    <t>https://new.land.naver.com/complexes/16993?tab=detail&amp;rf=Y</t>
  </si>
  <si>
    <t>전라북도 군산시 산북동 3637</t>
  </si>
  <si>
    <t>전라북도 군산시 칠성안5길 40</t>
  </si>
  <si>
    <t>금강맨션</t>
  </si>
  <si>
    <t>1989.11.</t>
  </si>
  <si>
    <t>https://new.land.naver.com/complexes/101157?tab=detail&amp;rf=Y</t>
  </si>
  <si>
    <t>전라북도 군산시 산북동 3540</t>
  </si>
  <si>
    <t>전라북도 군산시 소룡길 86-5</t>
  </si>
  <si>
    <t>서해제일</t>
  </si>
  <si>
    <t>1995.05.</t>
  </si>
  <si>
    <t>https://new.land.naver.com/complexes/16991?tab=detail&amp;rf=Y</t>
  </si>
  <si>
    <t>전라북도 군산시 산북동 3536-1</t>
  </si>
  <si>
    <t>전라북도 군산시 칠성안1길 45</t>
  </si>
  <si>
    <t>성일(3546-5)</t>
  </si>
  <si>
    <t>1995.01.</t>
  </si>
  <si>
    <t>https://new.land.naver.com/complexes/16992?tab=detail&amp;rf=Y</t>
  </si>
  <si>
    <t>전라북도 군산시 산북동 3546-5</t>
  </si>
  <si>
    <t>전라북도 군산시 칠성7길 74</t>
  </si>
  <si>
    <t>고천마을</t>
  </si>
  <si>
    <t>2008.06.</t>
  </si>
  <si>
    <t>https://new.land.naver.com/complexes/102909?tab=detail&amp;rf=Y</t>
  </si>
  <si>
    <t>전라북도 군산시 산북동 3592</t>
  </si>
  <si>
    <t>전라북도 군산시 원산북1길 32</t>
  </si>
  <si>
    <t>부향하나로1차</t>
  </si>
  <si>
    <t>1997.03.</t>
  </si>
  <si>
    <t>https://new.land.naver.com/complexes/118059?tab=detail&amp;rf=Y</t>
  </si>
  <si>
    <t>전라북도 군산시 산북동 3616</t>
  </si>
  <si>
    <t>전라북도 군산시 동아로 12</t>
  </si>
  <si>
    <t>[삼학동]</t>
  </si>
  <si>
    <t>군산삼학대우</t>
  </si>
  <si>
    <t>https://new.land.naver.com/complexes/5047?tab=detail&amp;rf=Y</t>
  </si>
  <si>
    <t>전라북도 군산시 삼학동 811-1</t>
  </si>
  <si>
    <t>삼학동</t>
  </si>
  <si>
    <t>전라북도 군산시 축동로 188</t>
  </si>
  <si>
    <t>삼학</t>
  </si>
  <si>
    <t>1973.02.</t>
  </si>
  <si>
    <t>https://new.land.naver.com/complexes/123852?tab=detail&amp;rf=Y</t>
  </si>
  <si>
    <t>전라북도 군산시 삼학동 275-9</t>
  </si>
  <si>
    <t>전라북도 군산시 삼학5길 9</t>
  </si>
  <si>
    <t>50B</t>
  </si>
  <si>
    <t>50A</t>
  </si>
  <si>
    <t>50C</t>
  </si>
  <si>
    <t>https://new.land.naver.com/complexes/124774?tab=detail&amp;rf=Y</t>
  </si>
  <si>
    <t>전라북도 군산시 삼학동 287</t>
  </si>
  <si>
    <t>전라북도 군산시 삼학5길 25</t>
  </si>
  <si>
    <t>수필담(도시형)</t>
  </si>
  <si>
    <t>2017.12.</t>
  </si>
  <si>
    <t>https://new.land.naver.com/complexes/122293?tab=detail&amp;rf=Y</t>
  </si>
  <si>
    <t>전라북도 군산시 삼학동 314-37</t>
  </si>
  <si>
    <t>전라북도 군산시 월명로 371</t>
  </si>
  <si>
    <t>[서흥남동]</t>
  </si>
  <si>
    <t>수송파미유(도시형)</t>
  </si>
  <si>
    <t>https://new.land.naver.com/complexes/125052?tab=detail&amp;rf=Y</t>
  </si>
  <si>
    <t>전라북도 군산시 서흥남동 855</t>
  </si>
  <si>
    <t>서흥남동</t>
  </si>
  <si>
    <t>전라북도 군산시 동메2길 8</t>
  </si>
  <si>
    <t>56C</t>
  </si>
  <si>
    <t>56D</t>
  </si>
  <si>
    <t>58A</t>
  </si>
  <si>
    <t>58E</t>
  </si>
  <si>
    <t>69D</t>
  </si>
  <si>
    <t>70A</t>
  </si>
  <si>
    <t>70C</t>
  </si>
  <si>
    <t>72A</t>
  </si>
  <si>
    <t>72B</t>
  </si>
  <si>
    <t>73C</t>
  </si>
  <si>
    <t>74D</t>
  </si>
  <si>
    <t>고려타운</t>
  </si>
  <si>
    <t>1992.05.</t>
  </si>
  <si>
    <t>https://new.land.naver.com/complexes/16994?tab=detail&amp;rf=Y</t>
  </si>
  <si>
    <t>전라북도 군산시 서흥남동 818-2</t>
  </si>
  <si>
    <t>전라북도 군산시 서흥2길 56</t>
  </si>
  <si>
    <t>76C</t>
  </si>
  <si>
    <t>77D</t>
  </si>
  <si>
    <t>104B</t>
  </si>
  <si>
    <t>105A</t>
  </si>
  <si>
    <t>[소룡동]</t>
  </si>
  <si>
    <t>군산성원</t>
  </si>
  <si>
    <t>2004.07.</t>
  </si>
  <si>
    <t>https://new.land.naver.com/complexes/11526?tab=detail&amp;rf=Y</t>
  </si>
  <si>
    <t>전라북도 군산시 소룡동 1010</t>
  </si>
  <si>
    <t>소룡동</t>
  </si>
  <si>
    <t>전라북도 군산시 해망로 447</t>
  </si>
  <si>
    <t>나우하이츠</t>
  </si>
  <si>
    <t>2001.07.</t>
  </si>
  <si>
    <t>https://new.land.naver.com/complexes/104844?tab=detail&amp;rf=Y</t>
  </si>
  <si>
    <t>전라북도 군산시 소룡동 1347-12</t>
  </si>
  <si>
    <t>전라북도 군산시 설림길 61</t>
  </si>
  <si>
    <t>금강골드빌</t>
  </si>
  <si>
    <t>2003.02.</t>
  </si>
  <si>
    <t>https://new.land.naver.com/complexes/101215?tab=detail&amp;rf=Y</t>
  </si>
  <si>
    <t>전라북도 군산시 소룡동 1349</t>
  </si>
  <si>
    <t>전라북도 군산시 설림2길 33-1</t>
  </si>
  <si>
    <t>그린서해맨션</t>
  </si>
  <si>
    <t>https://new.land.naver.com/complexes/5054?tab=detail&amp;rf=Y</t>
  </si>
  <si>
    <t>전라북도 군산시 소룡동 857</t>
  </si>
  <si>
    <t>전라북도 군산시 풍전3길 30</t>
  </si>
  <si>
    <t>79B</t>
  </si>
  <si>
    <t>동아</t>
  </si>
  <si>
    <t>1990.10.</t>
  </si>
  <si>
    <t>https://new.land.naver.com/complexes/5050?tab=detail&amp;rf=Y</t>
  </si>
  <si>
    <t>전라북도 군산시 소룡동 1323-13</t>
  </si>
  <si>
    <t>전라북도 군산시 동아로 160</t>
  </si>
  <si>
    <t>https://new.land.naver.com/complexes/126362?tab=detail&amp;rf=Y</t>
  </si>
  <si>
    <t>전라북도 군산시 소룡동 1548-9</t>
  </si>
  <si>
    <t>전라북도 군산시 칠성7길 116</t>
  </si>
  <si>
    <t>1992.03.</t>
  </si>
  <si>
    <t>https://new.land.naver.com/complexes/5052?tab=detail&amp;rf=Y</t>
  </si>
  <si>
    <t>전라북도 군산시 소룡동 1552-4</t>
  </si>
  <si>
    <t>전라북도 군산시 칠성4길 186</t>
  </si>
  <si>
    <t>소룡진흥</t>
  </si>
  <si>
    <t>1991.05.</t>
  </si>
  <si>
    <t>https://new.land.naver.com/complexes/5057?tab=detail&amp;rf=Y</t>
  </si>
  <si>
    <t>전라북도 군산시 소룡동 1386-10</t>
  </si>
  <si>
    <t>전라북도 군산시 설림안3길 32</t>
  </si>
  <si>
    <t>스카이타운</t>
  </si>
  <si>
    <t>https://new.land.naver.com/complexes/27490?tab=detail&amp;rf=Y</t>
  </si>
  <si>
    <t>전라북도 군산시 소룡동 1574</t>
  </si>
  <si>
    <t>전라북도 군산시 소룡안3길 34</t>
  </si>
  <si>
    <t>https://new.land.naver.com/complexes/125416?tab=detail&amp;rf=Y</t>
  </si>
  <si>
    <t>전라북도 군산시 소룡동 1547-4</t>
  </si>
  <si>
    <t>전라북도 군산시 소룡안2길 19</t>
  </si>
  <si>
    <t>평화</t>
  </si>
  <si>
    <t>https://new.land.naver.com/complexes/122339?tab=detail&amp;rf=Y</t>
  </si>
  <si>
    <t>전라북도 군산시 소룡동 1551-3</t>
  </si>
  <si>
    <t>전라북도 군산시 칠성6길 185</t>
  </si>
  <si>
    <t>그린</t>
  </si>
  <si>
    <t>https://new.land.naver.com/complexes/127515?tab=detail&amp;rf=Y</t>
  </si>
  <si>
    <t>전라북도 군산시 소룡동 1561-1</t>
  </si>
  <si>
    <t>전라북도 군산시 소룡2길 34</t>
  </si>
  <si>
    <t>소룡제이파크</t>
  </si>
  <si>
    <t>https://new.land.naver.com/complexes/105138?tab=detail&amp;rf=Y</t>
  </si>
  <si>
    <t>전라북도 군산시 소룡동 663</t>
  </si>
  <si>
    <t>전라북도 군산시 해망로 606</t>
  </si>
  <si>
    <t>신흥무지개타운</t>
  </si>
  <si>
    <t>https://new.land.naver.com/complexes/106428?tab=detail&amp;rf=Y</t>
  </si>
  <si>
    <t>전라북도 군산시 소룡동 1560-2</t>
  </si>
  <si>
    <t>전라북도 군산시 소룡1길 26</t>
  </si>
  <si>
    <t>신도시</t>
  </si>
  <si>
    <t>2001.12.</t>
  </si>
  <si>
    <t>https://new.land.naver.com/complexes/27544?tab=detail&amp;rf=Y</t>
  </si>
  <si>
    <t>전라북도 군산시 소룡동 755</t>
  </si>
  <si>
    <t>전라북도 군산시 풍전6길 16</t>
  </si>
  <si>
    <t>이화</t>
  </si>
  <si>
    <t>1992.02.</t>
  </si>
  <si>
    <t>https://new.land.naver.com/complexes/14975?tab=detail&amp;rf=Y</t>
  </si>
  <si>
    <t>전라북도 군산시 소룡동 1349-26</t>
  </si>
  <si>
    <t>전라북도 군산시 설림2길 22-3</t>
  </si>
  <si>
    <t>[수송동]</t>
  </si>
  <si>
    <t>하이스</t>
  </si>
  <si>
    <t>2010.04.</t>
  </si>
  <si>
    <t>https://new.land.naver.com/complexes/132331?tab=detail&amp;rf=Y</t>
  </si>
  <si>
    <t>전라북도 군산시 수송동 404</t>
  </si>
  <si>
    <t>전라북도 군산시 진포2길 15</t>
  </si>
  <si>
    <t>한라비발디2단지</t>
  </si>
  <si>
    <t>2008.11.</t>
  </si>
  <si>
    <t>https://new.land.naver.com/complexes/100426?tab=detail&amp;rf=Y</t>
  </si>
  <si>
    <t>전라북도 군산시 수송동 885-3</t>
  </si>
  <si>
    <t>전라북도 군산시 수송동로 20</t>
  </si>
  <si>
    <t>한라비발디1단지</t>
  </si>
  <si>
    <t>https://new.land.naver.com/complexes/26635?tab=detail&amp;rf=Y</t>
  </si>
  <si>
    <t>전라북도 군산시 수송동 885-1</t>
  </si>
  <si>
    <t>전라북도 군산시 수송동로 36</t>
  </si>
  <si>
    <t>https://new.land.naver.com/complexes/27518?tab=detail&amp;rf=Y</t>
  </si>
  <si>
    <t>전라북도 군산시 수송동 904</t>
  </si>
  <si>
    <t>전라북도 군산시 축동로 10</t>
  </si>
  <si>
    <t>수송아이파크(201-2BL)</t>
  </si>
  <si>
    <t>2008.09.</t>
  </si>
  <si>
    <t>https://new.land.naver.com/complexes/26634?tab=detail&amp;rf=Y</t>
  </si>
  <si>
    <t>전라북도 군산시 수송동 829-2</t>
  </si>
  <si>
    <t>전라북도 군산시 수송동로 91</t>
  </si>
  <si>
    <t>군산수송세영리첼</t>
  </si>
  <si>
    <t>2010.06.</t>
  </si>
  <si>
    <t>https://new.land.naver.com/complexes/101738?tab=detail&amp;rf=Y</t>
  </si>
  <si>
    <t>전라북도 군산시 수송동 830-1</t>
  </si>
  <si>
    <t>전라북도 군산시 수송동로 100</t>
  </si>
  <si>
    <t>114B</t>
  </si>
  <si>
    <t>수송오투그란데2차</t>
  </si>
  <si>
    <t>2011.03.</t>
  </si>
  <si>
    <t>https://new.land.naver.com/complexes/103002?tab=detail&amp;rf=Y</t>
  </si>
  <si>
    <t>전라북도 군산시 수송동 829-1</t>
  </si>
  <si>
    <t>전라북도 군산시 수송동로 105</t>
  </si>
  <si>
    <t>82A</t>
  </si>
  <si>
    <t>수송프라임</t>
  </si>
  <si>
    <t>2016.10.</t>
  </si>
  <si>
    <t>https://new.land.naver.com/complexes/119546?tab=detail&amp;rf=Y</t>
  </si>
  <si>
    <t>전라북도 군산시 수송동 810-6</t>
  </si>
  <si>
    <t>전라북도 군산시 수송로 171</t>
  </si>
  <si>
    <t>1997.06.</t>
  </si>
  <si>
    <t>https://new.land.naver.com/complexes/5059?tab=detail&amp;rf=Y</t>
  </si>
  <si>
    <t>전라북도 군산시 수송동 69-2</t>
  </si>
  <si>
    <t>전라북도 군산시 진포1길 10</t>
  </si>
  <si>
    <t>수송제일</t>
  </si>
  <si>
    <t>2002.03.</t>
  </si>
  <si>
    <t>https://new.land.naver.com/complexes/16996?tab=detail&amp;rf=Y</t>
  </si>
  <si>
    <t>전라북도 군산시 수송동 33-1</t>
  </si>
  <si>
    <t>전라북도 군산시 축동안길 37</t>
  </si>
  <si>
    <t>스타팰리스(도시형)</t>
  </si>
  <si>
    <t>37B-4</t>
  </si>
  <si>
    <t>https://new.land.naver.com/complexes/109957?tab=detail&amp;rf=Y</t>
  </si>
  <si>
    <t>전라북도 군산시 수송동 416-6</t>
  </si>
  <si>
    <t>전라북도 군산시 진포2길 8</t>
  </si>
  <si>
    <t>41B</t>
  </si>
  <si>
    <t>48A-4</t>
  </si>
  <si>
    <t>50B-1</t>
  </si>
  <si>
    <t>53B-2</t>
  </si>
  <si>
    <t>54A-2</t>
  </si>
  <si>
    <t>59B-3</t>
  </si>
  <si>
    <t>67A-3</t>
  </si>
  <si>
    <t>69A-6</t>
  </si>
  <si>
    <t>70A-1</t>
  </si>
  <si>
    <t>70A-2</t>
  </si>
  <si>
    <t>70A-5</t>
  </si>
  <si>
    <t>https://new.land.naver.com/complexes/123068?tab=detail&amp;rf=Y</t>
  </si>
  <si>
    <t>전라북도 군산시 수송동 656</t>
  </si>
  <si>
    <t>전라북도 군산시 신평길 12</t>
  </si>
  <si>
    <t>75A</t>
  </si>
  <si>
    <t>군산수송제일오투그란데2단지</t>
  </si>
  <si>
    <t>2008.10.</t>
  </si>
  <si>
    <t>117A</t>
  </si>
  <si>
    <t>https://new.land.naver.com/complexes/100415?tab=detail&amp;rf=Y</t>
  </si>
  <si>
    <t>전라북도 군산시 수송동 812-1</t>
  </si>
  <si>
    <t>전라북도 군산시 축동로 32</t>
  </si>
  <si>
    <t>118B</t>
  </si>
  <si>
    <t>군산수송제일오투그란데1단지</t>
  </si>
  <si>
    <t>https://new.land.naver.com/complexes/26633?tab=detail&amp;rf=Y</t>
  </si>
  <si>
    <t>전라북도 군산시 수송동 812</t>
  </si>
  <si>
    <t>전라북도 군산시 축동로 42</t>
  </si>
  <si>
    <t>[신풍동]</t>
  </si>
  <si>
    <t>월명</t>
  </si>
  <si>
    <t>1979.05.</t>
  </si>
  <si>
    <t>https://new.land.naver.com/complexes/14976?tab=detail&amp;rf=Y</t>
  </si>
  <si>
    <t>전라북도 군산시 신풍동 892-8</t>
  </si>
  <si>
    <t>신풍동</t>
  </si>
  <si>
    <t>전라북도 군산시 신풍길 22</t>
  </si>
  <si>
    <t>[오식도동]</t>
  </si>
  <si>
    <t>한성필하우스</t>
  </si>
  <si>
    <t>2012.08.</t>
  </si>
  <si>
    <t>https://new.land.naver.com/complexes/140671?tab=detail&amp;rf=Y</t>
  </si>
  <si>
    <t>전라북도 군산시 오식도동 806-3</t>
  </si>
  <si>
    <t>오식도동</t>
  </si>
  <si>
    <t>전라북도 군산시 요죽길 76</t>
  </si>
  <si>
    <t>83C</t>
  </si>
  <si>
    <t>[옥산면]</t>
  </si>
  <si>
    <t>힐스테이트은파</t>
  </si>
  <si>
    <t>2015.09.</t>
  </si>
  <si>
    <t>https://new.land.naver.com/complexes/111365?tab=detail&amp;rf=Y</t>
  </si>
  <si>
    <t>전라북도 군산시 옥산면 당북리 1046</t>
  </si>
  <si>
    <t>옥산면</t>
  </si>
  <si>
    <t>전라북도 군산시 월명로 45</t>
  </si>
  <si>
    <t>군산대광로제비앙</t>
  </si>
  <si>
    <t>https://new.land.naver.com/complexes/110515?tab=detail&amp;rf=Y</t>
  </si>
  <si>
    <t>전라북도 군산시 옥산면 당북리 1048</t>
  </si>
  <si>
    <t>전라북도 군산시 월명로 55</t>
  </si>
  <si>
    <t>[옥서면]</t>
  </si>
  <si>
    <t>드림빌</t>
  </si>
  <si>
    <t>https://new.land.naver.com/complexes/137450?tab=detail&amp;rf=Y</t>
  </si>
  <si>
    <t>전라북도 군산시 옥서면 선연리 1562-1</t>
  </si>
  <si>
    <t>옥서면</t>
  </si>
  <si>
    <t>전라북도 군산시 옥구저수지로 307</t>
  </si>
  <si>
    <t>[월명동]</t>
  </si>
  <si>
    <t>현대오솔</t>
  </si>
  <si>
    <t>2003.09.</t>
  </si>
  <si>
    <t>https://new.land.naver.com/complexes/104593?tab=detail&amp;rf=Y</t>
  </si>
  <si>
    <t>전라북도 군산시 월명동 15-1</t>
  </si>
  <si>
    <t>월명동</t>
  </si>
  <si>
    <t>전라북도 군산시 구영5길 21-3</t>
  </si>
  <si>
    <t>클래시움</t>
  </si>
  <si>
    <t>https://new.land.naver.com/complexes/22980?tab=detail&amp;rf=Y</t>
  </si>
  <si>
    <t>전라북도 군산시 월명동 23-1</t>
  </si>
  <si>
    <t>전라북도 군산시 월명1길 3</t>
  </si>
  <si>
    <t>다원파크빌</t>
  </si>
  <si>
    <t>2002.08.</t>
  </si>
  <si>
    <t>https://new.land.naver.com/complexes/23010?tab=detail&amp;rf=Y</t>
  </si>
  <si>
    <t>전라북도 군산시 월명동 7-3</t>
  </si>
  <si>
    <t>전라북도 군산시 구영6길 31</t>
  </si>
  <si>
    <t>[임피면]</t>
  </si>
  <si>
    <t>무지개</t>
  </si>
  <si>
    <t>https://new.land.naver.com/complexes/116353?tab=detail&amp;rf=Y</t>
  </si>
  <si>
    <t>전라북도 군산시 임피면 읍내리 323</t>
  </si>
  <si>
    <t>임피면</t>
  </si>
  <si>
    <t>전라북도 군산시 임피1길 52</t>
  </si>
  <si>
    <t>[장재동]</t>
  </si>
  <si>
    <t>그린장미</t>
  </si>
  <si>
    <t>https://new.land.naver.com/complexes/106424?tab=detail&amp;rf=Y</t>
  </si>
  <si>
    <t>전라북도 군산시 장재동 45-4</t>
  </si>
  <si>
    <t>장재동</t>
  </si>
  <si>
    <t>전라북도 군산시 풍문2길 30</t>
  </si>
  <si>
    <t>한일</t>
  </si>
  <si>
    <t>1989.05.</t>
  </si>
  <si>
    <t>https://new.land.naver.com/complexes/14977?tab=detail&amp;rf=Y</t>
  </si>
  <si>
    <t>전라북도 군산시 장재동 380-1</t>
  </si>
  <si>
    <t>전라북도 군산시 동팔마길 39</t>
  </si>
  <si>
    <t>현대세솔</t>
  </si>
  <si>
    <t>https://new.land.naver.com/complexes/27292?tab=detail&amp;rf=Y</t>
  </si>
  <si>
    <t>전라북도 군산시 장재동 212</t>
  </si>
  <si>
    <t>전라북도 군산시 풍문2길 35</t>
  </si>
  <si>
    <t>[조촌동]</t>
  </si>
  <si>
    <t>군산디오션시티푸르지오</t>
  </si>
  <si>
    <t>2018.03.</t>
  </si>
  <si>
    <t>https://new.land.naver.com/complexes/113152?tab=detail&amp;rf=Y</t>
  </si>
  <si>
    <t>전라북도 군산시 조촌동 3943</t>
  </si>
  <si>
    <t>전라북도 군산시 궁포2로 20</t>
  </si>
  <si>
    <t>102C</t>
  </si>
  <si>
    <t>102B</t>
  </si>
  <si>
    <t>타워써미트</t>
  </si>
  <si>
    <t>2012.06.</t>
  </si>
  <si>
    <t>https://new.land.naver.com/complexes/126738?tab=detail&amp;rf=Y</t>
  </si>
  <si>
    <t>전라북도 군산시 조촌동 3931</t>
  </si>
  <si>
    <t>전라북도 군산시 공단대로 54</t>
  </si>
  <si>
    <t>현대한솔</t>
  </si>
  <si>
    <t>https://new.land.naver.com/complexes/106468?tab=detail&amp;rf=Y</t>
  </si>
  <si>
    <t>전라북도 군산시 조촌동 895-16</t>
  </si>
  <si>
    <t>전라북도 군산시 번영로 159</t>
  </si>
  <si>
    <t>1992.10.</t>
  </si>
  <si>
    <t>https://new.land.naver.com/complexes/5067?tab=detail&amp;rf=Y</t>
  </si>
  <si>
    <t>전라북도 군산시 조촌동 491</t>
  </si>
  <si>
    <t>전라북도 군산시 백릉로 162</t>
  </si>
  <si>
    <t>104S</t>
  </si>
  <si>
    <t>부향하나로</t>
  </si>
  <si>
    <t>1996.09.</t>
  </si>
  <si>
    <t>https://new.land.naver.com/complexes/128224?tab=detail&amp;rf=Y</t>
  </si>
  <si>
    <t>전라북도 군산시 조촌동 771</t>
  </si>
  <si>
    <t>전라북도 군산시 번영로 188-22</t>
  </si>
  <si>
    <t>e편한세상군산디오션시티</t>
  </si>
  <si>
    <t>2018.11.</t>
  </si>
  <si>
    <t>https://new.land.naver.com/complexes/112707?tab=detail&amp;rf=Y</t>
  </si>
  <si>
    <t>전라북도 군산시 조촌동 3963</t>
  </si>
  <si>
    <t>전라북도 군산시 궁포2로 25</t>
  </si>
  <si>
    <t>시영</t>
  </si>
  <si>
    <t>https://new.land.naver.com/complexes/5069?tab=detail&amp;rf=Y</t>
  </si>
  <si>
    <t>전라북도 군산시 조촌동 903-1</t>
  </si>
  <si>
    <t>전라북도 군산시 양안로 130</t>
  </si>
  <si>
    <t>더샵디오션시티2차</t>
  </si>
  <si>
    <t>2023.07.</t>
  </si>
  <si>
    <t>https://new.land.naver.com/complexes/139928?tab=detail&amp;rf=Y</t>
  </si>
  <si>
    <t>전라북도 군산시 조촌동 2-28번지 일원 (군산디오션시티 A5BL)</t>
  </si>
  <si>
    <t>109B</t>
  </si>
  <si>
    <t>109C</t>
  </si>
  <si>
    <t>동신개나리</t>
  </si>
  <si>
    <t>https://new.land.naver.com/complexes/5065?tab=detail&amp;rf=Y</t>
  </si>
  <si>
    <t>전라북도 군산시 조촌동 907-2</t>
  </si>
  <si>
    <t>전라북도 군산시 양안로 119</t>
  </si>
  <si>
    <t>센트럴파크</t>
  </si>
  <si>
    <t>2017.10.</t>
  </si>
  <si>
    <t>https://new.land.naver.com/complexes/111158?tab=detail&amp;rf=Y</t>
  </si>
  <si>
    <t>전라북도 군산시 조촌동 769-4</t>
  </si>
  <si>
    <t>전라북도 군산시 번영로 190</t>
  </si>
  <si>
    <t>https://new.land.naver.com/complexes/5073?tab=detail&amp;rf=Y</t>
  </si>
  <si>
    <t>전라북도 군산시 조촌동 903-2</t>
  </si>
  <si>
    <t>전라북도 군산시 양안로 120</t>
  </si>
  <si>
    <t>미르에코리버</t>
  </si>
  <si>
    <t>2015.02.</t>
  </si>
  <si>
    <t>https://new.land.naver.com/complexes/126017?tab=detail&amp;rf=Y</t>
  </si>
  <si>
    <t>전라북도 군산시 조촌동 952-1</t>
  </si>
  <si>
    <t>전라북도 군산시 부골3길 20-5</t>
  </si>
  <si>
    <t>대명3차</t>
  </si>
  <si>
    <t>https://new.land.naver.com/complexes/127340?tab=detail&amp;rf=Y</t>
  </si>
  <si>
    <t>전라북도 군산시 조촌동 759-1</t>
  </si>
  <si>
    <t>전라북도 군산시 신촌1길 36</t>
  </si>
  <si>
    <t>더샵디오션시티</t>
  </si>
  <si>
    <t>2021.10.</t>
  </si>
  <si>
    <t>https://new.land.naver.com/complexes/125752?tab=detail&amp;rf=Y</t>
  </si>
  <si>
    <t>전라북도 군산시 조촌동 2-31</t>
  </si>
  <si>
    <t>전라북도 군산시 궁포1로 79</t>
  </si>
  <si>
    <t>https://new.land.naver.com/complexes/135799?tab=detail&amp;rf=Y</t>
  </si>
  <si>
    <t>전라북도 군산시 조촌동 907-1</t>
  </si>
  <si>
    <t>전라북도 군산시 양안로 123</t>
  </si>
  <si>
    <t>e편한세상디오션시티2차</t>
  </si>
  <si>
    <t>2020.05.</t>
  </si>
  <si>
    <t>https://new.land.naver.com/complexes/120089?tab=detail&amp;rf=Y</t>
  </si>
  <si>
    <t>전라북도 군산시 조촌동 3967</t>
  </si>
  <si>
    <t>전라북도 군산시 궁포1로 82</t>
  </si>
  <si>
    <t>188P</t>
  </si>
  <si>
    <t>[지곡동]</t>
  </si>
  <si>
    <t>군산호수공원아이파크</t>
  </si>
  <si>
    <t>2024.01.</t>
  </si>
  <si>
    <t>https://new.land.naver.com/complexes/141761?tab=detail&amp;rf=Y</t>
  </si>
  <si>
    <t>전라북도 군산시 지곡동 산 66번지 일원</t>
  </si>
  <si>
    <t>지곡동</t>
  </si>
  <si>
    <t>234P</t>
  </si>
  <si>
    <t>304P</t>
  </si>
  <si>
    <t>은파코아루</t>
  </si>
  <si>
    <t>2006.12.</t>
  </si>
  <si>
    <t>https://new.land.naver.com/complexes/26913?tab=detail&amp;rf=Y</t>
  </si>
  <si>
    <t>전라북도 군산시 지곡동 158-1</t>
  </si>
  <si>
    <t>전라북도 군산시 동지곡길 53</t>
  </si>
  <si>
    <t>지곡쌍용예가</t>
  </si>
  <si>
    <t>2014.08.</t>
  </si>
  <si>
    <t>https://new.land.naver.com/complexes/104620?tab=detail&amp;rf=Y</t>
  </si>
  <si>
    <t>전라북도 군산시 지곡동 607</t>
  </si>
  <si>
    <t>전라북도 군산시 계산로 71</t>
  </si>
  <si>
    <t>84B</t>
  </si>
  <si>
    <t>지곡엠코타운</t>
  </si>
  <si>
    <t>https://new.land.naver.com/complexes/109796?tab=detail&amp;rf=Y</t>
  </si>
  <si>
    <t>전라북도 군산시 지곡동 609</t>
  </si>
  <si>
    <t>전라북도 군산시 계산로 90</t>
  </si>
  <si>
    <t>108A</t>
  </si>
  <si>
    <t>108B</t>
  </si>
  <si>
    <t>서희스타힐스</t>
  </si>
  <si>
    <t>2015.12.</t>
  </si>
  <si>
    <t>https://new.land.naver.com/complexes/112195?tab=detail&amp;rf=Y</t>
  </si>
  <si>
    <t>전라북도 군산시 지곡동 612</t>
  </si>
  <si>
    <t>전라북도 군산시 지곡로 52</t>
  </si>
  <si>
    <t>107A</t>
  </si>
  <si>
    <t>도현해나지오</t>
  </si>
  <si>
    <t>2004.03.</t>
  </si>
  <si>
    <t>https://new.land.naver.com/complexes/26767?tab=detail&amp;rf=Y</t>
  </si>
  <si>
    <t>전라북도 군산시 지곡동 42-5</t>
  </si>
  <si>
    <t>전라북도 군산시 계산로 78</t>
  </si>
  <si>
    <t>추출대상</t>
  </si>
  <si>
    <t>매전갭</t>
  </si>
  <si>
    <t>'95.06.</t>
  </si>
  <si>
    <t>'15.11.</t>
  </si>
  <si>
    <t>22</t>
  </si>
  <si>
    <t>'98.09.</t>
  </si>
  <si>
    <t>'94.03.</t>
  </si>
  <si>
    <t>'97.01.</t>
  </si>
  <si>
    <t>'90.11.</t>
  </si>
  <si>
    <t>'22.09.</t>
  </si>
  <si>
    <t>'02.12.</t>
  </si>
  <si>
    <t>'09.03.</t>
  </si>
  <si>
    <t>'94.09.</t>
  </si>
  <si>
    <t>'93.10.</t>
  </si>
  <si>
    <t>'90.04.</t>
  </si>
  <si>
    <t>'95.12.</t>
  </si>
  <si>
    <t>'96.04.</t>
  </si>
  <si>
    <t>'92.08.</t>
  </si>
  <si>
    <t>'91.09.</t>
  </si>
  <si>
    <t>'83.12.</t>
  </si>
  <si>
    <t>'10.03.</t>
  </si>
  <si>
    <t>'97.12.</t>
  </si>
  <si>
    <t>'97.02.</t>
  </si>
  <si>
    <t>'91.03.</t>
  </si>
  <si>
    <t>'96.07.</t>
  </si>
  <si>
    <t>'92.11.</t>
  </si>
  <si>
    <t>'93.12.</t>
  </si>
  <si>
    <t>'08.08.</t>
  </si>
  <si>
    <t>'95.07.</t>
  </si>
  <si>
    <t>'98.05.</t>
  </si>
  <si>
    <t>'94.06.</t>
  </si>
  <si>
    <t>'79.01.</t>
  </si>
  <si>
    <t>'16.04.</t>
  </si>
  <si>
    <t>'11.10.</t>
  </si>
  <si>
    <t>'06.02.</t>
  </si>
  <si>
    <t>'98.06.</t>
  </si>
  <si>
    <t>'08.12.</t>
  </si>
  <si>
    <t>'07.09.</t>
  </si>
  <si>
    <t>'01.06.</t>
  </si>
  <si>
    <t>'98.04.</t>
  </si>
  <si>
    <t>'07.02.</t>
  </si>
  <si>
    <t>'02.05.</t>
  </si>
  <si>
    <t>'01.03.</t>
  </si>
  <si>
    <t>'06.06.</t>
  </si>
  <si>
    <t>'04.11.</t>
  </si>
  <si>
    <t>'17.06.</t>
  </si>
  <si>
    <t>'15.01.</t>
  </si>
  <si>
    <t>'07.06.</t>
  </si>
  <si>
    <t>'09.12.</t>
  </si>
  <si>
    <t>'18.06.</t>
  </si>
  <si>
    <t>'96.11.</t>
  </si>
  <si>
    <t>'93.02.</t>
  </si>
  <si>
    <t>'90.12.</t>
  </si>
  <si>
    <t>'97.09.</t>
  </si>
  <si>
    <t>'91.11.</t>
  </si>
  <si>
    <t>'94.11.</t>
  </si>
  <si>
    <t>'89.04.</t>
  </si>
  <si>
    <t>'01.08.</t>
  </si>
  <si>
    <t>'97.03.</t>
  </si>
  <si>
    <t>'92.05.</t>
  </si>
  <si>
    <t>'04.07.</t>
  </si>
  <si>
    <t>'03.02.</t>
  </si>
  <si>
    <t>'90.10.</t>
  </si>
  <si>
    <t>'91.05.</t>
  </si>
  <si>
    <t>'01.12.</t>
  </si>
  <si>
    <t>'92.02.</t>
  </si>
  <si>
    <t>'08.11.</t>
  </si>
  <si>
    <t>'08.09.</t>
  </si>
  <si>
    <t>'10.06.</t>
  </si>
  <si>
    <t>'11.03.</t>
  </si>
  <si>
    <t>'97.06.</t>
  </si>
  <si>
    <t>'02.03.</t>
  </si>
  <si>
    <t>'08.10.</t>
  </si>
  <si>
    <t>'79.05.</t>
  </si>
  <si>
    <t>'12.08.</t>
  </si>
  <si>
    <t>'15.09.</t>
  </si>
  <si>
    <t>'17.12.</t>
  </si>
  <si>
    <t>'04.05.</t>
  </si>
  <si>
    <t>'18.03.</t>
  </si>
  <si>
    <t>29</t>
  </si>
  <si>
    <t>'12.06.</t>
  </si>
  <si>
    <t>'92.10.</t>
  </si>
  <si>
    <t>'96.09.</t>
  </si>
  <si>
    <t>'18.11.</t>
  </si>
  <si>
    <t>'23.07.</t>
  </si>
  <si>
    <t>'17.10.</t>
  </si>
  <si>
    <t>'95.09.</t>
  </si>
  <si>
    <t>'21.10.</t>
  </si>
  <si>
    <t>동명</t>
  </si>
  <si>
    <t>'19.04</t>
  </si>
  <si>
    <t>경암동 새한</t>
    <phoneticPr fontId="2" type="noConversion"/>
  </si>
  <si>
    <t>95.06.</t>
    <phoneticPr fontId="2" type="noConversion"/>
  </si>
  <si>
    <t>경암동 경암제일오투그란데</t>
    <phoneticPr fontId="2" type="noConversion"/>
  </si>
  <si>
    <t>15.11.</t>
    <phoneticPr fontId="2" type="noConversion"/>
  </si>
  <si>
    <t>경암동 경암부향하나로</t>
    <phoneticPr fontId="2" type="noConversion"/>
  </si>
  <si>
    <t>98.09.</t>
    <phoneticPr fontId="2" type="noConversion"/>
  </si>
  <si>
    <t>구암동 현대</t>
    <phoneticPr fontId="2" type="noConversion"/>
  </si>
  <si>
    <t>94.03.</t>
    <phoneticPr fontId="2" type="noConversion"/>
  </si>
  <si>
    <t>구암동 세풍</t>
    <phoneticPr fontId="2" type="noConversion"/>
  </si>
  <si>
    <t>97.01.</t>
    <phoneticPr fontId="2" type="noConversion"/>
  </si>
  <si>
    <t>97.01.</t>
    <phoneticPr fontId="2" type="noConversion"/>
  </si>
  <si>
    <t>금광동 삼성</t>
    <phoneticPr fontId="2" type="noConversion"/>
  </si>
  <si>
    <t>90.11.</t>
    <phoneticPr fontId="2" type="noConversion"/>
  </si>
  <si>
    <t>나운동 나운금호어울림센트럴</t>
    <phoneticPr fontId="2" type="noConversion"/>
  </si>
  <si>
    <t>22.09.</t>
    <phoneticPr fontId="2" type="noConversion"/>
  </si>
  <si>
    <t>22.09.</t>
    <phoneticPr fontId="2" type="noConversion"/>
  </si>
  <si>
    <t>나운동 세경</t>
    <phoneticPr fontId="2" type="noConversion"/>
  </si>
  <si>
    <t>02.12.</t>
    <phoneticPr fontId="2" type="noConversion"/>
  </si>
  <si>
    <t>02.12.</t>
    <phoneticPr fontId="2" type="noConversion"/>
  </si>
  <si>
    <t>나운동 수송코아루</t>
    <phoneticPr fontId="2" type="noConversion"/>
  </si>
  <si>
    <t>09.03.</t>
    <phoneticPr fontId="2" type="noConversion"/>
  </si>
  <si>
    <t>나운동 금호타운2차</t>
    <phoneticPr fontId="2" type="noConversion"/>
  </si>
  <si>
    <t>94.09.</t>
    <phoneticPr fontId="2" type="noConversion"/>
  </si>
  <si>
    <t>94.09.</t>
    <phoneticPr fontId="2" type="noConversion"/>
  </si>
  <si>
    <t>나운동 나운현대2차</t>
    <phoneticPr fontId="2" type="noConversion"/>
  </si>
  <si>
    <t>93.10.</t>
    <phoneticPr fontId="2" type="noConversion"/>
  </si>
  <si>
    <t>나운동 현대1차</t>
    <phoneticPr fontId="2" type="noConversion"/>
  </si>
  <si>
    <t>90.04.</t>
    <phoneticPr fontId="2" type="noConversion"/>
  </si>
  <si>
    <t>나운동 나운청솔</t>
    <phoneticPr fontId="2" type="noConversion"/>
  </si>
  <si>
    <t>나운동 신일</t>
    <phoneticPr fontId="2" type="noConversion"/>
  </si>
  <si>
    <t>95.12.</t>
    <phoneticPr fontId="2" type="noConversion"/>
  </si>
  <si>
    <t>96.04.</t>
    <phoneticPr fontId="2" type="noConversion"/>
  </si>
  <si>
    <t>나운동 롯데2차</t>
    <phoneticPr fontId="2" type="noConversion"/>
  </si>
  <si>
    <t>92.08.</t>
    <phoneticPr fontId="2" type="noConversion"/>
  </si>
  <si>
    <t>나운동 우성</t>
    <phoneticPr fontId="2" type="noConversion"/>
  </si>
  <si>
    <t>95.06.</t>
    <phoneticPr fontId="2" type="noConversion"/>
  </si>
  <si>
    <t>나운동 금호타운1차</t>
    <phoneticPr fontId="2" type="noConversion"/>
  </si>
  <si>
    <t>91.09.</t>
    <phoneticPr fontId="2" type="noConversion"/>
  </si>
  <si>
    <t>91.09.</t>
    <phoneticPr fontId="2" type="noConversion"/>
  </si>
  <si>
    <t>나운동 서호</t>
    <phoneticPr fontId="2" type="noConversion"/>
  </si>
  <si>
    <t>나운동 주공3단지</t>
    <phoneticPr fontId="2" type="noConversion"/>
  </si>
  <si>
    <t>83.12.</t>
    <phoneticPr fontId="2" type="noConversion"/>
  </si>
  <si>
    <t>83.12.</t>
    <phoneticPr fontId="2" type="noConversion"/>
  </si>
  <si>
    <t>나운동 나운보람더하임</t>
    <phoneticPr fontId="2" type="noConversion"/>
  </si>
  <si>
    <t>10.03.</t>
    <phoneticPr fontId="2" type="noConversion"/>
  </si>
  <si>
    <t>10.03.</t>
    <phoneticPr fontId="2" type="noConversion"/>
  </si>
  <si>
    <t>나운동 동신</t>
    <phoneticPr fontId="2" type="noConversion"/>
  </si>
  <si>
    <t>97.12.</t>
    <phoneticPr fontId="2" type="noConversion"/>
  </si>
  <si>
    <t>97.12.</t>
    <phoneticPr fontId="2" type="noConversion"/>
  </si>
  <si>
    <t>나운동 대우</t>
    <phoneticPr fontId="2" type="noConversion"/>
  </si>
  <si>
    <t>97.02.</t>
    <phoneticPr fontId="2" type="noConversion"/>
  </si>
  <si>
    <t>97.02.</t>
    <phoneticPr fontId="2" type="noConversion"/>
  </si>
  <si>
    <t>나운동 롯데1차</t>
    <phoneticPr fontId="2" type="noConversion"/>
  </si>
  <si>
    <t>91.03.</t>
    <phoneticPr fontId="2" type="noConversion"/>
  </si>
  <si>
    <t>나운동 한울</t>
    <phoneticPr fontId="2" type="noConversion"/>
  </si>
  <si>
    <t>96.07.</t>
    <phoneticPr fontId="2" type="noConversion"/>
  </si>
  <si>
    <t>나운동 현대3차</t>
    <phoneticPr fontId="2" type="noConversion"/>
  </si>
  <si>
    <t>나운동 현대백조</t>
    <phoneticPr fontId="2" type="noConversion"/>
  </si>
  <si>
    <t>92.11.</t>
    <phoneticPr fontId="2" type="noConversion"/>
  </si>
  <si>
    <t>나운동 동신진주</t>
    <phoneticPr fontId="2" type="noConversion"/>
  </si>
  <si>
    <t>93.12.</t>
    <phoneticPr fontId="2" type="noConversion"/>
  </si>
  <si>
    <t>93.12.</t>
    <phoneticPr fontId="2" type="noConversion"/>
  </si>
  <si>
    <t>나운동 수송금호어울림</t>
    <phoneticPr fontId="2" type="noConversion"/>
  </si>
  <si>
    <t>08.08.</t>
    <phoneticPr fontId="2" type="noConversion"/>
  </si>
  <si>
    <t>08.08.</t>
    <phoneticPr fontId="2" type="noConversion"/>
  </si>
  <si>
    <t>나운동 영창</t>
    <phoneticPr fontId="2" type="noConversion"/>
  </si>
  <si>
    <t>나운동 비사벌</t>
    <phoneticPr fontId="2" type="noConversion"/>
  </si>
  <si>
    <t>나운동 나운유원</t>
    <phoneticPr fontId="2" type="noConversion"/>
  </si>
  <si>
    <t>나운동 주공5단지</t>
    <phoneticPr fontId="2" type="noConversion"/>
  </si>
  <si>
    <t>95.07.</t>
    <phoneticPr fontId="2" type="noConversion"/>
  </si>
  <si>
    <t>98.09.</t>
    <phoneticPr fontId="2" type="noConversion"/>
  </si>
  <si>
    <t>나운동 현대4차</t>
    <phoneticPr fontId="2" type="noConversion"/>
  </si>
  <si>
    <t>나운동 삼성(401)</t>
    <phoneticPr fontId="2" type="noConversion"/>
  </si>
  <si>
    <t>98.05.</t>
    <phoneticPr fontId="2" type="noConversion"/>
  </si>
  <si>
    <t>98.05.</t>
    <phoneticPr fontId="2" type="noConversion"/>
  </si>
  <si>
    <t>나운동 롯데3차</t>
    <phoneticPr fontId="2" type="noConversion"/>
  </si>
  <si>
    <t>94.06.</t>
    <phoneticPr fontId="2" type="noConversion"/>
  </si>
  <si>
    <t>94.06.</t>
    <phoneticPr fontId="2" type="noConversion"/>
  </si>
  <si>
    <t>79.01.</t>
    <phoneticPr fontId="2" type="noConversion"/>
  </si>
  <si>
    <t>대명동 현대메트로타워2차</t>
    <phoneticPr fontId="2" type="noConversion"/>
  </si>
  <si>
    <t>16.04.</t>
    <phoneticPr fontId="2" type="noConversion"/>
  </si>
  <si>
    <t>16.04.</t>
    <phoneticPr fontId="2" type="noConversion"/>
  </si>
  <si>
    <t>대명동 현대메트로타워</t>
    <phoneticPr fontId="2" type="noConversion"/>
  </si>
  <si>
    <t>11.10.</t>
    <phoneticPr fontId="2" type="noConversion"/>
  </si>
  <si>
    <t>동흥남동 군산동흥남주공</t>
    <phoneticPr fontId="2" type="noConversion"/>
  </si>
  <si>
    <t>06.02.</t>
    <phoneticPr fontId="2" type="noConversion"/>
  </si>
  <si>
    <t>문화동 삼성</t>
    <phoneticPr fontId="2" type="noConversion"/>
  </si>
  <si>
    <t>92.08.</t>
    <phoneticPr fontId="2" type="noConversion"/>
  </si>
  <si>
    <t>98.06.</t>
    <phoneticPr fontId="2" type="noConversion"/>
  </si>
  <si>
    <t>08.12.</t>
    <phoneticPr fontId="2" type="noConversion"/>
  </si>
  <si>
    <t>미룡동 금광베네스타</t>
    <phoneticPr fontId="2" type="noConversion"/>
  </si>
  <si>
    <t>08.12.</t>
    <phoneticPr fontId="2" type="noConversion"/>
  </si>
  <si>
    <t>미룡동 은파롯데캐슬</t>
    <phoneticPr fontId="2" type="noConversion"/>
  </si>
  <si>
    <t>07.09.</t>
    <phoneticPr fontId="2" type="noConversion"/>
  </si>
  <si>
    <t>07.09.</t>
    <phoneticPr fontId="2" type="noConversion"/>
  </si>
  <si>
    <t>01.06.</t>
    <phoneticPr fontId="2" type="noConversion"/>
  </si>
  <si>
    <t>미룡동 미룡주공3단지</t>
    <phoneticPr fontId="2" type="noConversion"/>
  </si>
  <si>
    <t>01.06.</t>
    <phoneticPr fontId="2" type="noConversion"/>
  </si>
  <si>
    <t>미룡동 미룡주공3단지</t>
    <phoneticPr fontId="2" type="noConversion"/>
  </si>
  <si>
    <t>미룡동 산북부향하나로3차</t>
    <phoneticPr fontId="2" type="noConversion"/>
  </si>
  <si>
    <t>98.04.</t>
    <phoneticPr fontId="2" type="noConversion"/>
  </si>
  <si>
    <t>98.04.</t>
    <phoneticPr fontId="2" type="noConversion"/>
  </si>
  <si>
    <t>07.02.</t>
    <phoneticPr fontId="2" type="noConversion"/>
  </si>
  <si>
    <t>미룡동 은파리젠시빌파크</t>
    <phoneticPr fontId="2" type="noConversion"/>
  </si>
  <si>
    <t>07.02.</t>
    <phoneticPr fontId="2" type="noConversion"/>
  </si>
  <si>
    <t>미룡동 미룡대명2차</t>
    <phoneticPr fontId="2" type="noConversion"/>
  </si>
  <si>
    <t>미룡동 미룡대명2차</t>
    <phoneticPr fontId="2" type="noConversion"/>
  </si>
  <si>
    <t>미룡동 미룡주공2단지</t>
    <phoneticPr fontId="2" type="noConversion"/>
  </si>
  <si>
    <t>01.03.</t>
    <phoneticPr fontId="2" type="noConversion"/>
  </si>
  <si>
    <t>미룡동 미룡주공2단지</t>
    <phoneticPr fontId="2" type="noConversion"/>
  </si>
  <si>
    <t>01.03.</t>
    <phoneticPr fontId="2" type="noConversion"/>
  </si>
  <si>
    <t>미장동 파인빌2차</t>
    <phoneticPr fontId="2" type="noConversion"/>
  </si>
  <si>
    <t>06.06.</t>
    <phoneticPr fontId="2" type="noConversion"/>
  </si>
  <si>
    <t>미장동 파인빌1차</t>
    <phoneticPr fontId="2" type="noConversion"/>
  </si>
  <si>
    <t>04.11.</t>
    <phoneticPr fontId="2" type="noConversion"/>
  </si>
  <si>
    <t>04.11.</t>
    <phoneticPr fontId="2" type="noConversion"/>
  </si>
  <si>
    <t>미장동 군산미장2차아이파크</t>
    <phoneticPr fontId="2" type="noConversion"/>
  </si>
  <si>
    <t>17.06.</t>
    <phoneticPr fontId="2" type="noConversion"/>
  </si>
  <si>
    <t>미장동 군산미장아이파크</t>
    <phoneticPr fontId="2" type="noConversion"/>
  </si>
  <si>
    <t>15.01.</t>
    <phoneticPr fontId="2" type="noConversion"/>
  </si>
  <si>
    <t>미장동 미장코아루</t>
    <phoneticPr fontId="2" type="noConversion"/>
  </si>
  <si>
    <t>07.06.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</si>
  <si>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</si>
  <si>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</si>
  <si>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미장대원칸타빌</t>
    <phoneticPr fontId="2" type="noConversion"/>
  </si>
  <si>
    <t>18.06.</t>
    <phoneticPr fontId="2" type="noConversion"/>
  </si>
  <si>
    <t>사정동 금호타운2단지</t>
    <phoneticPr fontId="2" type="noConversion"/>
  </si>
  <si>
    <t>96.11.</t>
    <phoneticPr fontId="2" type="noConversion"/>
  </si>
  <si>
    <t>사정동 금호타운1단지</t>
    <phoneticPr fontId="2" type="noConversion"/>
  </si>
  <si>
    <t>93.02.</t>
    <phoneticPr fontId="2" type="noConversion"/>
  </si>
  <si>
    <t>산북동 시영1단지</t>
    <phoneticPr fontId="2" type="noConversion"/>
  </si>
  <si>
    <t>90.12.</t>
    <phoneticPr fontId="2" type="noConversion"/>
  </si>
  <si>
    <t>산북동 산북대명1차</t>
    <phoneticPr fontId="2" type="noConversion"/>
  </si>
  <si>
    <t>산북동 시영2단지</t>
    <phoneticPr fontId="2" type="noConversion"/>
  </si>
  <si>
    <t>91.11.</t>
    <phoneticPr fontId="2" type="noConversion"/>
  </si>
  <si>
    <t>산북동 코오롱</t>
    <phoneticPr fontId="2" type="noConversion"/>
  </si>
  <si>
    <t>94.11.</t>
    <phoneticPr fontId="2" type="noConversion"/>
  </si>
  <si>
    <t>산북동 산북주공</t>
    <phoneticPr fontId="2" type="noConversion"/>
  </si>
  <si>
    <t>89.04.</t>
    <phoneticPr fontId="2" type="noConversion"/>
  </si>
  <si>
    <t>산북동 산북하늘가201동</t>
    <phoneticPr fontId="2" type="noConversion"/>
  </si>
  <si>
    <t>01.08.</t>
    <phoneticPr fontId="2" type="noConversion"/>
  </si>
  <si>
    <t>산북동 산북부향하나로4차</t>
    <phoneticPr fontId="2" type="noConversion"/>
  </si>
  <si>
    <t>산북동 부향하나로1차</t>
    <phoneticPr fontId="2" type="noConversion"/>
  </si>
  <si>
    <t>97.03.</t>
    <phoneticPr fontId="2" type="noConversion"/>
  </si>
  <si>
    <t>삼학동 군산삼학대우</t>
    <phoneticPr fontId="2" type="noConversion"/>
  </si>
  <si>
    <t>96.07.</t>
    <phoneticPr fontId="2" type="noConversion"/>
  </si>
  <si>
    <t>서흥남동 고려타운</t>
    <phoneticPr fontId="2" type="noConversion"/>
  </si>
  <si>
    <t>92.05.</t>
    <phoneticPr fontId="2" type="noConversion"/>
  </si>
  <si>
    <t>소룡동 군산성원</t>
    <phoneticPr fontId="2" type="noConversion"/>
  </si>
  <si>
    <t>04.07.</t>
    <phoneticPr fontId="2" type="noConversion"/>
  </si>
  <si>
    <t>소룡동 금강골드빌</t>
    <phoneticPr fontId="2" type="noConversion"/>
  </si>
  <si>
    <t>03.02.</t>
    <phoneticPr fontId="2" type="noConversion"/>
  </si>
  <si>
    <t>소룡동 그린서해맨션</t>
    <phoneticPr fontId="2" type="noConversion"/>
  </si>
  <si>
    <t>소룡동 동아</t>
    <phoneticPr fontId="2" type="noConversion"/>
  </si>
  <si>
    <t>90.10.</t>
    <phoneticPr fontId="2" type="noConversion"/>
  </si>
  <si>
    <t>소룡동 소룡진흥</t>
    <phoneticPr fontId="2" type="noConversion"/>
  </si>
  <si>
    <t>91.05.</t>
    <phoneticPr fontId="2" type="noConversion"/>
  </si>
  <si>
    <t>소룡동 스카이타운</t>
    <phoneticPr fontId="2" type="noConversion"/>
  </si>
  <si>
    <t>소룡동 소룡제이파크</t>
    <phoneticPr fontId="2" type="noConversion"/>
  </si>
  <si>
    <t>06.06.</t>
    <phoneticPr fontId="2" type="noConversion"/>
  </si>
  <si>
    <t>소룡동 신도시</t>
    <phoneticPr fontId="2" type="noConversion"/>
  </si>
  <si>
    <t>01.12.</t>
    <phoneticPr fontId="2" type="noConversion"/>
  </si>
  <si>
    <t>소룡동 이화</t>
    <phoneticPr fontId="2" type="noConversion"/>
  </si>
  <si>
    <t>92.02.</t>
    <phoneticPr fontId="2" type="noConversion"/>
  </si>
  <si>
    <t>수송동 한라비발디2단지</t>
    <phoneticPr fontId="2" type="noConversion"/>
  </si>
  <si>
    <t>08.11.</t>
    <phoneticPr fontId="2" type="noConversion"/>
  </si>
  <si>
    <t>수송동 한라비발디1단지</t>
    <phoneticPr fontId="2" type="noConversion"/>
  </si>
  <si>
    <t>수송동 동신</t>
    <phoneticPr fontId="2" type="noConversion"/>
  </si>
  <si>
    <t>수송동 수송아이파크(201-2BL)</t>
    <phoneticPr fontId="2" type="noConversion"/>
  </si>
  <si>
    <t>08.09.</t>
    <phoneticPr fontId="2" type="noConversion"/>
  </si>
  <si>
    <t>수송동 군산수송세영리첼</t>
    <phoneticPr fontId="2" type="noConversion"/>
  </si>
  <si>
    <t>10.06.</t>
    <phoneticPr fontId="2" type="noConversion"/>
  </si>
  <si>
    <t>수송동 수송오투그란데2차</t>
    <phoneticPr fontId="2" type="noConversion"/>
  </si>
  <si>
    <t>11.03.</t>
    <phoneticPr fontId="2" type="noConversion"/>
  </si>
  <si>
    <t>수송동 현대</t>
    <phoneticPr fontId="2" type="noConversion"/>
  </si>
  <si>
    <t>97.06.</t>
    <phoneticPr fontId="2" type="noConversion"/>
  </si>
  <si>
    <t>수송동 수송제일</t>
    <phoneticPr fontId="2" type="noConversion"/>
  </si>
  <si>
    <t>02.03.</t>
    <phoneticPr fontId="2" type="noConversion"/>
  </si>
  <si>
    <t>수송동 동영</t>
    <phoneticPr fontId="2" type="noConversion"/>
  </si>
  <si>
    <t>수송동 군산수송제일오투그란데2단지</t>
    <phoneticPr fontId="2" type="noConversion"/>
  </si>
  <si>
    <t>08.10.</t>
    <phoneticPr fontId="2" type="noConversion"/>
  </si>
  <si>
    <t>수송동 군산수송제일오투그란데1단지</t>
    <phoneticPr fontId="2" type="noConversion"/>
  </si>
  <si>
    <t>신풍동 월명</t>
    <phoneticPr fontId="2" type="noConversion"/>
  </si>
  <si>
    <t>79.05.</t>
    <phoneticPr fontId="2" type="noConversion"/>
  </si>
  <si>
    <t>오식도동 한성필하우스</t>
    <phoneticPr fontId="2" type="noConversion"/>
  </si>
  <si>
    <t>12.08.</t>
    <phoneticPr fontId="2" type="noConversion"/>
  </si>
  <si>
    <t>옥산면 힐스테이트은파</t>
    <phoneticPr fontId="2" type="noConversion"/>
  </si>
  <si>
    <t>15.09.</t>
    <phoneticPr fontId="2" type="noConversion"/>
  </si>
  <si>
    <t>옥산면 군산대광로제비앙</t>
    <phoneticPr fontId="2" type="noConversion"/>
  </si>
  <si>
    <t>17.12.</t>
    <phoneticPr fontId="2" type="noConversion"/>
  </si>
  <si>
    <t>월명동 클래시움</t>
    <phoneticPr fontId="2" type="noConversion"/>
  </si>
  <si>
    <t>04.05.</t>
    <phoneticPr fontId="2" type="noConversion"/>
  </si>
  <si>
    <t>장재동 현대세솔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</si>
  <si>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</si>
  <si>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</si>
  <si>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타워써미트</t>
    <phoneticPr fontId="2" type="noConversion"/>
  </si>
  <si>
    <t>12.06.</t>
    <phoneticPr fontId="2" type="noConversion"/>
  </si>
  <si>
    <t>조촌동 삼성</t>
    <phoneticPr fontId="2" type="noConversion"/>
  </si>
  <si>
    <t>92.10.</t>
    <phoneticPr fontId="2" type="noConversion"/>
  </si>
  <si>
    <t>조촌동 부향하나로</t>
    <phoneticPr fontId="2" type="noConversion"/>
  </si>
  <si>
    <t>96.09.</t>
    <phoneticPr fontId="2" type="noConversion"/>
  </si>
  <si>
    <t>조촌동 e편한세상군산디오션시티</t>
    <phoneticPr fontId="2" type="noConversion"/>
  </si>
  <si>
    <t>18.11.</t>
    <phoneticPr fontId="2" type="noConversion"/>
  </si>
  <si>
    <t>조촌동 시영</t>
    <phoneticPr fontId="2" type="noConversion"/>
  </si>
  <si>
    <t>조촌동 더샵디오션시티2차</t>
    <phoneticPr fontId="2" type="noConversion"/>
  </si>
  <si>
    <t>23.07.</t>
    <phoneticPr fontId="2" type="noConversion"/>
  </si>
  <si>
    <t>조촌동 동신개나리</t>
    <phoneticPr fontId="2" type="noConversion"/>
  </si>
  <si>
    <t>95.12.</t>
    <phoneticPr fontId="2" type="noConversion"/>
  </si>
  <si>
    <t>조촌동 센트럴파크</t>
    <phoneticPr fontId="2" type="noConversion"/>
  </si>
  <si>
    <t>17.10.</t>
    <phoneticPr fontId="2" type="noConversion"/>
  </si>
  <si>
    <t>조촌동 현대</t>
    <phoneticPr fontId="2" type="noConversion"/>
  </si>
  <si>
    <t>95.09.</t>
    <phoneticPr fontId="2" type="noConversion"/>
  </si>
  <si>
    <t>조촌동 더샵디오션시티</t>
    <phoneticPr fontId="2" type="noConversion"/>
  </si>
  <si>
    <t>21.10.</t>
    <phoneticPr fontId="2" type="noConversion"/>
  </si>
  <si>
    <t>미룡동 미룡대명1차</t>
    <phoneticPr fontId="2" type="noConversion"/>
  </si>
  <si>
    <t>미장동 미장대원칸타빌</t>
    <phoneticPr fontId="2" type="noConversion"/>
  </si>
  <si>
    <t>18.06.</t>
    <phoneticPr fontId="2" type="noConversion"/>
  </si>
  <si>
    <t>94.11.</t>
    <phoneticPr fontId="2" type="noConversion"/>
  </si>
  <si>
    <t>소룡동 소룡제이파크</t>
    <phoneticPr fontId="2" type="noConversion"/>
  </si>
  <si>
    <t>08.11.</t>
    <phoneticPr fontId="2" type="noConversion"/>
  </si>
  <si>
    <t>수송동 동신</t>
    <phoneticPr fontId="2" type="noConversion"/>
  </si>
  <si>
    <t>수송동 수송오투그란데2차</t>
    <phoneticPr fontId="2" type="noConversion"/>
  </si>
  <si>
    <t>수송동 수송제일</t>
    <phoneticPr fontId="2" type="noConversion"/>
  </si>
  <si>
    <t>02.03.</t>
    <phoneticPr fontId="2" type="noConversion"/>
  </si>
  <si>
    <t>수송동 군산수송제일오투그란데1단지</t>
    <phoneticPr fontId="2" type="noConversion"/>
  </si>
  <si>
    <t>08.10.</t>
    <phoneticPr fontId="2" type="noConversion"/>
  </si>
  <si>
    <t>옥산면 군산대광로제비앙</t>
    <phoneticPr fontId="2" type="noConversion"/>
  </si>
  <si>
    <t>조촌동 군산디오션시티푸르지오</t>
    <phoneticPr fontId="2" type="noConversion"/>
  </si>
  <si>
    <t>경암동 새한</t>
    <phoneticPr fontId="2" type="noConversion"/>
  </si>
  <si>
    <t>나운동 나운금호어울림센트럴</t>
    <phoneticPr fontId="2" type="noConversion"/>
  </si>
  <si>
    <t>90.04.</t>
    <phoneticPr fontId="2" type="noConversion"/>
  </si>
  <si>
    <t>나운동 롯데4차</t>
    <phoneticPr fontId="2" type="noConversion"/>
  </si>
  <si>
    <t>91.03.</t>
    <phoneticPr fontId="2" type="noConversion"/>
  </si>
  <si>
    <t>95.07.</t>
    <phoneticPr fontId="2" type="noConversion"/>
  </si>
  <si>
    <t>나운동 우진</t>
    <phoneticPr fontId="2" type="noConversion"/>
  </si>
  <si>
    <t>79.01.</t>
    <phoneticPr fontId="2" type="noConversion"/>
  </si>
  <si>
    <t>미룡동 은파리젠시빌파크</t>
    <phoneticPr fontId="2" type="noConversion"/>
  </si>
  <si>
    <t>02.05.</t>
    <phoneticPr fontId="2" type="noConversion"/>
  </si>
  <si>
    <t>미장동 군산미장2차아이파크</t>
    <phoneticPr fontId="2" type="noConversion"/>
  </si>
  <si>
    <t>17.06.</t>
    <phoneticPr fontId="2" type="noConversion"/>
  </si>
  <si>
    <t>미장동 군산미장아이파크</t>
    <phoneticPr fontId="2" type="noConversion"/>
  </si>
  <si>
    <t>미장동 미장코아루</t>
    <phoneticPr fontId="2" type="noConversion"/>
  </si>
  <si>
    <t>미장동 수송공원삼성쉐르빌</t>
    <phoneticPr fontId="2" type="noConversion"/>
  </si>
  <si>
    <t>09.12.</t>
    <phoneticPr fontId="2" type="noConversion"/>
  </si>
  <si>
    <t>96.11.</t>
    <phoneticPr fontId="2" type="noConversion"/>
  </si>
  <si>
    <t>산북동 시영1단지</t>
    <phoneticPr fontId="2" type="noConversion"/>
  </si>
  <si>
    <t>군산디오션시티푸르지오('18/3.3)_x000D_
e편한세상군산디오션시티('18/3.2)</t>
    <phoneticPr fontId="2" type="noConversion"/>
  </si>
  <si>
    <t>한라비발디2단지(34평/3.5)_x000D_
군산수송제일오투그란데1단지(35평/3.2)_x000D_
군산수송세영리첼(35평/3.2)</t>
    <phoneticPr fontId="2" type="noConversion"/>
  </si>
  <si>
    <t>군산미장2차아이파크('17/3.8)_x000D_
미장대원칸타빌('18/3.7)_x000D_
군산미장아이파크('15/3.6)_x000D_
미장대원칸타빌('18/3.2)_x000D_
수송공원삼성쉐르빌('09/3.0)</t>
    <phoneticPr fontId="2" type="noConversion"/>
  </si>
  <si>
    <t>타워써미트(34평/2.8)_x000D_
센트럴파크(33평/2.8)</t>
    <phoneticPr fontId="2" type="noConversion"/>
  </si>
  <si>
    <t>타워써미트('12/2.8)_x000D_
센트럴파크('17/2.8)</t>
    <phoneticPr fontId="2" type="noConversion"/>
  </si>
  <si>
    <t>미장대원칸타빌(27평/2.9)_x000D_
미장대원칸타빌(24평/2.9)_x000D_
군산미장아이파크(24평/2.6)</t>
    <phoneticPr fontId="2" type="noConversion"/>
  </si>
  <si>
    <t>미장대원칸타빌('18/2.9)_x000D_
미장대원칸타빌('18/2.9)_x000D_
군산미장아이파크('15/2.6)</t>
    <phoneticPr fontId="2" type="noConversion"/>
  </si>
  <si>
    <t>파인빌2차(36평/2.2)</t>
  </si>
  <si>
    <t>파인빌2차('06/2.2)</t>
  </si>
  <si>
    <t>나운보람더하임('10/2.1)</t>
  </si>
  <si>
    <t>수송오투그란데2차('11/2.1)</t>
  </si>
  <si>
    <t>수송오투그란데2차(25평/2.1)_x000D_
수송제일(34평/2.0)</t>
    <phoneticPr fontId="2" type="noConversion"/>
  </si>
  <si>
    <t>수송제일('02/2.0)</t>
  </si>
  <si>
    <t>타워써미트(24평/2.0)</t>
  </si>
  <si>
    <t>타워써미트('12/2.0)</t>
  </si>
  <si>
    <t>현대('97/1.9)</t>
  </si>
  <si>
    <t>주공3단지('83/1.8)_x000D_
주공3단지('83/1.8)</t>
    <phoneticPr fontId="2" type="noConversion"/>
  </si>
  <si>
    <t>현대(31평/1.7)_x000D_
삼성(32평/1.7)</t>
    <phoneticPr fontId="2" type="noConversion"/>
  </si>
  <si>
    <t>현대('95/1.7)_x000D_
삼성('92/1.7)</t>
    <phoneticPr fontId="2" type="noConversion"/>
  </si>
  <si>
    <t>수송코아루(26평/2.0)_x000D_
현대4차(32평/1.9)_x000D_
주공3단지(16평/1.8)_x000D_
주공3단지(16평/1.8)_x000D_
금호타운2차(31평/1.7)_x000D_
삼성(401)(32평/1.7)_x000D_
롯데3차(32평/1.6)_x000D_
서호(31평/1.6)_x000D_
현대3차(32평/1.5)</t>
    <phoneticPr fontId="2" type="noConversion"/>
  </si>
  <si>
    <t>현대4차('98/1.9)_x000D_
금호타운2차('94/1.7)_x000D_
삼성(401)('98/1.7)_x000D_
롯데3차('94/1.6)_x000D_
서호('95/1.6)_x000D_
현대3차('95/1.5)</t>
    <phoneticPr fontId="2" type="noConversion"/>
  </si>
  <si>
    <t>파인빌1차(24평/1.5)</t>
  </si>
  <si>
    <t>파인빌1차('04/1.5)</t>
  </si>
  <si>
    <t>현대(28평/1.4)</t>
  </si>
  <si>
    <t>현대('95/1.4)</t>
  </si>
  <si>
    <t>금호타운1차('91/1.4)_x000D_
롯데2차('92/1.4)_x000D_
롯데1차('91/1.4)_x000D_
나운현대2차('93/1.3)</t>
    <phoneticPr fontId="2" type="noConversion"/>
  </si>
  <si>
    <t>동신('91/1.2)</t>
  </si>
  <si>
    <t>동신(32평/1.2)_x000D_
동신(29평/1.1)</t>
    <phoneticPr fontId="2" type="noConversion"/>
  </si>
  <si>
    <t>동신('91/1.1)</t>
  </si>
  <si>
    <t>나운보람더하임(24평/1.4)_x000D_
금호타운1차(31평/1.4)_x000D_
롯데2차(32평/1.4)_x000D_
롯데1차(32평/1.4)_x000D_
나운현대2차(32평/1.3)_x000D_
금호타운1차(27평/1.3)_x000D_
현대4차(23평/1.3)_x000D_
롯데1차(28평/1.2)_x000D_
신일(23평/1.2)_x000D_
영창(23평/1.2)_x000D_
서호(25평/1.1)_x000D_
현대3차(22평/1.1)_x000D_
롯데2차(28평/1.1)_x000D_
한울(23평/1.0)_x000D_
현대백조(29평/1.0)</t>
    <phoneticPr fontId="2" type="noConversion"/>
  </si>
  <si>
    <t>나운보람더하임('10/1.4)_x000D_
금호타운1차('91/1.3)_x000D_
현대4차('98/1.3)_x000D_
롯데1차('91/1.2)_x000D_
신일('95/1.2)_x000D_
영창('95/1.2)_x000D_
서호('95/1.1)_x000D_
현대3차('95/1.1)_x000D_
롯데2차('92/1.1)_x000D_
한울('96/1.0)_x000D_
현대백조('92/1.0)</t>
    <phoneticPr fontId="2" type="noConversion"/>
  </si>
  <si>
    <t>지곡동</t>
    <phoneticPr fontId="2" type="noConversion"/>
  </si>
  <si>
    <t>나운동</t>
    <phoneticPr fontId="2" type="noConversion"/>
  </si>
  <si>
    <t>군산디오션시티푸르지오(35평/5.0)_x000D_
군산디오션시티푸르지오(31평/4.4)_x000D_
e편한세상군산디오션시티(30평/4.0)</t>
    <phoneticPr fontId="2" type="noConversion"/>
  </si>
  <si>
    <t>군산디오션시티푸르지오('18/5.0)_x000D_
군산디오션시티푸르지오('18/4.4)_x000D_
e편한세상군산디오션시티('18/4.0)</t>
    <phoneticPr fontId="2" type="noConversion"/>
  </si>
  <si>
    <t>군산디오션시티푸르지오(25평/3.3)_x000D_
e편한세상군산디오션시티(24평/3.2)</t>
    <phoneticPr fontId="2" type="noConversion"/>
  </si>
  <si>
    <t>현대(32평/1.9)_x000D_
수송오투그란데2차(22평/1.8)_x000D_
현대(29평/1.8)</t>
    <phoneticPr fontId="2" type="noConversion"/>
  </si>
  <si>
    <t>구암동 세풍</t>
    <phoneticPr fontId="2" type="noConversion"/>
  </si>
  <si>
    <t>금광동 삼성</t>
    <phoneticPr fontId="2" type="noConversion"/>
  </si>
  <si>
    <t>나운동 동신진주</t>
    <phoneticPr fontId="2" type="noConversion"/>
  </si>
  <si>
    <t>나운동 우진</t>
    <phoneticPr fontId="2" type="noConversion"/>
  </si>
  <si>
    <t>79.01.</t>
    <phoneticPr fontId="2" type="noConversion"/>
  </si>
  <si>
    <t>대명동 현대메트로타워2차</t>
    <phoneticPr fontId="2" type="noConversion"/>
  </si>
  <si>
    <t>16.04.</t>
    <phoneticPr fontId="2" type="noConversion"/>
  </si>
  <si>
    <t>16.04.</t>
    <phoneticPr fontId="2" type="noConversion"/>
  </si>
  <si>
    <t>대명동 현대메트로타워</t>
    <phoneticPr fontId="2" type="noConversion"/>
  </si>
  <si>
    <t>11.10.</t>
    <phoneticPr fontId="2" type="noConversion"/>
  </si>
  <si>
    <t>대명동 현대메트로타워</t>
    <phoneticPr fontId="2" type="noConversion"/>
  </si>
  <si>
    <t>문화동 삼성</t>
    <phoneticPr fontId="2" type="noConversion"/>
  </si>
  <si>
    <t>미룡동 은파롯데캐슬</t>
    <phoneticPr fontId="2" type="noConversion"/>
  </si>
  <si>
    <t>미룡동 은파롯데캐슬</t>
    <phoneticPr fontId="2" type="noConversion"/>
  </si>
  <si>
    <t>07.09.</t>
    <phoneticPr fontId="2" type="noConversion"/>
  </si>
  <si>
    <t>07.09.</t>
    <phoneticPr fontId="2" type="noConversion"/>
  </si>
  <si>
    <t>미룡동 은파롯데캐슬</t>
    <phoneticPr fontId="2" type="noConversion"/>
  </si>
  <si>
    <t>미룡동 미룡주공3단지</t>
    <phoneticPr fontId="2" type="noConversion"/>
  </si>
  <si>
    <t>01.06.</t>
    <phoneticPr fontId="2" type="noConversion"/>
  </si>
  <si>
    <t>미룡동 미룡주공3단지</t>
    <phoneticPr fontId="2" type="noConversion"/>
  </si>
  <si>
    <t>01.06.</t>
    <phoneticPr fontId="2" type="noConversion"/>
  </si>
  <si>
    <t>미룡동 산북부향하나로3차</t>
    <phoneticPr fontId="2" type="noConversion"/>
  </si>
  <si>
    <t>미룡동 산북부향하나로3차</t>
    <phoneticPr fontId="2" type="noConversion"/>
  </si>
  <si>
    <t>미룡동 은파리젠시빌파크</t>
    <phoneticPr fontId="2" type="noConversion"/>
  </si>
  <si>
    <t>02.05.</t>
    <phoneticPr fontId="2" type="noConversion"/>
  </si>
  <si>
    <t>01.03.</t>
    <phoneticPr fontId="2" type="noConversion"/>
  </si>
  <si>
    <t>미룡동 미룡주공2단지</t>
    <phoneticPr fontId="2" type="noConversion"/>
  </si>
  <si>
    <t>01.03.</t>
    <phoneticPr fontId="2" type="noConversion"/>
  </si>
  <si>
    <t>미룡동 미룡주공2단지</t>
    <phoneticPr fontId="2" type="noConversion"/>
  </si>
  <si>
    <t>01.03.</t>
    <phoneticPr fontId="2" type="noConversion"/>
  </si>
  <si>
    <t>미장동 파인빌2차</t>
    <phoneticPr fontId="2" type="noConversion"/>
  </si>
  <si>
    <t>06.06.</t>
    <phoneticPr fontId="2" type="noConversion"/>
  </si>
  <si>
    <t>미장동 파인빌2차</t>
    <phoneticPr fontId="2" type="noConversion"/>
  </si>
  <si>
    <t>미장동 파인빌1차</t>
    <phoneticPr fontId="2" type="noConversion"/>
  </si>
  <si>
    <t>17.06.</t>
    <phoneticPr fontId="2" type="noConversion"/>
  </si>
  <si>
    <t>미장동 군산미장2차아이파크</t>
    <phoneticPr fontId="2" type="noConversion"/>
  </si>
  <si>
    <t>17.06.</t>
    <phoneticPr fontId="2" type="noConversion"/>
  </si>
  <si>
    <t>미장동 군산미장2차아이파크</t>
    <phoneticPr fontId="2" type="noConversion"/>
  </si>
  <si>
    <t>미장동 군산미장2차아이파크</t>
    <phoneticPr fontId="2" type="noConversion"/>
  </si>
  <si>
    <t>17.06.</t>
    <phoneticPr fontId="2" type="noConversion"/>
  </si>
  <si>
    <t>미장동 군산미장아이파크</t>
    <phoneticPr fontId="2" type="noConversion"/>
  </si>
  <si>
    <t>미장동 군산미장아이파크</t>
    <phoneticPr fontId="2" type="noConversion"/>
  </si>
  <si>
    <t>15.01.</t>
    <phoneticPr fontId="2" type="noConversion"/>
  </si>
  <si>
    <t>미장동 군산미장아이파크</t>
    <phoneticPr fontId="2" type="noConversion"/>
  </si>
  <si>
    <t>미장동 군산미장아이파크</t>
    <phoneticPr fontId="2" type="noConversion"/>
  </si>
  <si>
    <t>15.01.</t>
    <phoneticPr fontId="2" type="noConversion"/>
  </si>
  <si>
    <t>미장동 미장코아루</t>
    <phoneticPr fontId="2" type="noConversion"/>
  </si>
  <si>
    <t>09.12.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</si>
  <si>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</si>
  <si>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</si>
  <si>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</si>
  <si>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</si>
  <si>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</si>
  <si>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</si>
  <si>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미장대원칸타빌</t>
    <phoneticPr fontId="2" type="noConversion"/>
  </si>
  <si>
    <t>미장동 미장대원칸타빌</t>
    <phoneticPr fontId="2" type="noConversion"/>
  </si>
  <si>
    <t>미장동 미장대원칸타빌</t>
    <phoneticPr fontId="2" type="noConversion"/>
  </si>
  <si>
    <t>산북동 시영1단지</t>
    <phoneticPr fontId="2" type="noConversion"/>
  </si>
  <si>
    <t>90.12.</t>
    <phoneticPr fontId="2" type="noConversion"/>
  </si>
  <si>
    <t>97.09.</t>
    <phoneticPr fontId="2" type="noConversion"/>
  </si>
  <si>
    <t>산북동 코오롱</t>
    <phoneticPr fontId="2" type="noConversion"/>
  </si>
  <si>
    <t>94.11.</t>
    <phoneticPr fontId="2" type="noConversion"/>
  </si>
  <si>
    <t>89.04.</t>
    <phoneticPr fontId="2" type="noConversion"/>
  </si>
  <si>
    <t>산북동 하늘가1차</t>
    <phoneticPr fontId="2" type="noConversion"/>
  </si>
  <si>
    <t>산북동 산북부향하나로4차</t>
    <phoneticPr fontId="2" type="noConversion"/>
  </si>
  <si>
    <t>97.12.</t>
    <phoneticPr fontId="2" type="noConversion"/>
  </si>
  <si>
    <t>산북동 부향하나로1차</t>
    <phoneticPr fontId="2" type="noConversion"/>
  </si>
  <si>
    <t>96.07.</t>
    <phoneticPr fontId="2" type="noConversion"/>
  </si>
  <si>
    <t>서흥남동 고려타운</t>
    <phoneticPr fontId="2" type="noConversion"/>
  </si>
  <si>
    <t>92.05.</t>
    <phoneticPr fontId="2" type="noConversion"/>
  </si>
  <si>
    <t>서흥남동 고려타운</t>
    <phoneticPr fontId="2" type="noConversion"/>
  </si>
  <si>
    <t>서흥남동 고려타운</t>
    <phoneticPr fontId="2" type="noConversion"/>
  </si>
  <si>
    <t>92.05.</t>
    <phoneticPr fontId="2" type="noConversion"/>
  </si>
  <si>
    <t>04.07.</t>
    <phoneticPr fontId="2" type="noConversion"/>
  </si>
  <si>
    <t>93.12.</t>
    <phoneticPr fontId="2" type="noConversion"/>
  </si>
  <si>
    <t>93.12.</t>
    <phoneticPr fontId="2" type="noConversion"/>
  </si>
  <si>
    <t>소룡동 그린서해맨션</t>
    <phoneticPr fontId="2" type="noConversion"/>
  </si>
  <si>
    <t>90.10.</t>
    <phoneticPr fontId="2" type="noConversion"/>
  </si>
  <si>
    <t>소룡동 동아</t>
    <phoneticPr fontId="2" type="noConversion"/>
  </si>
  <si>
    <t>91.05.</t>
    <phoneticPr fontId="2" type="noConversion"/>
  </si>
  <si>
    <t>소룡동 소룡진흥</t>
    <phoneticPr fontId="2" type="noConversion"/>
  </si>
  <si>
    <t>소룡동 스카이타운</t>
    <phoneticPr fontId="2" type="noConversion"/>
  </si>
  <si>
    <t>소룡동 이화</t>
    <phoneticPr fontId="2" type="noConversion"/>
  </si>
  <si>
    <t>소룡동 이화</t>
    <phoneticPr fontId="2" type="noConversion"/>
  </si>
  <si>
    <t>92.02.</t>
    <phoneticPr fontId="2" type="noConversion"/>
  </si>
  <si>
    <t>수송동 한라비발디2단지</t>
    <phoneticPr fontId="2" type="noConversion"/>
  </si>
  <si>
    <t>08.11.</t>
    <phoneticPr fontId="2" type="noConversion"/>
  </si>
  <si>
    <t>수송동 한라비발디2단지</t>
    <phoneticPr fontId="2" type="noConversion"/>
  </si>
  <si>
    <t>수송동 한라비발디1단지</t>
    <phoneticPr fontId="2" type="noConversion"/>
  </si>
  <si>
    <t>수송동 한라비발디1단지</t>
    <phoneticPr fontId="2" type="noConversion"/>
  </si>
  <si>
    <t>08.11.</t>
    <phoneticPr fontId="2" type="noConversion"/>
  </si>
  <si>
    <t>08.11.</t>
    <phoneticPr fontId="2" type="noConversion"/>
  </si>
  <si>
    <t>수송동 동신</t>
    <phoneticPr fontId="2" type="noConversion"/>
  </si>
  <si>
    <t>수송동 동신</t>
    <phoneticPr fontId="2" type="noConversion"/>
  </si>
  <si>
    <t>91.09.</t>
    <phoneticPr fontId="2" type="noConversion"/>
  </si>
  <si>
    <t>수송동 수송아이파크(201-2BL)</t>
    <phoneticPr fontId="2" type="noConversion"/>
  </si>
  <si>
    <t>수송동 수송아이파크(201-2BL)</t>
    <phoneticPr fontId="2" type="noConversion"/>
  </si>
  <si>
    <t>수송동 수송아이파크(201-2BL)</t>
    <phoneticPr fontId="2" type="noConversion"/>
  </si>
  <si>
    <t>수송동 수송아이파크(201-2BL)</t>
    <phoneticPr fontId="2" type="noConversion"/>
  </si>
  <si>
    <t>조촌동 e편한세상군산디오션시티</t>
    <phoneticPr fontId="2" type="noConversion"/>
  </si>
  <si>
    <t>18.11.</t>
    <phoneticPr fontId="2" type="noConversion"/>
  </si>
  <si>
    <t>93.12.</t>
    <phoneticPr fontId="2" type="noConversion"/>
  </si>
  <si>
    <t>조촌동 더샵디오션시티2차</t>
    <phoneticPr fontId="2" type="noConversion"/>
  </si>
  <si>
    <t>조촌동 더샵디오션시티2차</t>
    <phoneticPr fontId="2" type="noConversion"/>
  </si>
  <si>
    <t>23.07.</t>
    <phoneticPr fontId="2" type="noConversion"/>
  </si>
  <si>
    <t>조촌동 더샵디오션시티2차</t>
    <phoneticPr fontId="2" type="noConversion"/>
  </si>
  <si>
    <t>조촌동 동신개나리</t>
    <phoneticPr fontId="2" type="noConversion"/>
  </si>
  <si>
    <t>95.12.</t>
    <phoneticPr fontId="2" type="noConversion"/>
  </si>
  <si>
    <t>조촌동 센트럴파크</t>
    <phoneticPr fontId="2" type="noConversion"/>
  </si>
  <si>
    <t>17.10.</t>
    <phoneticPr fontId="2" type="noConversion"/>
  </si>
  <si>
    <t>조촌동 현대</t>
    <phoneticPr fontId="2" type="noConversion"/>
  </si>
  <si>
    <t>조촌동 현대</t>
    <phoneticPr fontId="2" type="noConversion"/>
  </si>
  <si>
    <t>95.09.</t>
    <phoneticPr fontId="2" type="noConversion"/>
  </si>
  <si>
    <t>조촌동 더샵디오션시티</t>
    <phoneticPr fontId="2" type="noConversion"/>
  </si>
  <si>
    <t>조촌동 더샵디오션시티</t>
    <phoneticPr fontId="2" type="noConversion"/>
  </si>
  <si>
    <t>21.10.</t>
    <phoneticPr fontId="2" type="noConversion"/>
  </si>
  <si>
    <t>조촌동 더샵디오션시티</t>
    <phoneticPr fontId="2" type="noConversion"/>
  </si>
  <si>
    <t>21.10.</t>
    <phoneticPr fontId="2" type="noConversion"/>
  </si>
  <si>
    <t>조촌동 세경</t>
    <phoneticPr fontId="2" type="noConversion"/>
  </si>
  <si>
    <t>18.03.</t>
    <phoneticPr fontId="2" type="noConversion"/>
  </si>
  <si>
    <t>경암동 새한</t>
    <phoneticPr fontId="2" type="noConversion"/>
  </si>
  <si>
    <t>95.06.</t>
    <phoneticPr fontId="2" type="noConversion"/>
  </si>
  <si>
    <t>경암동 경암제일오투그란데</t>
    <phoneticPr fontId="2" type="noConversion"/>
  </si>
  <si>
    <t>15.11.</t>
    <phoneticPr fontId="2" type="noConversion"/>
  </si>
  <si>
    <t>구암동 현대</t>
    <phoneticPr fontId="2" type="noConversion"/>
  </si>
  <si>
    <t>나운동 현대1차</t>
    <phoneticPr fontId="2" type="noConversion"/>
  </si>
  <si>
    <t>나운동 롯데2차</t>
    <phoneticPr fontId="2" type="noConversion"/>
  </si>
  <si>
    <t>나운동 우성</t>
    <phoneticPr fontId="2" type="noConversion"/>
  </si>
  <si>
    <t>나운동 나운보람더하임</t>
    <phoneticPr fontId="2" type="noConversion"/>
  </si>
  <si>
    <t>나운동 롯데1차</t>
    <phoneticPr fontId="2" type="noConversion"/>
  </si>
  <si>
    <t>나운동 영창</t>
    <phoneticPr fontId="2" type="noConversion"/>
  </si>
  <si>
    <t>17.06.</t>
    <phoneticPr fontId="2" type="noConversion"/>
  </si>
  <si>
    <t>15.01.</t>
    <phoneticPr fontId="2" type="noConversion"/>
  </si>
  <si>
    <t>미장동 군산미장아이파크</t>
    <phoneticPr fontId="2" type="noConversion"/>
  </si>
  <si>
    <t>07.06.</t>
    <phoneticPr fontId="2" type="noConversion"/>
  </si>
  <si>
    <t>미장동 미장코아루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</si>
  <si>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</si>
  <si>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</si>
  <si>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미장대원칸타빌</t>
    <phoneticPr fontId="2" type="noConversion"/>
  </si>
  <si>
    <t>18.06.</t>
    <phoneticPr fontId="2" type="noConversion"/>
  </si>
  <si>
    <t>사정동 금호타운2단지</t>
    <phoneticPr fontId="2" type="noConversion"/>
  </si>
  <si>
    <t>96.11.</t>
    <phoneticPr fontId="2" type="noConversion"/>
  </si>
  <si>
    <t>사정동 금호타운1단지</t>
    <phoneticPr fontId="2" type="noConversion"/>
  </si>
  <si>
    <t>93.02.</t>
    <phoneticPr fontId="2" type="noConversion"/>
  </si>
  <si>
    <t>90.12.</t>
    <phoneticPr fontId="2" type="noConversion"/>
  </si>
  <si>
    <t>90.12.</t>
    <phoneticPr fontId="2" type="noConversion"/>
  </si>
  <si>
    <t>산북동 산북대명1차</t>
    <phoneticPr fontId="2" type="noConversion"/>
  </si>
  <si>
    <t>97.09.</t>
    <phoneticPr fontId="2" type="noConversion"/>
  </si>
  <si>
    <t>산북동 시영2단지</t>
    <phoneticPr fontId="2" type="noConversion"/>
  </si>
  <si>
    <t>91.11.</t>
    <phoneticPr fontId="2" type="noConversion"/>
  </si>
  <si>
    <t>91.11.</t>
    <phoneticPr fontId="2" type="noConversion"/>
  </si>
  <si>
    <t>산북동 코오롱</t>
    <phoneticPr fontId="2" type="noConversion"/>
  </si>
  <si>
    <t>89.04.</t>
    <phoneticPr fontId="2" type="noConversion"/>
  </si>
  <si>
    <t>산북동 산북주공</t>
    <phoneticPr fontId="2" type="noConversion"/>
  </si>
  <si>
    <t>89.04.</t>
    <phoneticPr fontId="2" type="noConversion"/>
  </si>
  <si>
    <t>산북동 산북하늘가201동</t>
    <phoneticPr fontId="2" type="noConversion"/>
  </si>
  <si>
    <t>산북동 하늘가1차</t>
    <phoneticPr fontId="2" type="noConversion"/>
  </si>
  <si>
    <t>산북동 산북부향하나로4차</t>
    <phoneticPr fontId="2" type="noConversion"/>
  </si>
  <si>
    <t>산북동 부향하나로1차</t>
    <phoneticPr fontId="2" type="noConversion"/>
  </si>
  <si>
    <t>97.03.</t>
    <phoneticPr fontId="2" type="noConversion"/>
  </si>
  <si>
    <t>산북동 부향하나로1차</t>
    <phoneticPr fontId="2" type="noConversion"/>
  </si>
  <si>
    <t>97.03.</t>
    <phoneticPr fontId="2" type="noConversion"/>
  </si>
  <si>
    <t>삼학동 군산삼학대우</t>
    <phoneticPr fontId="2" type="noConversion"/>
  </si>
  <si>
    <t>96.07.</t>
    <phoneticPr fontId="2" type="noConversion"/>
  </si>
  <si>
    <t>삼학동 군산삼학대우</t>
    <phoneticPr fontId="2" type="noConversion"/>
  </si>
  <si>
    <t>서흥남동 고려타운</t>
    <phoneticPr fontId="2" type="noConversion"/>
  </si>
  <si>
    <t>소룡동 군산성원</t>
    <phoneticPr fontId="2" type="noConversion"/>
  </si>
  <si>
    <t>소룡동 군산성원</t>
    <phoneticPr fontId="2" type="noConversion"/>
  </si>
  <si>
    <t>04.07.</t>
    <phoneticPr fontId="2" type="noConversion"/>
  </si>
  <si>
    <t>소룡동 금강골드빌</t>
    <phoneticPr fontId="2" type="noConversion"/>
  </si>
  <si>
    <t>03.02.</t>
    <phoneticPr fontId="2" type="noConversion"/>
  </si>
  <si>
    <t>소룡동 그린서해맨션</t>
    <phoneticPr fontId="2" type="noConversion"/>
  </si>
  <si>
    <t>93.12.</t>
    <phoneticPr fontId="2" type="noConversion"/>
  </si>
  <si>
    <t>소룡동 동아</t>
    <phoneticPr fontId="2" type="noConversion"/>
  </si>
  <si>
    <t>90.10.</t>
    <phoneticPr fontId="2" type="noConversion"/>
  </si>
  <si>
    <t>소룡동 동아</t>
    <phoneticPr fontId="2" type="noConversion"/>
  </si>
  <si>
    <t>소룡동 소룡진흥</t>
    <phoneticPr fontId="2" type="noConversion"/>
  </si>
  <si>
    <t>소룡동 소룡진흥</t>
    <phoneticPr fontId="2" type="noConversion"/>
  </si>
  <si>
    <t>91.05.</t>
    <phoneticPr fontId="2" type="noConversion"/>
  </si>
  <si>
    <t>91.05.</t>
    <phoneticPr fontId="2" type="noConversion"/>
  </si>
  <si>
    <t>소룡동 스카이타운</t>
    <phoneticPr fontId="2" type="noConversion"/>
  </si>
  <si>
    <t>소룡동 소룡제이파크</t>
    <phoneticPr fontId="2" type="noConversion"/>
  </si>
  <si>
    <t>06.06.</t>
    <phoneticPr fontId="2" type="noConversion"/>
  </si>
  <si>
    <t>소룡동 신도시</t>
    <phoneticPr fontId="2" type="noConversion"/>
  </si>
  <si>
    <t>01.12.</t>
    <phoneticPr fontId="2" type="noConversion"/>
  </si>
  <si>
    <t>소룡동 이화</t>
    <phoneticPr fontId="2" type="noConversion"/>
  </si>
  <si>
    <t>92.02.</t>
    <phoneticPr fontId="2" type="noConversion"/>
  </si>
  <si>
    <t>수송동 한라비발디2단지</t>
    <phoneticPr fontId="2" type="noConversion"/>
  </si>
  <si>
    <t>08.11.</t>
    <phoneticPr fontId="2" type="noConversion"/>
  </si>
  <si>
    <t>수송동 한라비발디1단지</t>
    <phoneticPr fontId="2" type="noConversion"/>
  </si>
  <si>
    <t>08.11.</t>
    <phoneticPr fontId="2" type="noConversion"/>
  </si>
  <si>
    <t>수송동 동신</t>
    <phoneticPr fontId="2" type="noConversion"/>
  </si>
  <si>
    <t>수송동 수송아이파크(201-2BL)</t>
    <phoneticPr fontId="2" type="noConversion"/>
  </si>
  <si>
    <t>08.09.</t>
    <phoneticPr fontId="2" type="noConversion"/>
  </si>
  <si>
    <t>수송동 군산수송세영리첼</t>
    <phoneticPr fontId="2" type="noConversion"/>
  </si>
  <si>
    <t>10.06.</t>
    <phoneticPr fontId="2" type="noConversion"/>
  </si>
  <si>
    <t>11.03.</t>
    <phoneticPr fontId="2" type="noConversion"/>
  </si>
  <si>
    <t>수송동 현대</t>
    <phoneticPr fontId="2" type="noConversion"/>
  </si>
  <si>
    <t>97.06.</t>
    <phoneticPr fontId="2" type="noConversion"/>
  </si>
  <si>
    <t>수송동 동영</t>
    <phoneticPr fontId="2" type="noConversion"/>
  </si>
  <si>
    <t>수송동 군산수송제일오투그란데2단지</t>
    <phoneticPr fontId="2" type="noConversion"/>
  </si>
  <si>
    <t>신풍동 월명</t>
    <phoneticPr fontId="2" type="noConversion"/>
  </si>
  <si>
    <t>79.05.</t>
    <phoneticPr fontId="2" type="noConversion"/>
  </si>
  <si>
    <t>오식도동 한성필하우스</t>
    <phoneticPr fontId="2" type="noConversion"/>
  </si>
  <si>
    <t>12.08.</t>
    <phoneticPr fontId="2" type="noConversion"/>
  </si>
  <si>
    <t>옥산면 힐스테이트은파</t>
    <phoneticPr fontId="2" type="noConversion"/>
  </si>
  <si>
    <t>15.09.</t>
    <phoneticPr fontId="2" type="noConversion"/>
  </si>
  <si>
    <t>17.12.</t>
    <phoneticPr fontId="2" type="noConversion"/>
  </si>
  <si>
    <t>월명동 클래시움</t>
    <phoneticPr fontId="2" type="noConversion"/>
  </si>
  <si>
    <t>장재동 현대세솔</t>
    <phoneticPr fontId="2" type="noConversion"/>
  </si>
  <si>
    <t>18.03.</t>
    <phoneticPr fontId="2" type="noConversion"/>
  </si>
  <si>
    <t>12.06.</t>
    <phoneticPr fontId="2" type="noConversion"/>
  </si>
  <si>
    <t>조촌동 타워써미트</t>
    <phoneticPr fontId="2" type="noConversion"/>
  </si>
  <si>
    <t>조촌동 삼성</t>
    <phoneticPr fontId="2" type="noConversion"/>
  </si>
  <si>
    <t>92.10.</t>
    <phoneticPr fontId="2" type="noConversion"/>
  </si>
  <si>
    <t>조촌동 부향하나로</t>
    <phoneticPr fontId="2" type="noConversion"/>
  </si>
  <si>
    <t>96.09.</t>
    <phoneticPr fontId="2" type="noConversion"/>
  </si>
  <si>
    <t>조촌동 e편한세상군산디오션시티</t>
    <phoneticPr fontId="2" type="noConversion"/>
  </si>
  <si>
    <t>18.11.</t>
    <phoneticPr fontId="2" type="noConversion"/>
  </si>
  <si>
    <t>조촌동 시영</t>
    <phoneticPr fontId="2" type="noConversion"/>
  </si>
  <si>
    <t>23.07.</t>
    <phoneticPr fontId="2" type="noConversion"/>
  </si>
  <si>
    <t>조촌동 더샵디오션시티2차</t>
    <phoneticPr fontId="2" type="noConversion"/>
  </si>
  <si>
    <t>조촌동 동신개나리</t>
    <phoneticPr fontId="2" type="noConversion"/>
  </si>
  <si>
    <t>조촌동 센트럴파크</t>
    <phoneticPr fontId="2" type="noConversion"/>
  </si>
  <si>
    <t>17.10.</t>
    <phoneticPr fontId="2" type="noConversion"/>
  </si>
  <si>
    <t>조촌동 현대</t>
    <phoneticPr fontId="2" type="noConversion"/>
  </si>
  <si>
    <t>95.09.</t>
    <phoneticPr fontId="2" type="noConversion"/>
  </si>
  <si>
    <t>조촌동 현대</t>
    <phoneticPr fontId="2" type="noConversion"/>
  </si>
  <si>
    <t>95.09.</t>
    <phoneticPr fontId="2" type="noConversion"/>
  </si>
  <si>
    <t>21.10.</t>
    <phoneticPr fontId="2" type="noConversion"/>
  </si>
  <si>
    <t>조촌동 더샵디오션시티</t>
    <phoneticPr fontId="2" type="noConversion"/>
  </si>
  <si>
    <t>조촌동 더샵디오션시티</t>
    <phoneticPr fontId="2" type="noConversion"/>
  </si>
  <si>
    <t>21.10.</t>
    <phoneticPr fontId="2" type="noConversion"/>
  </si>
  <si>
    <t>조촌동 세경</t>
    <phoneticPr fontId="2" type="noConversion"/>
  </si>
  <si>
    <t>18.03.</t>
    <phoneticPr fontId="2" type="noConversion"/>
  </si>
  <si>
    <t>한라비발디2단지('08/3.5)_x000D_
군산수송제일오투그란데1단지('08/3.2)_x000D_
군산수송세영리첼('10/3.2)</t>
    <phoneticPr fontId="2" type="noConversion"/>
  </si>
  <si>
    <t>군산미장2차아이파크(30평/3.8)_x000D_
미장대원칸타빌(34평/3.7)_x000D_
군산미장아이파크(34평/3.6)_x000D_
미장대원칸타빌(30평/3.2)_x000D_
수송공원삼성쉐르빌(34평/3.0)</t>
    <phoneticPr fontId="2" type="noConversion"/>
  </si>
  <si>
    <t>주공3단지(20평/2.2)_x000D_
나운보람더하임(33평/2.1)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</si>
</sst>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0" fillId="0" borderId="0" xfId="0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5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2" fontId="8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469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A386" sqref="A386:XFD386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 s="74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8" t="s">
        <v>7</v>
      </c>
      <c r="AK1" s="117"/>
      <c r="AL1" s="117"/>
      <c r="AM1" s="117"/>
      <c r="AN1" s="114"/>
      <c r="AO1" s="22">
        <v>80</v>
      </c>
      <c r="AP1" s="22">
        <v>45000</v>
      </c>
      <c r="AQ1" s="23">
        <v>1200</v>
      </c>
      <c r="AR1" s="22">
        <v>5000</v>
      </c>
      <c r="AS1" s="2"/>
      <c r="AT1" s="2"/>
      <c r="AU1" s="22">
        <v>300</v>
      </c>
      <c r="AV1" s="25"/>
      <c r="AX1" s="78" t="s">
        <v>8</v>
      </c>
      <c r="AY1" s="78" t="s">
        <v>9</v>
      </c>
      <c r="AZ1" s="45"/>
      <c r="BH1" s="25" t="s">
        <v>10</v>
      </c>
    </row>
    <row r="2" spans="1:60" ht="12" customHeight="1" x14ac:dyDescent="0.3">
      <c r="A2" s="82">
        <v>44630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11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13" t="s">
        <v>16</v>
      </c>
      <c r="AP2" s="117"/>
      <c r="AQ2" s="114"/>
      <c r="AR2" s="113" t="s">
        <v>17</v>
      </c>
      <c r="AS2" s="114"/>
      <c r="AT2" s="113" t="s">
        <v>18</v>
      </c>
      <c r="AU2" s="114"/>
      <c r="AV2" s="77" t="s">
        <v>19</v>
      </c>
      <c r="AX2" s="44">
        <v>2020</v>
      </c>
      <c r="AY2" s="44">
        <v>9</v>
      </c>
      <c r="AZ2" s="46"/>
      <c r="BH2" s="25" t="s">
        <v>20</v>
      </c>
    </row>
    <row r="3" spans="1:60" ht="26.25" customHeight="1" x14ac:dyDescent="0.3">
      <c r="A3" s="77" t="s">
        <v>21</v>
      </c>
      <c r="B3" s="77" t="s">
        <v>22</v>
      </c>
      <c r="C3" s="77" t="s">
        <v>23</v>
      </c>
      <c r="D3" s="77" t="s">
        <v>24</v>
      </c>
      <c r="E3" s="77" t="s">
        <v>25</v>
      </c>
      <c r="F3" s="77" t="s">
        <v>26</v>
      </c>
      <c r="G3" s="77" t="s">
        <v>27</v>
      </c>
      <c r="H3" s="78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8" t="s">
        <v>32</v>
      </c>
      <c r="N3" s="77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7" t="s">
        <v>38</v>
      </c>
      <c r="T3" s="35" t="s">
        <v>39</v>
      </c>
      <c r="U3" s="78" t="s">
        <v>40</v>
      </c>
      <c r="V3" s="25"/>
      <c r="W3" s="77" t="s">
        <v>41</v>
      </c>
      <c r="X3" s="77" t="s">
        <v>25</v>
      </c>
      <c r="Y3" s="83" t="s">
        <v>28</v>
      </c>
      <c r="Z3" s="78" t="s">
        <v>42</v>
      </c>
      <c r="AA3" s="78" t="s">
        <v>43</v>
      </c>
      <c r="AB3" s="78" t="s">
        <v>32</v>
      </c>
      <c r="AC3" s="77" t="s">
        <v>33</v>
      </c>
      <c r="AD3" s="78" t="s">
        <v>44</v>
      </c>
      <c r="AE3" s="77" t="s">
        <v>38</v>
      </c>
      <c r="AF3" s="34" t="s">
        <v>45</v>
      </c>
      <c r="AG3" s="25"/>
      <c r="AH3" s="77" t="s">
        <v>21</v>
      </c>
      <c r="AI3" s="77" t="s">
        <v>25</v>
      </c>
      <c r="AJ3" s="77" t="s">
        <v>46</v>
      </c>
      <c r="AK3" s="77" t="s">
        <v>47</v>
      </c>
      <c r="AL3" s="77" t="s">
        <v>48</v>
      </c>
      <c r="AM3" s="77" t="s">
        <v>49</v>
      </c>
      <c r="AN3" s="77" t="s">
        <v>50</v>
      </c>
      <c r="AO3" s="77" t="s">
        <v>51</v>
      </c>
      <c r="AP3" s="77" t="s">
        <v>52</v>
      </c>
      <c r="AQ3" s="77" t="s">
        <v>53</v>
      </c>
      <c r="AR3" s="77" t="s">
        <v>54</v>
      </c>
      <c r="AS3" s="77" t="s">
        <v>55</v>
      </c>
      <c r="AT3" s="36" t="s">
        <v>56</v>
      </c>
      <c r="AU3" s="77" t="s">
        <v>57</v>
      </c>
      <c r="AV3" s="77" t="s">
        <v>19</v>
      </c>
      <c r="AX3" s="12" t="s">
        <v>58</v>
      </c>
      <c r="AY3" s="12" t="s">
        <v>59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1594</v>
      </c>
      <c r="B4" s="76" t="s">
        <v>1401</v>
      </c>
      <c r="C4" s="86">
        <v>304</v>
      </c>
      <c r="D4" s="87">
        <v>76.8</v>
      </c>
      <c r="E4" s="88">
        <v>23</v>
      </c>
      <c r="F4" s="87">
        <v>59.3</v>
      </c>
      <c r="G4" s="17">
        <v>18</v>
      </c>
      <c r="H4" s="89">
        <v>138</v>
      </c>
      <c r="I4" s="90"/>
      <c r="J4" s="90"/>
      <c r="K4" s="90"/>
      <c r="L4" s="90"/>
      <c r="M4" s="91">
        <f>I4-K4</f>
        <v>0</v>
      </c>
      <c r="N4" s="4" t="str">
        <f>IF(ISERROR(K4/I4),"",K4/I4)</f>
        <v/>
      </c>
      <c r="O4" s="92">
        <f>I4/E4</f>
        <v>0</v>
      </c>
      <c r="P4" s="92">
        <f>K4/E4</f>
        <v>0</v>
      </c>
      <c r="Q4" s="80">
        <v>3</v>
      </c>
      <c r="R4" s="80">
        <v>1</v>
      </c>
      <c r="S4" s="80" t="s">
        <v>76</v>
      </c>
      <c r="T4" s="5">
        <v>76</v>
      </c>
      <c r="U4" s="9"/>
      <c r="W4" s="87">
        <f t="shared" ref="W4:X10" si="0">D4</f>
        <v>76.8</v>
      </c>
      <c r="X4" s="88">
        <f t="shared" si="0"/>
        <v>23</v>
      </c>
      <c r="Y4" s="93">
        <f t="shared" ref="Y4:Z10" si="1">H4</f>
        <v>138</v>
      </c>
      <c r="Z4" s="91">
        <f t="shared" si="1"/>
        <v>0</v>
      </c>
      <c r="AA4" s="91">
        <f>K4</f>
        <v>0</v>
      </c>
      <c r="AB4" s="91">
        <f t="shared" ref="AB4:AD10" si="2">M4</f>
        <v>0</v>
      </c>
      <c r="AC4" s="4" t="str">
        <f t="shared" si="2"/>
        <v/>
      </c>
      <c r="AD4" s="92">
        <f t="shared" si="2"/>
        <v>0</v>
      </c>
      <c r="AE4" s="80" t="str">
        <f>S4</f>
        <v>복</v>
      </c>
      <c r="AF4" s="80" t="str">
        <f>Q4&amp;"/"&amp;R4</f>
        <v>3/1</v>
      </c>
      <c r="AH4" s="20" t="str">
        <f t="shared" ref="AH4:AH19" si="3">IF(A4="","",A4)</f>
        <v>경암동 새한</v>
      </c>
      <c r="AI4" s="88">
        <f t="shared" ref="AI4:AI67" si="4">IF(E4="","",E4)</f>
        <v>23</v>
      </c>
      <c r="AJ4" s="80" t="str">
        <f>IF(AI4="","",$AJ$2)</f>
        <v>A-</v>
      </c>
      <c r="AK4" s="80" t="s">
        <v>14</v>
      </c>
      <c r="AL4" s="80" t="s">
        <v>63</v>
      </c>
      <c r="AM4" s="80" t="s">
        <v>64</v>
      </c>
      <c r="AN4" s="80" t="str">
        <f>IF(AI4="","",$AN$2)</f>
        <v>C</v>
      </c>
      <c r="AO4" s="80" t="str">
        <f>IF(N4="","",IF(N4&gt;=$AO$1/100,"O","X"))</f>
        <v/>
      </c>
      <c r="AP4" s="80" t="str">
        <f>IF(I4="","",IF(I4&lt;=$AP$1,"O","X"))</f>
        <v/>
      </c>
      <c r="AQ4" s="80" t="str">
        <f>IF(O4="","",IF(O4&lt;=$AQ$1,"O","X"))</f>
        <v>O</v>
      </c>
      <c r="AR4" s="80" t="str">
        <f>IF(M4="","",IF(M4&lt;=$AR$1,"O","X"))</f>
        <v>O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O</v>
      </c>
      <c r="AV4" s="80" t="str">
        <f>IF(AO4="","",IF(AND(AO4="O",AP4="O",AR4="O",AT4="O",AU4="O"),"후보","X"))</f>
        <v/>
      </c>
    </row>
    <row r="5" spans="1:60" s="37" customFormat="1" ht="12" x14ac:dyDescent="0.3">
      <c r="A5" s="75" t="s">
        <v>1594</v>
      </c>
      <c r="B5" s="76" t="s">
        <v>1401</v>
      </c>
      <c r="C5" s="86">
        <v>304</v>
      </c>
      <c r="D5" s="87">
        <v>91.1</v>
      </c>
      <c r="E5" s="88">
        <v>28</v>
      </c>
      <c r="F5" s="87">
        <v>74.099999999999994</v>
      </c>
      <c r="G5" s="17">
        <v>22</v>
      </c>
      <c r="H5" s="89">
        <v>87</v>
      </c>
      <c r="I5" s="90"/>
      <c r="J5" s="90"/>
      <c r="K5" s="90"/>
      <c r="L5" s="90"/>
      <c r="M5" s="91">
        <f>I5-K5</f>
        <v>0</v>
      </c>
      <c r="N5" s="4" t="str">
        <f>IF(ISERROR(K5/I5),"",K5/I5)</f>
        <v/>
      </c>
      <c r="O5" s="92">
        <f>I5/E5</f>
        <v>0</v>
      </c>
      <c r="P5" s="92">
        <f>K5/E5</f>
        <v>0</v>
      </c>
      <c r="Q5" s="80">
        <v>3</v>
      </c>
      <c r="R5" s="80">
        <v>2</v>
      </c>
      <c r="S5" s="80" t="s">
        <v>61</v>
      </c>
      <c r="T5" s="5">
        <v>91</v>
      </c>
      <c r="U5" s="9"/>
      <c r="W5" s="87">
        <f t="shared" si="0"/>
        <v>91.1</v>
      </c>
      <c r="X5" s="88">
        <f t="shared" si="0"/>
        <v>28</v>
      </c>
      <c r="Y5" s="93">
        <f t="shared" si="1"/>
        <v>87</v>
      </c>
      <c r="Z5" s="91">
        <f t="shared" si="1"/>
        <v>0</v>
      </c>
      <c r="AA5" s="91">
        <f>K5</f>
        <v>0</v>
      </c>
      <c r="AB5" s="91">
        <f t="shared" si="2"/>
        <v>0</v>
      </c>
      <c r="AC5" s="4" t="str">
        <f t="shared" si="2"/>
        <v/>
      </c>
      <c r="AD5" s="92">
        <f t="shared" si="2"/>
        <v>0</v>
      </c>
      <c r="AE5" s="80" t="str">
        <f>S5</f>
        <v>계</v>
      </c>
      <c r="AF5" s="80" t="str">
        <f>Q5&amp;"/"&amp;R5</f>
        <v>3/2</v>
      </c>
      <c r="AH5" s="20" t="str">
        <f t="shared" si="3"/>
        <v>경암동 새한</v>
      </c>
      <c r="AI5" s="88">
        <f t="shared" si="4"/>
        <v>28</v>
      </c>
      <c r="AJ5" s="80" t="str">
        <f>IF(AI5="","",$AJ$2)</f>
        <v>A-</v>
      </c>
      <c r="AK5" s="80" t="s">
        <v>14</v>
      </c>
      <c r="AL5" s="80" t="s">
        <v>63</v>
      </c>
      <c r="AM5" s="80" t="s">
        <v>64</v>
      </c>
      <c r="AN5" s="80" t="str">
        <f>IF(AI5="","",$AN$2)</f>
        <v>C</v>
      </c>
      <c r="AO5" s="80" t="str">
        <f>IF(N5="","",IF(N5&gt;=$AO$1/100,"O","X"))</f>
        <v/>
      </c>
      <c r="AP5" s="80" t="str">
        <f>IF(I5="","",IF(I5&lt;=$AP$1,"O","X"))</f>
        <v/>
      </c>
      <c r="AQ5" s="80" t="str">
        <f>IF(O5="","",IF(O5&lt;=$AQ$1,"O","X"))</f>
        <v>O</v>
      </c>
      <c r="AR5" s="80" t="str">
        <f>IF(M5="","",IF(M5&lt;=$AR$1,"O","X"))</f>
        <v>O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O</v>
      </c>
      <c r="AV5" s="80" t="str">
        <f>IF(AO5="","",IF(AND(AO5="O",AP5="O",AR5="O",AT5="O",AU5="O"),"후보","X"))</f>
        <v/>
      </c>
    </row>
    <row r="6" spans="1:60" s="37" customFormat="1" ht="12" x14ac:dyDescent="0.3">
      <c r="A6" s="75" t="s">
        <v>1594</v>
      </c>
      <c r="B6" s="76" t="s">
        <v>1401</v>
      </c>
      <c r="C6" s="86">
        <v>304</v>
      </c>
      <c r="D6" s="87">
        <v>105.5</v>
      </c>
      <c r="E6" s="88">
        <v>32</v>
      </c>
      <c r="F6" s="87">
        <v>85</v>
      </c>
      <c r="G6" s="17">
        <v>26</v>
      </c>
      <c r="H6" s="89">
        <v>79</v>
      </c>
      <c r="I6" s="90">
        <v>12000</v>
      </c>
      <c r="J6" s="90" t="s">
        <v>66</v>
      </c>
      <c r="K6" s="90"/>
      <c r="L6" s="90"/>
      <c r="M6" s="91">
        <f>I6-K6</f>
        <v>12000</v>
      </c>
      <c r="N6" s="4">
        <f>IF(ISERROR(K6/I6),"",K6/I6)</f>
        <v>0</v>
      </c>
      <c r="O6" s="92">
        <f>I6/E6</f>
        <v>375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105</v>
      </c>
      <c r="U6" s="9"/>
      <c r="W6" s="87">
        <f t="shared" si="0"/>
        <v>105.5</v>
      </c>
      <c r="X6" s="88">
        <f t="shared" si="0"/>
        <v>32</v>
      </c>
      <c r="Y6" s="93">
        <f t="shared" si="1"/>
        <v>79</v>
      </c>
      <c r="Z6" s="91">
        <f t="shared" si="1"/>
        <v>12000</v>
      </c>
      <c r="AA6" s="91">
        <f>K6</f>
        <v>0</v>
      </c>
      <c r="AB6" s="91">
        <f t="shared" si="2"/>
        <v>12000</v>
      </c>
      <c r="AC6" s="4">
        <f t="shared" si="2"/>
        <v>0</v>
      </c>
      <c r="AD6" s="92">
        <f t="shared" si="2"/>
        <v>375</v>
      </c>
      <c r="AE6" s="80" t="str">
        <f>S6</f>
        <v>계</v>
      </c>
      <c r="AF6" s="80" t="str">
        <f>Q6&amp;"/"&amp;R6</f>
        <v>3/2</v>
      </c>
      <c r="AH6" s="20" t="str">
        <f t="shared" si="3"/>
        <v>경암동 새한</v>
      </c>
      <c r="AI6" s="88">
        <f t="shared" si="4"/>
        <v>32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60" s="37" customFormat="1" ht="12" x14ac:dyDescent="0.3">
      <c r="A7" s="75" t="s">
        <v>1368</v>
      </c>
      <c r="B7" s="76" t="s">
        <v>1369</v>
      </c>
      <c r="C7" s="86">
        <v>352</v>
      </c>
      <c r="D7" s="87">
        <v>109</v>
      </c>
      <c r="E7" s="88">
        <v>33</v>
      </c>
      <c r="F7" s="87">
        <v>83.9</v>
      </c>
      <c r="G7" s="17">
        <v>25</v>
      </c>
      <c r="H7" s="89">
        <v>20</v>
      </c>
      <c r="I7" s="90">
        <v>29500</v>
      </c>
      <c r="J7" s="90" t="s">
        <v>91</v>
      </c>
      <c r="K7" s="90">
        <v>24000</v>
      </c>
      <c r="L7" s="90" t="s">
        <v>69</v>
      </c>
      <c r="M7" s="91">
        <f>I7-K7</f>
        <v>5500</v>
      </c>
      <c r="N7" s="4">
        <f>IF(ISERROR(K7/I7),"",K7/I7)</f>
        <v>0.81355932203389836</v>
      </c>
      <c r="O7" s="92">
        <f>I7/E7</f>
        <v>893.93939393939399</v>
      </c>
      <c r="P7" s="92">
        <f>K7/E7</f>
        <v>727.27272727272725</v>
      </c>
      <c r="Q7" s="80">
        <v>3</v>
      </c>
      <c r="R7" s="80">
        <v>2</v>
      </c>
      <c r="S7" s="80" t="s">
        <v>61</v>
      </c>
      <c r="T7" s="5" t="s">
        <v>194</v>
      </c>
      <c r="U7" s="9"/>
      <c r="W7" s="87">
        <f t="shared" si="0"/>
        <v>109</v>
      </c>
      <c r="X7" s="88">
        <f t="shared" si="0"/>
        <v>33</v>
      </c>
      <c r="Y7" s="93">
        <f t="shared" si="1"/>
        <v>20</v>
      </c>
      <c r="Z7" s="91">
        <f t="shared" si="1"/>
        <v>29500</v>
      </c>
      <c r="AA7" s="91">
        <f>K7</f>
        <v>24000</v>
      </c>
      <c r="AB7" s="91">
        <f t="shared" si="2"/>
        <v>5500</v>
      </c>
      <c r="AC7" s="4">
        <f t="shared" si="2"/>
        <v>0.81355932203389836</v>
      </c>
      <c r="AD7" s="92">
        <f t="shared" si="2"/>
        <v>893.93939393939399</v>
      </c>
      <c r="AE7" s="80" t="str">
        <f>S7</f>
        <v>계</v>
      </c>
      <c r="AF7" s="80" t="str">
        <f>Q7&amp;"/"&amp;R7</f>
        <v>3/2</v>
      </c>
      <c r="AH7" s="20" t="str">
        <f t="shared" si="3"/>
        <v>경암동 경암제일오투그란데</v>
      </c>
      <c r="AI7" s="88">
        <f t="shared" si="4"/>
        <v>33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60" s="37" customFormat="1" ht="12" x14ac:dyDescent="0.3">
      <c r="A8" s="75" t="s">
        <v>1368</v>
      </c>
      <c r="B8" s="76" t="s">
        <v>1369</v>
      </c>
      <c r="C8" s="86">
        <v>352</v>
      </c>
      <c r="D8" s="87">
        <v>109.5</v>
      </c>
      <c r="E8" s="88">
        <v>33</v>
      </c>
      <c r="F8" s="87">
        <v>85</v>
      </c>
      <c r="G8" s="17">
        <v>26</v>
      </c>
      <c r="H8" s="89">
        <v>104</v>
      </c>
      <c r="I8" s="90">
        <v>30000</v>
      </c>
      <c r="J8" s="90" t="s">
        <v>65</v>
      </c>
      <c r="K8" s="90"/>
      <c r="L8" s="90"/>
      <c r="M8" s="91">
        <f>I8-K8</f>
        <v>30000</v>
      </c>
      <c r="N8" s="4">
        <f>IF(ISERROR(K8/I8),"",K8/I8)</f>
        <v>0</v>
      </c>
      <c r="O8" s="92">
        <f>I8/E8</f>
        <v>909.09090909090912</v>
      </c>
      <c r="P8" s="92">
        <f>K8/E8</f>
        <v>0</v>
      </c>
      <c r="Q8" s="80">
        <v>3</v>
      </c>
      <c r="R8" s="80">
        <v>2</v>
      </c>
      <c r="S8" s="80" t="s">
        <v>61</v>
      </c>
      <c r="T8" s="5" t="s">
        <v>198</v>
      </c>
      <c r="U8" s="9"/>
      <c r="W8" s="87">
        <f t="shared" si="0"/>
        <v>109.5</v>
      </c>
      <c r="X8" s="88">
        <f t="shared" si="0"/>
        <v>33</v>
      </c>
      <c r="Y8" s="93">
        <f t="shared" si="1"/>
        <v>104</v>
      </c>
      <c r="Z8" s="91">
        <f t="shared" si="1"/>
        <v>30000</v>
      </c>
      <c r="AA8" s="91">
        <f>K8</f>
        <v>0</v>
      </c>
      <c r="AB8" s="91">
        <f t="shared" si="2"/>
        <v>30000</v>
      </c>
      <c r="AC8" s="4">
        <f t="shared" si="2"/>
        <v>0</v>
      </c>
      <c r="AD8" s="92">
        <f t="shared" si="2"/>
        <v>909.09090909090912</v>
      </c>
      <c r="AE8" s="80" t="str">
        <f>S8</f>
        <v>계</v>
      </c>
      <c r="AF8" s="80" t="str">
        <f>Q8&amp;"/"&amp;R8</f>
        <v>3/2</v>
      </c>
      <c r="AH8" s="20" t="str">
        <f t="shared" si="3"/>
        <v>경암동 경암제일오투그란데</v>
      </c>
      <c r="AI8" s="88">
        <f t="shared" si="4"/>
        <v>33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60" s="37" customFormat="1" ht="12" x14ac:dyDescent="0.3">
      <c r="A9" s="75" t="s">
        <v>1368</v>
      </c>
      <c r="B9" s="76" t="s">
        <v>1369</v>
      </c>
      <c r="C9" s="86">
        <v>352</v>
      </c>
      <c r="D9" s="87">
        <v>110.6</v>
      </c>
      <c r="E9" s="88">
        <v>33</v>
      </c>
      <c r="F9" s="87">
        <v>84.5</v>
      </c>
      <c r="G9" s="17">
        <v>26</v>
      </c>
      <c r="H9" s="89">
        <v>131</v>
      </c>
      <c r="I9" s="90">
        <v>27000</v>
      </c>
      <c r="J9" s="90" t="s">
        <v>84</v>
      </c>
      <c r="K9" s="90"/>
      <c r="L9" s="90"/>
      <c r="M9" s="91">
        <f>I9-K9</f>
        <v>27000</v>
      </c>
      <c r="N9" s="4">
        <f>IF(ISERROR(K9/I9),"",K9/I9)</f>
        <v>0</v>
      </c>
      <c r="O9" s="92">
        <f>I9/E9</f>
        <v>818.18181818181813</v>
      </c>
      <c r="P9" s="92">
        <f>K9/E9</f>
        <v>0</v>
      </c>
      <c r="Q9" s="80">
        <v>3</v>
      </c>
      <c r="R9" s="80">
        <v>2</v>
      </c>
      <c r="S9" s="80" t="s">
        <v>61</v>
      </c>
      <c r="T9" s="5" t="s">
        <v>97</v>
      </c>
      <c r="U9" s="9"/>
      <c r="W9" s="87">
        <f t="shared" si="0"/>
        <v>110.6</v>
      </c>
      <c r="X9" s="88">
        <f t="shared" si="0"/>
        <v>33</v>
      </c>
      <c r="Y9" s="93">
        <f t="shared" si="1"/>
        <v>131</v>
      </c>
      <c r="Z9" s="91">
        <f t="shared" si="1"/>
        <v>27000</v>
      </c>
      <c r="AA9" s="91">
        <f>K9</f>
        <v>0</v>
      </c>
      <c r="AB9" s="91">
        <f t="shared" si="2"/>
        <v>27000</v>
      </c>
      <c r="AC9" s="4">
        <f t="shared" si="2"/>
        <v>0</v>
      </c>
      <c r="AD9" s="92">
        <f t="shared" si="2"/>
        <v>818.18181818181813</v>
      </c>
      <c r="AE9" s="80" t="str">
        <f>S9</f>
        <v>계</v>
      </c>
      <c r="AF9" s="80" t="str">
        <f>Q9&amp;"/"&amp;R9</f>
        <v>3/2</v>
      </c>
      <c r="AH9" s="20" t="str">
        <f t="shared" si="3"/>
        <v>경암동 경암제일오투그란데</v>
      </c>
      <c r="AI9" s="88">
        <f t="shared" si="4"/>
        <v>33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X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60" s="37" customFormat="1" ht="12" x14ac:dyDescent="0.3">
      <c r="A10" s="75" t="s">
        <v>1368</v>
      </c>
      <c r="B10" s="76" t="s">
        <v>1369</v>
      </c>
      <c r="C10" s="86">
        <v>352</v>
      </c>
      <c r="D10" s="87">
        <v>110.1</v>
      </c>
      <c r="E10" s="88">
        <v>33</v>
      </c>
      <c r="F10" s="87">
        <v>84.9</v>
      </c>
      <c r="G10" s="17">
        <v>26</v>
      </c>
      <c r="H10" s="89">
        <v>97</v>
      </c>
      <c r="I10" s="90">
        <v>27000</v>
      </c>
      <c r="J10" s="90" t="s">
        <v>60</v>
      </c>
      <c r="K10" s="90">
        <v>24000</v>
      </c>
      <c r="L10" s="90" t="s">
        <v>1280</v>
      </c>
      <c r="M10" s="91">
        <f>I10-K10</f>
        <v>3000</v>
      </c>
      <c r="N10" s="4">
        <f>IF(ISERROR(K10/I10),"",K10/I10)</f>
        <v>0.88888888888888884</v>
      </c>
      <c r="O10" s="92">
        <f>I10/E10</f>
        <v>818.18181818181813</v>
      </c>
      <c r="P10" s="92">
        <f>K10/E10</f>
        <v>727.27272727272725</v>
      </c>
      <c r="Q10" s="80">
        <v>3</v>
      </c>
      <c r="R10" s="80">
        <v>2</v>
      </c>
      <c r="S10" s="80" t="s">
        <v>61</v>
      </c>
      <c r="T10" s="5" t="s">
        <v>62</v>
      </c>
      <c r="U10" s="9"/>
      <c r="W10" s="87">
        <f t="shared" si="0"/>
        <v>110.1</v>
      </c>
      <c r="X10" s="88">
        <f t="shared" si="0"/>
        <v>33</v>
      </c>
      <c r="Y10" s="93">
        <f t="shared" si="1"/>
        <v>97</v>
      </c>
      <c r="Z10" s="91">
        <f t="shared" si="1"/>
        <v>27000</v>
      </c>
      <c r="AA10" s="91">
        <f>K10</f>
        <v>24000</v>
      </c>
      <c r="AB10" s="91">
        <f t="shared" si="2"/>
        <v>3000</v>
      </c>
      <c r="AC10" s="4">
        <f t="shared" si="2"/>
        <v>0.88888888888888884</v>
      </c>
      <c r="AD10" s="92">
        <f t="shared" si="2"/>
        <v>818.18181818181813</v>
      </c>
      <c r="AE10" s="80" t="str">
        <f>S10</f>
        <v>계</v>
      </c>
      <c r="AF10" s="80" t="str">
        <f>Q10&amp;"/"&amp;R10</f>
        <v>3/2</v>
      </c>
      <c r="AH10" s="20" t="str">
        <f t="shared" si="3"/>
        <v>경암동 경암제일오투그란데</v>
      </c>
      <c r="AI10" s="88">
        <f t="shared" si="4"/>
        <v>33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후보</v>
      </c>
    </row>
    <row r="11" spans="1:60" s="37" customFormat="1" ht="12" x14ac:dyDescent="0.3">
      <c r="A11" s="75" t="s">
        <v>1370</v>
      </c>
      <c r="B11" s="76" t="s">
        <v>1436</v>
      </c>
      <c r="C11" s="86">
        <v>880</v>
      </c>
      <c r="D11" s="87">
        <v>55</v>
      </c>
      <c r="E11" s="88">
        <v>17</v>
      </c>
      <c r="F11" s="87">
        <v>40</v>
      </c>
      <c r="G11" s="17">
        <v>12</v>
      </c>
      <c r="H11" s="89">
        <v>163</v>
      </c>
      <c r="I11" s="90">
        <v>4300</v>
      </c>
      <c r="J11" s="90" t="s">
        <v>74</v>
      </c>
      <c r="K11" s="90"/>
      <c r="L11" s="90"/>
      <c r="M11" s="91">
        <f>I11-K11</f>
        <v>4300</v>
      </c>
      <c r="N11" s="4">
        <f>IF(ISERROR(K11/I11),"",K11/I11)</f>
        <v>0</v>
      </c>
      <c r="O11" s="92">
        <f>I11/E11</f>
        <v>252.94117647058823</v>
      </c>
      <c r="P11" s="92">
        <f>K11/E11</f>
        <v>0</v>
      </c>
      <c r="Q11" s="80">
        <v>3</v>
      </c>
      <c r="R11" s="80">
        <v>1</v>
      </c>
      <c r="S11" s="80" t="s">
        <v>61</v>
      </c>
      <c r="T11" s="5">
        <v>54</v>
      </c>
      <c r="U11" s="9"/>
      <c r="W11" s="87">
        <f>D11</f>
        <v>55</v>
      </c>
      <c r="X11" s="88">
        <f>E11</f>
        <v>17</v>
      </c>
      <c r="Y11" s="93">
        <f>H11</f>
        <v>163</v>
      </c>
      <c r="Z11" s="91">
        <f>I11</f>
        <v>4300</v>
      </c>
      <c r="AA11" s="91">
        <f>K11</f>
        <v>0</v>
      </c>
      <c r="AB11" s="91">
        <f>M11</f>
        <v>4300</v>
      </c>
      <c r="AC11" s="4">
        <f>N11</f>
        <v>0</v>
      </c>
      <c r="AD11" s="92">
        <f>O11</f>
        <v>252.94117647058823</v>
      </c>
      <c r="AE11" s="80" t="str">
        <f>S11</f>
        <v>계</v>
      </c>
      <c r="AF11" s="80" t="str">
        <f>Q11&amp;"/"&amp;R11</f>
        <v>3/1</v>
      </c>
      <c r="AH11" s="20" t="str">
        <f t="shared" si="3"/>
        <v>경암동 경암부향하나로</v>
      </c>
      <c r="AI11" s="88">
        <f t="shared" si="4"/>
        <v>17</v>
      </c>
      <c r="AJ11" s="80" t="str">
        <f>IF(AI11="","",$AJ$2)</f>
        <v>A-</v>
      </c>
      <c r="AK11" s="80" t="s">
        <v>14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1372</v>
      </c>
      <c r="B12" s="76" t="s">
        <v>1373</v>
      </c>
      <c r="C12" s="86">
        <v>1084</v>
      </c>
      <c r="D12" s="87">
        <v>80.099999999999994</v>
      </c>
      <c r="E12" s="88">
        <v>24</v>
      </c>
      <c r="F12" s="87">
        <v>59.9</v>
      </c>
      <c r="G12" s="17">
        <v>18</v>
      </c>
      <c r="H12" s="89">
        <v>427</v>
      </c>
      <c r="I12" s="90">
        <v>7000</v>
      </c>
      <c r="J12" s="90" t="s">
        <v>66</v>
      </c>
      <c r="K12" s="90">
        <v>7500</v>
      </c>
      <c r="L12" s="90" t="s">
        <v>65</v>
      </c>
      <c r="M12" s="91">
        <f>I12-K12</f>
        <v>-500</v>
      </c>
      <c r="N12" s="4">
        <f>IF(ISERROR(K12/I12),"",K12/I12)</f>
        <v>1.0714285714285714</v>
      </c>
      <c r="O12" s="92">
        <f>I12/E12</f>
        <v>291.66666666666669</v>
      </c>
      <c r="P12" s="92">
        <f>K12/E12</f>
        <v>312.5</v>
      </c>
      <c r="Q12" s="80">
        <v>3</v>
      </c>
      <c r="R12" s="80">
        <v>1</v>
      </c>
      <c r="S12" s="80" t="s">
        <v>61</v>
      </c>
      <c r="T12" s="5">
        <v>80</v>
      </c>
      <c r="U12" s="9"/>
      <c r="W12" s="87">
        <f t="shared" ref="W12:X27" si="5">D12</f>
        <v>80.099999999999994</v>
      </c>
      <c r="X12" s="88">
        <f t="shared" si="5"/>
        <v>24</v>
      </c>
      <c r="Y12" s="93">
        <f t="shared" ref="Y12:Z27" si="6">H12</f>
        <v>427</v>
      </c>
      <c r="Z12" s="91">
        <f t="shared" si="6"/>
        <v>7000</v>
      </c>
      <c r="AA12" s="91">
        <f>K12</f>
        <v>7500</v>
      </c>
      <c r="AB12" s="91">
        <f t="shared" ref="AB12:AD27" si="7">M12</f>
        <v>-500</v>
      </c>
      <c r="AC12" s="4">
        <f t="shared" si="7"/>
        <v>1.0714285714285714</v>
      </c>
      <c r="AD12" s="92">
        <f t="shared" si="7"/>
        <v>291.66666666666669</v>
      </c>
      <c r="AE12" s="80" t="str">
        <f>S12</f>
        <v>계</v>
      </c>
      <c r="AF12" s="80" t="str">
        <f>Q12&amp;"/"&amp;R12</f>
        <v>3/1</v>
      </c>
      <c r="AH12" s="20" t="str">
        <f t="shared" si="3"/>
        <v>구암동 현대</v>
      </c>
      <c r="AI12" s="88">
        <f t="shared" si="4"/>
        <v>24</v>
      </c>
      <c r="AJ12" s="80" t="str">
        <f>IF(AI12="","",$AJ$2)</f>
        <v>A-</v>
      </c>
      <c r="AK12" s="80" t="s">
        <v>14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후보</v>
      </c>
    </row>
    <row r="13" spans="1:60" s="37" customFormat="1" ht="12" x14ac:dyDescent="0.3">
      <c r="A13" s="75" t="s">
        <v>1372</v>
      </c>
      <c r="B13" s="76" t="s">
        <v>1373</v>
      </c>
      <c r="C13" s="86">
        <v>1084</v>
      </c>
      <c r="D13" s="87">
        <v>102.5</v>
      </c>
      <c r="E13" s="88">
        <v>31</v>
      </c>
      <c r="F13" s="87">
        <v>84.9</v>
      </c>
      <c r="G13" s="17">
        <v>26</v>
      </c>
      <c r="H13" s="89">
        <v>537</v>
      </c>
      <c r="I13" s="90">
        <v>13000</v>
      </c>
      <c r="J13" s="90" t="s">
        <v>74</v>
      </c>
      <c r="K13" s="90"/>
      <c r="L13" s="90"/>
      <c r="M13" s="91">
        <f>I13-K13</f>
        <v>13000</v>
      </c>
      <c r="N13" s="4">
        <f>IF(ISERROR(K13/I13),"",K13/I13)</f>
        <v>0</v>
      </c>
      <c r="O13" s="92">
        <f>I13/E13</f>
        <v>419.35483870967744</v>
      </c>
      <c r="P13" s="92">
        <f>K13/E13</f>
        <v>0</v>
      </c>
      <c r="Q13" s="80">
        <v>3</v>
      </c>
      <c r="R13" s="80">
        <v>2</v>
      </c>
      <c r="S13" s="80" t="s">
        <v>61</v>
      </c>
      <c r="T13" s="5">
        <v>102</v>
      </c>
      <c r="U13" s="9"/>
      <c r="W13" s="87">
        <f t="shared" si="5"/>
        <v>102.5</v>
      </c>
      <c r="X13" s="88">
        <f t="shared" si="5"/>
        <v>31</v>
      </c>
      <c r="Y13" s="93">
        <f t="shared" si="6"/>
        <v>537</v>
      </c>
      <c r="Z13" s="91">
        <f t="shared" si="6"/>
        <v>13000</v>
      </c>
      <c r="AA13" s="91">
        <f>K13</f>
        <v>0</v>
      </c>
      <c r="AB13" s="91">
        <f t="shared" si="7"/>
        <v>13000</v>
      </c>
      <c r="AC13" s="4">
        <f t="shared" si="7"/>
        <v>0</v>
      </c>
      <c r="AD13" s="92">
        <f t="shared" si="7"/>
        <v>419.35483870967744</v>
      </c>
      <c r="AE13" s="80" t="str">
        <f>S13</f>
        <v>계</v>
      </c>
      <c r="AF13" s="80" t="str">
        <f>Q13&amp;"/"&amp;R13</f>
        <v>3/2</v>
      </c>
      <c r="AH13" s="20" t="str">
        <f t="shared" si="3"/>
        <v>구암동 현대</v>
      </c>
      <c r="AI13" s="88">
        <f t="shared" si="4"/>
        <v>31</v>
      </c>
      <c r="AJ13" s="80" t="str">
        <f>IF(AI13="","",$AJ$2)</f>
        <v>A-</v>
      </c>
      <c r="AK13" s="80" t="s">
        <v>14</v>
      </c>
      <c r="AL13" s="80" t="s">
        <v>63</v>
      </c>
      <c r="AM13" s="80" t="s">
        <v>64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60" s="37" customFormat="1" ht="12" x14ac:dyDescent="0.3">
      <c r="A14" s="75" t="s">
        <v>1372</v>
      </c>
      <c r="B14" s="76" t="s">
        <v>1373</v>
      </c>
      <c r="C14" s="86">
        <v>1084</v>
      </c>
      <c r="D14" s="87">
        <v>146.30000000000001</v>
      </c>
      <c r="E14" s="88">
        <v>44</v>
      </c>
      <c r="F14" s="87">
        <v>125.9</v>
      </c>
      <c r="G14" s="17">
        <v>38</v>
      </c>
      <c r="H14" s="89">
        <v>120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4</v>
      </c>
      <c r="R14" s="80">
        <v>2</v>
      </c>
      <c r="S14" s="80" t="s">
        <v>61</v>
      </c>
      <c r="T14" s="5">
        <v>146</v>
      </c>
      <c r="U14" s="9"/>
      <c r="W14" s="87">
        <f t="shared" si="5"/>
        <v>146.30000000000001</v>
      </c>
      <c r="X14" s="88">
        <f t="shared" si="5"/>
        <v>44</v>
      </c>
      <c r="Y14" s="93">
        <f t="shared" si="6"/>
        <v>120</v>
      </c>
      <c r="Z14" s="91">
        <f t="shared" si="6"/>
        <v>0</v>
      </c>
      <c r="AA14" s="91">
        <f>K14</f>
        <v>0</v>
      </c>
      <c r="AB14" s="91">
        <f t="shared" si="7"/>
        <v>0</v>
      </c>
      <c r="AC14" s="4" t="str">
        <f t="shared" si="7"/>
        <v/>
      </c>
      <c r="AD14" s="92">
        <f t="shared" si="7"/>
        <v>0</v>
      </c>
      <c r="AE14" s="80" t="str">
        <f>S14</f>
        <v>계</v>
      </c>
      <c r="AF14" s="80" t="str">
        <f>Q14&amp;"/"&amp;R14</f>
        <v>4/2</v>
      </c>
      <c r="AH14" s="20" t="str">
        <f t="shared" si="3"/>
        <v>구암동 현대</v>
      </c>
      <c r="AI14" s="88">
        <f t="shared" si="4"/>
        <v>44</v>
      </c>
      <c r="AJ14" s="80" t="str">
        <f>IF(AI14="","",$AJ$2)</f>
        <v>A-</v>
      </c>
      <c r="AK14" s="80" t="s">
        <v>14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X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  <row r="15" spans="1:60" s="37" customFormat="1" ht="12" x14ac:dyDescent="0.3">
      <c r="A15" s="75" t="s">
        <v>1374</v>
      </c>
      <c r="B15" s="76" t="s">
        <v>1376</v>
      </c>
      <c r="C15" s="86">
        <v>437</v>
      </c>
      <c r="D15" s="87">
        <v>74.7</v>
      </c>
      <c r="E15" s="88">
        <v>23</v>
      </c>
      <c r="F15" s="87">
        <v>59.9</v>
      </c>
      <c r="G15" s="17">
        <v>18</v>
      </c>
      <c r="H15" s="89">
        <v>164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3</v>
      </c>
      <c r="R15" s="80">
        <v>1</v>
      </c>
      <c r="S15" s="80" t="s">
        <v>61</v>
      </c>
      <c r="T15" s="5" t="s">
        <v>139</v>
      </c>
      <c r="U15" s="9"/>
      <c r="W15" s="87">
        <f t="shared" si="5"/>
        <v>74.7</v>
      </c>
      <c r="X15" s="88">
        <f t="shared" si="5"/>
        <v>23</v>
      </c>
      <c r="Y15" s="93">
        <f t="shared" si="6"/>
        <v>164</v>
      </c>
      <c r="Z15" s="91">
        <f t="shared" si="6"/>
        <v>0</v>
      </c>
      <c r="AA15" s="91">
        <f>K15</f>
        <v>0</v>
      </c>
      <c r="AB15" s="91">
        <f t="shared" si="7"/>
        <v>0</v>
      </c>
      <c r="AC15" s="4" t="str">
        <f t="shared" si="7"/>
        <v/>
      </c>
      <c r="AD15" s="92">
        <f t="shared" si="7"/>
        <v>0</v>
      </c>
      <c r="AE15" s="80" t="str">
        <f>S15</f>
        <v>계</v>
      </c>
      <c r="AF15" s="80" t="str">
        <f>Q15&amp;"/"&amp;R15</f>
        <v>3/1</v>
      </c>
      <c r="AH15" s="20" t="str">
        <f t="shared" si="3"/>
        <v>구암동 세풍</v>
      </c>
      <c r="AI15" s="88">
        <f t="shared" si="4"/>
        <v>23</v>
      </c>
      <c r="AJ15" s="80" t="str">
        <f>IF(AI15="","",$AJ$2)</f>
        <v>A-</v>
      </c>
      <c r="AK15" s="80" t="s">
        <v>14</v>
      </c>
      <c r="AL15" s="80" t="s">
        <v>63</v>
      </c>
      <c r="AM15" s="80" t="s">
        <v>64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/>
      </c>
    </row>
    <row r="16" spans="1:60" s="37" customFormat="1" ht="12" x14ac:dyDescent="0.3">
      <c r="A16" s="75" t="s">
        <v>1374</v>
      </c>
      <c r="B16" s="76" t="s">
        <v>1376</v>
      </c>
      <c r="C16" s="86">
        <v>437</v>
      </c>
      <c r="D16" s="87">
        <v>74.2</v>
      </c>
      <c r="E16" s="88">
        <v>22</v>
      </c>
      <c r="F16" s="87">
        <v>59.5</v>
      </c>
      <c r="G16" s="17">
        <v>18</v>
      </c>
      <c r="H16" s="89">
        <v>11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80">
        <v>3</v>
      </c>
      <c r="R16" s="80">
        <v>1</v>
      </c>
      <c r="S16" s="80" t="s">
        <v>61</v>
      </c>
      <c r="T16" s="5" t="s">
        <v>228</v>
      </c>
      <c r="U16" s="9"/>
      <c r="W16" s="87">
        <f t="shared" si="5"/>
        <v>74.2</v>
      </c>
      <c r="X16" s="88">
        <f t="shared" si="5"/>
        <v>22</v>
      </c>
      <c r="Y16" s="93">
        <f t="shared" si="6"/>
        <v>11</v>
      </c>
      <c r="Z16" s="91">
        <f t="shared" si="6"/>
        <v>0</v>
      </c>
      <c r="AA16" s="91">
        <f>K16</f>
        <v>0</v>
      </c>
      <c r="AB16" s="91">
        <f t="shared" si="7"/>
        <v>0</v>
      </c>
      <c r="AC16" s="4" t="str">
        <f t="shared" si="7"/>
        <v/>
      </c>
      <c r="AD16" s="92">
        <f t="shared" si="7"/>
        <v>0</v>
      </c>
      <c r="AE16" s="80" t="str">
        <f>S16</f>
        <v>계</v>
      </c>
      <c r="AF16" s="80" t="str">
        <f>Q16&amp;"/"&amp;R16</f>
        <v>3/1</v>
      </c>
      <c r="AH16" s="20" t="str">
        <f t="shared" si="3"/>
        <v>구암동 세풍</v>
      </c>
      <c r="AI16" s="88">
        <f t="shared" si="4"/>
        <v>22</v>
      </c>
      <c r="AJ16" s="80" t="str">
        <f>IF(AI16="","",$AJ$2)</f>
        <v>A-</v>
      </c>
      <c r="AK16" s="80" t="s">
        <v>14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/>
      </c>
      <c r="AP16" s="80" t="str">
        <f>IF(I16="","",IF(I16&lt;=$AP$1,"O","X"))</f>
        <v/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/>
      </c>
    </row>
    <row r="17" spans="1:48" s="37" customFormat="1" ht="12" x14ac:dyDescent="0.3">
      <c r="A17" s="75" t="s">
        <v>1374</v>
      </c>
      <c r="B17" s="76" t="s">
        <v>1376</v>
      </c>
      <c r="C17" s="86">
        <v>437</v>
      </c>
      <c r="D17" s="87">
        <v>106</v>
      </c>
      <c r="E17" s="88">
        <v>32</v>
      </c>
      <c r="F17" s="87">
        <v>85</v>
      </c>
      <c r="G17" s="17">
        <v>26</v>
      </c>
      <c r="H17" s="89">
        <v>208</v>
      </c>
      <c r="I17" s="90">
        <v>12600</v>
      </c>
      <c r="J17" s="90" t="s">
        <v>72</v>
      </c>
      <c r="K17" s="90"/>
      <c r="L17" s="90"/>
      <c r="M17" s="91">
        <f>I17-K17</f>
        <v>12600</v>
      </c>
      <c r="N17" s="4">
        <f>IF(ISERROR(K17/I17),"",K17/I17)</f>
        <v>0</v>
      </c>
      <c r="O17" s="92">
        <f>I17/E17</f>
        <v>393.75</v>
      </c>
      <c r="P17" s="92">
        <f>K17/E17</f>
        <v>0</v>
      </c>
      <c r="Q17" s="80">
        <v>3</v>
      </c>
      <c r="R17" s="80">
        <v>2</v>
      </c>
      <c r="S17" s="80" t="s">
        <v>61</v>
      </c>
      <c r="T17" s="5" t="s">
        <v>130</v>
      </c>
      <c r="U17" s="9"/>
      <c r="W17" s="87">
        <f t="shared" si="5"/>
        <v>106</v>
      </c>
      <c r="X17" s="88">
        <f t="shared" si="5"/>
        <v>32</v>
      </c>
      <c r="Y17" s="93">
        <f t="shared" si="6"/>
        <v>208</v>
      </c>
      <c r="Z17" s="91">
        <f t="shared" si="6"/>
        <v>12600</v>
      </c>
      <c r="AA17" s="91">
        <f>K17</f>
        <v>0</v>
      </c>
      <c r="AB17" s="91">
        <f t="shared" si="7"/>
        <v>12600</v>
      </c>
      <c r="AC17" s="4">
        <f t="shared" si="7"/>
        <v>0</v>
      </c>
      <c r="AD17" s="92">
        <f t="shared" si="7"/>
        <v>393.75</v>
      </c>
      <c r="AE17" s="80" t="str">
        <f>S17</f>
        <v>계</v>
      </c>
      <c r="AF17" s="80" t="str">
        <f>Q17&amp;"/"&amp;R17</f>
        <v>3/2</v>
      </c>
      <c r="AH17" s="20" t="str">
        <f t="shared" si="3"/>
        <v>구암동 세풍</v>
      </c>
      <c r="AI17" s="88">
        <f t="shared" si="4"/>
        <v>32</v>
      </c>
      <c r="AJ17" s="80" t="str">
        <f>IF(AI17="","",$AJ$2)</f>
        <v>A-</v>
      </c>
      <c r="AK17" s="80" t="s">
        <v>14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s="37" customFormat="1" ht="12" x14ac:dyDescent="0.3">
      <c r="A18" s="75" t="s">
        <v>1649</v>
      </c>
      <c r="B18" s="76" t="s">
        <v>1376</v>
      </c>
      <c r="C18" s="86">
        <v>437</v>
      </c>
      <c r="D18" s="87">
        <v>106</v>
      </c>
      <c r="E18" s="88">
        <v>32</v>
      </c>
      <c r="F18" s="87">
        <v>85</v>
      </c>
      <c r="G18" s="17">
        <v>26</v>
      </c>
      <c r="H18" s="89">
        <v>32</v>
      </c>
      <c r="I18" s="90">
        <v>12600</v>
      </c>
      <c r="J18" s="90" t="s">
        <v>72</v>
      </c>
      <c r="K18" s="90"/>
      <c r="L18" s="90"/>
      <c r="M18" s="91">
        <f>I18-K18</f>
        <v>12600</v>
      </c>
      <c r="N18" s="4">
        <f>IF(ISERROR(K18/I18),"",K18/I18)</f>
        <v>0</v>
      </c>
      <c r="O18" s="92">
        <f>I18/E18</f>
        <v>393.75</v>
      </c>
      <c r="P18" s="92">
        <f>K18/E18</f>
        <v>0</v>
      </c>
      <c r="Q18" s="80">
        <v>3</v>
      </c>
      <c r="R18" s="80">
        <v>2</v>
      </c>
      <c r="S18" s="80" t="s">
        <v>61</v>
      </c>
      <c r="T18" s="5" t="s">
        <v>229</v>
      </c>
      <c r="U18" s="9"/>
      <c r="W18" s="87">
        <f t="shared" si="5"/>
        <v>106</v>
      </c>
      <c r="X18" s="88">
        <f t="shared" si="5"/>
        <v>32</v>
      </c>
      <c r="Y18" s="93">
        <f t="shared" si="6"/>
        <v>32</v>
      </c>
      <c r="Z18" s="91">
        <f t="shared" si="6"/>
        <v>12600</v>
      </c>
      <c r="AA18" s="91">
        <f>K18</f>
        <v>0</v>
      </c>
      <c r="AB18" s="91">
        <f t="shared" si="7"/>
        <v>12600</v>
      </c>
      <c r="AC18" s="4">
        <f t="shared" si="7"/>
        <v>0</v>
      </c>
      <c r="AD18" s="92">
        <f t="shared" si="7"/>
        <v>393.75</v>
      </c>
      <c r="AE18" s="80" t="str">
        <f>S18</f>
        <v>계</v>
      </c>
      <c r="AF18" s="80" t="str">
        <f>Q18&amp;"/"&amp;R18</f>
        <v>3/2</v>
      </c>
      <c r="AH18" s="20" t="str">
        <f t="shared" si="3"/>
        <v>구암동 세풍</v>
      </c>
      <c r="AI18" s="88">
        <f t="shared" si="4"/>
        <v>32</v>
      </c>
      <c r="AJ18" s="80" t="str">
        <f>IF(AI18="","",$AJ$2)</f>
        <v>A-</v>
      </c>
      <c r="AK18" s="80" t="s">
        <v>14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s="37" customFormat="1" ht="12" x14ac:dyDescent="0.3">
      <c r="A19" s="75" t="s">
        <v>1374</v>
      </c>
      <c r="B19" s="76" t="s">
        <v>1375</v>
      </c>
      <c r="C19" s="86">
        <v>437</v>
      </c>
      <c r="D19" s="87">
        <v>124.8</v>
      </c>
      <c r="E19" s="88">
        <v>38</v>
      </c>
      <c r="F19" s="87">
        <v>100.1</v>
      </c>
      <c r="G19" s="17">
        <v>30</v>
      </c>
      <c r="H19" s="89">
        <v>22</v>
      </c>
      <c r="I19" s="90"/>
      <c r="J19" s="90"/>
      <c r="K19" s="90"/>
      <c r="L19" s="90"/>
      <c r="M19" s="91">
        <f>I19-K19</f>
        <v>0</v>
      </c>
      <c r="N19" s="4" t="str">
        <f>IF(ISERROR(K19/I19),"",K19/I19)</f>
        <v/>
      </c>
      <c r="O19" s="92">
        <f>I19/E19</f>
        <v>0</v>
      </c>
      <c r="P19" s="92">
        <f>K19/E19</f>
        <v>0</v>
      </c>
      <c r="Q19" s="80">
        <v>3</v>
      </c>
      <c r="R19" s="80">
        <v>2</v>
      </c>
      <c r="S19" s="80" t="s">
        <v>61</v>
      </c>
      <c r="T19" s="5">
        <v>124</v>
      </c>
      <c r="U19" s="9"/>
      <c r="W19" s="87">
        <f t="shared" si="5"/>
        <v>124.8</v>
      </c>
      <c r="X19" s="88">
        <f t="shared" si="5"/>
        <v>38</v>
      </c>
      <c r="Y19" s="93">
        <f t="shared" si="6"/>
        <v>22</v>
      </c>
      <c r="Z19" s="91">
        <f t="shared" si="6"/>
        <v>0</v>
      </c>
      <c r="AA19" s="91">
        <f>K19</f>
        <v>0</v>
      </c>
      <c r="AB19" s="91">
        <f t="shared" si="7"/>
        <v>0</v>
      </c>
      <c r="AC19" s="4" t="str">
        <f t="shared" si="7"/>
        <v/>
      </c>
      <c r="AD19" s="92">
        <f t="shared" si="7"/>
        <v>0</v>
      </c>
      <c r="AE19" s="80" t="str">
        <f>S19</f>
        <v>계</v>
      </c>
      <c r="AF19" s="80" t="str">
        <f>Q19&amp;"/"&amp;R19</f>
        <v>3/2</v>
      </c>
      <c r="AH19" s="20" t="str">
        <f t="shared" si="3"/>
        <v>구암동 세풍</v>
      </c>
      <c r="AI19" s="88">
        <f t="shared" si="4"/>
        <v>38</v>
      </c>
      <c r="AJ19" s="80" t="str">
        <f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/>
      </c>
      <c r="AP19" s="80" t="str">
        <f>IF(I19="","",IF(I19&lt;=$AP$1,"O","X"))</f>
        <v/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X</v>
      </c>
      <c r="AU19" s="80" t="str">
        <f>IF(C19="","",IF(C19&gt;=$AU$1,"O","X"))</f>
        <v>O</v>
      </c>
      <c r="AV19" s="80" t="str">
        <f>IF(AO19="","",IF(AND(AO19="O",AP19="O",AR19="O",AT19="O",AU19="O"),"후보","X"))</f>
        <v/>
      </c>
    </row>
    <row r="20" spans="1:48" s="37" customFormat="1" ht="12" x14ac:dyDescent="0.3">
      <c r="A20" s="75" t="s">
        <v>1377</v>
      </c>
      <c r="B20" s="76" t="s">
        <v>1378</v>
      </c>
      <c r="C20" s="86">
        <v>424</v>
      </c>
      <c r="D20" s="87">
        <v>106.7</v>
      </c>
      <c r="E20" s="88">
        <v>32</v>
      </c>
      <c r="F20" s="87">
        <v>84.9</v>
      </c>
      <c r="G20" s="17">
        <v>26</v>
      </c>
      <c r="H20" s="89">
        <v>192</v>
      </c>
      <c r="I20" s="90"/>
      <c r="J20" s="90"/>
      <c r="K20" s="90"/>
      <c r="L20" s="90"/>
      <c r="M20" s="91">
        <f>I20-K20</f>
        <v>0</v>
      </c>
      <c r="N20" s="4" t="str">
        <f>IF(ISERROR(K20/I20),"",K20/I20)</f>
        <v/>
      </c>
      <c r="O20" s="92">
        <f>I20/E20</f>
        <v>0</v>
      </c>
      <c r="P20" s="92">
        <f>K20/E20</f>
        <v>0</v>
      </c>
      <c r="Q20" s="80">
        <v>3</v>
      </c>
      <c r="R20" s="80">
        <v>2</v>
      </c>
      <c r="S20" s="80" t="s">
        <v>61</v>
      </c>
      <c r="T20" s="5" t="s">
        <v>130</v>
      </c>
      <c r="U20" s="9"/>
      <c r="W20" s="87">
        <f t="shared" si="5"/>
        <v>106.7</v>
      </c>
      <c r="X20" s="88">
        <f t="shared" si="5"/>
        <v>32</v>
      </c>
      <c r="Y20" s="93">
        <f t="shared" si="6"/>
        <v>192</v>
      </c>
      <c r="Z20" s="91">
        <f t="shared" si="6"/>
        <v>0</v>
      </c>
      <c r="AA20" s="91">
        <f>K20</f>
        <v>0</v>
      </c>
      <c r="AB20" s="91">
        <f t="shared" si="7"/>
        <v>0</v>
      </c>
      <c r="AC20" s="4" t="str">
        <f t="shared" si="7"/>
        <v/>
      </c>
      <c r="AD20" s="92">
        <f t="shared" si="7"/>
        <v>0</v>
      </c>
      <c r="AE20" s="80" t="str">
        <f>S20</f>
        <v>계</v>
      </c>
      <c r="AF20" s="80" t="str">
        <f>Q20&amp;"/"&amp;R20</f>
        <v>3/2</v>
      </c>
      <c r="AH20" s="20" t="str">
        <f>IF(A20="","",A20)</f>
        <v>금광동 삼성</v>
      </c>
      <c r="AI20" s="88">
        <f t="shared" si="4"/>
        <v>32</v>
      </c>
      <c r="AJ20" s="80" t="str">
        <f>IF(AI20="","",$AJ$2)</f>
        <v>A-</v>
      </c>
      <c r="AK20" s="80" t="s">
        <v>14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/>
      </c>
      <c r="AP20" s="80" t="str">
        <f>IF(I20="","",IF(I20&lt;=$AP$1,"O","X"))</f>
        <v/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/>
      </c>
    </row>
    <row r="21" spans="1:48" s="37" customFormat="1" ht="12" x14ac:dyDescent="0.3">
      <c r="A21" s="75" t="s">
        <v>1377</v>
      </c>
      <c r="B21" s="76" t="s">
        <v>1378</v>
      </c>
      <c r="C21" s="86">
        <v>424</v>
      </c>
      <c r="D21" s="87">
        <v>106.9</v>
      </c>
      <c r="E21" s="88">
        <v>32</v>
      </c>
      <c r="F21" s="87">
        <v>84.9</v>
      </c>
      <c r="G21" s="17">
        <v>26</v>
      </c>
      <c r="H21" s="89">
        <v>66</v>
      </c>
      <c r="I21" s="90">
        <v>12500</v>
      </c>
      <c r="J21" s="90" t="s">
        <v>70</v>
      </c>
      <c r="K21" s="90"/>
      <c r="L21" s="90"/>
      <c r="M21" s="91">
        <f>I21-K21</f>
        <v>12500</v>
      </c>
      <c r="N21" s="4">
        <f>IF(ISERROR(K21/I21),"",K21/I21)</f>
        <v>0</v>
      </c>
      <c r="O21" s="92">
        <f>I21/E21</f>
        <v>390.625</v>
      </c>
      <c r="P21" s="92">
        <f>K21/E21</f>
        <v>0</v>
      </c>
      <c r="Q21" s="80">
        <v>3</v>
      </c>
      <c r="R21" s="80">
        <v>2</v>
      </c>
      <c r="S21" s="80" t="s">
        <v>61</v>
      </c>
      <c r="T21" s="5" t="s">
        <v>229</v>
      </c>
      <c r="U21" s="9"/>
      <c r="W21" s="87">
        <f t="shared" si="5"/>
        <v>106.9</v>
      </c>
      <c r="X21" s="88">
        <f t="shared" si="5"/>
        <v>32</v>
      </c>
      <c r="Y21" s="93">
        <f t="shared" si="6"/>
        <v>66</v>
      </c>
      <c r="Z21" s="91">
        <f t="shared" si="6"/>
        <v>12500</v>
      </c>
      <c r="AA21" s="91">
        <f>K21</f>
        <v>0</v>
      </c>
      <c r="AB21" s="91">
        <f t="shared" si="7"/>
        <v>12500</v>
      </c>
      <c r="AC21" s="4">
        <f t="shared" si="7"/>
        <v>0</v>
      </c>
      <c r="AD21" s="92">
        <f t="shared" si="7"/>
        <v>390.625</v>
      </c>
      <c r="AE21" s="80" t="str">
        <f>S21</f>
        <v>계</v>
      </c>
      <c r="AF21" s="80" t="str">
        <f>Q21&amp;"/"&amp;R21</f>
        <v>3/2</v>
      </c>
      <c r="AH21" s="20" t="str">
        <f>IF(A21="","",A21)</f>
        <v>금광동 삼성</v>
      </c>
      <c r="AI21" s="88">
        <f t="shared" si="4"/>
        <v>32</v>
      </c>
      <c r="AJ21" s="80" t="str">
        <f>IF(AI21="","",$AJ$2)</f>
        <v>A-</v>
      </c>
      <c r="AK21" s="80" t="s">
        <v>14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s="37" customFormat="1" ht="12" x14ac:dyDescent="0.3">
      <c r="A22" s="75" t="s">
        <v>1650</v>
      </c>
      <c r="B22" s="76" t="s">
        <v>1378</v>
      </c>
      <c r="C22" s="86">
        <v>424</v>
      </c>
      <c r="D22" s="87">
        <v>154.9</v>
      </c>
      <c r="E22" s="88">
        <v>47</v>
      </c>
      <c r="F22" s="87">
        <v>127.7</v>
      </c>
      <c r="G22" s="17">
        <v>39</v>
      </c>
      <c r="H22" s="89">
        <v>78</v>
      </c>
      <c r="I22" s="90"/>
      <c r="J22" s="90"/>
      <c r="K22" s="90"/>
      <c r="L22" s="90"/>
      <c r="M22" s="91">
        <f>I22-K22</f>
        <v>0</v>
      </c>
      <c r="N22" s="4" t="str">
        <f>IF(ISERROR(K22/I22),"",K22/I22)</f>
        <v/>
      </c>
      <c r="O22" s="92">
        <f>I22/E22</f>
        <v>0</v>
      </c>
      <c r="P22" s="92">
        <f>K22/E22</f>
        <v>0</v>
      </c>
      <c r="Q22" s="80">
        <v>4</v>
      </c>
      <c r="R22" s="80">
        <v>2</v>
      </c>
      <c r="S22" s="80" t="s">
        <v>61</v>
      </c>
      <c r="T22" s="5">
        <v>154</v>
      </c>
      <c r="U22" s="9"/>
      <c r="W22" s="87">
        <f t="shared" si="5"/>
        <v>154.9</v>
      </c>
      <c r="X22" s="88">
        <f t="shared" si="5"/>
        <v>47</v>
      </c>
      <c r="Y22" s="93">
        <f t="shared" si="6"/>
        <v>78</v>
      </c>
      <c r="Z22" s="91">
        <f t="shared" si="6"/>
        <v>0</v>
      </c>
      <c r="AA22" s="91">
        <f>K22</f>
        <v>0</v>
      </c>
      <c r="AB22" s="91">
        <f t="shared" si="7"/>
        <v>0</v>
      </c>
      <c r="AC22" s="4" t="str">
        <f t="shared" si="7"/>
        <v/>
      </c>
      <c r="AD22" s="92">
        <f t="shared" si="7"/>
        <v>0</v>
      </c>
      <c r="AE22" s="80" t="str">
        <f>S22</f>
        <v>계</v>
      </c>
      <c r="AF22" s="80" t="str">
        <f>Q22&amp;"/"&amp;R22</f>
        <v>4/2</v>
      </c>
      <c r="AH22" s="20" t="str">
        <f>IF(A22="","",A22)</f>
        <v>금광동 삼성</v>
      </c>
      <c r="AI22" s="88">
        <f t="shared" si="4"/>
        <v>47</v>
      </c>
      <c r="AJ22" s="80" t="str">
        <f>IF(AI22="","",$AJ$2)</f>
        <v>A-</v>
      </c>
      <c r="AK22" s="80" t="s">
        <v>14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/>
      </c>
      <c r="AP22" s="80" t="str">
        <f>IF(I22="","",IF(I22&lt;=$AP$1,"O","X"))</f>
        <v/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X</v>
      </c>
      <c r="AU22" s="80" t="str">
        <f>IF(C22="","",IF(C22&gt;=$AU$1,"O","X"))</f>
        <v>O</v>
      </c>
      <c r="AV22" s="80" t="str">
        <f>IF(AO22="","",IF(AND(AO22="O",AP22="O",AR22="O",AT22="O",AU22="O"),"후보","X"))</f>
        <v/>
      </c>
    </row>
    <row r="23" spans="1:48" s="37" customFormat="1" ht="12" x14ac:dyDescent="0.3">
      <c r="A23" s="75" t="s">
        <v>1377</v>
      </c>
      <c r="B23" s="76" t="s">
        <v>1378</v>
      </c>
      <c r="C23" s="86">
        <v>424</v>
      </c>
      <c r="D23" s="87">
        <v>155.4</v>
      </c>
      <c r="E23" s="88">
        <v>47</v>
      </c>
      <c r="F23" s="87">
        <v>128.5</v>
      </c>
      <c r="G23" s="17">
        <v>39</v>
      </c>
      <c r="H23" s="89">
        <v>88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4</v>
      </c>
      <c r="R23" s="80">
        <v>2</v>
      </c>
      <c r="S23" s="80" t="s">
        <v>76</v>
      </c>
      <c r="T23" s="5">
        <v>155</v>
      </c>
      <c r="U23" s="9"/>
      <c r="W23" s="87">
        <f t="shared" si="5"/>
        <v>155.4</v>
      </c>
      <c r="X23" s="88">
        <f t="shared" si="5"/>
        <v>47</v>
      </c>
      <c r="Y23" s="93">
        <f t="shared" si="6"/>
        <v>88</v>
      </c>
      <c r="Z23" s="91">
        <f t="shared" si="6"/>
        <v>0</v>
      </c>
      <c r="AA23" s="91">
        <f>K23</f>
        <v>0</v>
      </c>
      <c r="AB23" s="91">
        <f t="shared" si="7"/>
        <v>0</v>
      </c>
      <c r="AC23" s="4" t="str">
        <f t="shared" si="7"/>
        <v/>
      </c>
      <c r="AD23" s="92">
        <f t="shared" si="7"/>
        <v>0</v>
      </c>
      <c r="AE23" s="80" t="str">
        <f>S23</f>
        <v>복</v>
      </c>
      <c r="AF23" s="80" t="str">
        <f>Q23&amp;"/"&amp;R23</f>
        <v>4/2</v>
      </c>
      <c r="AH23" s="20" t="str">
        <f>IF(A23="","",A23)</f>
        <v>금광동 삼성</v>
      </c>
      <c r="AI23" s="88">
        <f t="shared" si="4"/>
        <v>47</v>
      </c>
      <c r="AJ23" s="80" t="str">
        <f>IF(AI23="","",$AJ$2)</f>
        <v>A-</v>
      </c>
      <c r="AK23" s="80" t="s">
        <v>14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X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s="37" customFormat="1" ht="12" x14ac:dyDescent="0.3">
      <c r="A24" s="75" t="s">
        <v>1379</v>
      </c>
      <c r="B24" s="76" t="s">
        <v>1381</v>
      </c>
      <c r="C24" s="86">
        <v>993</v>
      </c>
      <c r="D24" s="87">
        <v>80.5</v>
      </c>
      <c r="E24" s="88">
        <v>24</v>
      </c>
      <c r="F24" s="87">
        <v>59.8</v>
      </c>
      <c r="G24" s="17">
        <v>18</v>
      </c>
      <c r="H24" s="89">
        <v>178</v>
      </c>
      <c r="I24" s="90"/>
      <c r="J24" s="90"/>
      <c r="K24" s="90"/>
      <c r="L24" s="90"/>
      <c r="M24" s="91">
        <f t="shared" ref="M24:M29" si="8">I24-K24</f>
        <v>0</v>
      </c>
      <c r="N24" s="4" t="str">
        <f t="shared" ref="N24:N29" si="9">IF(ISERROR(K24/I24),"",K24/I24)</f>
        <v/>
      </c>
      <c r="O24" s="92">
        <f t="shared" ref="O24:O29" si="10">I24/E24</f>
        <v>0</v>
      </c>
      <c r="P24" s="92">
        <f t="shared" ref="P24:P29" si="11">K24/E24</f>
        <v>0</v>
      </c>
      <c r="Q24" s="80">
        <v>3</v>
      </c>
      <c r="R24" s="80">
        <v>2</v>
      </c>
      <c r="S24" s="80" t="s">
        <v>61</v>
      </c>
      <c r="T24" s="5" t="s">
        <v>87</v>
      </c>
      <c r="U24" s="9"/>
      <c r="W24" s="87">
        <f t="shared" si="5"/>
        <v>80.5</v>
      </c>
      <c r="X24" s="88">
        <f t="shared" si="5"/>
        <v>24</v>
      </c>
      <c r="Y24" s="93">
        <f t="shared" si="6"/>
        <v>178</v>
      </c>
      <c r="Z24" s="91">
        <f t="shared" si="6"/>
        <v>0</v>
      </c>
      <c r="AA24" s="91">
        <f t="shared" ref="AA24:AA29" si="12">K24</f>
        <v>0</v>
      </c>
      <c r="AB24" s="91">
        <f t="shared" si="7"/>
        <v>0</v>
      </c>
      <c r="AC24" s="4" t="str">
        <f t="shared" si="7"/>
        <v/>
      </c>
      <c r="AD24" s="92">
        <f t="shared" si="7"/>
        <v>0</v>
      </c>
      <c r="AE24" s="80" t="str">
        <f t="shared" ref="AE24:AE29" si="13">S24</f>
        <v>계</v>
      </c>
      <c r="AF24" s="80" t="str">
        <f t="shared" ref="AF24:AF29" si="14">Q24&amp;"/"&amp;R24</f>
        <v>3/2</v>
      </c>
      <c r="AH24" s="20" t="str">
        <f t="shared" ref="AH24:AH87" si="15">IF(A24="","",A24)</f>
        <v>나운동 나운금호어울림센트럴</v>
      </c>
      <c r="AI24" s="88">
        <f t="shared" si="4"/>
        <v>24</v>
      </c>
      <c r="AJ24" s="80" t="str">
        <f t="shared" ref="AJ24:AJ29" si="16">IF(AI24="","",$AJ$2)</f>
        <v>A-</v>
      </c>
      <c r="AK24" s="80" t="s">
        <v>14</v>
      </c>
      <c r="AL24" s="80" t="s">
        <v>63</v>
      </c>
      <c r="AM24" s="80" t="s">
        <v>64</v>
      </c>
      <c r="AN24" s="80" t="str">
        <f t="shared" ref="AN24:AN29" si="17">IF(AI24="","",$AN$2)</f>
        <v>C</v>
      </c>
      <c r="AO24" s="80" t="str">
        <f t="shared" ref="AO24:AO29" si="18">IF(N24="","",IF(N24&gt;=$AO$1/100,"O","X"))</f>
        <v/>
      </c>
      <c r="AP24" s="80" t="str">
        <f t="shared" ref="AP24:AP29" si="19">IF(I24="","",IF(I24&lt;=$AP$1,"O","X"))</f>
        <v/>
      </c>
      <c r="AQ24" s="80" t="str">
        <f t="shared" ref="AQ24:AQ29" si="20">IF(O24="","",IF(O24&lt;=$AQ$1,"O","X"))</f>
        <v>O</v>
      </c>
      <c r="AR24" s="80" t="str">
        <f t="shared" ref="AR24:AR29" si="21">IF(M24="","",IF(M24&lt;=$AR$1,"O","X"))</f>
        <v>O</v>
      </c>
      <c r="AS24" s="80" t="s">
        <v>2</v>
      </c>
      <c r="AT24" s="80" t="str">
        <f t="shared" ref="AT24:AT29" si="22">IF(OR(F24="",AI24=""),"",IF(AND((F24&lt;=85),(AI24&gt;=15)),"O","X"))</f>
        <v>O</v>
      </c>
      <c r="AU24" s="80" t="str">
        <f t="shared" ref="AU24:AU29" si="23">IF(C24="","",IF(C24&gt;=$AU$1,"O","X"))</f>
        <v>O</v>
      </c>
      <c r="AV24" s="80" t="str">
        <f t="shared" ref="AV24:AV29" si="24">IF(AO24="","",IF(AND(AO24="O",AP24="O",AR24="O",AT24="O",AU24="O"),"후보","X"))</f>
        <v/>
      </c>
    </row>
    <row r="25" spans="1:48" s="37" customFormat="1" ht="12" x14ac:dyDescent="0.3">
      <c r="A25" s="75" t="s">
        <v>1379</v>
      </c>
      <c r="B25" s="76" t="s">
        <v>1381</v>
      </c>
      <c r="C25" s="86">
        <v>993</v>
      </c>
      <c r="D25" s="87">
        <v>80.599999999999994</v>
      </c>
      <c r="E25" s="88">
        <v>24</v>
      </c>
      <c r="F25" s="87">
        <v>60</v>
      </c>
      <c r="G25" s="17">
        <v>18</v>
      </c>
      <c r="H25" s="89">
        <v>82</v>
      </c>
      <c r="I25" s="90"/>
      <c r="J25" s="90"/>
      <c r="K25" s="90"/>
      <c r="L25" s="90"/>
      <c r="M25" s="91">
        <f t="shared" si="8"/>
        <v>0</v>
      </c>
      <c r="N25" s="4" t="str">
        <f t="shared" si="9"/>
        <v/>
      </c>
      <c r="O25" s="92">
        <f t="shared" si="10"/>
        <v>0</v>
      </c>
      <c r="P25" s="92">
        <f t="shared" si="11"/>
        <v>0</v>
      </c>
      <c r="Q25" s="80">
        <v>3</v>
      </c>
      <c r="R25" s="80">
        <v>2</v>
      </c>
      <c r="S25" s="80" t="s">
        <v>61</v>
      </c>
      <c r="T25" s="5" t="s">
        <v>85</v>
      </c>
      <c r="U25" s="9"/>
      <c r="W25" s="87">
        <f t="shared" si="5"/>
        <v>80.599999999999994</v>
      </c>
      <c r="X25" s="88">
        <f t="shared" si="5"/>
        <v>24</v>
      </c>
      <c r="Y25" s="93">
        <f t="shared" si="6"/>
        <v>82</v>
      </c>
      <c r="Z25" s="91">
        <f t="shared" si="6"/>
        <v>0</v>
      </c>
      <c r="AA25" s="91">
        <f t="shared" si="12"/>
        <v>0</v>
      </c>
      <c r="AB25" s="91">
        <f t="shared" si="7"/>
        <v>0</v>
      </c>
      <c r="AC25" s="4" t="str">
        <f t="shared" si="7"/>
        <v/>
      </c>
      <c r="AD25" s="92">
        <f t="shared" si="7"/>
        <v>0</v>
      </c>
      <c r="AE25" s="80" t="str">
        <f t="shared" si="13"/>
        <v>계</v>
      </c>
      <c r="AF25" s="80" t="str">
        <f t="shared" si="14"/>
        <v>3/2</v>
      </c>
      <c r="AH25" s="20" t="str">
        <f t="shared" si="15"/>
        <v>나운동 나운금호어울림센트럴</v>
      </c>
      <c r="AI25" s="88">
        <f t="shared" si="4"/>
        <v>24</v>
      </c>
      <c r="AJ25" s="80" t="str">
        <f t="shared" si="16"/>
        <v>A-</v>
      </c>
      <c r="AK25" s="80" t="s">
        <v>14</v>
      </c>
      <c r="AL25" s="80" t="s">
        <v>63</v>
      </c>
      <c r="AM25" s="80" t="s">
        <v>64</v>
      </c>
      <c r="AN25" s="80" t="str">
        <f t="shared" si="17"/>
        <v>C</v>
      </c>
      <c r="AO25" s="80" t="str">
        <f t="shared" si="18"/>
        <v/>
      </c>
      <c r="AP25" s="80" t="str">
        <f t="shared" si="19"/>
        <v/>
      </c>
      <c r="AQ25" s="80" t="str">
        <f t="shared" si="20"/>
        <v>O</v>
      </c>
      <c r="AR25" s="80" t="str">
        <f t="shared" si="21"/>
        <v>O</v>
      </c>
      <c r="AS25" s="80" t="s">
        <v>2</v>
      </c>
      <c r="AT25" s="80" t="str">
        <f t="shared" si="22"/>
        <v>O</v>
      </c>
      <c r="AU25" s="80" t="str">
        <f t="shared" si="23"/>
        <v>O</v>
      </c>
      <c r="AV25" s="80" t="str">
        <f t="shared" si="24"/>
        <v/>
      </c>
    </row>
    <row r="26" spans="1:48" s="37" customFormat="1" ht="12" x14ac:dyDescent="0.3">
      <c r="A26" s="75" t="s">
        <v>1379</v>
      </c>
      <c r="B26" s="76" t="s">
        <v>1381</v>
      </c>
      <c r="C26" s="86">
        <v>993</v>
      </c>
      <c r="D26" s="87">
        <v>98.3</v>
      </c>
      <c r="E26" s="88">
        <v>30</v>
      </c>
      <c r="F26" s="87">
        <v>73.400000000000006</v>
      </c>
      <c r="G26" s="17">
        <v>22</v>
      </c>
      <c r="H26" s="89">
        <v>86</v>
      </c>
      <c r="I26" s="90"/>
      <c r="J26" s="90"/>
      <c r="K26" s="90"/>
      <c r="L26" s="90"/>
      <c r="M26" s="91">
        <f t="shared" si="8"/>
        <v>0</v>
      </c>
      <c r="N26" s="4" t="str">
        <f t="shared" si="9"/>
        <v/>
      </c>
      <c r="O26" s="92">
        <f t="shared" si="10"/>
        <v>0</v>
      </c>
      <c r="P26" s="92">
        <f t="shared" si="11"/>
        <v>0</v>
      </c>
      <c r="Q26" s="80">
        <v>3</v>
      </c>
      <c r="R26" s="80">
        <v>2</v>
      </c>
      <c r="S26" s="80" t="s">
        <v>61</v>
      </c>
      <c r="T26" s="5">
        <v>98</v>
      </c>
      <c r="U26" s="9"/>
      <c r="W26" s="87">
        <f t="shared" si="5"/>
        <v>98.3</v>
      </c>
      <c r="X26" s="88">
        <f t="shared" si="5"/>
        <v>30</v>
      </c>
      <c r="Y26" s="93">
        <f t="shared" si="6"/>
        <v>86</v>
      </c>
      <c r="Z26" s="91">
        <f t="shared" si="6"/>
        <v>0</v>
      </c>
      <c r="AA26" s="91">
        <f t="shared" si="12"/>
        <v>0</v>
      </c>
      <c r="AB26" s="91">
        <f t="shared" si="7"/>
        <v>0</v>
      </c>
      <c r="AC26" s="4" t="str">
        <f t="shared" si="7"/>
        <v/>
      </c>
      <c r="AD26" s="92">
        <f t="shared" si="7"/>
        <v>0</v>
      </c>
      <c r="AE26" s="80" t="str">
        <f t="shared" si="13"/>
        <v>계</v>
      </c>
      <c r="AF26" s="80" t="str">
        <f t="shared" si="14"/>
        <v>3/2</v>
      </c>
      <c r="AH26" s="20" t="str">
        <f t="shared" si="15"/>
        <v>나운동 나운금호어울림센트럴</v>
      </c>
      <c r="AI26" s="88">
        <f t="shared" si="4"/>
        <v>30</v>
      </c>
      <c r="AJ26" s="80" t="str">
        <f t="shared" si="16"/>
        <v>A-</v>
      </c>
      <c r="AK26" s="80" t="s">
        <v>14</v>
      </c>
      <c r="AL26" s="80" t="s">
        <v>63</v>
      </c>
      <c r="AM26" s="80" t="s">
        <v>64</v>
      </c>
      <c r="AN26" s="80" t="str">
        <f t="shared" si="17"/>
        <v>C</v>
      </c>
      <c r="AO26" s="80" t="str">
        <f t="shared" si="18"/>
        <v/>
      </c>
      <c r="AP26" s="80" t="str">
        <f t="shared" si="19"/>
        <v/>
      </c>
      <c r="AQ26" s="80" t="str">
        <f t="shared" si="20"/>
        <v>O</v>
      </c>
      <c r="AR26" s="80" t="str">
        <f t="shared" si="21"/>
        <v>O</v>
      </c>
      <c r="AS26" s="80" t="s">
        <v>2</v>
      </c>
      <c r="AT26" s="80" t="str">
        <f t="shared" si="22"/>
        <v>O</v>
      </c>
      <c r="AU26" s="80" t="str">
        <f t="shared" si="23"/>
        <v>O</v>
      </c>
      <c r="AV26" s="80" t="str">
        <f t="shared" si="24"/>
        <v/>
      </c>
    </row>
    <row r="27" spans="1:48" s="37" customFormat="1" ht="12" x14ac:dyDescent="0.3">
      <c r="A27" s="75" t="s">
        <v>1595</v>
      </c>
      <c r="B27" s="76" t="s">
        <v>1381</v>
      </c>
      <c r="C27" s="86">
        <v>993</v>
      </c>
      <c r="D27" s="87">
        <v>112.4</v>
      </c>
      <c r="E27" s="88">
        <v>34</v>
      </c>
      <c r="F27" s="87">
        <v>85</v>
      </c>
      <c r="G27" s="17">
        <v>26</v>
      </c>
      <c r="H27" s="89">
        <v>36</v>
      </c>
      <c r="I27" s="90"/>
      <c r="J27" s="90"/>
      <c r="K27" s="90"/>
      <c r="L27" s="90"/>
      <c r="M27" s="91">
        <f t="shared" si="8"/>
        <v>0</v>
      </c>
      <c r="N27" s="4" t="str">
        <f t="shared" si="9"/>
        <v/>
      </c>
      <c r="O27" s="92">
        <f t="shared" si="10"/>
        <v>0</v>
      </c>
      <c r="P27" s="92">
        <f t="shared" si="11"/>
        <v>0</v>
      </c>
      <c r="Q27" s="80">
        <v>3</v>
      </c>
      <c r="R27" s="80">
        <v>2</v>
      </c>
      <c r="S27" s="80" t="s">
        <v>61</v>
      </c>
      <c r="T27" s="5" t="s">
        <v>140</v>
      </c>
      <c r="U27" s="9"/>
      <c r="W27" s="87">
        <f t="shared" si="5"/>
        <v>112.4</v>
      </c>
      <c r="X27" s="88">
        <f t="shared" si="5"/>
        <v>34</v>
      </c>
      <c r="Y27" s="93">
        <f t="shared" si="6"/>
        <v>36</v>
      </c>
      <c r="Z27" s="91">
        <f t="shared" si="6"/>
        <v>0</v>
      </c>
      <c r="AA27" s="91">
        <f t="shared" si="12"/>
        <v>0</v>
      </c>
      <c r="AB27" s="91">
        <f t="shared" si="7"/>
        <v>0</v>
      </c>
      <c r="AC27" s="4" t="str">
        <f t="shared" si="7"/>
        <v/>
      </c>
      <c r="AD27" s="92">
        <f t="shared" si="7"/>
        <v>0</v>
      </c>
      <c r="AE27" s="80" t="str">
        <f t="shared" si="13"/>
        <v>계</v>
      </c>
      <c r="AF27" s="80" t="str">
        <f t="shared" si="14"/>
        <v>3/2</v>
      </c>
      <c r="AH27" s="20" t="str">
        <f t="shared" si="15"/>
        <v>나운동 나운금호어울림센트럴</v>
      </c>
      <c r="AI27" s="88">
        <f t="shared" si="4"/>
        <v>34</v>
      </c>
      <c r="AJ27" s="80" t="str">
        <f t="shared" si="16"/>
        <v>A-</v>
      </c>
      <c r="AK27" s="80" t="s">
        <v>14</v>
      </c>
      <c r="AL27" s="80" t="s">
        <v>63</v>
      </c>
      <c r="AM27" s="80" t="s">
        <v>64</v>
      </c>
      <c r="AN27" s="80" t="str">
        <f t="shared" si="17"/>
        <v>C</v>
      </c>
      <c r="AO27" s="80" t="str">
        <f t="shared" si="18"/>
        <v/>
      </c>
      <c r="AP27" s="80" t="str">
        <f t="shared" si="19"/>
        <v/>
      </c>
      <c r="AQ27" s="80" t="str">
        <f t="shared" si="20"/>
        <v>O</v>
      </c>
      <c r="AR27" s="80" t="str">
        <f t="shared" si="21"/>
        <v>O</v>
      </c>
      <c r="AS27" s="80" t="s">
        <v>2</v>
      </c>
      <c r="AT27" s="80" t="str">
        <f t="shared" si="22"/>
        <v>O</v>
      </c>
      <c r="AU27" s="80" t="str">
        <f t="shared" si="23"/>
        <v>O</v>
      </c>
      <c r="AV27" s="80" t="str">
        <f t="shared" si="24"/>
        <v/>
      </c>
    </row>
    <row r="28" spans="1:48" s="37" customFormat="1" ht="12" x14ac:dyDescent="0.3">
      <c r="A28" s="75" t="s">
        <v>1379</v>
      </c>
      <c r="B28" s="76" t="s">
        <v>1381</v>
      </c>
      <c r="C28" s="86">
        <v>993</v>
      </c>
      <c r="D28" s="87">
        <v>113.4</v>
      </c>
      <c r="E28" s="88">
        <v>34</v>
      </c>
      <c r="F28" s="87">
        <v>84.9</v>
      </c>
      <c r="G28" s="17">
        <v>26</v>
      </c>
      <c r="H28" s="89">
        <v>4</v>
      </c>
      <c r="I28" s="90"/>
      <c r="J28" s="90"/>
      <c r="K28" s="90"/>
      <c r="L28" s="90"/>
      <c r="M28" s="91">
        <f t="shared" si="8"/>
        <v>0</v>
      </c>
      <c r="N28" s="4" t="str">
        <f t="shared" si="9"/>
        <v/>
      </c>
      <c r="O28" s="92">
        <f t="shared" si="10"/>
        <v>0</v>
      </c>
      <c r="P28" s="92">
        <f t="shared" si="11"/>
        <v>0</v>
      </c>
      <c r="Q28" s="80">
        <v>3</v>
      </c>
      <c r="R28" s="80">
        <v>2</v>
      </c>
      <c r="S28" s="80" t="s">
        <v>61</v>
      </c>
      <c r="T28" s="5" t="s">
        <v>267</v>
      </c>
      <c r="U28" s="9"/>
      <c r="W28" s="87">
        <f t="shared" ref="W28:X29" si="25">D28</f>
        <v>113.4</v>
      </c>
      <c r="X28" s="88">
        <f t="shared" si="25"/>
        <v>34</v>
      </c>
      <c r="Y28" s="93">
        <f t="shared" ref="Y28:Z29" si="26">H28</f>
        <v>4</v>
      </c>
      <c r="Z28" s="91">
        <f t="shared" si="26"/>
        <v>0</v>
      </c>
      <c r="AA28" s="91">
        <f t="shared" si="12"/>
        <v>0</v>
      </c>
      <c r="AB28" s="91">
        <f t="shared" ref="AB28:AD31" si="27">M28</f>
        <v>0</v>
      </c>
      <c r="AC28" s="4" t="str">
        <f t="shared" si="27"/>
        <v/>
      </c>
      <c r="AD28" s="92">
        <f t="shared" si="27"/>
        <v>0</v>
      </c>
      <c r="AE28" s="80" t="str">
        <f t="shared" si="13"/>
        <v>계</v>
      </c>
      <c r="AF28" s="80" t="str">
        <f t="shared" si="14"/>
        <v>3/2</v>
      </c>
      <c r="AH28" s="20" t="str">
        <f t="shared" si="15"/>
        <v>나운동 나운금호어울림센트럴</v>
      </c>
      <c r="AI28" s="88">
        <f t="shared" si="4"/>
        <v>34</v>
      </c>
      <c r="AJ28" s="80" t="str">
        <f t="shared" si="16"/>
        <v>A-</v>
      </c>
      <c r="AK28" s="80" t="s">
        <v>14</v>
      </c>
      <c r="AL28" s="80" t="s">
        <v>63</v>
      </c>
      <c r="AM28" s="80" t="s">
        <v>64</v>
      </c>
      <c r="AN28" s="80" t="str">
        <f t="shared" si="17"/>
        <v>C</v>
      </c>
      <c r="AO28" s="80" t="str">
        <f t="shared" si="18"/>
        <v/>
      </c>
      <c r="AP28" s="80" t="str">
        <f t="shared" si="19"/>
        <v/>
      </c>
      <c r="AQ28" s="80" t="str">
        <f t="shared" si="20"/>
        <v>O</v>
      </c>
      <c r="AR28" s="80" t="str">
        <f t="shared" si="21"/>
        <v>O</v>
      </c>
      <c r="AS28" s="80" t="s">
        <v>2</v>
      </c>
      <c r="AT28" s="80" t="str">
        <f t="shared" si="22"/>
        <v>O</v>
      </c>
      <c r="AU28" s="80" t="str">
        <f t="shared" si="23"/>
        <v>O</v>
      </c>
      <c r="AV28" s="80" t="str">
        <f t="shared" si="24"/>
        <v/>
      </c>
    </row>
    <row r="29" spans="1:48" s="37" customFormat="1" ht="12" x14ac:dyDescent="0.3">
      <c r="A29" s="75" t="s">
        <v>1379</v>
      </c>
      <c r="B29" s="76" t="s">
        <v>1380</v>
      </c>
      <c r="C29" s="86">
        <v>993</v>
      </c>
      <c r="D29" s="87">
        <v>115.3</v>
      </c>
      <c r="E29" s="88">
        <v>35</v>
      </c>
      <c r="F29" s="87">
        <v>84.9</v>
      </c>
      <c r="G29" s="17">
        <v>26</v>
      </c>
      <c r="H29" s="89">
        <v>6</v>
      </c>
      <c r="I29" s="90"/>
      <c r="J29" s="90"/>
      <c r="K29" s="90"/>
      <c r="L29" s="90"/>
      <c r="M29" s="91">
        <f t="shared" si="8"/>
        <v>0</v>
      </c>
      <c r="N29" s="4" t="str">
        <f t="shared" si="9"/>
        <v/>
      </c>
      <c r="O29" s="92">
        <f t="shared" si="10"/>
        <v>0</v>
      </c>
      <c r="P29" s="92">
        <f t="shared" si="11"/>
        <v>0</v>
      </c>
      <c r="Q29" s="80">
        <v>3</v>
      </c>
      <c r="R29" s="80">
        <v>2</v>
      </c>
      <c r="S29" s="80" t="s">
        <v>61</v>
      </c>
      <c r="T29" s="5" t="s">
        <v>141</v>
      </c>
      <c r="U29" s="9"/>
      <c r="W29" s="87">
        <f t="shared" si="25"/>
        <v>115.3</v>
      </c>
      <c r="X29" s="88">
        <f t="shared" si="25"/>
        <v>35</v>
      </c>
      <c r="Y29" s="93">
        <f t="shared" si="26"/>
        <v>6</v>
      </c>
      <c r="Z29" s="91">
        <f t="shared" si="26"/>
        <v>0</v>
      </c>
      <c r="AA29" s="91">
        <f t="shared" si="12"/>
        <v>0</v>
      </c>
      <c r="AB29" s="91">
        <f t="shared" si="27"/>
        <v>0</v>
      </c>
      <c r="AC29" s="4" t="str">
        <f t="shared" si="27"/>
        <v/>
      </c>
      <c r="AD29" s="92">
        <f t="shared" si="27"/>
        <v>0</v>
      </c>
      <c r="AE29" s="80" t="str">
        <f t="shared" si="13"/>
        <v>계</v>
      </c>
      <c r="AF29" s="80" t="str">
        <f t="shared" si="14"/>
        <v>3/2</v>
      </c>
      <c r="AH29" s="20" t="str">
        <f t="shared" si="15"/>
        <v>나운동 나운금호어울림센트럴</v>
      </c>
      <c r="AI29" s="88">
        <f t="shared" si="4"/>
        <v>35</v>
      </c>
      <c r="AJ29" s="80" t="str">
        <f t="shared" si="16"/>
        <v>A-</v>
      </c>
      <c r="AK29" s="80" t="s">
        <v>14</v>
      </c>
      <c r="AL29" s="80" t="s">
        <v>63</v>
      </c>
      <c r="AM29" s="80" t="s">
        <v>64</v>
      </c>
      <c r="AN29" s="80" t="str">
        <f t="shared" si="17"/>
        <v>C</v>
      </c>
      <c r="AO29" s="80" t="str">
        <f t="shared" si="18"/>
        <v/>
      </c>
      <c r="AP29" s="80" t="str">
        <f t="shared" si="19"/>
        <v/>
      </c>
      <c r="AQ29" s="80" t="str">
        <f t="shared" si="20"/>
        <v>O</v>
      </c>
      <c r="AR29" s="80" t="str">
        <f t="shared" si="21"/>
        <v>O</v>
      </c>
      <c r="AS29" s="80" t="s">
        <v>2</v>
      </c>
      <c r="AT29" s="80" t="str">
        <f t="shared" si="22"/>
        <v>O</v>
      </c>
      <c r="AU29" s="80" t="str">
        <f t="shared" si="23"/>
        <v>O</v>
      </c>
      <c r="AV29" s="80" t="str">
        <f t="shared" si="24"/>
        <v/>
      </c>
    </row>
    <row r="30" spans="1:48" s="37" customFormat="1" ht="12" x14ac:dyDescent="0.3">
      <c r="A30" s="75" t="s">
        <v>1382</v>
      </c>
      <c r="B30" s="76" t="s">
        <v>1383</v>
      </c>
      <c r="C30" s="86">
        <v>1186</v>
      </c>
      <c r="D30" s="87">
        <v>51.7</v>
      </c>
      <c r="E30" s="88">
        <v>16</v>
      </c>
      <c r="F30" s="87">
        <v>40.299999999999997</v>
      </c>
      <c r="G30" s="17">
        <v>12</v>
      </c>
      <c r="H30" s="89">
        <v>230</v>
      </c>
      <c r="I30" s="90">
        <v>4900</v>
      </c>
      <c r="J30" s="90" t="s">
        <v>84</v>
      </c>
      <c r="K30" s="90">
        <v>5000</v>
      </c>
      <c r="L30" s="90" t="s">
        <v>69</v>
      </c>
      <c r="M30" s="91">
        <f>I30-K30</f>
        <v>-100</v>
      </c>
      <c r="N30" s="4">
        <f>IF(ISERROR(K30/I30),"",K30/I30)</f>
        <v>1.0204081632653061</v>
      </c>
      <c r="O30" s="92">
        <f>I30/E30</f>
        <v>306.25</v>
      </c>
      <c r="P30" s="92">
        <f>K30/E30</f>
        <v>312.5</v>
      </c>
      <c r="Q30" s="80">
        <v>1</v>
      </c>
      <c r="R30" s="80">
        <v>1</v>
      </c>
      <c r="S30" s="80" t="s">
        <v>76</v>
      </c>
      <c r="T30" s="5">
        <v>51</v>
      </c>
      <c r="U30" s="9"/>
      <c r="W30" s="87">
        <f>D30</f>
        <v>51.7</v>
      </c>
      <c r="X30" s="88">
        <f>E30</f>
        <v>16</v>
      </c>
      <c r="Y30" s="93">
        <f>H30</f>
        <v>230</v>
      </c>
      <c r="Z30" s="91">
        <f>I30</f>
        <v>4900</v>
      </c>
      <c r="AA30" s="91">
        <f>K30</f>
        <v>5000</v>
      </c>
      <c r="AB30" s="91">
        <f t="shared" si="27"/>
        <v>-100</v>
      </c>
      <c r="AC30" s="4">
        <f t="shared" si="27"/>
        <v>1.0204081632653061</v>
      </c>
      <c r="AD30" s="92">
        <f t="shared" si="27"/>
        <v>306.25</v>
      </c>
      <c r="AE30" s="80" t="str">
        <f>S30</f>
        <v>복</v>
      </c>
      <c r="AF30" s="80" t="str">
        <f>Q30&amp;"/"&amp;R30</f>
        <v>1/1</v>
      </c>
      <c r="AH30" s="20" t="str">
        <f t="shared" si="15"/>
        <v>나운동 세경</v>
      </c>
      <c r="AI30" s="88">
        <f t="shared" si="4"/>
        <v>16</v>
      </c>
      <c r="AJ30" s="80" t="str">
        <f>IF(AI30="","",$AJ$2)</f>
        <v>A-</v>
      </c>
      <c r="AK30" s="80" t="s">
        <v>14</v>
      </c>
      <c r="AL30" s="80" t="s">
        <v>63</v>
      </c>
      <c r="AM30" s="80" t="s">
        <v>64</v>
      </c>
      <c r="AN30" s="80" t="str">
        <f>IF(AI30="","",$AN$2)</f>
        <v>C</v>
      </c>
      <c r="AO30" s="80" t="str">
        <f>IF(N30="","",IF(N30&gt;=$AO$1/100,"O","X"))</f>
        <v>O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후보</v>
      </c>
    </row>
    <row r="31" spans="1:48" s="37" customFormat="1" ht="12" x14ac:dyDescent="0.3">
      <c r="A31" s="75" t="s">
        <v>1382</v>
      </c>
      <c r="B31" s="76" t="s">
        <v>1383</v>
      </c>
      <c r="C31" s="86">
        <v>1186</v>
      </c>
      <c r="D31" s="87">
        <v>69</v>
      </c>
      <c r="E31" s="88">
        <v>21</v>
      </c>
      <c r="F31" s="87">
        <v>53.8</v>
      </c>
      <c r="G31" s="17">
        <v>16</v>
      </c>
      <c r="H31" s="89">
        <v>941</v>
      </c>
      <c r="I31" s="90">
        <v>7000</v>
      </c>
      <c r="J31" s="90" t="s">
        <v>72</v>
      </c>
      <c r="K31" s="90">
        <v>6500</v>
      </c>
      <c r="L31" s="90" t="s">
        <v>72</v>
      </c>
      <c r="M31" s="91">
        <f>I31-K31</f>
        <v>500</v>
      </c>
      <c r="N31" s="4">
        <f>IF(ISERROR(K31/I31),"",K31/I31)</f>
        <v>0.9285714285714286</v>
      </c>
      <c r="O31" s="92">
        <f>I31/E31</f>
        <v>333.33333333333331</v>
      </c>
      <c r="P31" s="92">
        <f>K31/E31</f>
        <v>309.52380952380952</v>
      </c>
      <c r="Q31" s="80">
        <v>2</v>
      </c>
      <c r="R31" s="80">
        <v>1</v>
      </c>
      <c r="S31" s="80" t="s">
        <v>76</v>
      </c>
      <c r="T31" s="5">
        <v>68</v>
      </c>
      <c r="U31" s="9"/>
      <c r="W31" s="87">
        <f>D31</f>
        <v>69</v>
      </c>
      <c r="X31" s="88">
        <f>E31</f>
        <v>21</v>
      </c>
      <c r="Y31" s="93">
        <f>H31</f>
        <v>941</v>
      </c>
      <c r="Z31" s="91">
        <f>I31</f>
        <v>7000</v>
      </c>
      <c r="AA31" s="91">
        <f>K31</f>
        <v>6500</v>
      </c>
      <c r="AB31" s="91">
        <f t="shared" si="27"/>
        <v>500</v>
      </c>
      <c r="AC31" s="4">
        <f t="shared" si="27"/>
        <v>0.9285714285714286</v>
      </c>
      <c r="AD31" s="92">
        <f t="shared" si="27"/>
        <v>333.33333333333331</v>
      </c>
      <c r="AE31" s="80" t="str">
        <f>S31</f>
        <v>복</v>
      </c>
      <c r="AF31" s="80" t="str">
        <f>Q31&amp;"/"&amp;R31</f>
        <v>2/1</v>
      </c>
      <c r="AH31" s="20" t="str">
        <f t="shared" si="15"/>
        <v>나운동 세경</v>
      </c>
      <c r="AI31" s="88">
        <f t="shared" si="4"/>
        <v>21</v>
      </c>
      <c r="AJ31" s="80" t="str">
        <f>IF(AI31="","",$AJ$2)</f>
        <v>A-</v>
      </c>
      <c r="AK31" s="80" t="s">
        <v>14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>O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후보</v>
      </c>
    </row>
    <row r="32" spans="1:48" s="37" customFormat="1" ht="12" x14ac:dyDescent="0.3">
      <c r="A32" s="75" t="s">
        <v>1385</v>
      </c>
      <c r="B32" s="76" t="s">
        <v>1386</v>
      </c>
      <c r="C32" s="86">
        <v>392</v>
      </c>
      <c r="D32" s="87">
        <v>87.1</v>
      </c>
      <c r="E32" s="88">
        <v>26</v>
      </c>
      <c r="F32" s="87">
        <v>59.6</v>
      </c>
      <c r="G32" s="17">
        <v>18</v>
      </c>
      <c r="H32" s="89">
        <v>392</v>
      </c>
      <c r="I32" s="90">
        <v>19500</v>
      </c>
      <c r="J32" s="90" t="s">
        <v>68</v>
      </c>
      <c r="K32" s="90">
        <v>19000</v>
      </c>
      <c r="L32" s="90" t="s">
        <v>77</v>
      </c>
      <c r="M32" s="91">
        <f>I32-K32</f>
        <v>500</v>
      </c>
      <c r="N32" s="4">
        <f>IF(ISERROR(K32/I32),"",K32/I32)</f>
        <v>0.97435897435897434</v>
      </c>
      <c r="O32" s="92">
        <f>I32/E32</f>
        <v>750</v>
      </c>
      <c r="P32" s="92">
        <f>K32/E32</f>
        <v>730.76923076923072</v>
      </c>
      <c r="Q32" s="80">
        <v>3</v>
      </c>
      <c r="R32" s="80">
        <v>2</v>
      </c>
      <c r="S32" s="80" t="s">
        <v>61</v>
      </c>
      <c r="T32" s="5">
        <v>87</v>
      </c>
      <c r="U32" s="9"/>
      <c r="W32" s="87">
        <f>D32</f>
        <v>87.1</v>
      </c>
      <c r="X32" s="88">
        <f>E32</f>
        <v>26</v>
      </c>
      <c r="Y32" s="93">
        <f>H32</f>
        <v>392</v>
      </c>
      <c r="Z32" s="91">
        <f>I32</f>
        <v>19500</v>
      </c>
      <c r="AA32" s="91">
        <f>K32</f>
        <v>19000</v>
      </c>
      <c r="AB32" s="91">
        <f>M32</f>
        <v>500</v>
      </c>
      <c r="AC32" s="4">
        <f>N32</f>
        <v>0.97435897435897434</v>
      </c>
      <c r="AD32" s="92">
        <f>O32</f>
        <v>750</v>
      </c>
      <c r="AE32" s="80" t="str">
        <f>S32</f>
        <v>계</v>
      </c>
      <c r="AF32" s="80" t="str">
        <f>Q32&amp;"/"&amp;R32</f>
        <v>3/2</v>
      </c>
      <c r="AH32" s="20" t="str">
        <f t="shared" si="15"/>
        <v>나운동 수송코아루</v>
      </c>
      <c r="AI32" s="88">
        <f t="shared" si="4"/>
        <v>26</v>
      </c>
      <c r="AJ32" s="80" t="str">
        <f>IF(AI32="","",$AJ$2)</f>
        <v>A-</v>
      </c>
      <c r="AK32" s="80" t="s">
        <v>14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>O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후보</v>
      </c>
    </row>
    <row r="33" spans="1:48" s="37" customFormat="1" ht="12" x14ac:dyDescent="0.3">
      <c r="A33" s="75" t="s">
        <v>1387</v>
      </c>
      <c r="B33" s="76" t="s">
        <v>1389</v>
      </c>
      <c r="C33" s="86">
        <v>336</v>
      </c>
      <c r="D33" s="87">
        <v>83.8</v>
      </c>
      <c r="E33" s="88">
        <v>25</v>
      </c>
      <c r="F33" s="87">
        <v>59.9</v>
      </c>
      <c r="G33" s="17">
        <v>18</v>
      </c>
      <c r="H33" s="89">
        <v>120</v>
      </c>
      <c r="I33" s="90">
        <v>9300</v>
      </c>
      <c r="J33" s="90" t="s">
        <v>60</v>
      </c>
      <c r="K33" s="90"/>
      <c r="L33" s="90"/>
      <c r="M33" s="91">
        <f>I33-K33</f>
        <v>9300</v>
      </c>
      <c r="N33" s="4">
        <f>IF(ISERROR(K33/I33),"",K33/I33)</f>
        <v>0</v>
      </c>
      <c r="O33" s="92">
        <f>I33/E33</f>
        <v>372</v>
      </c>
      <c r="P33" s="92">
        <f>K33/E33</f>
        <v>0</v>
      </c>
      <c r="Q33" s="80">
        <v>2</v>
      </c>
      <c r="R33" s="80">
        <v>1</v>
      </c>
      <c r="S33" s="80" t="s">
        <v>61</v>
      </c>
      <c r="T33" s="5">
        <v>83</v>
      </c>
      <c r="U33" s="9"/>
      <c r="W33" s="87">
        <f t="shared" ref="W33:X42" si="28">D33</f>
        <v>83.8</v>
      </c>
      <c r="X33" s="88">
        <f t="shared" si="28"/>
        <v>25</v>
      </c>
      <c r="Y33" s="93">
        <f t="shared" ref="Y33:Z42" si="29">H33</f>
        <v>120</v>
      </c>
      <c r="Z33" s="91">
        <f t="shared" si="29"/>
        <v>9300</v>
      </c>
      <c r="AA33" s="91">
        <f>K33</f>
        <v>0</v>
      </c>
      <c r="AB33" s="91">
        <f t="shared" ref="AB33:AD42" si="30">M33</f>
        <v>9300</v>
      </c>
      <c r="AC33" s="4">
        <f t="shared" si="30"/>
        <v>0</v>
      </c>
      <c r="AD33" s="92">
        <f t="shared" si="30"/>
        <v>372</v>
      </c>
      <c r="AE33" s="80" t="str">
        <f>S33</f>
        <v>계</v>
      </c>
      <c r="AF33" s="80" t="str">
        <f>Q33&amp;"/"&amp;R33</f>
        <v>2/1</v>
      </c>
      <c r="AH33" s="20" t="str">
        <f t="shared" si="15"/>
        <v>나운동 금호타운2차</v>
      </c>
      <c r="AI33" s="88">
        <f t="shared" si="4"/>
        <v>25</v>
      </c>
      <c r="AJ33" s="80" t="str">
        <f>IF(AI33="","",$AJ$2)</f>
        <v>A-</v>
      </c>
      <c r="AK33" s="80" t="s">
        <v>14</v>
      </c>
      <c r="AL33" s="80" t="s">
        <v>63</v>
      </c>
      <c r="AM33" s="80" t="s">
        <v>64</v>
      </c>
      <c r="AN33" s="80" t="str">
        <f>IF(AI33="","",$AN$2)</f>
        <v>C</v>
      </c>
      <c r="AO33" s="80" t="str">
        <f>IF(N33="","",IF(N33&gt;=$AO$1/100,"O","X"))</f>
        <v>X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X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X</v>
      </c>
    </row>
    <row r="34" spans="1:48" s="37" customFormat="1" ht="12" x14ac:dyDescent="0.3">
      <c r="A34" s="75" t="s">
        <v>1387</v>
      </c>
      <c r="B34" s="76" t="s">
        <v>1389</v>
      </c>
      <c r="C34" s="86">
        <v>336</v>
      </c>
      <c r="D34" s="87">
        <v>103</v>
      </c>
      <c r="E34" s="88">
        <v>31</v>
      </c>
      <c r="F34" s="87">
        <v>84.8</v>
      </c>
      <c r="G34" s="17">
        <v>26</v>
      </c>
      <c r="H34" s="89">
        <v>120</v>
      </c>
      <c r="I34" s="90">
        <v>17300</v>
      </c>
      <c r="J34" s="90" t="s">
        <v>70</v>
      </c>
      <c r="K34" s="90"/>
      <c r="L34" s="90"/>
      <c r="M34" s="91">
        <f>I34-K34</f>
        <v>17300</v>
      </c>
      <c r="N34" s="4">
        <f>IF(ISERROR(K34/I34),"",K34/I34)</f>
        <v>0</v>
      </c>
      <c r="O34" s="92">
        <f>I34/E34</f>
        <v>558.06451612903231</v>
      </c>
      <c r="P34" s="92">
        <f>K34/E34</f>
        <v>0</v>
      </c>
      <c r="Q34" s="80">
        <v>3</v>
      </c>
      <c r="R34" s="80">
        <v>2</v>
      </c>
      <c r="S34" s="80" t="s">
        <v>61</v>
      </c>
      <c r="T34" s="5">
        <v>103</v>
      </c>
      <c r="U34" s="9"/>
      <c r="W34" s="87">
        <f t="shared" si="28"/>
        <v>103</v>
      </c>
      <c r="X34" s="88">
        <f t="shared" si="28"/>
        <v>31</v>
      </c>
      <c r="Y34" s="93">
        <f t="shared" si="29"/>
        <v>120</v>
      </c>
      <c r="Z34" s="91">
        <f t="shared" si="29"/>
        <v>17300</v>
      </c>
      <c r="AA34" s="91">
        <f>K34</f>
        <v>0</v>
      </c>
      <c r="AB34" s="91">
        <f t="shared" si="30"/>
        <v>17300</v>
      </c>
      <c r="AC34" s="4">
        <f t="shared" si="30"/>
        <v>0</v>
      </c>
      <c r="AD34" s="92">
        <f t="shared" si="30"/>
        <v>558.06451612903231</v>
      </c>
      <c r="AE34" s="80" t="str">
        <f>S34</f>
        <v>계</v>
      </c>
      <c r="AF34" s="80" t="str">
        <f>Q34&amp;"/"&amp;R34</f>
        <v>3/2</v>
      </c>
      <c r="AH34" s="20" t="str">
        <f t="shared" si="15"/>
        <v>나운동 금호타운2차</v>
      </c>
      <c r="AI34" s="88">
        <f t="shared" si="4"/>
        <v>31</v>
      </c>
      <c r="AJ34" s="80" t="str">
        <f>IF(AI34="","",$AJ$2)</f>
        <v>A-</v>
      </c>
      <c r="AK34" s="80" t="s">
        <v>14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s="37" customFormat="1" ht="12" x14ac:dyDescent="0.3">
      <c r="A35" s="75" t="s">
        <v>1387</v>
      </c>
      <c r="B35" s="76" t="s">
        <v>1389</v>
      </c>
      <c r="C35" s="86">
        <v>336</v>
      </c>
      <c r="D35" s="87">
        <v>148.80000000000001</v>
      </c>
      <c r="E35" s="88">
        <v>45</v>
      </c>
      <c r="F35" s="87">
        <v>126.6</v>
      </c>
      <c r="G35" s="17">
        <v>38</v>
      </c>
      <c r="H35" s="89">
        <v>96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4</v>
      </c>
      <c r="R35" s="80">
        <v>2</v>
      </c>
      <c r="S35" s="80" t="s">
        <v>61</v>
      </c>
      <c r="T35" s="5">
        <v>148</v>
      </c>
      <c r="U35" s="9"/>
      <c r="W35" s="87">
        <f t="shared" si="28"/>
        <v>148.80000000000001</v>
      </c>
      <c r="X35" s="88">
        <f t="shared" si="28"/>
        <v>45</v>
      </c>
      <c r="Y35" s="93">
        <f t="shared" si="29"/>
        <v>96</v>
      </c>
      <c r="Z35" s="91">
        <f t="shared" si="29"/>
        <v>0</v>
      </c>
      <c r="AA35" s="91">
        <f>K35</f>
        <v>0</v>
      </c>
      <c r="AB35" s="91">
        <f t="shared" si="30"/>
        <v>0</v>
      </c>
      <c r="AC35" s="4" t="str">
        <f t="shared" si="30"/>
        <v/>
      </c>
      <c r="AD35" s="92">
        <f t="shared" si="30"/>
        <v>0</v>
      </c>
      <c r="AE35" s="80" t="str">
        <f>S35</f>
        <v>계</v>
      </c>
      <c r="AF35" s="80" t="str">
        <f>Q35&amp;"/"&amp;R35</f>
        <v>4/2</v>
      </c>
      <c r="AH35" s="20" t="str">
        <f t="shared" si="15"/>
        <v>나운동 금호타운2차</v>
      </c>
      <c r="AI35" s="88">
        <f t="shared" si="4"/>
        <v>45</v>
      </c>
      <c r="AJ35" s="80" t="str">
        <f>IF(AI35="","",$AJ$2)</f>
        <v>A-</v>
      </c>
      <c r="AK35" s="80" t="s">
        <v>14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X</v>
      </c>
      <c r="AU35" s="80" t="str">
        <f>IF(C35="","",IF(C35&gt;=$AU$1,"O","X"))</f>
        <v>O</v>
      </c>
      <c r="AV35" s="80" t="str">
        <f>IF(AO35="","",IF(AND(AO35="O",AP35="O",AR35="O",AT35="O",AU35="O"),"후보","X"))</f>
        <v/>
      </c>
    </row>
    <row r="36" spans="1:48" s="37" customFormat="1" ht="12" x14ac:dyDescent="0.3">
      <c r="A36" s="75" t="s">
        <v>1390</v>
      </c>
      <c r="B36" s="76" t="s">
        <v>1391</v>
      </c>
      <c r="C36" s="86">
        <v>899</v>
      </c>
      <c r="D36" s="87">
        <v>74.2</v>
      </c>
      <c r="E36" s="88">
        <v>22</v>
      </c>
      <c r="F36" s="87">
        <v>59.4</v>
      </c>
      <c r="G36" s="17">
        <v>18</v>
      </c>
      <c r="H36" s="89">
        <v>344</v>
      </c>
      <c r="I36" s="90">
        <v>9000</v>
      </c>
      <c r="J36" s="90" t="s">
        <v>71</v>
      </c>
      <c r="K36" s="90">
        <v>8000</v>
      </c>
      <c r="L36" s="90" t="s">
        <v>81</v>
      </c>
      <c r="M36" s="91">
        <f>I36-K36</f>
        <v>1000</v>
      </c>
      <c r="N36" s="4">
        <f>IF(ISERROR(K36/I36),"",K36/I36)</f>
        <v>0.88888888888888884</v>
      </c>
      <c r="O36" s="92">
        <f>I36/E36</f>
        <v>409.09090909090907</v>
      </c>
      <c r="P36" s="92">
        <f>K36/E36</f>
        <v>363.63636363636363</v>
      </c>
      <c r="Q36" s="80">
        <v>3</v>
      </c>
      <c r="R36" s="80">
        <v>1</v>
      </c>
      <c r="S36" s="80" t="s">
        <v>61</v>
      </c>
      <c r="T36" s="5">
        <v>74</v>
      </c>
      <c r="U36" s="9"/>
      <c r="W36" s="87">
        <f t="shared" si="28"/>
        <v>74.2</v>
      </c>
      <c r="X36" s="88">
        <f t="shared" si="28"/>
        <v>22</v>
      </c>
      <c r="Y36" s="93">
        <f t="shared" si="29"/>
        <v>344</v>
      </c>
      <c r="Z36" s="91">
        <f t="shared" si="29"/>
        <v>9000</v>
      </c>
      <c r="AA36" s="91">
        <f>K36</f>
        <v>8000</v>
      </c>
      <c r="AB36" s="91">
        <f t="shared" si="30"/>
        <v>1000</v>
      </c>
      <c r="AC36" s="4">
        <f t="shared" si="30"/>
        <v>0.88888888888888884</v>
      </c>
      <c r="AD36" s="92">
        <f t="shared" si="30"/>
        <v>409.09090909090907</v>
      </c>
      <c r="AE36" s="80" t="str">
        <f>S36</f>
        <v>계</v>
      </c>
      <c r="AF36" s="80" t="str">
        <f>Q36&amp;"/"&amp;R36</f>
        <v>3/1</v>
      </c>
      <c r="AH36" s="20" t="str">
        <f t="shared" si="15"/>
        <v>나운동 나운현대2차</v>
      </c>
      <c r="AI36" s="88">
        <f t="shared" si="4"/>
        <v>22</v>
      </c>
      <c r="AJ36" s="80" t="str">
        <f>IF(AI36="","",$AJ$2)</f>
        <v>A-</v>
      </c>
      <c r="AK36" s="80" t="s">
        <v>14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>O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후보</v>
      </c>
    </row>
    <row r="37" spans="1:48" s="37" customFormat="1" ht="12" x14ac:dyDescent="0.3">
      <c r="A37" s="75" t="s">
        <v>1390</v>
      </c>
      <c r="B37" s="76" t="s">
        <v>1391</v>
      </c>
      <c r="C37" s="86">
        <v>899</v>
      </c>
      <c r="D37" s="87">
        <v>94.1</v>
      </c>
      <c r="E37" s="88">
        <v>28</v>
      </c>
      <c r="F37" s="87">
        <v>75.3</v>
      </c>
      <c r="G37" s="17">
        <v>23</v>
      </c>
      <c r="H37" s="89">
        <v>119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3</v>
      </c>
      <c r="R37" s="80">
        <v>1</v>
      </c>
      <c r="S37" s="80" t="s">
        <v>61</v>
      </c>
      <c r="T37" s="5">
        <v>94</v>
      </c>
      <c r="U37" s="9"/>
      <c r="W37" s="87">
        <f t="shared" si="28"/>
        <v>94.1</v>
      </c>
      <c r="X37" s="88">
        <f t="shared" si="28"/>
        <v>28</v>
      </c>
      <c r="Y37" s="93">
        <f t="shared" si="29"/>
        <v>119</v>
      </c>
      <c r="Z37" s="91">
        <f t="shared" si="29"/>
        <v>0</v>
      </c>
      <c r="AA37" s="91">
        <f>K37</f>
        <v>0</v>
      </c>
      <c r="AB37" s="91">
        <f t="shared" si="30"/>
        <v>0</v>
      </c>
      <c r="AC37" s="4" t="str">
        <f t="shared" si="30"/>
        <v/>
      </c>
      <c r="AD37" s="92">
        <f t="shared" si="30"/>
        <v>0</v>
      </c>
      <c r="AE37" s="80" t="str">
        <f>S37</f>
        <v>계</v>
      </c>
      <c r="AF37" s="80" t="str">
        <f>Q37&amp;"/"&amp;R37</f>
        <v>3/1</v>
      </c>
      <c r="AH37" s="20" t="str">
        <f t="shared" si="15"/>
        <v>나운동 나운현대2차</v>
      </c>
      <c r="AI37" s="88">
        <f t="shared" si="4"/>
        <v>28</v>
      </c>
      <c r="AJ37" s="80" t="str">
        <f>IF(AI37="","",$AJ$2)</f>
        <v>A-</v>
      </c>
      <c r="AK37" s="80" t="s">
        <v>14</v>
      </c>
      <c r="AL37" s="80" t="s">
        <v>63</v>
      </c>
      <c r="AM37" s="80" t="s">
        <v>64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s="37" customFormat="1" ht="12" x14ac:dyDescent="0.3">
      <c r="A38" s="75" t="s">
        <v>1390</v>
      </c>
      <c r="B38" s="76" t="s">
        <v>1391</v>
      </c>
      <c r="C38" s="86">
        <v>899</v>
      </c>
      <c r="D38" s="87">
        <v>105.9</v>
      </c>
      <c r="E38" s="88">
        <v>32</v>
      </c>
      <c r="F38" s="87">
        <v>84.7</v>
      </c>
      <c r="G38" s="17">
        <v>26</v>
      </c>
      <c r="H38" s="89">
        <v>377</v>
      </c>
      <c r="I38" s="90">
        <v>13200</v>
      </c>
      <c r="J38" s="90" t="s">
        <v>69</v>
      </c>
      <c r="K38" s="90">
        <v>12000</v>
      </c>
      <c r="L38" s="90" t="s">
        <v>67</v>
      </c>
      <c r="M38" s="91">
        <f>I38-K38</f>
        <v>1200</v>
      </c>
      <c r="N38" s="4">
        <f>IF(ISERROR(K38/I38),"",K38/I38)</f>
        <v>0.90909090909090906</v>
      </c>
      <c r="O38" s="92">
        <f>I38/E38</f>
        <v>412.5</v>
      </c>
      <c r="P38" s="92">
        <f>K38/E38</f>
        <v>375</v>
      </c>
      <c r="Q38" s="80">
        <v>3</v>
      </c>
      <c r="R38" s="80">
        <v>2</v>
      </c>
      <c r="S38" s="80" t="s">
        <v>61</v>
      </c>
      <c r="T38" s="5">
        <v>105</v>
      </c>
      <c r="U38" s="9"/>
      <c r="W38" s="87">
        <f t="shared" si="28"/>
        <v>105.9</v>
      </c>
      <c r="X38" s="88">
        <f t="shared" si="28"/>
        <v>32</v>
      </c>
      <c r="Y38" s="93">
        <f t="shared" si="29"/>
        <v>377</v>
      </c>
      <c r="Z38" s="91">
        <f t="shared" si="29"/>
        <v>13200</v>
      </c>
      <c r="AA38" s="91">
        <f>K38</f>
        <v>12000</v>
      </c>
      <c r="AB38" s="91">
        <f t="shared" si="30"/>
        <v>1200</v>
      </c>
      <c r="AC38" s="4">
        <f t="shared" si="30"/>
        <v>0.90909090909090906</v>
      </c>
      <c r="AD38" s="92">
        <f t="shared" si="30"/>
        <v>412.5</v>
      </c>
      <c r="AE38" s="80" t="str">
        <f>S38</f>
        <v>계</v>
      </c>
      <c r="AF38" s="80" t="str">
        <f>Q38&amp;"/"&amp;R38</f>
        <v>3/2</v>
      </c>
      <c r="AH38" s="20" t="str">
        <f t="shared" si="15"/>
        <v>나운동 나운현대2차</v>
      </c>
      <c r="AI38" s="88">
        <f t="shared" si="4"/>
        <v>32</v>
      </c>
      <c r="AJ38" s="80" t="str">
        <f>IF(AI38="","",$AJ$2)</f>
        <v>A-</v>
      </c>
      <c r="AK38" s="80" t="s">
        <v>14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>O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후보</v>
      </c>
    </row>
    <row r="39" spans="1:48" s="37" customFormat="1" ht="12" x14ac:dyDescent="0.3">
      <c r="A39" s="75" t="s">
        <v>1390</v>
      </c>
      <c r="B39" s="76" t="s">
        <v>1391</v>
      </c>
      <c r="C39" s="86">
        <v>899</v>
      </c>
      <c r="D39" s="87">
        <v>168.1</v>
      </c>
      <c r="E39" s="88">
        <v>51</v>
      </c>
      <c r="F39" s="87">
        <v>134.6</v>
      </c>
      <c r="G39" s="17">
        <v>41</v>
      </c>
      <c r="H39" s="89">
        <v>59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4</v>
      </c>
      <c r="R39" s="80">
        <v>2</v>
      </c>
      <c r="S39" s="80" t="s">
        <v>61</v>
      </c>
      <c r="T39" s="5">
        <v>168</v>
      </c>
      <c r="U39" s="9"/>
      <c r="W39" s="87">
        <f t="shared" si="28"/>
        <v>168.1</v>
      </c>
      <c r="X39" s="88">
        <f t="shared" si="28"/>
        <v>51</v>
      </c>
      <c r="Y39" s="93">
        <f t="shared" si="29"/>
        <v>59</v>
      </c>
      <c r="Z39" s="91">
        <f t="shared" si="29"/>
        <v>0</v>
      </c>
      <c r="AA39" s="91">
        <f>K39</f>
        <v>0</v>
      </c>
      <c r="AB39" s="91">
        <f t="shared" si="30"/>
        <v>0</v>
      </c>
      <c r="AC39" s="4" t="str">
        <f t="shared" si="30"/>
        <v/>
      </c>
      <c r="AD39" s="92">
        <f t="shared" si="30"/>
        <v>0</v>
      </c>
      <c r="AE39" s="80" t="str">
        <f>S39</f>
        <v>계</v>
      </c>
      <c r="AF39" s="80" t="str">
        <f>Q39&amp;"/"&amp;R39</f>
        <v>4/2</v>
      </c>
      <c r="AH39" s="20" t="str">
        <f t="shared" si="15"/>
        <v>나운동 나운현대2차</v>
      </c>
      <c r="AI39" s="88">
        <f t="shared" si="4"/>
        <v>51</v>
      </c>
      <c r="AJ39" s="80" t="str">
        <f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X</v>
      </c>
      <c r="AU39" s="80" t="str">
        <f>IF(C39="","",IF(C39&gt;=$AU$1,"O","X"))</f>
        <v>O</v>
      </c>
      <c r="AV39" s="80" t="str">
        <f>IF(AO39="","",IF(AND(AO39="O",AP39="O",AR39="O",AT39="O",AU39="O"),"후보","X"))</f>
        <v/>
      </c>
    </row>
    <row r="40" spans="1:48" s="37" customFormat="1" ht="12" x14ac:dyDescent="0.3">
      <c r="A40" s="75" t="s">
        <v>1392</v>
      </c>
      <c r="B40" s="76" t="s">
        <v>1393</v>
      </c>
      <c r="C40" s="86">
        <v>498</v>
      </c>
      <c r="D40" s="87">
        <v>89.5</v>
      </c>
      <c r="E40" s="88">
        <v>27</v>
      </c>
      <c r="F40" s="87">
        <v>72.2</v>
      </c>
      <c r="G40" s="17">
        <v>22</v>
      </c>
      <c r="H40" s="89">
        <v>112</v>
      </c>
      <c r="I40" s="90"/>
      <c r="J40" s="90"/>
      <c r="K40" s="90">
        <v>10500</v>
      </c>
      <c r="L40" s="90" t="s">
        <v>65</v>
      </c>
      <c r="M40" s="91">
        <f>I40-K40</f>
        <v>-10500</v>
      </c>
      <c r="N40" s="4" t="str">
        <f>IF(ISERROR(K40/I40),"",K40/I40)</f>
        <v/>
      </c>
      <c r="O40" s="92">
        <f>I40/E40</f>
        <v>0</v>
      </c>
      <c r="P40" s="92">
        <f>K40/E40</f>
        <v>388.88888888888891</v>
      </c>
      <c r="Q40" s="80">
        <v>3</v>
      </c>
      <c r="R40" s="80">
        <v>1</v>
      </c>
      <c r="S40" s="80" t="s">
        <v>61</v>
      </c>
      <c r="T40" s="5">
        <v>89</v>
      </c>
      <c r="U40" s="9"/>
      <c r="W40" s="87">
        <f t="shared" si="28"/>
        <v>89.5</v>
      </c>
      <c r="X40" s="88">
        <f t="shared" si="28"/>
        <v>27</v>
      </c>
      <c r="Y40" s="93">
        <f t="shared" si="29"/>
        <v>112</v>
      </c>
      <c r="Z40" s="91">
        <f t="shared" si="29"/>
        <v>0</v>
      </c>
      <c r="AA40" s="91">
        <f>K40</f>
        <v>10500</v>
      </c>
      <c r="AB40" s="91">
        <f t="shared" si="30"/>
        <v>-10500</v>
      </c>
      <c r="AC40" s="4" t="str">
        <f t="shared" si="30"/>
        <v/>
      </c>
      <c r="AD40" s="92">
        <f t="shared" si="30"/>
        <v>0</v>
      </c>
      <c r="AE40" s="80" t="str">
        <f>S40</f>
        <v>계</v>
      </c>
      <c r="AF40" s="80" t="str">
        <f>Q40&amp;"/"&amp;R40</f>
        <v>3/1</v>
      </c>
      <c r="AH40" s="20" t="str">
        <f t="shared" si="15"/>
        <v>나운동 현대1차</v>
      </c>
      <c r="AI40" s="88">
        <f t="shared" si="4"/>
        <v>27</v>
      </c>
      <c r="AJ40" s="80" t="str">
        <f>IF(AI40="","",$AJ$2)</f>
        <v>A-</v>
      </c>
      <c r="AK40" s="80" t="s">
        <v>14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/>
      </c>
      <c r="AP40" s="80" t="str">
        <f>IF(I40="","",IF(I40&lt;=$AP$1,"O","X"))</f>
        <v/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/>
      </c>
    </row>
    <row r="41" spans="1:48" s="37" customFormat="1" ht="12" x14ac:dyDescent="0.3">
      <c r="A41" s="75" t="s">
        <v>1392</v>
      </c>
      <c r="B41" s="76" t="s">
        <v>1393</v>
      </c>
      <c r="C41" s="86">
        <v>498</v>
      </c>
      <c r="D41" s="87">
        <v>104.1</v>
      </c>
      <c r="E41" s="88">
        <v>31</v>
      </c>
      <c r="F41" s="87">
        <v>84.7</v>
      </c>
      <c r="G41" s="17">
        <v>26</v>
      </c>
      <c r="H41" s="89">
        <v>330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3</v>
      </c>
      <c r="R41" s="80">
        <v>1</v>
      </c>
      <c r="S41" s="80" t="s">
        <v>61</v>
      </c>
      <c r="T41" s="5">
        <v>104</v>
      </c>
      <c r="U41" s="9"/>
      <c r="W41" s="87">
        <f t="shared" si="28"/>
        <v>104.1</v>
      </c>
      <c r="X41" s="88">
        <f t="shared" si="28"/>
        <v>31</v>
      </c>
      <c r="Y41" s="93">
        <f t="shared" si="29"/>
        <v>330</v>
      </c>
      <c r="Z41" s="91">
        <f t="shared" si="29"/>
        <v>0</v>
      </c>
      <c r="AA41" s="91">
        <f>K41</f>
        <v>0</v>
      </c>
      <c r="AB41" s="91">
        <f t="shared" si="30"/>
        <v>0</v>
      </c>
      <c r="AC41" s="4" t="str">
        <f t="shared" si="30"/>
        <v/>
      </c>
      <c r="AD41" s="92">
        <f t="shared" si="30"/>
        <v>0</v>
      </c>
      <c r="AE41" s="80" t="str">
        <f>S41</f>
        <v>계</v>
      </c>
      <c r="AF41" s="80" t="str">
        <f>Q41&amp;"/"&amp;R41</f>
        <v>3/1</v>
      </c>
      <c r="AH41" s="20" t="str">
        <f t="shared" si="15"/>
        <v>나운동 현대1차</v>
      </c>
      <c r="AI41" s="88">
        <f t="shared" si="4"/>
        <v>31</v>
      </c>
      <c r="AJ41" s="80" t="str">
        <f>IF(AI41="","",$AJ$2)</f>
        <v>A-</v>
      </c>
      <c r="AK41" s="80" t="s">
        <v>14</v>
      </c>
      <c r="AL41" s="80" t="s">
        <v>63</v>
      </c>
      <c r="AM41" s="80" t="s">
        <v>64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/>
      </c>
    </row>
    <row r="42" spans="1:48" s="37" customFormat="1" ht="12" x14ac:dyDescent="0.3">
      <c r="A42" s="75" t="s">
        <v>1392</v>
      </c>
      <c r="B42" s="76" t="s">
        <v>1393</v>
      </c>
      <c r="C42" s="86">
        <v>498</v>
      </c>
      <c r="D42" s="87">
        <v>149.30000000000001</v>
      </c>
      <c r="E42" s="88">
        <v>45</v>
      </c>
      <c r="F42" s="87">
        <v>126.2</v>
      </c>
      <c r="G42" s="17">
        <v>38</v>
      </c>
      <c r="H42" s="89">
        <v>56</v>
      </c>
      <c r="I42" s="90"/>
      <c r="J42" s="90"/>
      <c r="K42" s="90"/>
      <c r="L42" s="90"/>
      <c r="M42" s="91">
        <f>I42-K42</f>
        <v>0</v>
      </c>
      <c r="N42" s="4" t="str">
        <f>IF(ISERROR(K42/I42),"",K42/I42)</f>
        <v/>
      </c>
      <c r="O42" s="92">
        <f>I42/E42</f>
        <v>0</v>
      </c>
      <c r="P42" s="92">
        <f>K42/E42</f>
        <v>0</v>
      </c>
      <c r="Q42" s="80">
        <v>4</v>
      </c>
      <c r="R42" s="80">
        <v>2</v>
      </c>
      <c r="S42" s="80" t="s">
        <v>61</v>
      </c>
      <c r="T42" s="5">
        <v>149</v>
      </c>
      <c r="U42" s="9"/>
      <c r="W42" s="87">
        <f t="shared" si="28"/>
        <v>149.30000000000001</v>
      </c>
      <c r="X42" s="88">
        <f t="shared" si="28"/>
        <v>45</v>
      </c>
      <c r="Y42" s="93">
        <f t="shared" si="29"/>
        <v>56</v>
      </c>
      <c r="Z42" s="91">
        <f t="shared" si="29"/>
        <v>0</v>
      </c>
      <c r="AA42" s="91">
        <f>K42</f>
        <v>0</v>
      </c>
      <c r="AB42" s="91">
        <f t="shared" si="30"/>
        <v>0</v>
      </c>
      <c r="AC42" s="4" t="str">
        <f t="shared" si="30"/>
        <v/>
      </c>
      <c r="AD42" s="92">
        <f t="shared" si="30"/>
        <v>0</v>
      </c>
      <c r="AE42" s="80" t="str">
        <f>S42</f>
        <v>계</v>
      </c>
      <c r="AF42" s="80" t="str">
        <f>Q42&amp;"/"&amp;R42</f>
        <v>4/2</v>
      </c>
      <c r="AH42" s="20" t="str">
        <f t="shared" si="15"/>
        <v>나운동 현대1차</v>
      </c>
      <c r="AI42" s="88">
        <f t="shared" si="4"/>
        <v>45</v>
      </c>
      <c r="AJ42" s="80" t="str">
        <f>IF(AI42="","",$AJ$2)</f>
        <v>A-</v>
      </c>
      <c r="AK42" s="80" t="s">
        <v>14</v>
      </c>
      <c r="AL42" s="80" t="s">
        <v>63</v>
      </c>
      <c r="AM42" s="80" t="s">
        <v>64</v>
      </c>
      <c r="AN42" s="80" t="str">
        <f>IF(AI42="","",$AN$2)</f>
        <v>C</v>
      </c>
      <c r="AO42" s="80" t="str">
        <f>IF(N42="","",IF(N42&gt;=$AO$1/100,"O","X"))</f>
        <v/>
      </c>
      <c r="AP42" s="80" t="str">
        <f>IF(I42="","",IF(I42&lt;=$AP$1,"O","X"))</f>
        <v/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X</v>
      </c>
      <c r="AU42" s="80" t="str">
        <f>IF(C42="","",IF(C42&gt;=$AU$1,"O","X"))</f>
        <v>O</v>
      </c>
      <c r="AV42" s="80" t="str">
        <f>IF(AO42="","",IF(AND(AO42="O",AP42="O",AR42="O",AT42="O",AU42="O"),"후보","X"))</f>
        <v/>
      </c>
    </row>
    <row r="43" spans="1:48" s="37" customFormat="1" ht="12" x14ac:dyDescent="0.3">
      <c r="A43" s="75" t="s">
        <v>1394</v>
      </c>
      <c r="B43" s="76" t="s">
        <v>1383</v>
      </c>
      <c r="C43" s="86">
        <v>495</v>
      </c>
      <c r="D43" s="87">
        <v>63.7</v>
      </c>
      <c r="E43" s="88">
        <v>19</v>
      </c>
      <c r="F43" s="87">
        <v>49.7</v>
      </c>
      <c r="G43" s="17">
        <v>15</v>
      </c>
      <c r="H43" s="89">
        <v>495</v>
      </c>
      <c r="I43" s="90"/>
      <c r="J43" s="90"/>
      <c r="K43" s="90"/>
      <c r="L43" s="90"/>
      <c r="M43" s="91">
        <f>I43-K43</f>
        <v>0</v>
      </c>
      <c r="N43" s="4" t="str">
        <f>IF(ISERROR(K43/I43),"",K43/I43)</f>
        <v/>
      </c>
      <c r="O43" s="92">
        <f>I43/E43</f>
        <v>0</v>
      </c>
      <c r="P43" s="92">
        <f>K43/E43</f>
        <v>0</v>
      </c>
      <c r="Q43" s="80">
        <v>2</v>
      </c>
      <c r="R43" s="80">
        <v>1</v>
      </c>
      <c r="S43" s="80" t="s">
        <v>61</v>
      </c>
      <c r="T43" s="5">
        <v>63</v>
      </c>
      <c r="U43" s="9"/>
      <c r="W43" s="87">
        <f>D43</f>
        <v>63.7</v>
      </c>
      <c r="X43" s="88">
        <f>E43</f>
        <v>19</v>
      </c>
      <c r="Y43" s="93">
        <f>H43</f>
        <v>495</v>
      </c>
      <c r="Z43" s="91">
        <f>I43</f>
        <v>0</v>
      </c>
      <c r="AA43" s="91">
        <f>K43</f>
        <v>0</v>
      </c>
      <c r="AB43" s="91">
        <f>M43</f>
        <v>0</v>
      </c>
      <c r="AC43" s="4" t="str">
        <f>N43</f>
        <v/>
      </c>
      <c r="AD43" s="92">
        <f>O43</f>
        <v>0</v>
      </c>
      <c r="AE43" s="80" t="str">
        <f>S43</f>
        <v>계</v>
      </c>
      <c r="AF43" s="80" t="str">
        <f>Q43&amp;"/"&amp;R43</f>
        <v>2/1</v>
      </c>
      <c r="AH43" s="20" t="str">
        <f t="shared" si="15"/>
        <v>나운동 나운청솔</v>
      </c>
      <c r="AI43" s="88">
        <f t="shared" si="4"/>
        <v>19</v>
      </c>
      <c r="AJ43" s="80" t="str">
        <f>IF(AI43="","",$AJ$2)</f>
        <v>A-</v>
      </c>
      <c r="AK43" s="80" t="s">
        <v>14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/>
      </c>
      <c r="AP43" s="80" t="str">
        <f>IF(I43="","",IF(I43&lt;=$AP$1,"O","X"))</f>
        <v/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/>
      </c>
    </row>
    <row r="44" spans="1:48" s="37" customFormat="1" ht="12" x14ac:dyDescent="0.3">
      <c r="A44" s="75" t="s">
        <v>1395</v>
      </c>
      <c r="B44" s="76" t="s">
        <v>1396</v>
      </c>
      <c r="C44" s="86">
        <v>600</v>
      </c>
      <c r="D44" s="87">
        <v>75.099999999999994</v>
      </c>
      <c r="E44" s="88">
        <v>23</v>
      </c>
      <c r="F44" s="87">
        <v>59.9</v>
      </c>
      <c r="G44" s="17">
        <v>18</v>
      </c>
      <c r="H44" s="89">
        <v>600</v>
      </c>
      <c r="I44" s="90">
        <v>12000</v>
      </c>
      <c r="J44" s="90" t="s">
        <v>67</v>
      </c>
      <c r="K44" s="90">
        <v>10500</v>
      </c>
      <c r="L44" s="90" t="s">
        <v>68</v>
      </c>
      <c r="M44" s="91">
        <f>I44-K44</f>
        <v>1500</v>
      </c>
      <c r="N44" s="4">
        <f>IF(ISERROR(K44/I44),"",K44/I44)</f>
        <v>0.875</v>
      </c>
      <c r="O44" s="92">
        <f>I44/E44</f>
        <v>521.73913043478262</v>
      </c>
      <c r="P44" s="92">
        <f>K44/E44</f>
        <v>456.52173913043481</v>
      </c>
      <c r="Q44" s="80">
        <v>3</v>
      </c>
      <c r="R44" s="80">
        <v>1</v>
      </c>
      <c r="S44" s="80" t="s">
        <v>61</v>
      </c>
      <c r="T44" s="5">
        <v>75</v>
      </c>
      <c r="U44" s="9"/>
      <c r="W44" s="87">
        <f>D44</f>
        <v>75.099999999999994</v>
      </c>
      <c r="X44" s="88">
        <f>E44</f>
        <v>23</v>
      </c>
      <c r="Y44" s="93">
        <f>H44</f>
        <v>600</v>
      </c>
      <c r="Z44" s="91">
        <f>I44</f>
        <v>12000</v>
      </c>
      <c r="AA44" s="91">
        <f>K44</f>
        <v>10500</v>
      </c>
      <c r="AB44" s="91">
        <f>M44</f>
        <v>1500</v>
      </c>
      <c r="AC44" s="4">
        <f>N44</f>
        <v>0.875</v>
      </c>
      <c r="AD44" s="92">
        <f>O44</f>
        <v>521.73913043478262</v>
      </c>
      <c r="AE44" s="80" t="str">
        <f>S44</f>
        <v>계</v>
      </c>
      <c r="AF44" s="80" t="str">
        <f>Q44&amp;"/"&amp;R44</f>
        <v>3/1</v>
      </c>
      <c r="AH44" s="20" t="str">
        <f t="shared" si="15"/>
        <v>나운동 신일</v>
      </c>
      <c r="AI44" s="88">
        <f t="shared" si="4"/>
        <v>23</v>
      </c>
      <c r="AJ44" s="80" t="str">
        <f>IF(AI44="","",$AJ$2)</f>
        <v>A-</v>
      </c>
      <c r="AK44" s="80" t="s">
        <v>14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>O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후보</v>
      </c>
    </row>
    <row r="45" spans="1:48" s="37" customFormat="1" ht="12" x14ac:dyDescent="0.3">
      <c r="A45" s="75" t="s">
        <v>1597</v>
      </c>
      <c r="B45" s="76" t="s">
        <v>1397</v>
      </c>
      <c r="C45" s="86">
        <v>210</v>
      </c>
      <c r="D45" s="87">
        <v>122.5</v>
      </c>
      <c r="E45" s="88">
        <v>37</v>
      </c>
      <c r="F45" s="87">
        <v>99.9</v>
      </c>
      <c r="G45" s="17">
        <v>30</v>
      </c>
      <c r="H45" s="89">
        <v>90</v>
      </c>
      <c r="I45" s="90"/>
      <c r="J45" s="90"/>
      <c r="K45" s="90"/>
      <c r="L45" s="90"/>
      <c r="M45" s="91">
        <f>I45-K45</f>
        <v>0</v>
      </c>
      <c r="N45" s="4" t="str">
        <f>IF(ISERROR(K45/I45),"",K45/I45)</f>
        <v/>
      </c>
      <c r="O45" s="92">
        <f>I45/E45</f>
        <v>0</v>
      </c>
      <c r="P45" s="92">
        <f>K45/E45</f>
        <v>0</v>
      </c>
      <c r="Q45" s="80">
        <v>4</v>
      </c>
      <c r="R45" s="80">
        <v>2</v>
      </c>
      <c r="S45" s="80" t="s">
        <v>61</v>
      </c>
      <c r="T45" s="5">
        <v>122</v>
      </c>
      <c r="U45" s="9"/>
      <c r="W45" s="87">
        <f t="shared" ref="W45:X50" si="31">D45</f>
        <v>122.5</v>
      </c>
      <c r="X45" s="88">
        <f t="shared" si="31"/>
        <v>37</v>
      </c>
      <c r="Y45" s="93">
        <f t="shared" ref="Y45:Z50" si="32">H45</f>
        <v>90</v>
      </c>
      <c r="Z45" s="91">
        <f t="shared" si="32"/>
        <v>0</v>
      </c>
      <c r="AA45" s="91">
        <f>K45</f>
        <v>0</v>
      </c>
      <c r="AB45" s="91">
        <f t="shared" ref="AB45:AD60" si="33">M45</f>
        <v>0</v>
      </c>
      <c r="AC45" s="4" t="str">
        <f t="shared" si="33"/>
        <v/>
      </c>
      <c r="AD45" s="92">
        <f t="shared" si="33"/>
        <v>0</v>
      </c>
      <c r="AE45" s="80" t="str">
        <f>S45</f>
        <v>계</v>
      </c>
      <c r="AF45" s="80" t="str">
        <f>Q45&amp;"/"&amp;R45</f>
        <v>4/2</v>
      </c>
      <c r="AH45" s="20" t="str">
        <f t="shared" si="15"/>
        <v>나운동 롯데4차</v>
      </c>
      <c r="AI45" s="88">
        <f t="shared" si="4"/>
        <v>37</v>
      </c>
      <c r="AJ45" s="80" t="str">
        <f>IF(AI45="","",$AJ$2)</f>
        <v>A-</v>
      </c>
      <c r="AK45" s="80" t="s">
        <v>14</v>
      </c>
      <c r="AL45" s="80" t="s">
        <v>63</v>
      </c>
      <c r="AM45" s="80" t="s">
        <v>64</v>
      </c>
      <c r="AN45" s="80" t="str">
        <f>IF(AI45="","",$AN$2)</f>
        <v>C</v>
      </c>
      <c r="AO45" s="80" t="str">
        <f>IF(N45="","",IF(N45&gt;=$AO$1/100,"O","X"))</f>
        <v/>
      </c>
      <c r="AP45" s="80" t="str">
        <f>IF(I45="","",IF(I45&lt;=$AP$1,"O","X"))</f>
        <v/>
      </c>
      <c r="AQ45" s="80" t="str">
        <f>IF(O45="","",IF(O45&lt;=$AQ$1,"O","X"))</f>
        <v>O</v>
      </c>
      <c r="AR45" s="80" t="str">
        <f>IF(M45="","",IF(M45&lt;=$AR$1,"O","X"))</f>
        <v>O</v>
      </c>
      <c r="AS45" s="80" t="s">
        <v>2</v>
      </c>
      <c r="AT45" s="80" t="str">
        <f>IF(OR(F45="",AI45=""),"",IF(AND((F45&lt;=85),(AI45&gt;=15)),"O","X"))</f>
        <v>X</v>
      </c>
      <c r="AU45" s="80" t="str">
        <f>IF(C45="","",IF(C45&gt;=$AU$1,"O","X"))</f>
        <v>X</v>
      </c>
      <c r="AV45" s="80" t="str">
        <f>IF(AO45="","",IF(AND(AO45="O",AP45="O",AR45="O",AT45="O",AU45="O"),"후보","X"))</f>
        <v/>
      </c>
    </row>
    <row r="46" spans="1:48" s="37" customFormat="1" ht="12" x14ac:dyDescent="0.3">
      <c r="A46" s="75" t="s">
        <v>1597</v>
      </c>
      <c r="B46" s="76" t="s">
        <v>1397</v>
      </c>
      <c r="C46" s="86">
        <v>210</v>
      </c>
      <c r="D46" s="87">
        <v>160</v>
      </c>
      <c r="E46" s="88">
        <v>48</v>
      </c>
      <c r="F46" s="87">
        <v>134.9</v>
      </c>
      <c r="G46" s="17">
        <v>41</v>
      </c>
      <c r="H46" s="89">
        <v>90</v>
      </c>
      <c r="I46" s="90"/>
      <c r="J46" s="90"/>
      <c r="K46" s="90"/>
      <c r="L46" s="90"/>
      <c r="M46" s="91">
        <f>I46-K46</f>
        <v>0</v>
      </c>
      <c r="N46" s="4" t="str">
        <f>IF(ISERROR(K46/I46),"",K46/I46)</f>
        <v/>
      </c>
      <c r="O46" s="92">
        <f>I46/E46</f>
        <v>0</v>
      </c>
      <c r="P46" s="92">
        <f>K46/E46</f>
        <v>0</v>
      </c>
      <c r="Q46" s="80">
        <v>4</v>
      </c>
      <c r="R46" s="80">
        <v>2</v>
      </c>
      <c r="S46" s="80" t="s">
        <v>61</v>
      </c>
      <c r="T46" s="5">
        <v>160</v>
      </c>
      <c r="U46" s="9"/>
      <c r="W46" s="87">
        <f t="shared" si="31"/>
        <v>160</v>
      </c>
      <c r="X46" s="88">
        <f t="shared" si="31"/>
        <v>48</v>
      </c>
      <c r="Y46" s="93">
        <f t="shared" si="32"/>
        <v>90</v>
      </c>
      <c r="Z46" s="91">
        <f t="shared" si="32"/>
        <v>0</v>
      </c>
      <c r="AA46" s="91">
        <f>K46</f>
        <v>0</v>
      </c>
      <c r="AB46" s="91">
        <f t="shared" si="33"/>
        <v>0</v>
      </c>
      <c r="AC46" s="4" t="str">
        <f t="shared" si="33"/>
        <v/>
      </c>
      <c r="AD46" s="92">
        <f t="shared" si="33"/>
        <v>0</v>
      </c>
      <c r="AE46" s="80" t="str">
        <f>S46</f>
        <v>계</v>
      </c>
      <c r="AF46" s="80" t="str">
        <f>Q46&amp;"/"&amp;R46</f>
        <v>4/2</v>
      </c>
      <c r="AH46" s="20" t="str">
        <f t="shared" si="15"/>
        <v>나운동 롯데4차</v>
      </c>
      <c r="AI46" s="88">
        <f t="shared" si="4"/>
        <v>48</v>
      </c>
      <c r="AJ46" s="80" t="str">
        <f>IF(AI46="","",$AJ$2)</f>
        <v>A-</v>
      </c>
      <c r="AK46" s="80" t="s">
        <v>14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/>
      </c>
      <c r="AP46" s="80" t="str">
        <f>IF(I46="","",IF(I46&lt;=$AP$1,"O","X"))</f>
        <v/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X</v>
      </c>
      <c r="AU46" s="80" t="str">
        <f>IF(C46="","",IF(C46&gt;=$AU$1,"O","X"))</f>
        <v>X</v>
      </c>
      <c r="AV46" s="80" t="str">
        <f>IF(AO46="","",IF(AND(AO46="O",AP46="O",AR46="O",AT46="O",AU46="O"),"후보","X"))</f>
        <v/>
      </c>
    </row>
    <row r="47" spans="1:48" s="37" customFormat="1" ht="12" x14ac:dyDescent="0.3">
      <c r="A47" s="75" t="s">
        <v>1597</v>
      </c>
      <c r="B47" s="76" t="s">
        <v>1397</v>
      </c>
      <c r="C47" s="86">
        <v>210</v>
      </c>
      <c r="D47" s="87">
        <v>197.4</v>
      </c>
      <c r="E47" s="88">
        <v>60</v>
      </c>
      <c r="F47" s="87">
        <v>164.9</v>
      </c>
      <c r="G47" s="17">
        <v>50</v>
      </c>
      <c r="H47" s="89">
        <v>30</v>
      </c>
      <c r="I47" s="90"/>
      <c r="J47" s="90"/>
      <c r="K47" s="90"/>
      <c r="L47" s="90"/>
      <c r="M47" s="91">
        <f>I47-K47</f>
        <v>0</v>
      </c>
      <c r="N47" s="4" t="str">
        <f>IF(ISERROR(K47/I47),"",K47/I47)</f>
        <v/>
      </c>
      <c r="O47" s="92">
        <f>I47/E47</f>
        <v>0</v>
      </c>
      <c r="P47" s="92">
        <f>K47/E47</f>
        <v>0</v>
      </c>
      <c r="Q47" s="80">
        <v>4</v>
      </c>
      <c r="R47" s="80">
        <v>2</v>
      </c>
      <c r="S47" s="80" t="s">
        <v>61</v>
      </c>
      <c r="T47" s="5">
        <v>197</v>
      </c>
      <c r="U47" s="9"/>
      <c r="W47" s="87">
        <f t="shared" si="31"/>
        <v>197.4</v>
      </c>
      <c r="X47" s="88">
        <f t="shared" si="31"/>
        <v>60</v>
      </c>
      <c r="Y47" s="93">
        <f t="shared" si="32"/>
        <v>30</v>
      </c>
      <c r="Z47" s="91">
        <f t="shared" si="32"/>
        <v>0</v>
      </c>
      <c r="AA47" s="91">
        <f>K47</f>
        <v>0</v>
      </c>
      <c r="AB47" s="91">
        <f t="shared" si="33"/>
        <v>0</v>
      </c>
      <c r="AC47" s="4" t="str">
        <f t="shared" si="33"/>
        <v/>
      </c>
      <c r="AD47" s="92">
        <f t="shared" si="33"/>
        <v>0</v>
      </c>
      <c r="AE47" s="80" t="str">
        <f>S47</f>
        <v>계</v>
      </c>
      <c r="AF47" s="80" t="str">
        <f>Q47&amp;"/"&amp;R47</f>
        <v>4/2</v>
      </c>
      <c r="AH47" s="20" t="str">
        <f t="shared" si="15"/>
        <v>나운동 롯데4차</v>
      </c>
      <c r="AI47" s="88">
        <f t="shared" si="4"/>
        <v>60</v>
      </c>
      <c r="AJ47" s="80" t="str">
        <f>IF(AI47="","",$AJ$2)</f>
        <v>A-</v>
      </c>
      <c r="AK47" s="80" t="s">
        <v>14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/>
      </c>
      <c r="AP47" s="80" t="str">
        <f>IF(I47="","",IF(I47&lt;=$AP$1,"O","X"))</f>
        <v/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X</v>
      </c>
      <c r="AU47" s="80" t="str">
        <f>IF(C47="","",IF(C47&gt;=$AU$1,"O","X"))</f>
        <v>X</v>
      </c>
      <c r="AV47" s="80" t="str">
        <f>IF(AO47="","",IF(AND(AO47="O",AP47="O",AR47="O",AT47="O",AU47="O"),"후보","X"))</f>
        <v/>
      </c>
    </row>
    <row r="48" spans="1:48" s="37" customFormat="1" ht="12" x14ac:dyDescent="0.3">
      <c r="A48" s="75" t="s">
        <v>1398</v>
      </c>
      <c r="B48" s="76" t="s">
        <v>1453</v>
      </c>
      <c r="C48" s="86">
        <v>460</v>
      </c>
      <c r="D48" s="87">
        <v>92</v>
      </c>
      <c r="E48" s="88">
        <v>28</v>
      </c>
      <c r="F48" s="87">
        <v>74</v>
      </c>
      <c r="G48" s="17">
        <v>22</v>
      </c>
      <c r="H48" s="89">
        <v>104</v>
      </c>
      <c r="I48" s="90">
        <v>10500</v>
      </c>
      <c r="J48" s="90" t="s">
        <v>65</v>
      </c>
      <c r="K48" s="90"/>
      <c r="L48" s="90"/>
      <c r="M48" s="91">
        <f>I48-K48</f>
        <v>10500</v>
      </c>
      <c r="N48" s="4">
        <f>IF(ISERROR(K48/I48),"",K48/I48)</f>
        <v>0</v>
      </c>
      <c r="O48" s="92">
        <f>I48/E48</f>
        <v>375</v>
      </c>
      <c r="P48" s="92">
        <f>K48/E48</f>
        <v>0</v>
      </c>
      <c r="Q48" s="80">
        <v>3</v>
      </c>
      <c r="R48" s="80">
        <v>1</v>
      </c>
      <c r="S48" s="80" t="s">
        <v>61</v>
      </c>
      <c r="T48" s="5">
        <v>91</v>
      </c>
      <c r="U48" s="9"/>
      <c r="W48" s="87">
        <f t="shared" si="31"/>
        <v>92</v>
      </c>
      <c r="X48" s="88">
        <f t="shared" si="31"/>
        <v>28</v>
      </c>
      <c r="Y48" s="93">
        <f t="shared" si="32"/>
        <v>104</v>
      </c>
      <c r="Z48" s="91">
        <f t="shared" si="32"/>
        <v>10500</v>
      </c>
      <c r="AA48" s="91">
        <f>K48</f>
        <v>0</v>
      </c>
      <c r="AB48" s="91">
        <f t="shared" si="33"/>
        <v>10500</v>
      </c>
      <c r="AC48" s="4">
        <f t="shared" si="33"/>
        <v>0</v>
      </c>
      <c r="AD48" s="92">
        <f t="shared" si="33"/>
        <v>375</v>
      </c>
      <c r="AE48" s="80" t="str">
        <f>S48</f>
        <v>계</v>
      </c>
      <c r="AF48" s="80" t="str">
        <f>Q48&amp;"/"&amp;R48</f>
        <v>3/1</v>
      </c>
      <c r="AH48" s="20" t="str">
        <f t="shared" si="15"/>
        <v>나운동 롯데2차</v>
      </c>
      <c r="AI48" s="88">
        <f t="shared" si="4"/>
        <v>28</v>
      </c>
      <c r="AJ48" s="80" t="str">
        <f>IF(AI48="","",$AJ$2)</f>
        <v>A-</v>
      </c>
      <c r="AK48" s="80" t="s">
        <v>14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O</v>
      </c>
      <c r="AQ48" s="80" t="str">
        <f>IF(O48="","",IF(O48&lt;=$AQ$1,"O","X"))</f>
        <v>O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s="37" customFormat="1" ht="12" x14ac:dyDescent="0.3">
      <c r="A49" s="75" t="s">
        <v>1398</v>
      </c>
      <c r="B49" s="76" t="s">
        <v>1453</v>
      </c>
      <c r="C49" s="86">
        <v>460</v>
      </c>
      <c r="D49" s="87">
        <v>106</v>
      </c>
      <c r="E49" s="88">
        <v>32</v>
      </c>
      <c r="F49" s="87">
        <v>84.8</v>
      </c>
      <c r="G49" s="17">
        <v>26</v>
      </c>
      <c r="H49" s="89">
        <v>278</v>
      </c>
      <c r="I49" s="90">
        <v>13800</v>
      </c>
      <c r="J49" s="90" t="s">
        <v>111</v>
      </c>
      <c r="K49" s="90"/>
      <c r="L49" s="90"/>
      <c r="M49" s="91">
        <f>I49-K49</f>
        <v>13800</v>
      </c>
      <c r="N49" s="4">
        <f>IF(ISERROR(K49/I49),"",K49/I49)</f>
        <v>0</v>
      </c>
      <c r="O49" s="92">
        <f>I49/E49</f>
        <v>431.25</v>
      </c>
      <c r="P49" s="92">
        <f>K49/E49</f>
        <v>0</v>
      </c>
      <c r="Q49" s="80">
        <v>3</v>
      </c>
      <c r="R49" s="80">
        <v>2</v>
      </c>
      <c r="S49" s="80" t="s">
        <v>61</v>
      </c>
      <c r="T49" s="5">
        <v>105</v>
      </c>
      <c r="U49" s="9"/>
      <c r="W49" s="87">
        <f t="shared" si="31"/>
        <v>106</v>
      </c>
      <c r="X49" s="88">
        <f t="shared" si="31"/>
        <v>32</v>
      </c>
      <c r="Y49" s="93">
        <f t="shared" si="32"/>
        <v>278</v>
      </c>
      <c r="Z49" s="91">
        <f t="shared" si="32"/>
        <v>13800</v>
      </c>
      <c r="AA49" s="91">
        <f>K49</f>
        <v>0</v>
      </c>
      <c r="AB49" s="91">
        <f t="shared" si="33"/>
        <v>13800</v>
      </c>
      <c r="AC49" s="4">
        <f t="shared" si="33"/>
        <v>0</v>
      </c>
      <c r="AD49" s="92">
        <f t="shared" si="33"/>
        <v>431.25</v>
      </c>
      <c r="AE49" s="80" t="str">
        <f>S49</f>
        <v>계</v>
      </c>
      <c r="AF49" s="80" t="str">
        <f>Q49&amp;"/"&amp;R49</f>
        <v>3/2</v>
      </c>
      <c r="AH49" s="20" t="str">
        <f t="shared" si="15"/>
        <v>나운동 롯데2차</v>
      </c>
      <c r="AI49" s="88">
        <f t="shared" si="4"/>
        <v>32</v>
      </c>
      <c r="AJ49" s="80" t="str">
        <f>IF(AI49="","",$AJ$2)</f>
        <v>A-</v>
      </c>
      <c r="AK49" s="80" t="s">
        <v>14</v>
      </c>
      <c r="AL49" s="80" t="s">
        <v>63</v>
      </c>
      <c r="AM49" s="80" t="s">
        <v>64</v>
      </c>
      <c r="AN49" s="80" t="str">
        <f>IF(AI49="","",$AN$2)</f>
        <v>C</v>
      </c>
      <c r="AO49" s="80" t="str">
        <f>IF(N49="","",IF(N49&gt;=$AO$1/100,"O","X"))</f>
        <v>X</v>
      </c>
      <c r="AP49" s="80" t="str">
        <f>IF(I49="","",IF(I49&lt;=$AP$1,"O","X"))</f>
        <v>O</v>
      </c>
      <c r="AQ49" s="80" t="str">
        <f>IF(O49="","",IF(O49&lt;=$AQ$1,"O","X"))</f>
        <v>O</v>
      </c>
      <c r="AR49" s="80" t="str">
        <f>IF(M49="","",IF(M49&lt;=$AR$1,"O","X"))</f>
        <v>X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X</v>
      </c>
    </row>
    <row r="50" spans="1:48" s="37" customFormat="1" ht="12" x14ac:dyDescent="0.3">
      <c r="A50" s="75" t="s">
        <v>1398</v>
      </c>
      <c r="B50" s="76" t="s">
        <v>1453</v>
      </c>
      <c r="C50" s="86">
        <v>460</v>
      </c>
      <c r="D50" s="87">
        <v>155.6</v>
      </c>
      <c r="E50" s="88">
        <v>47</v>
      </c>
      <c r="F50" s="87">
        <v>131.80000000000001</v>
      </c>
      <c r="G50" s="17">
        <v>40</v>
      </c>
      <c r="H50" s="89">
        <v>78</v>
      </c>
      <c r="I50" s="90"/>
      <c r="J50" s="90"/>
      <c r="K50" s="90"/>
      <c r="L50" s="90"/>
      <c r="M50" s="91">
        <f>I50-K50</f>
        <v>0</v>
      </c>
      <c r="N50" s="4" t="str">
        <f>IF(ISERROR(K50/I50),"",K50/I50)</f>
        <v/>
      </c>
      <c r="O50" s="92">
        <f>I50/E50</f>
        <v>0</v>
      </c>
      <c r="P50" s="92">
        <f>K50/E50</f>
        <v>0</v>
      </c>
      <c r="Q50" s="80">
        <v>4</v>
      </c>
      <c r="R50" s="80">
        <v>2</v>
      </c>
      <c r="S50" s="80" t="s">
        <v>61</v>
      </c>
      <c r="T50" s="5">
        <v>155</v>
      </c>
      <c r="U50" s="9"/>
      <c r="W50" s="87">
        <f t="shared" si="31"/>
        <v>155.6</v>
      </c>
      <c r="X50" s="88">
        <f t="shared" si="31"/>
        <v>47</v>
      </c>
      <c r="Y50" s="93">
        <f t="shared" si="32"/>
        <v>78</v>
      </c>
      <c r="Z50" s="91">
        <f t="shared" si="32"/>
        <v>0</v>
      </c>
      <c r="AA50" s="91">
        <f>K50</f>
        <v>0</v>
      </c>
      <c r="AB50" s="91">
        <f t="shared" si="33"/>
        <v>0</v>
      </c>
      <c r="AC50" s="4" t="str">
        <f t="shared" si="33"/>
        <v/>
      </c>
      <c r="AD50" s="92">
        <f t="shared" si="33"/>
        <v>0</v>
      </c>
      <c r="AE50" s="80" t="str">
        <f>S50</f>
        <v>계</v>
      </c>
      <c r="AF50" s="80" t="str">
        <f>Q50&amp;"/"&amp;R50</f>
        <v>4/2</v>
      </c>
      <c r="AH50" s="20" t="str">
        <f t="shared" si="15"/>
        <v>나운동 롯데2차</v>
      </c>
      <c r="AI50" s="88">
        <f t="shared" si="4"/>
        <v>47</v>
      </c>
      <c r="AJ50" s="80" t="str">
        <f>IF(AI50="","",$AJ$2)</f>
        <v>A-</v>
      </c>
      <c r="AK50" s="80" t="s">
        <v>14</v>
      </c>
      <c r="AL50" s="80" t="s">
        <v>63</v>
      </c>
      <c r="AM50" s="80" t="s">
        <v>64</v>
      </c>
      <c r="AN50" s="80" t="str">
        <f>IF(AI50="","",$AN$2)</f>
        <v>C</v>
      </c>
      <c r="AO50" s="80" t="str">
        <f>IF(N50="","",IF(N50&gt;=$AO$1/100,"O","X"))</f>
        <v/>
      </c>
      <c r="AP50" s="80" t="str">
        <f>IF(I50="","",IF(I50&lt;=$AP$1,"O","X"))</f>
        <v/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X</v>
      </c>
      <c r="AU50" s="80" t="str">
        <f>IF(C50="","",IF(C50&gt;=$AU$1,"O","X"))</f>
        <v>O</v>
      </c>
      <c r="AV50" s="80" t="str">
        <f>IF(AO50="","",IF(AND(AO50="O",AP50="O",AR50="O",AT50="O",AU50="O"),"후보","X"))</f>
        <v/>
      </c>
    </row>
    <row r="51" spans="1:48" s="37" customFormat="1" ht="12" x14ac:dyDescent="0.3">
      <c r="A51" s="75" t="s">
        <v>1400</v>
      </c>
      <c r="B51" s="76" t="s">
        <v>1401</v>
      </c>
      <c r="C51" s="86">
        <v>345</v>
      </c>
      <c r="D51" s="87">
        <v>115.7</v>
      </c>
      <c r="E51" s="88">
        <v>35</v>
      </c>
      <c r="F51" s="87">
        <v>93.6</v>
      </c>
      <c r="G51" s="17">
        <v>28</v>
      </c>
      <c r="H51" s="89">
        <v>75</v>
      </c>
      <c r="I51" s="90">
        <v>18500</v>
      </c>
      <c r="J51" s="90" t="s">
        <v>60</v>
      </c>
      <c r="K51" s="90"/>
      <c r="L51" s="90"/>
      <c r="M51" s="91">
        <f>I51-K51</f>
        <v>18500</v>
      </c>
      <c r="N51" s="4">
        <f>IF(ISERROR(K51/I51),"",K51/I51)</f>
        <v>0</v>
      </c>
      <c r="O51" s="92">
        <f>I51/E51</f>
        <v>528.57142857142856</v>
      </c>
      <c r="P51" s="92">
        <f>K51/E51</f>
        <v>0</v>
      </c>
      <c r="Q51" s="80">
        <v>3</v>
      </c>
      <c r="R51" s="80">
        <v>2</v>
      </c>
      <c r="S51" s="80" t="s">
        <v>61</v>
      </c>
      <c r="T51" s="5">
        <v>115</v>
      </c>
      <c r="U51" s="9"/>
      <c r="W51" s="87">
        <f>D51</f>
        <v>115.7</v>
      </c>
      <c r="X51" s="88">
        <f>E51</f>
        <v>35</v>
      </c>
      <c r="Y51" s="93">
        <f>H51</f>
        <v>75</v>
      </c>
      <c r="Z51" s="91">
        <f>I51</f>
        <v>18500</v>
      </c>
      <c r="AA51" s="91">
        <f>K51</f>
        <v>0</v>
      </c>
      <c r="AB51" s="91">
        <f t="shared" si="33"/>
        <v>18500</v>
      </c>
      <c r="AC51" s="4">
        <f t="shared" si="33"/>
        <v>0</v>
      </c>
      <c r="AD51" s="92">
        <f t="shared" si="33"/>
        <v>528.57142857142856</v>
      </c>
      <c r="AE51" s="80" t="str">
        <f>S51</f>
        <v>계</v>
      </c>
      <c r="AF51" s="80" t="str">
        <f>Q51&amp;"/"&amp;R51</f>
        <v>3/2</v>
      </c>
      <c r="AH51" s="20" t="str">
        <f t="shared" si="15"/>
        <v>나운동 우성</v>
      </c>
      <c r="AI51" s="88">
        <f t="shared" si="4"/>
        <v>35</v>
      </c>
      <c r="AJ51" s="80" t="str">
        <f>IF(AI51="","",$AJ$2)</f>
        <v>A-</v>
      </c>
      <c r="AK51" s="80" t="s">
        <v>14</v>
      </c>
      <c r="AL51" s="80" t="s">
        <v>63</v>
      </c>
      <c r="AM51" s="80" t="s">
        <v>64</v>
      </c>
      <c r="AN51" s="80" t="str">
        <f>IF(AI51="","",$AN$2)</f>
        <v>C</v>
      </c>
      <c r="AO51" s="80" t="str">
        <f>IF(N51="","",IF(N51&gt;=$AO$1/100,"O","X"))</f>
        <v>X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X</v>
      </c>
      <c r="AS51" s="80" t="s">
        <v>2</v>
      </c>
      <c r="AT51" s="80" t="str">
        <f>IF(OR(F51="",AI51=""),"",IF(AND((F51&lt;=85),(AI51&gt;=15)),"O","X"))</f>
        <v>X</v>
      </c>
      <c r="AU51" s="80" t="str">
        <f>IF(C51="","",IF(C51&gt;=$AU$1,"O","X"))</f>
        <v>O</v>
      </c>
      <c r="AV51" s="80" t="str">
        <f>IF(AO51="","",IF(AND(AO51="O",AP51="O",AR51="O",AT51="O",AU51="O"),"후보","X"))</f>
        <v>X</v>
      </c>
    </row>
    <row r="52" spans="1:48" s="37" customFormat="1" ht="12" x14ac:dyDescent="0.3">
      <c r="A52" s="75" t="s">
        <v>1400</v>
      </c>
      <c r="B52" s="76" t="s">
        <v>1367</v>
      </c>
      <c r="C52" s="86">
        <v>345</v>
      </c>
      <c r="D52" s="87">
        <v>120.2</v>
      </c>
      <c r="E52" s="88">
        <v>36</v>
      </c>
      <c r="F52" s="87">
        <v>100</v>
      </c>
      <c r="G52" s="17">
        <v>30</v>
      </c>
      <c r="H52" s="89">
        <v>270</v>
      </c>
      <c r="I52" s="90">
        <v>18000</v>
      </c>
      <c r="J52" s="90" t="s">
        <v>68</v>
      </c>
      <c r="K52" s="90"/>
      <c r="L52" s="90"/>
      <c r="M52" s="91">
        <f>I52-K52</f>
        <v>18000</v>
      </c>
      <c r="N52" s="4">
        <f>IF(ISERROR(K52/I52),"",K52/I52)</f>
        <v>0</v>
      </c>
      <c r="O52" s="92">
        <f>I52/E52</f>
        <v>500</v>
      </c>
      <c r="P52" s="92">
        <f>K52/E52</f>
        <v>0</v>
      </c>
      <c r="Q52" s="80">
        <v>3</v>
      </c>
      <c r="R52" s="80">
        <v>2</v>
      </c>
      <c r="S52" s="80" t="s">
        <v>61</v>
      </c>
      <c r="T52" s="5">
        <v>120</v>
      </c>
      <c r="U52" s="9"/>
      <c r="W52" s="87">
        <f>D52</f>
        <v>120.2</v>
      </c>
      <c r="X52" s="88">
        <f>E52</f>
        <v>36</v>
      </c>
      <c r="Y52" s="93">
        <f>H52</f>
        <v>270</v>
      </c>
      <c r="Z52" s="91">
        <f>I52</f>
        <v>18000</v>
      </c>
      <c r="AA52" s="91">
        <f>K52</f>
        <v>0</v>
      </c>
      <c r="AB52" s="91">
        <f t="shared" si="33"/>
        <v>18000</v>
      </c>
      <c r="AC52" s="4">
        <f t="shared" si="33"/>
        <v>0</v>
      </c>
      <c r="AD52" s="92">
        <f t="shared" si="33"/>
        <v>500</v>
      </c>
      <c r="AE52" s="80" t="str">
        <f>S52</f>
        <v>계</v>
      </c>
      <c r="AF52" s="80" t="str">
        <f>Q52&amp;"/"&amp;R52</f>
        <v>3/2</v>
      </c>
      <c r="AH52" s="20" t="str">
        <f t="shared" si="15"/>
        <v>나운동 우성</v>
      </c>
      <c r="AI52" s="88">
        <f t="shared" si="4"/>
        <v>36</v>
      </c>
      <c r="AJ52" s="80" t="str">
        <f>IF(AI52="","",$AJ$2)</f>
        <v>A-</v>
      </c>
      <c r="AK52" s="80" t="s">
        <v>14</v>
      </c>
      <c r="AL52" s="80" t="s">
        <v>63</v>
      </c>
      <c r="AM52" s="80" t="s">
        <v>64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O</v>
      </c>
      <c r="AQ52" s="80" t="str">
        <f>IF(O52="","",IF(O52&lt;=$AQ$1,"O","X"))</f>
        <v>O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X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s="37" customFormat="1" ht="12" x14ac:dyDescent="0.3">
      <c r="A53" s="75" t="s">
        <v>1402</v>
      </c>
      <c r="B53" s="76" t="s">
        <v>1403</v>
      </c>
      <c r="C53" s="86">
        <v>930</v>
      </c>
      <c r="D53" s="87">
        <v>89.1</v>
      </c>
      <c r="E53" s="88">
        <v>27</v>
      </c>
      <c r="F53" s="87">
        <v>73.099999999999994</v>
      </c>
      <c r="G53" s="17">
        <v>22</v>
      </c>
      <c r="H53" s="89">
        <v>330</v>
      </c>
      <c r="I53" s="90">
        <v>13000</v>
      </c>
      <c r="J53" s="90" t="s">
        <v>84</v>
      </c>
      <c r="K53" s="90">
        <v>13000</v>
      </c>
      <c r="L53" s="90" t="s">
        <v>65</v>
      </c>
      <c r="M53" s="91">
        <f>I53-K53</f>
        <v>0</v>
      </c>
      <c r="N53" s="4">
        <f>IF(ISERROR(K53/I53),"",K53/I53)</f>
        <v>1</v>
      </c>
      <c r="O53" s="92">
        <f>I53/E53</f>
        <v>481.48148148148147</v>
      </c>
      <c r="P53" s="92">
        <f>K53/E53</f>
        <v>481.48148148148147</v>
      </c>
      <c r="Q53" s="80">
        <v>3</v>
      </c>
      <c r="R53" s="80">
        <v>2</v>
      </c>
      <c r="S53" s="80" t="s">
        <v>61</v>
      </c>
      <c r="T53" s="5">
        <v>89</v>
      </c>
      <c r="U53" s="9"/>
      <c r="W53" s="87">
        <f>D53</f>
        <v>89.1</v>
      </c>
      <c r="X53" s="88">
        <f>E53</f>
        <v>27</v>
      </c>
      <c r="Y53" s="93">
        <f>H53</f>
        <v>330</v>
      </c>
      <c r="Z53" s="91">
        <f>I53</f>
        <v>13000</v>
      </c>
      <c r="AA53" s="91">
        <f>K53</f>
        <v>13000</v>
      </c>
      <c r="AB53" s="91">
        <f t="shared" si="33"/>
        <v>0</v>
      </c>
      <c r="AC53" s="4">
        <f t="shared" si="33"/>
        <v>1</v>
      </c>
      <c r="AD53" s="92">
        <f t="shared" si="33"/>
        <v>481.48148148148147</v>
      </c>
      <c r="AE53" s="80" t="str">
        <f>S53</f>
        <v>계</v>
      </c>
      <c r="AF53" s="80" t="str">
        <f>Q53&amp;"/"&amp;R53</f>
        <v>3/2</v>
      </c>
      <c r="AH53" s="20" t="str">
        <f t="shared" si="15"/>
        <v>나운동 금호타운1차</v>
      </c>
      <c r="AI53" s="88">
        <f t="shared" si="4"/>
        <v>27</v>
      </c>
      <c r="AJ53" s="80" t="str">
        <f>IF(AI53="","",$AJ$2)</f>
        <v>A-</v>
      </c>
      <c r="AK53" s="80" t="s">
        <v>14</v>
      </c>
      <c r="AL53" s="80" t="s">
        <v>63</v>
      </c>
      <c r="AM53" s="80" t="s">
        <v>64</v>
      </c>
      <c r="AN53" s="80" t="str">
        <f>IF(AI53="","",$AN$2)</f>
        <v>C</v>
      </c>
      <c r="AO53" s="80" t="str">
        <f>IF(N53="","",IF(N53&gt;=$AO$1/100,"O","X"))</f>
        <v>O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후보</v>
      </c>
    </row>
    <row r="54" spans="1:48" s="37" customFormat="1" ht="12" x14ac:dyDescent="0.3">
      <c r="A54" s="75" t="s">
        <v>1402</v>
      </c>
      <c r="B54" s="76" t="s">
        <v>1403</v>
      </c>
      <c r="C54" s="86">
        <v>930</v>
      </c>
      <c r="D54" s="87">
        <v>101.7</v>
      </c>
      <c r="E54" s="88">
        <v>31</v>
      </c>
      <c r="F54" s="87">
        <v>84.8</v>
      </c>
      <c r="G54" s="17">
        <v>26</v>
      </c>
      <c r="H54" s="89">
        <v>600</v>
      </c>
      <c r="I54" s="90">
        <v>14000</v>
      </c>
      <c r="J54" s="90" t="s">
        <v>84</v>
      </c>
      <c r="K54" s="90">
        <v>13000</v>
      </c>
      <c r="L54" s="90" t="s">
        <v>68</v>
      </c>
      <c r="M54" s="91">
        <f>I54-K54</f>
        <v>1000</v>
      </c>
      <c r="N54" s="4">
        <f>IF(ISERROR(K54/I54),"",K54/I54)</f>
        <v>0.9285714285714286</v>
      </c>
      <c r="O54" s="92">
        <f>I54/E54</f>
        <v>451.61290322580646</v>
      </c>
      <c r="P54" s="92">
        <f>K54/E54</f>
        <v>419.35483870967744</v>
      </c>
      <c r="Q54" s="80">
        <v>3</v>
      </c>
      <c r="R54" s="80">
        <v>2</v>
      </c>
      <c r="S54" s="80" t="s">
        <v>61</v>
      </c>
      <c r="T54" s="5">
        <v>101</v>
      </c>
      <c r="U54" s="9"/>
      <c r="W54" s="87">
        <f>D54</f>
        <v>101.7</v>
      </c>
      <c r="X54" s="88">
        <f>E54</f>
        <v>31</v>
      </c>
      <c r="Y54" s="93">
        <f>H54</f>
        <v>600</v>
      </c>
      <c r="Z54" s="91">
        <f>I54</f>
        <v>14000</v>
      </c>
      <c r="AA54" s="91">
        <f>K54</f>
        <v>13000</v>
      </c>
      <c r="AB54" s="91">
        <f t="shared" si="33"/>
        <v>1000</v>
      </c>
      <c r="AC54" s="4">
        <f t="shared" si="33"/>
        <v>0.9285714285714286</v>
      </c>
      <c r="AD54" s="92">
        <f t="shared" si="33"/>
        <v>451.61290322580646</v>
      </c>
      <c r="AE54" s="80" t="str">
        <f>S54</f>
        <v>계</v>
      </c>
      <c r="AF54" s="80" t="str">
        <f>Q54&amp;"/"&amp;R54</f>
        <v>3/2</v>
      </c>
      <c r="AH54" s="20" t="str">
        <f t="shared" si="15"/>
        <v>나운동 금호타운1차</v>
      </c>
      <c r="AI54" s="88">
        <f t="shared" si="4"/>
        <v>31</v>
      </c>
      <c r="AJ54" s="80" t="str">
        <f>IF(AI54="","",$AJ$2)</f>
        <v>A-</v>
      </c>
      <c r="AK54" s="80" t="s">
        <v>14</v>
      </c>
      <c r="AL54" s="80" t="s">
        <v>63</v>
      </c>
      <c r="AM54" s="80" t="s">
        <v>64</v>
      </c>
      <c r="AN54" s="80" t="str">
        <f>IF(AI54="","",$AN$2)</f>
        <v>C</v>
      </c>
      <c r="AO54" s="80" t="str">
        <f>IF(N54="","",IF(N54&gt;=$AO$1/100,"O","X"))</f>
        <v>O</v>
      </c>
      <c r="AP54" s="80" t="str">
        <f>IF(I54="","",IF(I54&lt;=$AP$1,"O","X"))</f>
        <v>O</v>
      </c>
      <c r="AQ54" s="80" t="str">
        <f>IF(O54="","",IF(O54&lt;=$AQ$1,"O","X"))</f>
        <v>O</v>
      </c>
      <c r="AR54" s="80" t="str">
        <f>IF(M54="","",IF(M54&lt;=$AR$1,"O","X"))</f>
        <v>O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>후보</v>
      </c>
    </row>
    <row r="55" spans="1:48" s="37" customFormat="1" ht="12" x14ac:dyDescent="0.3">
      <c r="A55" s="75" t="s">
        <v>1405</v>
      </c>
      <c r="B55" s="76" t="s">
        <v>1401</v>
      </c>
      <c r="C55" s="86">
        <v>490</v>
      </c>
      <c r="D55" s="87">
        <v>83.8</v>
      </c>
      <c r="E55" s="88">
        <v>25</v>
      </c>
      <c r="F55" s="87">
        <v>67.900000000000006</v>
      </c>
      <c r="G55" s="17">
        <v>21</v>
      </c>
      <c r="H55" s="89">
        <v>262</v>
      </c>
      <c r="I55" s="90">
        <v>11000</v>
      </c>
      <c r="J55" s="90" t="s">
        <v>81</v>
      </c>
      <c r="K55" s="90">
        <v>11500</v>
      </c>
      <c r="L55" s="90" t="s">
        <v>70</v>
      </c>
      <c r="M55" s="91">
        <f>I55-K55</f>
        <v>-500</v>
      </c>
      <c r="N55" s="4">
        <f>IF(ISERROR(K55/I55),"",K55/I55)</f>
        <v>1.0454545454545454</v>
      </c>
      <c r="O55" s="92">
        <f>I55/E55</f>
        <v>440</v>
      </c>
      <c r="P55" s="92">
        <f>K55/E55</f>
        <v>460</v>
      </c>
      <c r="Q55" s="80">
        <v>3</v>
      </c>
      <c r="R55" s="80">
        <v>1</v>
      </c>
      <c r="S55" s="80" t="s">
        <v>61</v>
      </c>
      <c r="T55" s="5">
        <v>83</v>
      </c>
      <c r="U55" s="9"/>
      <c r="W55" s="87">
        <f>D55</f>
        <v>83.8</v>
      </c>
      <c r="X55" s="88">
        <f>E55</f>
        <v>25</v>
      </c>
      <c r="Y55" s="93">
        <f>H55</f>
        <v>262</v>
      </c>
      <c r="Z55" s="91">
        <f>I55</f>
        <v>11000</v>
      </c>
      <c r="AA55" s="91">
        <f>K55</f>
        <v>11500</v>
      </c>
      <c r="AB55" s="91">
        <f t="shared" si="33"/>
        <v>-500</v>
      </c>
      <c r="AC55" s="4">
        <f t="shared" si="33"/>
        <v>1.0454545454545454</v>
      </c>
      <c r="AD55" s="92">
        <f t="shared" si="33"/>
        <v>440</v>
      </c>
      <c r="AE55" s="80" t="str">
        <f>S55</f>
        <v>계</v>
      </c>
      <c r="AF55" s="80" t="str">
        <f>Q55&amp;"/"&amp;R55</f>
        <v>3/1</v>
      </c>
      <c r="AH55" s="20" t="str">
        <f t="shared" si="15"/>
        <v>나운동 서호</v>
      </c>
      <c r="AI55" s="88">
        <f t="shared" si="4"/>
        <v>25</v>
      </c>
      <c r="AJ55" s="80" t="str">
        <f>IF(AI55="","",$AJ$2)</f>
        <v>A-</v>
      </c>
      <c r="AK55" s="80" t="s">
        <v>14</v>
      </c>
      <c r="AL55" s="80" t="s">
        <v>63</v>
      </c>
      <c r="AM55" s="80" t="s">
        <v>64</v>
      </c>
      <c r="AN55" s="80" t="str">
        <f>IF(AI55="","",$AN$2)</f>
        <v>C</v>
      </c>
      <c r="AO55" s="80" t="str">
        <f>IF(N55="","",IF(N55&gt;=$AO$1/100,"O","X"))</f>
        <v>O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O</v>
      </c>
      <c r="AS55" s="80" t="s">
        <v>2</v>
      </c>
      <c r="AT55" s="80" t="str">
        <f>IF(OR(F55="",AI55=""),"",IF(AND((F55&lt;=85),(AI55&gt;=15)),"O","X"))</f>
        <v>O</v>
      </c>
      <c r="AU55" s="80" t="str">
        <f>IF(C55="","",IF(C55&gt;=$AU$1,"O","X"))</f>
        <v>O</v>
      </c>
      <c r="AV55" s="80" t="str">
        <f>IF(AO55="","",IF(AND(AO55="O",AP55="O",AR55="O",AT55="O",AU55="O"),"후보","X"))</f>
        <v>후보</v>
      </c>
    </row>
    <row r="56" spans="1:48" s="37" customFormat="1" ht="12" x14ac:dyDescent="0.3">
      <c r="A56" s="75" t="s">
        <v>1405</v>
      </c>
      <c r="B56" s="76" t="s">
        <v>1401</v>
      </c>
      <c r="C56" s="86">
        <v>490</v>
      </c>
      <c r="D56" s="87">
        <v>103.8</v>
      </c>
      <c r="E56" s="88">
        <v>31</v>
      </c>
      <c r="F56" s="87">
        <v>85</v>
      </c>
      <c r="G56" s="17">
        <v>26</v>
      </c>
      <c r="H56" s="89">
        <v>228</v>
      </c>
      <c r="I56" s="90">
        <v>15700</v>
      </c>
      <c r="J56" s="90" t="s">
        <v>70</v>
      </c>
      <c r="K56" s="90">
        <v>14000</v>
      </c>
      <c r="L56" s="90" t="s">
        <v>71</v>
      </c>
      <c r="M56" s="91">
        <f>I56-K56</f>
        <v>1700</v>
      </c>
      <c r="N56" s="4">
        <f>IF(ISERROR(K56/I56),"",K56/I56)</f>
        <v>0.89171974522292996</v>
      </c>
      <c r="O56" s="92">
        <f>I56/E56</f>
        <v>506.45161290322579</v>
      </c>
      <c r="P56" s="92">
        <f>K56/E56</f>
        <v>451.61290322580646</v>
      </c>
      <c r="Q56" s="80">
        <v>3</v>
      </c>
      <c r="R56" s="80">
        <v>2</v>
      </c>
      <c r="S56" s="80" t="s">
        <v>61</v>
      </c>
      <c r="T56" s="5">
        <v>103</v>
      </c>
      <c r="U56" s="9"/>
      <c r="W56" s="87">
        <f>D56</f>
        <v>103.8</v>
      </c>
      <c r="X56" s="88">
        <f>E56</f>
        <v>31</v>
      </c>
      <c r="Y56" s="93">
        <f>H56</f>
        <v>228</v>
      </c>
      <c r="Z56" s="91">
        <f>I56</f>
        <v>15700</v>
      </c>
      <c r="AA56" s="91">
        <f>K56</f>
        <v>14000</v>
      </c>
      <c r="AB56" s="91">
        <f t="shared" si="33"/>
        <v>1700</v>
      </c>
      <c r="AC56" s="4">
        <f t="shared" si="33"/>
        <v>0.89171974522292996</v>
      </c>
      <c r="AD56" s="92">
        <f t="shared" si="33"/>
        <v>506.45161290322579</v>
      </c>
      <c r="AE56" s="80" t="str">
        <f>S56</f>
        <v>계</v>
      </c>
      <c r="AF56" s="80" t="str">
        <f>Q56&amp;"/"&amp;R56</f>
        <v>3/2</v>
      </c>
      <c r="AH56" s="20" t="str">
        <f t="shared" si="15"/>
        <v>나운동 서호</v>
      </c>
      <c r="AI56" s="88">
        <f t="shared" si="4"/>
        <v>31</v>
      </c>
      <c r="AJ56" s="80" t="str">
        <f>IF(AI56="","",$AJ$2)</f>
        <v>A-</v>
      </c>
      <c r="AK56" s="80" t="s">
        <v>14</v>
      </c>
      <c r="AL56" s="80" t="s">
        <v>63</v>
      </c>
      <c r="AM56" s="80" t="s">
        <v>64</v>
      </c>
      <c r="AN56" s="80" t="str">
        <f>IF(AI56="","",$AN$2)</f>
        <v>C</v>
      </c>
      <c r="AO56" s="80" t="str">
        <f>IF(N56="","",IF(N56&gt;=$AO$1/100,"O","X"))</f>
        <v>O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후보</v>
      </c>
    </row>
    <row r="57" spans="1:48" s="37" customFormat="1" ht="12" x14ac:dyDescent="0.3">
      <c r="A57" s="75" t="s">
        <v>1406</v>
      </c>
      <c r="B57" s="76" t="s">
        <v>1407</v>
      </c>
      <c r="C57" s="86">
        <v>800</v>
      </c>
      <c r="D57" s="87">
        <v>47.6</v>
      </c>
      <c r="E57" s="88">
        <v>14</v>
      </c>
      <c r="F57" s="87">
        <v>47.6</v>
      </c>
      <c r="G57" s="17">
        <v>14</v>
      </c>
      <c r="H57" s="89">
        <v>25</v>
      </c>
      <c r="I57" s="90"/>
      <c r="J57" s="90"/>
      <c r="K57" s="90"/>
      <c r="L57" s="90"/>
      <c r="M57" s="91">
        <f t="shared" ref="M57:M66" si="34">I57-K57</f>
        <v>0</v>
      </c>
      <c r="N57" s="4" t="str">
        <f t="shared" ref="N57:N66" si="35">IF(ISERROR(K57/I57),"",K57/I57)</f>
        <v/>
      </c>
      <c r="O57" s="92">
        <f t="shared" ref="O57:O66" si="36">I57/E57</f>
        <v>0</v>
      </c>
      <c r="P57" s="92">
        <f t="shared" ref="P57:P66" si="37">K57/E57</f>
        <v>0</v>
      </c>
      <c r="Q57" s="80">
        <v>1</v>
      </c>
      <c r="R57" s="80">
        <v>1</v>
      </c>
      <c r="S57" s="80" t="s">
        <v>61</v>
      </c>
      <c r="T57" s="5">
        <v>47</v>
      </c>
      <c r="U57" s="9"/>
      <c r="W57" s="87">
        <f t="shared" ref="W57:X71" si="38">D57</f>
        <v>47.6</v>
      </c>
      <c r="X57" s="88">
        <f t="shared" si="38"/>
        <v>14</v>
      </c>
      <c r="Y57" s="93">
        <f t="shared" ref="Y57:Z71" si="39">H57</f>
        <v>25</v>
      </c>
      <c r="Z57" s="91">
        <f t="shared" si="39"/>
        <v>0</v>
      </c>
      <c r="AA57" s="91">
        <f t="shared" ref="AA57:AA66" si="40">K57</f>
        <v>0</v>
      </c>
      <c r="AB57" s="91">
        <f t="shared" si="33"/>
        <v>0</v>
      </c>
      <c r="AC57" s="4" t="str">
        <f t="shared" si="33"/>
        <v/>
      </c>
      <c r="AD57" s="92">
        <f t="shared" si="33"/>
        <v>0</v>
      </c>
      <c r="AE57" s="80" t="str">
        <f t="shared" ref="AE57:AE66" si="41">S57</f>
        <v>계</v>
      </c>
      <c r="AF57" s="80" t="str">
        <f t="shared" ref="AF57:AF66" si="42">Q57&amp;"/"&amp;R57</f>
        <v>1/1</v>
      </c>
      <c r="AH57" s="20" t="str">
        <f t="shared" si="15"/>
        <v>나운동 주공3단지</v>
      </c>
      <c r="AI57" s="88">
        <f t="shared" si="4"/>
        <v>14</v>
      </c>
      <c r="AJ57" s="80" t="str">
        <f t="shared" ref="AJ57:AJ66" si="43">IF(AI57="","",$AJ$2)</f>
        <v>A-</v>
      </c>
      <c r="AK57" s="80" t="s">
        <v>14</v>
      </c>
      <c r="AL57" s="80" t="s">
        <v>63</v>
      </c>
      <c r="AM57" s="80" t="s">
        <v>64</v>
      </c>
      <c r="AN57" s="80" t="str">
        <f t="shared" ref="AN57:AN66" si="44">IF(AI57="","",$AN$2)</f>
        <v>C</v>
      </c>
      <c r="AO57" s="80" t="str">
        <f t="shared" ref="AO57:AO66" si="45">IF(N57="","",IF(N57&gt;=$AO$1/100,"O","X"))</f>
        <v/>
      </c>
      <c r="AP57" s="80" t="str">
        <f t="shared" ref="AP57:AP66" si="46">IF(I57="","",IF(I57&lt;=$AP$1,"O","X"))</f>
        <v/>
      </c>
      <c r="AQ57" s="80" t="str">
        <f t="shared" ref="AQ57:AQ66" si="47">IF(O57="","",IF(O57&lt;=$AQ$1,"O","X"))</f>
        <v>O</v>
      </c>
      <c r="AR57" s="80" t="str">
        <f t="shared" ref="AR57:AR66" si="48">IF(M57="","",IF(M57&lt;=$AR$1,"O","X"))</f>
        <v>O</v>
      </c>
      <c r="AS57" s="80" t="s">
        <v>2</v>
      </c>
      <c r="AT57" s="80" t="str">
        <f t="shared" ref="AT57:AT66" si="49">IF(OR(F57="",AI57=""),"",IF(AND((F57&lt;=85),(AI57&gt;=15)),"O","X"))</f>
        <v>X</v>
      </c>
      <c r="AU57" s="80" t="str">
        <f t="shared" ref="AU57:AU66" si="50">IF(C57="","",IF(C57&gt;=$AU$1,"O","X"))</f>
        <v>O</v>
      </c>
      <c r="AV57" s="80" t="str">
        <f t="shared" ref="AV57:AV66" si="51">IF(AO57="","",IF(AND(AO57="O",AP57="O",AR57="O",AT57="O",AU57="O"),"후보","X"))</f>
        <v/>
      </c>
    </row>
    <row r="58" spans="1:48" s="37" customFormat="1" ht="12" x14ac:dyDescent="0.3">
      <c r="A58" s="75" t="s">
        <v>1406</v>
      </c>
      <c r="B58" s="76" t="s">
        <v>1408</v>
      </c>
      <c r="C58" s="86">
        <v>800</v>
      </c>
      <c r="D58" s="87">
        <v>53.6</v>
      </c>
      <c r="E58" s="88">
        <v>16</v>
      </c>
      <c r="F58" s="87">
        <v>48.6</v>
      </c>
      <c r="G58" s="17">
        <v>15</v>
      </c>
      <c r="H58" s="89">
        <v>136</v>
      </c>
      <c r="I58" s="90">
        <v>17500</v>
      </c>
      <c r="J58" s="90" t="s">
        <v>68</v>
      </c>
      <c r="K58" s="90"/>
      <c r="L58" s="90"/>
      <c r="M58" s="91">
        <f t="shared" si="34"/>
        <v>17500</v>
      </c>
      <c r="N58" s="4">
        <f t="shared" si="35"/>
        <v>0</v>
      </c>
      <c r="O58" s="92">
        <f t="shared" si="36"/>
        <v>1093.75</v>
      </c>
      <c r="P58" s="92">
        <f t="shared" si="37"/>
        <v>0</v>
      </c>
      <c r="Q58" s="80">
        <v>2</v>
      </c>
      <c r="R58" s="80">
        <v>1</v>
      </c>
      <c r="S58" s="80" t="s">
        <v>61</v>
      </c>
      <c r="T58" s="5" t="s">
        <v>129</v>
      </c>
      <c r="U58" s="9"/>
      <c r="W58" s="87">
        <f t="shared" si="38"/>
        <v>53.6</v>
      </c>
      <c r="X58" s="88">
        <f t="shared" si="38"/>
        <v>16</v>
      </c>
      <c r="Y58" s="93">
        <f t="shared" si="39"/>
        <v>136</v>
      </c>
      <c r="Z58" s="91">
        <f t="shared" si="39"/>
        <v>17500</v>
      </c>
      <c r="AA58" s="91">
        <f t="shared" si="40"/>
        <v>0</v>
      </c>
      <c r="AB58" s="91">
        <f t="shared" si="33"/>
        <v>17500</v>
      </c>
      <c r="AC58" s="4">
        <f t="shared" si="33"/>
        <v>0</v>
      </c>
      <c r="AD58" s="92">
        <f t="shared" si="33"/>
        <v>1093.75</v>
      </c>
      <c r="AE58" s="80" t="str">
        <f t="shared" si="41"/>
        <v>계</v>
      </c>
      <c r="AF58" s="80" t="str">
        <f t="shared" si="42"/>
        <v>2/1</v>
      </c>
      <c r="AH58" s="20" t="str">
        <f t="shared" si="15"/>
        <v>나운동 주공3단지</v>
      </c>
      <c r="AI58" s="88">
        <f t="shared" si="4"/>
        <v>16</v>
      </c>
      <c r="AJ58" s="80" t="str">
        <f t="shared" si="43"/>
        <v>A-</v>
      </c>
      <c r="AK58" s="80" t="s">
        <v>14</v>
      </c>
      <c r="AL58" s="80" t="s">
        <v>63</v>
      </c>
      <c r="AM58" s="80" t="s">
        <v>64</v>
      </c>
      <c r="AN58" s="80" t="str">
        <f t="shared" si="44"/>
        <v>C</v>
      </c>
      <c r="AO58" s="80" t="str">
        <f t="shared" si="45"/>
        <v>X</v>
      </c>
      <c r="AP58" s="80" t="str">
        <f t="shared" si="46"/>
        <v>O</v>
      </c>
      <c r="AQ58" s="80" t="str">
        <f t="shared" si="47"/>
        <v>O</v>
      </c>
      <c r="AR58" s="80" t="str">
        <f t="shared" si="48"/>
        <v>X</v>
      </c>
      <c r="AS58" s="80" t="s">
        <v>2</v>
      </c>
      <c r="AT58" s="80" t="str">
        <f t="shared" si="49"/>
        <v>O</v>
      </c>
      <c r="AU58" s="80" t="str">
        <f t="shared" si="50"/>
        <v>O</v>
      </c>
      <c r="AV58" s="80" t="str">
        <f t="shared" si="51"/>
        <v>X</v>
      </c>
    </row>
    <row r="59" spans="1:48" s="37" customFormat="1" ht="12" x14ac:dyDescent="0.3">
      <c r="A59" s="75" t="s">
        <v>1406</v>
      </c>
      <c r="B59" s="76" t="s">
        <v>1408</v>
      </c>
      <c r="C59" s="86">
        <v>800</v>
      </c>
      <c r="D59" s="87">
        <v>54.1</v>
      </c>
      <c r="E59" s="88">
        <v>16</v>
      </c>
      <c r="F59" s="87">
        <v>54.1</v>
      </c>
      <c r="G59" s="17">
        <v>16</v>
      </c>
      <c r="H59" s="89">
        <v>115</v>
      </c>
      <c r="I59" s="90">
        <v>18000</v>
      </c>
      <c r="J59" s="90" t="s">
        <v>68</v>
      </c>
      <c r="K59" s="90"/>
      <c r="L59" s="90"/>
      <c r="M59" s="91">
        <f t="shared" si="34"/>
        <v>18000</v>
      </c>
      <c r="N59" s="4">
        <f t="shared" si="35"/>
        <v>0</v>
      </c>
      <c r="O59" s="92">
        <f t="shared" si="36"/>
        <v>1125</v>
      </c>
      <c r="P59" s="92">
        <f t="shared" si="37"/>
        <v>0</v>
      </c>
      <c r="Q59" s="80">
        <v>2</v>
      </c>
      <c r="R59" s="80">
        <v>1</v>
      </c>
      <c r="S59" s="80" t="s">
        <v>61</v>
      </c>
      <c r="T59" s="5" t="s">
        <v>128</v>
      </c>
      <c r="U59" s="9"/>
      <c r="W59" s="87">
        <f t="shared" si="38"/>
        <v>54.1</v>
      </c>
      <c r="X59" s="88">
        <f t="shared" si="38"/>
        <v>16</v>
      </c>
      <c r="Y59" s="93">
        <f t="shared" si="39"/>
        <v>115</v>
      </c>
      <c r="Z59" s="91">
        <f t="shared" si="39"/>
        <v>18000</v>
      </c>
      <c r="AA59" s="91">
        <f t="shared" si="40"/>
        <v>0</v>
      </c>
      <c r="AB59" s="91">
        <f t="shared" si="33"/>
        <v>18000</v>
      </c>
      <c r="AC59" s="4">
        <f t="shared" si="33"/>
        <v>0</v>
      </c>
      <c r="AD59" s="92">
        <f t="shared" si="33"/>
        <v>1125</v>
      </c>
      <c r="AE59" s="80" t="str">
        <f t="shared" si="41"/>
        <v>계</v>
      </c>
      <c r="AF59" s="80" t="str">
        <f t="shared" si="42"/>
        <v>2/1</v>
      </c>
      <c r="AH59" s="20" t="str">
        <f t="shared" si="15"/>
        <v>나운동 주공3단지</v>
      </c>
      <c r="AI59" s="88">
        <f t="shared" si="4"/>
        <v>16</v>
      </c>
      <c r="AJ59" s="80" t="str">
        <f t="shared" si="43"/>
        <v>A-</v>
      </c>
      <c r="AK59" s="80" t="s">
        <v>14</v>
      </c>
      <c r="AL59" s="80" t="s">
        <v>63</v>
      </c>
      <c r="AM59" s="80" t="s">
        <v>64</v>
      </c>
      <c r="AN59" s="80" t="str">
        <f t="shared" si="44"/>
        <v>C</v>
      </c>
      <c r="AO59" s="80" t="str">
        <f t="shared" si="45"/>
        <v>X</v>
      </c>
      <c r="AP59" s="80" t="str">
        <f t="shared" si="46"/>
        <v>O</v>
      </c>
      <c r="AQ59" s="80" t="str">
        <f t="shared" si="47"/>
        <v>O</v>
      </c>
      <c r="AR59" s="80" t="str">
        <f t="shared" si="48"/>
        <v>X</v>
      </c>
      <c r="AS59" s="80" t="s">
        <v>2</v>
      </c>
      <c r="AT59" s="80" t="str">
        <f t="shared" si="49"/>
        <v>O</v>
      </c>
      <c r="AU59" s="80" t="str">
        <f t="shared" si="50"/>
        <v>O</v>
      </c>
      <c r="AV59" s="80" t="str">
        <f t="shared" si="51"/>
        <v>X</v>
      </c>
    </row>
    <row r="60" spans="1:48" s="37" customFormat="1" ht="12" x14ac:dyDescent="0.3">
      <c r="A60" s="75" t="s">
        <v>1406</v>
      </c>
      <c r="B60" s="76" t="s">
        <v>1408</v>
      </c>
      <c r="C60" s="86">
        <v>800</v>
      </c>
      <c r="D60" s="87">
        <v>54.8</v>
      </c>
      <c r="E60" s="88">
        <v>17</v>
      </c>
      <c r="F60" s="87">
        <v>54.8</v>
      </c>
      <c r="G60" s="17">
        <v>17</v>
      </c>
      <c r="H60" s="89">
        <v>100</v>
      </c>
      <c r="I60" s="90"/>
      <c r="J60" s="90"/>
      <c r="K60" s="90"/>
      <c r="L60" s="90"/>
      <c r="M60" s="91">
        <f t="shared" si="34"/>
        <v>0</v>
      </c>
      <c r="N60" s="4" t="str">
        <f t="shared" si="35"/>
        <v/>
      </c>
      <c r="O60" s="92">
        <f t="shared" si="36"/>
        <v>0</v>
      </c>
      <c r="P60" s="92">
        <f t="shared" si="37"/>
        <v>0</v>
      </c>
      <c r="Q60" s="80">
        <v>2</v>
      </c>
      <c r="R60" s="80">
        <v>1</v>
      </c>
      <c r="S60" s="80" t="s">
        <v>61</v>
      </c>
      <c r="T60" s="5">
        <v>54</v>
      </c>
      <c r="U60" s="9"/>
      <c r="W60" s="87">
        <f t="shared" si="38"/>
        <v>54.8</v>
      </c>
      <c r="X60" s="88">
        <f t="shared" si="38"/>
        <v>17</v>
      </c>
      <c r="Y60" s="93">
        <f t="shared" si="39"/>
        <v>100</v>
      </c>
      <c r="Z60" s="91">
        <f t="shared" si="39"/>
        <v>0</v>
      </c>
      <c r="AA60" s="91">
        <f t="shared" si="40"/>
        <v>0</v>
      </c>
      <c r="AB60" s="91">
        <f t="shared" si="33"/>
        <v>0</v>
      </c>
      <c r="AC60" s="4" t="str">
        <f t="shared" si="33"/>
        <v/>
      </c>
      <c r="AD60" s="92">
        <f t="shared" si="33"/>
        <v>0</v>
      </c>
      <c r="AE60" s="80" t="str">
        <f t="shared" si="41"/>
        <v>계</v>
      </c>
      <c r="AF60" s="80" t="str">
        <f t="shared" si="42"/>
        <v>2/1</v>
      </c>
      <c r="AH60" s="20" t="str">
        <f t="shared" si="15"/>
        <v>나운동 주공3단지</v>
      </c>
      <c r="AI60" s="88">
        <f t="shared" si="4"/>
        <v>17</v>
      </c>
      <c r="AJ60" s="80" t="str">
        <f t="shared" si="43"/>
        <v>A-</v>
      </c>
      <c r="AK60" s="80" t="s">
        <v>14</v>
      </c>
      <c r="AL60" s="80" t="s">
        <v>63</v>
      </c>
      <c r="AM60" s="80" t="s">
        <v>64</v>
      </c>
      <c r="AN60" s="80" t="str">
        <f t="shared" si="44"/>
        <v>C</v>
      </c>
      <c r="AO60" s="80" t="str">
        <f t="shared" si="45"/>
        <v/>
      </c>
      <c r="AP60" s="80" t="str">
        <f t="shared" si="46"/>
        <v/>
      </c>
      <c r="AQ60" s="80" t="str">
        <f t="shared" si="47"/>
        <v>O</v>
      </c>
      <c r="AR60" s="80" t="str">
        <f t="shared" si="48"/>
        <v>O</v>
      </c>
      <c r="AS60" s="80" t="s">
        <v>2</v>
      </c>
      <c r="AT60" s="80" t="str">
        <f t="shared" si="49"/>
        <v>O</v>
      </c>
      <c r="AU60" s="80" t="str">
        <f t="shared" si="50"/>
        <v>O</v>
      </c>
      <c r="AV60" s="80" t="str">
        <f t="shared" si="51"/>
        <v/>
      </c>
    </row>
    <row r="61" spans="1:48" s="37" customFormat="1" ht="12" x14ac:dyDescent="0.3">
      <c r="A61" s="75" t="s">
        <v>1406</v>
      </c>
      <c r="B61" s="76" t="s">
        <v>1408</v>
      </c>
      <c r="C61" s="86">
        <v>800</v>
      </c>
      <c r="D61" s="87">
        <v>54.4</v>
      </c>
      <c r="E61" s="88">
        <v>16</v>
      </c>
      <c r="F61" s="87">
        <v>54.4</v>
      </c>
      <c r="G61" s="17">
        <v>16</v>
      </c>
      <c r="H61" s="89">
        <v>43</v>
      </c>
      <c r="I61" s="90"/>
      <c r="J61" s="90"/>
      <c r="K61" s="90"/>
      <c r="L61" s="90"/>
      <c r="M61" s="91">
        <f t="shared" si="34"/>
        <v>0</v>
      </c>
      <c r="N61" s="4" t="str">
        <f t="shared" si="35"/>
        <v/>
      </c>
      <c r="O61" s="92">
        <f t="shared" si="36"/>
        <v>0</v>
      </c>
      <c r="P61" s="92">
        <f t="shared" si="37"/>
        <v>0</v>
      </c>
      <c r="Q61" s="80">
        <v>3</v>
      </c>
      <c r="R61" s="80">
        <v>1</v>
      </c>
      <c r="S61" s="80" t="s">
        <v>61</v>
      </c>
      <c r="T61" s="5" t="s">
        <v>419</v>
      </c>
      <c r="U61" s="9"/>
      <c r="W61" s="87">
        <f t="shared" si="38"/>
        <v>54.4</v>
      </c>
      <c r="X61" s="88">
        <f t="shared" si="38"/>
        <v>16</v>
      </c>
      <c r="Y61" s="93">
        <f t="shared" si="39"/>
        <v>43</v>
      </c>
      <c r="Z61" s="91">
        <f t="shared" si="39"/>
        <v>0</v>
      </c>
      <c r="AA61" s="91">
        <f t="shared" si="40"/>
        <v>0</v>
      </c>
      <c r="AB61" s="91">
        <f t="shared" ref="AB61:AD76" si="52">M61</f>
        <v>0</v>
      </c>
      <c r="AC61" s="4" t="str">
        <f t="shared" si="52"/>
        <v/>
      </c>
      <c r="AD61" s="92">
        <f t="shared" si="52"/>
        <v>0</v>
      </c>
      <c r="AE61" s="80" t="str">
        <f t="shared" si="41"/>
        <v>계</v>
      </c>
      <c r="AF61" s="80" t="str">
        <f t="shared" si="42"/>
        <v>3/1</v>
      </c>
      <c r="AH61" s="20" t="str">
        <f t="shared" si="15"/>
        <v>나운동 주공3단지</v>
      </c>
      <c r="AI61" s="88">
        <f t="shared" si="4"/>
        <v>16</v>
      </c>
      <c r="AJ61" s="80" t="str">
        <f t="shared" si="43"/>
        <v>A-</v>
      </c>
      <c r="AK61" s="80" t="s">
        <v>14</v>
      </c>
      <c r="AL61" s="80" t="s">
        <v>63</v>
      </c>
      <c r="AM61" s="80" t="s">
        <v>64</v>
      </c>
      <c r="AN61" s="80" t="str">
        <f t="shared" si="44"/>
        <v>C</v>
      </c>
      <c r="AO61" s="80" t="str">
        <f t="shared" si="45"/>
        <v/>
      </c>
      <c r="AP61" s="80" t="str">
        <f t="shared" si="46"/>
        <v/>
      </c>
      <c r="AQ61" s="80" t="str">
        <f t="shared" si="47"/>
        <v>O</v>
      </c>
      <c r="AR61" s="80" t="str">
        <f t="shared" si="48"/>
        <v>O</v>
      </c>
      <c r="AS61" s="80" t="s">
        <v>2</v>
      </c>
      <c r="AT61" s="80" t="str">
        <f t="shared" si="49"/>
        <v>O</v>
      </c>
      <c r="AU61" s="80" t="str">
        <f t="shared" si="50"/>
        <v>O</v>
      </c>
      <c r="AV61" s="80" t="str">
        <f t="shared" si="51"/>
        <v/>
      </c>
    </row>
    <row r="62" spans="1:48" s="37" customFormat="1" ht="12" x14ac:dyDescent="0.3">
      <c r="A62" s="75" t="s">
        <v>1406</v>
      </c>
      <c r="B62" s="76" t="s">
        <v>1408</v>
      </c>
      <c r="C62" s="86">
        <v>800</v>
      </c>
      <c r="D62" s="87">
        <v>61.6</v>
      </c>
      <c r="E62" s="88">
        <v>19</v>
      </c>
      <c r="F62" s="87">
        <v>55.8</v>
      </c>
      <c r="G62" s="17">
        <v>17</v>
      </c>
      <c r="H62" s="89">
        <v>112</v>
      </c>
      <c r="I62" s="90"/>
      <c r="J62" s="90"/>
      <c r="K62" s="90"/>
      <c r="L62" s="90"/>
      <c r="M62" s="91">
        <f t="shared" si="34"/>
        <v>0</v>
      </c>
      <c r="N62" s="4" t="str">
        <f t="shared" si="35"/>
        <v/>
      </c>
      <c r="O62" s="92">
        <f t="shared" si="36"/>
        <v>0</v>
      </c>
      <c r="P62" s="92">
        <f t="shared" si="37"/>
        <v>0</v>
      </c>
      <c r="Q62" s="80">
        <v>3</v>
      </c>
      <c r="R62" s="80">
        <v>1</v>
      </c>
      <c r="S62" s="80" t="s">
        <v>61</v>
      </c>
      <c r="T62" s="5" t="s">
        <v>420</v>
      </c>
      <c r="U62" s="9"/>
      <c r="W62" s="87">
        <f t="shared" si="38"/>
        <v>61.6</v>
      </c>
      <c r="X62" s="88">
        <f t="shared" si="38"/>
        <v>19</v>
      </c>
      <c r="Y62" s="93">
        <f t="shared" si="39"/>
        <v>112</v>
      </c>
      <c r="Z62" s="91">
        <f t="shared" si="39"/>
        <v>0</v>
      </c>
      <c r="AA62" s="91">
        <f t="shared" si="40"/>
        <v>0</v>
      </c>
      <c r="AB62" s="91">
        <f t="shared" si="52"/>
        <v>0</v>
      </c>
      <c r="AC62" s="4" t="str">
        <f t="shared" si="52"/>
        <v/>
      </c>
      <c r="AD62" s="92">
        <f t="shared" si="52"/>
        <v>0</v>
      </c>
      <c r="AE62" s="80" t="str">
        <f t="shared" si="41"/>
        <v>계</v>
      </c>
      <c r="AF62" s="80" t="str">
        <f t="shared" si="42"/>
        <v>3/1</v>
      </c>
      <c r="AH62" s="20" t="str">
        <f t="shared" si="15"/>
        <v>나운동 주공3단지</v>
      </c>
      <c r="AI62" s="88">
        <f t="shared" si="4"/>
        <v>19</v>
      </c>
      <c r="AJ62" s="80" t="str">
        <f t="shared" si="43"/>
        <v>A-</v>
      </c>
      <c r="AK62" s="80" t="s">
        <v>14</v>
      </c>
      <c r="AL62" s="80" t="s">
        <v>63</v>
      </c>
      <c r="AM62" s="80" t="s">
        <v>64</v>
      </c>
      <c r="AN62" s="80" t="str">
        <f t="shared" si="44"/>
        <v>C</v>
      </c>
      <c r="AO62" s="80" t="str">
        <f t="shared" si="45"/>
        <v/>
      </c>
      <c r="AP62" s="80" t="str">
        <f t="shared" si="46"/>
        <v/>
      </c>
      <c r="AQ62" s="80" t="str">
        <f t="shared" si="47"/>
        <v>O</v>
      </c>
      <c r="AR62" s="80" t="str">
        <f t="shared" si="48"/>
        <v>O</v>
      </c>
      <c r="AS62" s="80" t="s">
        <v>2</v>
      </c>
      <c r="AT62" s="80" t="str">
        <f t="shared" si="49"/>
        <v>O</v>
      </c>
      <c r="AU62" s="80" t="str">
        <f t="shared" si="50"/>
        <v>O</v>
      </c>
      <c r="AV62" s="80" t="str">
        <f t="shared" si="51"/>
        <v/>
      </c>
    </row>
    <row r="63" spans="1:48" s="37" customFormat="1" ht="12" x14ac:dyDescent="0.3">
      <c r="A63" s="75" t="s">
        <v>1406</v>
      </c>
      <c r="B63" s="76" t="s">
        <v>1408</v>
      </c>
      <c r="C63" s="86">
        <v>800</v>
      </c>
      <c r="D63" s="87">
        <v>61.6</v>
      </c>
      <c r="E63" s="88">
        <v>19</v>
      </c>
      <c r="F63" s="87">
        <v>61.6</v>
      </c>
      <c r="G63" s="17">
        <v>19</v>
      </c>
      <c r="H63" s="89">
        <v>1</v>
      </c>
      <c r="I63" s="90"/>
      <c r="J63" s="90"/>
      <c r="K63" s="90"/>
      <c r="L63" s="90"/>
      <c r="M63" s="91">
        <f t="shared" si="34"/>
        <v>0</v>
      </c>
      <c r="N63" s="4" t="str">
        <f t="shared" si="35"/>
        <v/>
      </c>
      <c r="O63" s="92">
        <f t="shared" si="36"/>
        <v>0</v>
      </c>
      <c r="P63" s="92">
        <f t="shared" si="37"/>
        <v>0</v>
      </c>
      <c r="Q63" s="80">
        <v>3</v>
      </c>
      <c r="R63" s="80">
        <v>1</v>
      </c>
      <c r="S63" s="80" t="s">
        <v>61</v>
      </c>
      <c r="T63" s="5" t="s">
        <v>421</v>
      </c>
      <c r="U63" s="9"/>
      <c r="W63" s="87">
        <f t="shared" si="38"/>
        <v>61.6</v>
      </c>
      <c r="X63" s="88">
        <f t="shared" si="38"/>
        <v>19</v>
      </c>
      <c r="Y63" s="93">
        <f t="shared" si="39"/>
        <v>1</v>
      </c>
      <c r="Z63" s="91">
        <f t="shared" si="39"/>
        <v>0</v>
      </c>
      <c r="AA63" s="91">
        <f t="shared" si="40"/>
        <v>0</v>
      </c>
      <c r="AB63" s="91">
        <f t="shared" si="52"/>
        <v>0</v>
      </c>
      <c r="AC63" s="4" t="str">
        <f t="shared" si="52"/>
        <v/>
      </c>
      <c r="AD63" s="92">
        <f t="shared" si="52"/>
        <v>0</v>
      </c>
      <c r="AE63" s="80" t="str">
        <f t="shared" si="41"/>
        <v>계</v>
      </c>
      <c r="AF63" s="80" t="str">
        <f t="shared" si="42"/>
        <v>3/1</v>
      </c>
      <c r="AH63" s="20" t="str">
        <f t="shared" si="15"/>
        <v>나운동 주공3단지</v>
      </c>
      <c r="AI63" s="88">
        <f t="shared" si="4"/>
        <v>19</v>
      </c>
      <c r="AJ63" s="80" t="str">
        <f t="shared" si="43"/>
        <v>A-</v>
      </c>
      <c r="AK63" s="80" t="s">
        <v>14</v>
      </c>
      <c r="AL63" s="80" t="s">
        <v>63</v>
      </c>
      <c r="AM63" s="80" t="s">
        <v>64</v>
      </c>
      <c r="AN63" s="80" t="str">
        <f t="shared" si="44"/>
        <v>C</v>
      </c>
      <c r="AO63" s="80" t="str">
        <f t="shared" si="45"/>
        <v/>
      </c>
      <c r="AP63" s="80" t="str">
        <f t="shared" si="46"/>
        <v/>
      </c>
      <c r="AQ63" s="80" t="str">
        <f t="shared" si="47"/>
        <v>O</v>
      </c>
      <c r="AR63" s="80" t="str">
        <f t="shared" si="48"/>
        <v>O</v>
      </c>
      <c r="AS63" s="80" t="s">
        <v>2</v>
      </c>
      <c r="AT63" s="80" t="str">
        <f t="shared" si="49"/>
        <v>O</v>
      </c>
      <c r="AU63" s="80" t="str">
        <f t="shared" si="50"/>
        <v>O</v>
      </c>
      <c r="AV63" s="80" t="str">
        <f t="shared" si="51"/>
        <v/>
      </c>
    </row>
    <row r="64" spans="1:48" s="37" customFormat="1" ht="12" x14ac:dyDescent="0.3">
      <c r="A64" s="75" t="s">
        <v>1406</v>
      </c>
      <c r="B64" s="76" t="s">
        <v>1408</v>
      </c>
      <c r="C64" s="86">
        <v>800</v>
      </c>
      <c r="D64" s="87">
        <v>62.4</v>
      </c>
      <c r="E64" s="88">
        <v>19</v>
      </c>
      <c r="F64" s="87">
        <v>62.4</v>
      </c>
      <c r="G64" s="17">
        <v>19</v>
      </c>
      <c r="H64" s="89">
        <v>28</v>
      </c>
      <c r="I64" s="90"/>
      <c r="J64" s="90"/>
      <c r="K64" s="90"/>
      <c r="L64" s="90"/>
      <c r="M64" s="91">
        <f t="shared" si="34"/>
        <v>0</v>
      </c>
      <c r="N64" s="4" t="str">
        <f t="shared" si="35"/>
        <v/>
      </c>
      <c r="O64" s="92">
        <f t="shared" si="36"/>
        <v>0</v>
      </c>
      <c r="P64" s="92">
        <f t="shared" si="37"/>
        <v>0</v>
      </c>
      <c r="Q64" s="80">
        <v>3</v>
      </c>
      <c r="R64" s="80">
        <v>1</v>
      </c>
      <c r="S64" s="80" t="s">
        <v>61</v>
      </c>
      <c r="T64" s="5" t="s">
        <v>422</v>
      </c>
      <c r="U64" s="9"/>
      <c r="W64" s="87">
        <f t="shared" si="38"/>
        <v>62.4</v>
      </c>
      <c r="X64" s="88">
        <f t="shared" si="38"/>
        <v>19</v>
      </c>
      <c r="Y64" s="93">
        <f t="shared" si="39"/>
        <v>28</v>
      </c>
      <c r="Z64" s="91">
        <f t="shared" si="39"/>
        <v>0</v>
      </c>
      <c r="AA64" s="91">
        <f t="shared" si="40"/>
        <v>0</v>
      </c>
      <c r="AB64" s="91">
        <f t="shared" si="52"/>
        <v>0</v>
      </c>
      <c r="AC64" s="4" t="str">
        <f t="shared" si="52"/>
        <v/>
      </c>
      <c r="AD64" s="92">
        <f t="shared" si="52"/>
        <v>0</v>
      </c>
      <c r="AE64" s="80" t="str">
        <f t="shared" si="41"/>
        <v>계</v>
      </c>
      <c r="AF64" s="80" t="str">
        <f t="shared" si="42"/>
        <v>3/1</v>
      </c>
      <c r="AH64" s="20" t="str">
        <f t="shared" si="15"/>
        <v>나운동 주공3단지</v>
      </c>
      <c r="AI64" s="88">
        <f t="shared" si="4"/>
        <v>19</v>
      </c>
      <c r="AJ64" s="80" t="str">
        <f t="shared" si="43"/>
        <v>A-</v>
      </c>
      <c r="AK64" s="80" t="s">
        <v>14</v>
      </c>
      <c r="AL64" s="80" t="s">
        <v>63</v>
      </c>
      <c r="AM64" s="80" t="s">
        <v>64</v>
      </c>
      <c r="AN64" s="80" t="str">
        <f t="shared" si="44"/>
        <v>C</v>
      </c>
      <c r="AO64" s="80" t="str">
        <f t="shared" si="45"/>
        <v/>
      </c>
      <c r="AP64" s="80" t="str">
        <f t="shared" si="46"/>
        <v/>
      </c>
      <c r="AQ64" s="80" t="str">
        <f t="shared" si="47"/>
        <v>O</v>
      </c>
      <c r="AR64" s="80" t="str">
        <f t="shared" si="48"/>
        <v>O</v>
      </c>
      <c r="AS64" s="80" t="s">
        <v>2</v>
      </c>
      <c r="AT64" s="80" t="str">
        <f t="shared" si="49"/>
        <v>O</v>
      </c>
      <c r="AU64" s="80" t="str">
        <f t="shared" si="50"/>
        <v>O</v>
      </c>
      <c r="AV64" s="80" t="str">
        <f t="shared" si="51"/>
        <v/>
      </c>
    </row>
    <row r="65" spans="1:48" s="37" customFormat="1" ht="12" x14ac:dyDescent="0.3">
      <c r="A65" s="75" t="s">
        <v>1406</v>
      </c>
      <c r="B65" s="76" t="s">
        <v>1407</v>
      </c>
      <c r="C65" s="86">
        <v>800</v>
      </c>
      <c r="D65" s="87">
        <v>66</v>
      </c>
      <c r="E65" s="88">
        <v>20</v>
      </c>
      <c r="F65" s="87">
        <v>66</v>
      </c>
      <c r="G65" s="17">
        <v>20</v>
      </c>
      <c r="H65" s="89">
        <v>125</v>
      </c>
      <c r="I65" s="90">
        <v>22000</v>
      </c>
      <c r="J65" s="90" t="s">
        <v>66</v>
      </c>
      <c r="K65" s="90"/>
      <c r="L65" s="90"/>
      <c r="M65" s="91">
        <f t="shared" si="34"/>
        <v>22000</v>
      </c>
      <c r="N65" s="4">
        <f t="shared" si="35"/>
        <v>0</v>
      </c>
      <c r="O65" s="92">
        <f t="shared" si="36"/>
        <v>1100</v>
      </c>
      <c r="P65" s="92">
        <f t="shared" si="37"/>
        <v>0</v>
      </c>
      <c r="Q65" s="80">
        <v>3</v>
      </c>
      <c r="R65" s="80">
        <v>1</v>
      </c>
      <c r="S65" s="80" t="s">
        <v>61</v>
      </c>
      <c r="T65" s="5" t="s">
        <v>127</v>
      </c>
      <c r="U65" s="9"/>
      <c r="W65" s="87">
        <f t="shared" si="38"/>
        <v>66</v>
      </c>
      <c r="X65" s="88">
        <f t="shared" si="38"/>
        <v>20</v>
      </c>
      <c r="Y65" s="93">
        <f t="shared" si="39"/>
        <v>125</v>
      </c>
      <c r="Z65" s="91">
        <f t="shared" si="39"/>
        <v>22000</v>
      </c>
      <c r="AA65" s="91">
        <f t="shared" si="40"/>
        <v>0</v>
      </c>
      <c r="AB65" s="91">
        <f t="shared" si="52"/>
        <v>22000</v>
      </c>
      <c r="AC65" s="4">
        <f t="shared" si="52"/>
        <v>0</v>
      </c>
      <c r="AD65" s="92">
        <f t="shared" si="52"/>
        <v>1100</v>
      </c>
      <c r="AE65" s="80" t="str">
        <f t="shared" si="41"/>
        <v>계</v>
      </c>
      <c r="AF65" s="80" t="str">
        <f t="shared" si="42"/>
        <v>3/1</v>
      </c>
      <c r="AH65" s="20" t="str">
        <f t="shared" si="15"/>
        <v>나운동 주공3단지</v>
      </c>
      <c r="AI65" s="88">
        <f t="shared" si="4"/>
        <v>20</v>
      </c>
      <c r="AJ65" s="80" t="str">
        <f t="shared" si="43"/>
        <v>A-</v>
      </c>
      <c r="AK65" s="80" t="s">
        <v>14</v>
      </c>
      <c r="AL65" s="80" t="s">
        <v>63</v>
      </c>
      <c r="AM65" s="80" t="s">
        <v>64</v>
      </c>
      <c r="AN65" s="80" t="str">
        <f t="shared" si="44"/>
        <v>C</v>
      </c>
      <c r="AO65" s="80" t="str">
        <f t="shared" si="45"/>
        <v>X</v>
      </c>
      <c r="AP65" s="80" t="str">
        <f t="shared" si="46"/>
        <v>O</v>
      </c>
      <c r="AQ65" s="80" t="str">
        <f t="shared" si="47"/>
        <v>O</v>
      </c>
      <c r="AR65" s="80" t="str">
        <f t="shared" si="48"/>
        <v>X</v>
      </c>
      <c r="AS65" s="80" t="s">
        <v>2</v>
      </c>
      <c r="AT65" s="80" t="str">
        <f t="shared" si="49"/>
        <v>O</v>
      </c>
      <c r="AU65" s="80" t="str">
        <f t="shared" si="50"/>
        <v>O</v>
      </c>
      <c r="AV65" s="80" t="str">
        <f t="shared" si="51"/>
        <v>X</v>
      </c>
    </row>
    <row r="66" spans="1:48" s="37" customFormat="1" ht="12" x14ac:dyDescent="0.3">
      <c r="A66" s="75" t="s">
        <v>1406</v>
      </c>
      <c r="B66" s="76" t="s">
        <v>1408</v>
      </c>
      <c r="C66" s="86">
        <v>800</v>
      </c>
      <c r="D66" s="87">
        <v>65.2</v>
      </c>
      <c r="E66" s="88">
        <v>20</v>
      </c>
      <c r="F66" s="87">
        <v>65.2</v>
      </c>
      <c r="G66" s="17">
        <v>20</v>
      </c>
      <c r="H66" s="89">
        <v>115</v>
      </c>
      <c r="I66" s="90">
        <v>22000</v>
      </c>
      <c r="J66" s="90" t="s">
        <v>68</v>
      </c>
      <c r="K66" s="90"/>
      <c r="L66" s="90"/>
      <c r="M66" s="91">
        <f t="shared" si="34"/>
        <v>22000</v>
      </c>
      <c r="N66" s="4">
        <f t="shared" si="35"/>
        <v>0</v>
      </c>
      <c r="O66" s="92">
        <f t="shared" si="36"/>
        <v>1100</v>
      </c>
      <c r="P66" s="92">
        <f t="shared" si="37"/>
        <v>0</v>
      </c>
      <c r="Q66" s="80">
        <v>3</v>
      </c>
      <c r="R66" s="80">
        <v>1</v>
      </c>
      <c r="S66" s="80" t="s">
        <v>61</v>
      </c>
      <c r="T66" s="5" t="s">
        <v>423</v>
      </c>
      <c r="U66" s="9"/>
      <c r="W66" s="87">
        <f t="shared" si="38"/>
        <v>65.2</v>
      </c>
      <c r="X66" s="88">
        <f t="shared" si="38"/>
        <v>20</v>
      </c>
      <c r="Y66" s="93">
        <f t="shared" si="39"/>
        <v>115</v>
      </c>
      <c r="Z66" s="91">
        <f t="shared" si="39"/>
        <v>22000</v>
      </c>
      <c r="AA66" s="91">
        <f t="shared" si="40"/>
        <v>0</v>
      </c>
      <c r="AB66" s="91">
        <f t="shared" si="52"/>
        <v>22000</v>
      </c>
      <c r="AC66" s="4">
        <f t="shared" si="52"/>
        <v>0</v>
      </c>
      <c r="AD66" s="92">
        <f t="shared" si="52"/>
        <v>1100</v>
      </c>
      <c r="AE66" s="80" t="str">
        <f t="shared" si="41"/>
        <v>계</v>
      </c>
      <c r="AF66" s="80" t="str">
        <f t="shared" si="42"/>
        <v>3/1</v>
      </c>
      <c r="AH66" s="20" t="str">
        <f t="shared" si="15"/>
        <v>나운동 주공3단지</v>
      </c>
      <c r="AI66" s="88">
        <f t="shared" si="4"/>
        <v>20</v>
      </c>
      <c r="AJ66" s="80" t="str">
        <f t="shared" si="43"/>
        <v>A-</v>
      </c>
      <c r="AK66" s="80" t="s">
        <v>14</v>
      </c>
      <c r="AL66" s="80" t="s">
        <v>63</v>
      </c>
      <c r="AM66" s="80" t="s">
        <v>64</v>
      </c>
      <c r="AN66" s="80" t="str">
        <f t="shared" si="44"/>
        <v>C</v>
      </c>
      <c r="AO66" s="80" t="str">
        <f t="shared" si="45"/>
        <v>X</v>
      </c>
      <c r="AP66" s="80" t="str">
        <f t="shared" si="46"/>
        <v>O</v>
      </c>
      <c r="AQ66" s="80" t="str">
        <f t="shared" si="47"/>
        <v>O</v>
      </c>
      <c r="AR66" s="80" t="str">
        <f t="shared" si="48"/>
        <v>X</v>
      </c>
      <c r="AS66" s="80" t="s">
        <v>2</v>
      </c>
      <c r="AT66" s="80" t="str">
        <f t="shared" si="49"/>
        <v>O</v>
      </c>
      <c r="AU66" s="80" t="str">
        <f t="shared" si="50"/>
        <v>O</v>
      </c>
      <c r="AV66" s="80" t="str">
        <f t="shared" si="51"/>
        <v>X</v>
      </c>
    </row>
    <row r="67" spans="1:48" s="37" customFormat="1" ht="12" x14ac:dyDescent="0.3">
      <c r="A67" s="75" t="s">
        <v>1409</v>
      </c>
      <c r="B67" s="76" t="s">
        <v>1410</v>
      </c>
      <c r="C67" s="86">
        <v>437</v>
      </c>
      <c r="D67" s="87">
        <v>78</v>
      </c>
      <c r="E67" s="88">
        <v>24</v>
      </c>
      <c r="F67" s="87">
        <v>59.9</v>
      </c>
      <c r="G67" s="17">
        <v>18</v>
      </c>
      <c r="H67" s="89">
        <v>155</v>
      </c>
      <c r="I67" s="90">
        <v>14200</v>
      </c>
      <c r="J67" s="90" t="s">
        <v>68</v>
      </c>
      <c r="K67" s="90">
        <v>13000</v>
      </c>
      <c r="L67" s="90" t="s">
        <v>72</v>
      </c>
      <c r="M67" s="91">
        <f>I67-K67</f>
        <v>1200</v>
      </c>
      <c r="N67" s="4">
        <f>IF(ISERROR(K67/I67),"",K67/I67)</f>
        <v>0.91549295774647887</v>
      </c>
      <c r="O67" s="92">
        <f>I67/E67</f>
        <v>591.66666666666663</v>
      </c>
      <c r="P67" s="92">
        <f>K67/E67</f>
        <v>541.66666666666663</v>
      </c>
      <c r="Q67" s="80">
        <v>3</v>
      </c>
      <c r="R67" s="80">
        <v>2</v>
      </c>
      <c r="S67" s="80" t="s">
        <v>61</v>
      </c>
      <c r="T67" s="5">
        <v>77</v>
      </c>
      <c r="U67" s="9"/>
      <c r="W67" s="87">
        <f t="shared" si="38"/>
        <v>78</v>
      </c>
      <c r="X67" s="88">
        <f t="shared" si="38"/>
        <v>24</v>
      </c>
      <c r="Y67" s="93">
        <f t="shared" si="39"/>
        <v>155</v>
      </c>
      <c r="Z67" s="91">
        <f t="shared" si="39"/>
        <v>14200</v>
      </c>
      <c r="AA67" s="91">
        <f>K67</f>
        <v>13000</v>
      </c>
      <c r="AB67" s="91">
        <f t="shared" si="52"/>
        <v>1200</v>
      </c>
      <c r="AC67" s="4">
        <f t="shared" si="52"/>
        <v>0.91549295774647887</v>
      </c>
      <c r="AD67" s="92">
        <f t="shared" si="52"/>
        <v>591.66666666666663</v>
      </c>
      <c r="AE67" s="80" t="str">
        <f>S67</f>
        <v>계</v>
      </c>
      <c r="AF67" s="80" t="str">
        <f>Q67&amp;"/"&amp;R67</f>
        <v>3/2</v>
      </c>
      <c r="AH67" s="20" t="str">
        <f t="shared" si="15"/>
        <v>나운동 나운보람더하임</v>
      </c>
      <c r="AI67" s="88">
        <f t="shared" si="4"/>
        <v>24</v>
      </c>
      <c r="AJ67" s="80" t="str">
        <f>IF(AI67="","",$AJ$2)</f>
        <v>A-</v>
      </c>
      <c r="AK67" s="80" t="s">
        <v>14</v>
      </c>
      <c r="AL67" s="80" t="s">
        <v>63</v>
      </c>
      <c r="AM67" s="80" t="s">
        <v>64</v>
      </c>
      <c r="AN67" s="80" t="str">
        <f>IF(AI67="","",$AN$2)</f>
        <v>C</v>
      </c>
      <c r="AO67" s="80" t="str">
        <f>IF(N67="","",IF(N67&gt;=$AO$1/100,"O","X"))</f>
        <v>O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O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후보</v>
      </c>
    </row>
    <row r="68" spans="1:48" s="37" customFormat="1" ht="12" x14ac:dyDescent="0.3">
      <c r="A68" s="75" t="s">
        <v>1409</v>
      </c>
      <c r="B68" s="76" t="s">
        <v>1410</v>
      </c>
      <c r="C68" s="86">
        <v>437</v>
      </c>
      <c r="D68" s="87">
        <v>110.6</v>
      </c>
      <c r="E68" s="88">
        <v>33</v>
      </c>
      <c r="F68" s="87">
        <v>85</v>
      </c>
      <c r="G68" s="17">
        <v>26</v>
      </c>
      <c r="H68" s="89">
        <v>202</v>
      </c>
      <c r="I68" s="90">
        <v>21000</v>
      </c>
      <c r="J68" s="90" t="s">
        <v>70</v>
      </c>
      <c r="K68" s="90"/>
      <c r="L68" s="90"/>
      <c r="M68" s="91">
        <f>I68-K68</f>
        <v>21000</v>
      </c>
      <c r="N68" s="4">
        <f>IF(ISERROR(K68/I68),"",K68/I68)</f>
        <v>0</v>
      </c>
      <c r="O68" s="92">
        <f>I68/E68</f>
        <v>636.36363636363637</v>
      </c>
      <c r="P68" s="92">
        <f>K68/E68</f>
        <v>0</v>
      </c>
      <c r="Q68" s="80">
        <v>3</v>
      </c>
      <c r="R68" s="80">
        <v>2</v>
      </c>
      <c r="S68" s="80" t="s">
        <v>61</v>
      </c>
      <c r="T68" s="5" t="s">
        <v>62</v>
      </c>
      <c r="U68" s="9"/>
      <c r="W68" s="87">
        <f t="shared" si="38"/>
        <v>110.6</v>
      </c>
      <c r="X68" s="88">
        <f t="shared" si="38"/>
        <v>33</v>
      </c>
      <c r="Y68" s="93">
        <f t="shared" si="39"/>
        <v>202</v>
      </c>
      <c r="Z68" s="91">
        <f t="shared" si="39"/>
        <v>21000</v>
      </c>
      <c r="AA68" s="91">
        <f>K68</f>
        <v>0</v>
      </c>
      <c r="AB68" s="91">
        <f t="shared" si="52"/>
        <v>21000</v>
      </c>
      <c r="AC68" s="4">
        <f t="shared" si="52"/>
        <v>0</v>
      </c>
      <c r="AD68" s="92">
        <f t="shared" si="52"/>
        <v>636.36363636363637</v>
      </c>
      <c r="AE68" s="80" t="str">
        <f>S68</f>
        <v>계</v>
      </c>
      <c r="AF68" s="80" t="str">
        <f>Q68&amp;"/"&amp;R68</f>
        <v>3/2</v>
      </c>
      <c r="AH68" s="20" t="str">
        <f t="shared" si="15"/>
        <v>나운동 나운보람더하임</v>
      </c>
      <c r="AI68" s="88">
        <f t="shared" ref="AI68:AI131" si="53">IF(E68="","",E68)</f>
        <v>33</v>
      </c>
      <c r="AJ68" s="80" t="str">
        <f>IF(AI68="","",$AJ$2)</f>
        <v>A-</v>
      </c>
      <c r="AK68" s="80" t="s">
        <v>14</v>
      </c>
      <c r="AL68" s="80" t="s">
        <v>63</v>
      </c>
      <c r="AM68" s="80" t="s">
        <v>64</v>
      </c>
      <c r="AN68" s="80" t="str">
        <f>IF(AI68="","",$AN$2)</f>
        <v>C</v>
      </c>
      <c r="AO68" s="80" t="str">
        <f>IF(N68="","",IF(N68&gt;=$AO$1/100,"O","X"))</f>
        <v>X</v>
      </c>
      <c r="AP68" s="80" t="str">
        <f>IF(I68="","",IF(I68&lt;=$AP$1,"O","X"))</f>
        <v>O</v>
      </c>
      <c r="AQ68" s="80" t="str">
        <f>IF(O68="","",IF(O68&lt;=$AQ$1,"O","X"))</f>
        <v>O</v>
      </c>
      <c r="AR68" s="80" t="str">
        <f>IF(M68="","",IF(M68&lt;=$AR$1,"O","X"))</f>
        <v>X</v>
      </c>
      <c r="AS68" s="80" t="s">
        <v>2</v>
      </c>
      <c r="AT68" s="80" t="str">
        <f>IF(OR(F68="",AI68=""),"",IF(AND((F68&lt;=85),(AI68&gt;=15)),"O","X"))</f>
        <v>O</v>
      </c>
      <c r="AU68" s="80" t="str">
        <f>IF(C68="","",IF(C68&gt;=$AU$1,"O","X"))</f>
        <v>O</v>
      </c>
      <c r="AV68" s="80" t="str">
        <f>IF(AO68="","",IF(AND(AO68="O",AP68="O",AR68="O",AT68="O",AU68="O"),"후보","X"))</f>
        <v>X</v>
      </c>
    </row>
    <row r="69" spans="1:48" s="37" customFormat="1" ht="12" x14ac:dyDescent="0.3">
      <c r="A69" s="75" t="s">
        <v>1409</v>
      </c>
      <c r="B69" s="76" t="s">
        <v>1411</v>
      </c>
      <c r="C69" s="86">
        <v>437</v>
      </c>
      <c r="D69" s="87">
        <v>110.7</v>
      </c>
      <c r="E69" s="88">
        <v>33</v>
      </c>
      <c r="F69" s="87">
        <v>84.9</v>
      </c>
      <c r="G69" s="17">
        <v>26</v>
      </c>
      <c r="H69" s="89">
        <v>14</v>
      </c>
      <c r="I69" s="90"/>
      <c r="J69" s="90"/>
      <c r="K69" s="90"/>
      <c r="L69" s="90"/>
      <c r="M69" s="91">
        <f>I69-K69</f>
        <v>0</v>
      </c>
      <c r="N69" s="4" t="str">
        <f>IF(ISERROR(K69/I69),"",K69/I69)</f>
        <v/>
      </c>
      <c r="O69" s="92">
        <f>I69/E69</f>
        <v>0</v>
      </c>
      <c r="P69" s="92">
        <f>K69/E69</f>
        <v>0</v>
      </c>
      <c r="Q69" s="80">
        <v>3</v>
      </c>
      <c r="R69" s="80">
        <v>2</v>
      </c>
      <c r="S69" s="80" t="s">
        <v>61</v>
      </c>
      <c r="T69" s="5" t="s">
        <v>97</v>
      </c>
      <c r="U69" s="9"/>
      <c r="W69" s="87">
        <f t="shared" si="38"/>
        <v>110.7</v>
      </c>
      <c r="X69" s="88">
        <f t="shared" si="38"/>
        <v>33</v>
      </c>
      <c r="Y69" s="93">
        <f t="shared" si="39"/>
        <v>14</v>
      </c>
      <c r="Z69" s="91">
        <f t="shared" si="39"/>
        <v>0</v>
      </c>
      <c r="AA69" s="91">
        <f>K69</f>
        <v>0</v>
      </c>
      <c r="AB69" s="91">
        <f t="shared" si="52"/>
        <v>0</v>
      </c>
      <c r="AC69" s="4" t="str">
        <f t="shared" si="52"/>
        <v/>
      </c>
      <c r="AD69" s="92">
        <f t="shared" si="52"/>
        <v>0</v>
      </c>
      <c r="AE69" s="80" t="str">
        <f>S69</f>
        <v>계</v>
      </c>
      <c r="AF69" s="80" t="str">
        <f>Q69&amp;"/"&amp;R69</f>
        <v>3/2</v>
      </c>
      <c r="AH69" s="20" t="str">
        <f t="shared" si="15"/>
        <v>나운동 나운보람더하임</v>
      </c>
      <c r="AI69" s="88">
        <f t="shared" si="53"/>
        <v>33</v>
      </c>
      <c r="AJ69" s="80" t="str">
        <f>IF(AI69="","",$AJ$2)</f>
        <v>A-</v>
      </c>
      <c r="AK69" s="80" t="s">
        <v>14</v>
      </c>
      <c r="AL69" s="80" t="s">
        <v>63</v>
      </c>
      <c r="AM69" s="80" t="s">
        <v>64</v>
      </c>
      <c r="AN69" s="80" t="str">
        <f>IF(AI69="","",$AN$2)</f>
        <v>C</v>
      </c>
      <c r="AO69" s="80" t="str">
        <f>IF(N69="","",IF(N69&gt;=$AO$1/100,"O","X"))</f>
        <v/>
      </c>
      <c r="AP69" s="80" t="str">
        <f>IF(I69="","",IF(I69&lt;=$AP$1,"O","X"))</f>
        <v/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/>
      </c>
    </row>
    <row r="70" spans="1:48" s="37" customFormat="1" ht="12" x14ac:dyDescent="0.3">
      <c r="A70" s="75" t="s">
        <v>1409</v>
      </c>
      <c r="B70" s="76" t="s">
        <v>1410</v>
      </c>
      <c r="C70" s="86">
        <v>437</v>
      </c>
      <c r="D70" s="87">
        <v>110.5</v>
      </c>
      <c r="E70" s="88">
        <v>33</v>
      </c>
      <c r="F70" s="87">
        <v>84.5</v>
      </c>
      <c r="G70" s="17">
        <v>26</v>
      </c>
      <c r="H70" s="89">
        <v>12</v>
      </c>
      <c r="I70" s="90"/>
      <c r="J70" s="90"/>
      <c r="K70" s="90"/>
      <c r="L70" s="90"/>
      <c r="M70" s="91">
        <f>I70-K70</f>
        <v>0</v>
      </c>
      <c r="N70" s="4" t="str">
        <f>IF(ISERROR(K70/I70),"",K70/I70)</f>
        <v/>
      </c>
      <c r="O70" s="92">
        <f>I70/E70</f>
        <v>0</v>
      </c>
      <c r="P70" s="92">
        <f>K70/E70</f>
        <v>0</v>
      </c>
      <c r="Q70" s="80">
        <v>3</v>
      </c>
      <c r="R70" s="80">
        <v>2</v>
      </c>
      <c r="S70" s="80" t="s">
        <v>61</v>
      </c>
      <c r="T70" s="5" t="s">
        <v>437</v>
      </c>
      <c r="U70" s="9"/>
      <c r="W70" s="87">
        <f t="shared" si="38"/>
        <v>110.5</v>
      </c>
      <c r="X70" s="88">
        <f t="shared" si="38"/>
        <v>33</v>
      </c>
      <c r="Y70" s="93">
        <f t="shared" si="39"/>
        <v>12</v>
      </c>
      <c r="Z70" s="91">
        <f t="shared" si="39"/>
        <v>0</v>
      </c>
      <c r="AA70" s="91">
        <f>K70</f>
        <v>0</v>
      </c>
      <c r="AB70" s="91">
        <f t="shared" si="52"/>
        <v>0</v>
      </c>
      <c r="AC70" s="4" t="str">
        <f t="shared" si="52"/>
        <v/>
      </c>
      <c r="AD70" s="92">
        <f t="shared" si="52"/>
        <v>0</v>
      </c>
      <c r="AE70" s="80" t="str">
        <f>S70</f>
        <v>계</v>
      </c>
      <c r="AF70" s="80" t="str">
        <f>Q70&amp;"/"&amp;R70</f>
        <v>3/2</v>
      </c>
      <c r="AH70" s="20" t="str">
        <f t="shared" si="15"/>
        <v>나운동 나운보람더하임</v>
      </c>
      <c r="AI70" s="88">
        <f t="shared" si="53"/>
        <v>33</v>
      </c>
      <c r="AJ70" s="80" t="str">
        <f>IF(AI70="","",$AJ$2)</f>
        <v>A-</v>
      </c>
      <c r="AK70" s="80" t="s">
        <v>14</v>
      </c>
      <c r="AL70" s="80" t="s">
        <v>63</v>
      </c>
      <c r="AM70" s="80" t="s">
        <v>64</v>
      </c>
      <c r="AN70" s="80" t="str">
        <f>IF(AI70="","",$AN$2)</f>
        <v>C</v>
      </c>
      <c r="AO70" s="80" t="str">
        <f>IF(N70="","",IF(N70&gt;=$AO$1/100,"O","X"))</f>
        <v/>
      </c>
      <c r="AP70" s="80" t="str">
        <f>IF(I70="","",IF(I70&lt;=$AP$1,"O","X"))</f>
        <v/>
      </c>
      <c r="AQ70" s="80" t="str">
        <f>IF(O70="","",IF(O70&lt;=$AQ$1,"O","X"))</f>
        <v>O</v>
      </c>
      <c r="AR70" s="80" t="str">
        <f>IF(M70="","",IF(M70&lt;=$AR$1,"O","X"))</f>
        <v>O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/>
      </c>
    </row>
    <row r="71" spans="1:48" s="37" customFormat="1" ht="12" x14ac:dyDescent="0.3">
      <c r="A71" s="75" t="s">
        <v>1409</v>
      </c>
      <c r="B71" s="76" t="s">
        <v>1411</v>
      </c>
      <c r="C71" s="86">
        <v>437</v>
      </c>
      <c r="D71" s="87">
        <v>152.69999999999999</v>
      </c>
      <c r="E71" s="88">
        <v>46</v>
      </c>
      <c r="F71" s="87">
        <v>118.6</v>
      </c>
      <c r="G71" s="17">
        <v>36</v>
      </c>
      <c r="H71" s="89">
        <v>54</v>
      </c>
      <c r="I71" s="90">
        <v>32000</v>
      </c>
      <c r="J71" s="90" t="s">
        <v>67</v>
      </c>
      <c r="K71" s="90"/>
      <c r="L71" s="90"/>
      <c r="M71" s="91">
        <f>I71-K71</f>
        <v>32000</v>
      </c>
      <c r="N71" s="4">
        <f>IF(ISERROR(K71/I71),"",K71/I71)</f>
        <v>0</v>
      </c>
      <c r="O71" s="92">
        <f>I71/E71</f>
        <v>695.6521739130435</v>
      </c>
      <c r="P71" s="92">
        <f>K71/E71</f>
        <v>0</v>
      </c>
      <c r="Q71" s="80">
        <v>4</v>
      </c>
      <c r="R71" s="80">
        <v>2</v>
      </c>
      <c r="S71" s="80" t="s">
        <v>61</v>
      </c>
      <c r="T71" s="5">
        <v>152</v>
      </c>
      <c r="U71" s="9"/>
      <c r="W71" s="87">
        <f t="shared" si="38"/>
        <v>152.69999999999999</v>
      </c>
      <c r="X71" s="88">
        <f t="shared" si="38"/>
        <v>46</v>
      </c>
      <c r="Y71" s="93">
        <f t="shared" si="39"/>
        <v>54</v>
      </c>
      <c r="Z71" s="91">
        <f t="shared" si="39"/>
        <v>32000</v>
      </c>
      <c r="AA71" s="91">
        <f>K71</f>
        <v>0</v>
      </c>
      <c r="AB71" s="91">
        <f t="shared" si="52"/>
        <v>32000</v>
      </c>
      <c r="AC71" s="4">
        <f t="shared" si="52"/>
        <v>0</v>
      </c>
      <c r="AD71" s="92">
        <f t="shared" si="52"/>
        <v>695.6521739130435</v>
      </c>
      <c r="AE71" s="80" t="str">
        <f>S71</f>
        <v>계</v>
      </c>
      <c r="AF71" s="80" t="str">
        <f>Q71&amp;"/"&amp;R71</f>
        <v>4/2</v>
      </c>
      <c r="AH71" s="20" t="str">
        <f t="shared" si="15"/>
        <v>나운동 나운보람더하임</v>
      </c>
      <c r="AI71" s="88">
        <f t="shared" si="53"/>
        <v>46</v>
      </c>
      <c r="AJ71" s="80" t="str">
        <f>IF(AI71="","",$AJ$2)</f>
        <v>A-</v>
      </c>
      <c r="AK71" s="80" t="s">
        <v>14</v>
      </c>
      <c r="AL71" s="80" t="s">
        <v>63</v>
      </c>
      <c r="AM71" s="80" t="s">
        <v>64</v>
      </c>
      <c r="AN71" s="80" t="str">
        <f>IF(AI71="","",$AN$2)</f>
        <v>C</v>
      </c>
      <c r="AO71" s="80" t="str">
        <f>IF(N71="","",IF(N71&gt;=$AO$1/100,"O","X"))</f>
        <v>X</v>
      </c>
      <c r="AP71" s="80" t="str">
        <f>IF(I71="","",IF(I71&lt;=$AP$1,"O","X"))</f>
        <v>O</v>
      </c>
      <c r="AQ71" s="80" t="str">
        <f>IF(O71="","",IF(O71&lt;=$AQ$1,"O","X"))</f>
        <v>O</v>
      </c>
      <c r="AR71" s="80" t="str">
        <f>IF(M71="","",IF(M71&lt;=$AR$1,"O","X"))</f>
        <v>X</v>
      </c>
      <c r="AS71" s="80" t="s">
        <v>2</v>
      </c>
      <c r="AT71" s="80" t="str">
        <f>IF(OR(F71="",AI71=""),"",IF(AND((F71&lt;=85),(AI71&gt;=15)),"O","X"))</f>
        <v>X</v>
      </c>
      <c r="AU71" s="80" t="str">
        <f>IF(C71="","",IF(C71&gt;=$AU$1,"O","X"))</f>
        <v>O</v>
      </c>
      <c r="AV71" s="80" t="str">
        <f>IF(AO71="","",IF(AND(AO71="O",AP71="O",AR71="O",AT71="O",AU71="O"),"후보","X"))</f>
        <v>X</v>
      </c>
    </row>
    <row r="72" spans="1:48" s="37" customFormat="1" ht="12" x14ac:dyDescent="0.3">
      <c r="A72" s="75" t="s">
        <v>1412</v>
      </c>
      <c r="B72" s="76" t="s">
        <v>1413</v>
      </c>
      <c r="C72" s="86">
        <v>420</v>
      </c>
      <c r="D72" s="87">
        <v>112.4</v>
      </c>
      <c r="E72" s="88">
        <v>34</v>
      </c>
      <c r="F72" s="87">
        <v>92.3</v>
      </c>
      <c r="G72" s="17">
        <v>28</v>
      </c>
      <c r="H72" s="89">
        <v>270</v>
      </c>
      <c r="I72" s="90">
        <v>18000</v>
      </c>
      <c r="J72" s="90" t="s">
        <v>67</v>
      </c>
      <c r="K72" s="90"/>
      <c r="L72" s="90"/>
      <c r="M72" s="91">
        <f>I72-K72</f>
        <v>18000</v>
      </c>
      <c r="N72" s="4">
        <f>IF(ISERROR(K72/I72),"",K72/I72)</f>
        <v>0</v>
      </c>
      <c r="O72" s="92">
        <f>I72/E72</f>
        <v>529.41176470588232</v>
      </c>
      <c r="P72" s="92">
        <f>K72/E72</f>
        <v>0</v>
      </c>
      <c r="Q72" s="80">
        <v>3</v>
      </c>
      <c r="R72" s="80">
        <v>2</v>
      </c>
      <c r="S72" s="80" t="s">
        <v>61</v>
      </c>
      <c r="T72" s="5">
        <v>112</v>
      </c>
      <c r="U72" s="9"/>
      <c r="W72" s="87">
        <f>D72</f>
        <v>112.4</v>
      </c>
      <c r="X72" s="88">
        <f>E72</f>
        <v>34</v>
      </c>
      <c r="Y72" s="93">
        <f>H72</f>
        <v>270</v>
      </c>
      <c r="Z72" s="91">
        <f>I72</f>
        <v>18000</v>
      </c>
      <c r="AA72" s="91">
        <f>K72</f>
        <v>0</v>
      </c>
      <c r="AB72" s="91">
        <f t="shared" si="52"/>
        <v>18000</v>
      </c>
      <c r="AC72" s="4">
        <f t="shared" si="52"/>
        <v>0</v>
      </c>
      <c r="AD72" s="92">
        <f t="shared" si="52"/>
        <v>529.41176470588232</v>
      </c>
      <c r="AE72" s="80" t="str">
        <f>S72</f>
        <v>계</v>
      </c>
      <c r="AF72" s="80" t="str">
        <f>Q72&amp;"/"&amp;R72</f>
        <v>3/2</v>
      </c>
      <c r="AH72" s="20" t="str">
        <f t="shared" si="15"/>
        <v>나운동 동신</v>
      </c>
      <c r="AI72" s="88">
        <f t="shared" si="53"/>
        <v>34</v>
      </c>
      <c r="AJ72" s="80" t="str">
        <f>IF(AI72="","",$AJ$2)</f>
        <v>A-</v>
      </c>
      <c r="AK72" s="80" t="s">
        <v>14</v>
      </c>
      <c r="AL72" s="80" t="s">
        <v>63</v>
      </c>
      <c r="AM72" s="80" t="s">
        <v>64</v>
      </c>
      <c r="AN72" s="80" t="str">
        <f>IF(AI72="","",$AN$2)</f>
        <v>C</v>
      </c>
      <c r="AO72" s="80" t="str">
        <f>IF(N72="","",IF(N72&gt;=$AO$1/100,"O","X"))</f>
        <v>X</v>
      </c>
      <c r="AP72" s="80" t="str">
        <f>IF(I72="","",IF(I72&lt;=$AP$1,"O","X"))</f>
        <v>O</v>
      </c>
      <c r="AQ72" s="80" t="str">
        <f>IF(O72="","",IF(O72&lt;=$AQ$1,"O","X"))</f>
        <v>O</v>
      </c>
      <c r="AR72" s="80" t="str">
        <f>IF(M72="","",IF(M72&lt;=$AR$1,"O","X"))</f>
        <v>X</v>
      </c>
      <c r="AS72" s="80" t="s">
        <v>2</v>
      </c>
      <c r="AT72" s="80" t="str">
        <f>IF(OR(F72="",AI72=""),"",IF(AND((F72&lt;=85),(AI72&gt;=15)),"O","X"))</f>
        <v>X</v>
      </c>
      <c r="AU72" s="80" t="str">
        <f>IF(C72="","",IF(C72&gt;=$AU$1,"O","X"))</f>
        <v>O</v>
      </c>
      <c r="AV72" s="80" t="str">
        <f>IF(AO72="","",IF(AND(AO72="O",AP72="O",AR72="O",AT72="O",AU72="O"),"후보","X"))</f>
        <v>X</v>
      </c>
    </row>
    <row r="73" spans="1:48" s="37" customFormat="1" ht="12" x14ac:dyDescent="0.3">
      <c r="A73" s="75" t="s">
        <v>1412</v>
      </c>
      <c r="B73" s="76" t="s">
        <v>1413</v>
      </c>
      <c r="C73" s="86">
        <v>420</v>
      </c>
      <c r="D73" s="87">
        <v>136.5</v>
      </c>
      <c r="E73" s="88">
        <v>41</v>
      </c>
      <c r="F73" s="87">
        <v>114.6</v>
      </c>
      <c r="G73" s="17">
        <v>35</v>
      </c>
      <c r="H73" s="89">
        <v>150</v>
      </c>
      <c r="I73" s="90">
        <v>22000</v>
      </c>
      <c r="J73" s="90" t="s">
        <v>68</v>
      </c>
      <c r="K73" s="90"/>
      <c r="L73" s="90"/>
      <c r="M73" s="91">
        <f>I73-K73</f>
        <v>22000</v>
      </c>
      <c r="N73" s="4">
        <f>IF(ISERROR(K73/I73),"",K73/I73)</f>
        <v>0</v>
      </c>
      <c r="O73" s="92">
        <f>I73/E73</f>
        <v>536.58536585365857</v>
      </c>
      <c r="P73" s="92">
        <f>K73/E73</f>
        <v>0</v>
      </c>
      <c r="Q73" s="80">
        <v>4</v>
      </c>
      <c r="R73" s="80">
        <v>2</v>
      </c>
      <c r="S73" s="80" t="s">
        <v>61</v>
      </c>
      <c r="T73" s="5">
        <v>136</v>
      </c>
      <c r="U73" s="9"/>
      <c r="W73" s="87">
        <f>D73</f>
        <v>136.5</v>
      </c>
      <c r="X73" s="88">
        <f>E73</f>
        <v>41</v>
      </c>
      <c r="Y73" s="93">
        <f>H73</f>
        <v>150</v>
      </c>
      <c r="Z73" s="91">
        <f>I73</f>
        <v>22000</v>
      </c>
      <c r="AA73" s="91">
        <f>K73</f>
        <v>0</v>
      </c>
      <c r="AB73" s="91">
        <f t="shared" si="52"/>
        <v>22000</v>
      </c>
      <c r="AC73" s="4">
        <f t="shared" si="52"/>
        <v>0</v>
      </c>
      <c r="AD73" s="92">
        <f t="shared" si="52"/>
        <v>536.58536585365857</v>
      </c>
      <c r="AE73" s="80" t="str">
        <f>S73</f>
        <v>계</v>
      </c>
      <c r="AF73" s="80" t="str">
        <f>Q73&amp;"/"&amp;R73</f>
        <v>4/2</v>
      </c>
      <c r="AH73" s="20" t="str">
        <f t="shared" si="15"/>
        <v>나운동 동신</v>
      </c>
      <c r="AI73" s="88">
        <f t="shared" si="53"/>
        <v>41</v>
      </c>
      <c r="AJ73" s="80" t="str">
        <f>IF(AI73="","",$AJ$2)</f>
        <v>A-</v>
      </c>
      <c r="AK73" s="80" t="s">
        <v>14</v>
      </c>
      <c r="AL73" s="80" t="s">
        <v>63</v>
      </c>
      <c r="AM73" s="80" t="s">
        <v>64</v>
      </c>
      <c r="AN73" s="80" t="str">
        <f>IF(AI73="","",$AN$2)</f>
        <v>C</v>
      </c>
      <c r="AO73" s="80" t="str">
        <f>IF(N73="","",IF(N73&gt;=$AO$1/100,"O","X"))</f>
        <v>X</v>
      </c>
      <c r="AP73" s="80" t="str">
        <f>IF(I73="","",IF(I73&lt;=$AP$1,"O","X"))</f>
        <v>O</v>
      </c>
      <c r="AQ73" s="80" t="str">
        <f>IF(O73="","",IF(O73&lt;=$AQ$1,"O","X"))</f>
        <v>O</v>
      </c>
      <c r="AR73" s="80" t="str">
        <f>IF(M73="","",IF(M73&lt;=$AR$1,"O","X"))</f>
        <v>X</v>
      </c>
      <c r="AS73" s="80" t="s">
        <v>2</v>
      </c>
      <c r="AT73" s="80" t="str">
        <f>IF(OR(F73="",AI73=""),"",IF(AND((F73&lt;=85),(AI73&gt;=15)),"O","X"))</f>
        <v>X</v>
      </c>
      <c r="AU73" s="80" t="str">
        <f>IF(C73="","",IF(C73&gt;=$AU$1,"O","X"))</f>
        <v>O</v>
      </c>
      <c r="AV73" s="80" t="str">
        <f>IF(AO73="","",IF(AND(AO73="O",AP73="O",AR73="O",AT73="O",AU73="O"),"후보","X"))</f>
        <v>X</v>
      </c>
    </row>
    <row r="74" spans="1:48" s="37" customFormat="1" ht="12" x14ac:dyDescent="0.3">
      <c r="A74" s="75" t="s">
        <v>1415</v>
      </c>
      <c r="B74" s="76" t="s">
        <v>1416</v>
      </c>
      <c r="C74" s="86">
        <v>260</v>
      </c>
      <c r="D74" s="87">
        <v>105.3</v>
      </c>
      <c r="E74" s="88">
        <v>32</v>
      </c>
      <c r="F74" s="87">
        <v>85</v>
      </c>
      <c r="G74" s="17">
        <v>26</v>
      </c>
      <c r="H74" s="89">
        <v>230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3</v>
      </c>
      <c r="R74" s="80">
        <v>2</v>
      </c>
      <c r="S74" s="80" t="s">
        <v>61</v>
      </c>
      <c r="T74" s="5">
        <v>105</v>
      </c>
      <c r="U74" s="9"/>
      <c r="W74" s="87">
        <f>D74</f>
        <v>105.3</v>
      </c>
      <c r="X74" s="88">
        <f>E74</f>
        <v>32</v>
      </c>
      <c r="Y74" s="93">
        <f>H74</f>
        <v>230</v>
      </c>
      <c r="Z74" s="91">
        <f>I74</f>
        <v>0</v>
      </c>
      <c r="AA74" s="91">
        <f>K74</f>
        <v>0</v>
      </c>
      <c r="AB74" s="91">
        <f t="shared" si="52"/>
        <v>0</v>
      </c>
      <c r="AC74" s="4" t="str">
        <f t="shared" si="52"/>
        <v/>
      </c>
      <c r="AD74" s="92">
        <f t="shared" si="52"/>
        <v>0</v>
      </c>
      <c r="AE74" s="80" t="str">
        <f>S74</f>
        <v>계</v>
      </c>
      <c r="AF74" s="80" t="str">
        <f>Q74&amp;"/"&amp;R74</f>
        <v>3/2</v>
      </c>
      <c r="AH74" s="20" t="str">
        <f t="shared" si="15"/>
        <v>나운동 대우</v>
      </c>
      <c r="AI74" s="88">
        <f t="shared" si="53"/>
        <v>32</v>
      </c>
      <c r="AJ74" s="80" t="str">
        <f>IF(AI74="","",$AJ$2)</f>
        <v>A-</v>
      </c>
      <c r="AK74" s="80" t="s">
        <v>14</v>
      </c>
      <c r="AL74" s="80" t="s">
        <v>63</v>
      </c>
      <c r="AM74" s="80" t="s">
        <v>64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X</v>
      </c>
      <c r="AV74" s="80" t="str">
        <f>IF(AO74="","",IF(AND(AO74="O",AP74="O",AR74="O",AT74="O",AU74="O"),"후보","X"))</f>
        <v/>
      </c>
    </row>
    <row r="75" spans="1:48" s="37" customFormat="1" ht="12" x14ac:dyDescent="0.3">
      <c r="A75" s="75" t="s">
        <v>1415</v>
      </c>
      <c r="B75" s="76" t="s">
        <v>1416</v>
      </c>
      <c r="C75" s="86">
        <v>260</v>
      </c>
      <c r="D75" s="87">
        <v>225.8</v>
      </c>
      <c r="E75" s="88">
        <v>68</v>
      </c>
      <c r="F75" s="87">
        <v>187.1</v>
      </c>
      <c r="G75" s="17">
        <v>57</v>
      </c>
      <c r="H75" s="89">
        <v>30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5</v>
      </c>
      <c r="R75" s="80">
        <v>2</v>
      </c>
      <c r="S75" s="80" t="s">
        <v>61</v>
      </c>
      <c r="T75" s="5">
        <v>225</v>
      </c>
      <c r="U75" s="9"/>
      <c r="W75" s="87">
        <f>D75</f>
        <v>225.8</v>
      </c>
      <c r="X75" s="88">
        <f>E75</f>
        <v>68</v>
      </c>
      <c r="Y75" s="93">
        <f>H75</f>
        <v>30</v>
      </c>
      <c r="Z75" s="91">
        <f>I75</f>
        <v>0</v>
      </c>
      <c r="AA75" s="91">
        <f>K75</f>
        <v>0</v>
      </c>
      <c r="AB75" s="91">
        <f t="shared" si="52"/>
        <v>0</v>
      </c>
      <c r="AC75" s="4" t="str">
        <f t="shared" si="52"/>
        <v/>
      </c>
      <c r="AD75" s="92">
        <f t="shared" si="52"/>
        <v>0</v>
      </c>
      <c r="AE75" s="80" t="str">
        <f>S75</f>
        <v>계</v>
      </c>
      <c r="AF75" s="80" t="str">
        <f>Q75&amp;"/"&amp;R75</f>
        <v>5/2</v>
      </c>
      <c r="AH75" s="20" t="str">
        <f t="shared" si="15"/>
        <v>나운동 대우</v>
      </c>
      <c r="AI75" s="88">
        <f t="shared" si="53"/>
        <v>68</v>
      </c>
      <c r="AJ75" s="80" t="str">
        <f>IF(AI75="","",$AJ$2)</f>
        <v>A-</v>
      </c>
      <c r="AK75" s="80" t="s">
        <v>14</v>
      </c>
      <c r="AL75" s="80" t="s">
        <v>63</v>
      </c>
      <c r="AM75" s="80" t="s">
        <v>64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X</v>
      </c>
      <c r="AU75" s="80" t="str">
        <f>IF(C75="","",IF(C75&gt;=$AU$1,"O","X"))</f>
        <v>X</v>
      </c>
      <c r="AV75" s="80" t="str">
        <f>IF(AO75="","",IF(AND(AO75="O",AP75="O",AR75="O",AT75="O",AU75="O"),"후보","X"))</f>
        <v/>
      </c>
    </row>
    <row r="76" spans="1:48" s="37" customFormat="1" ht="12" x14ac:dyDescent="0.3">
      <c r="A76" s="75" t="s">
        <v>1418</v>
      </c>
      <c r="B76" s="76" t="s">
        <v>1419</v>
      </c>
      <c r="C76" s="86">
        <v>420</v>
      </c>
      <c r="D76" s="87">
        <v>91.9</v>
      </c>
      <c r="E76" s="88">
        <v>28</v>
      </c>
      <c r="F76" s="87">
        <v>74</v>
      </c>
      <c r="G76" s="17">
        <v>22</v>
      </c>
      <c r="H76" s="89">
        <v>104</v>
      </c>
      <c r="I76" s="90">
        <v>12200</v>
      </c>
      <c r="J76" s="90" t="s">
        <v>84</v>
      </c>
      <c r="K76" s="90"/>
      <c r="L76" s="90"/>
      <c r="M76" s="91">
        <f>I76-K76</f>
        <v>12200</v>
      </c>
      <c r="N76" s="4">
        <f>IF(ISERROR(K76/I76),"",K76/I76)</f>
        <v>0</v>
      </c>
      <c r="O76" s="92">
        <f>I76/E76</f>
        <v>435.71428571428572</v>
      </c>
      <c r="P76" s="92">
        <f>K76/E76</f>
        <v>0</v>
      </c>
      <c r="Q76" s="80">
        <v>3</v>
      </c>
      <c r="R76" s="80">
        <v>1</v>
      </c>
      <c r="S76" s="80" t="s">
        <v>61</v>
      </c>
      <c r="T76" s="5">
        <v>91</v>
      </c>
      <c r="U76" s="9"/>
      <c r="W76" s="87">
        <f t="shared" ref="W76:X79" si="54">D76</f>
        <v>91.9</v>
      </c>
      <c r="X76" s="88">
        <f t="shared" si="54"/>
        <v>28</v>
      </c>
      <c r="Y76" s="93">
        <f t="shared" ref="Y76:Z79" si="55">H76</f>
        <v>104</v>
      </c>
      <c r="Z76" s="91">
        <f t="shared" si="55"/>
        <v>12200</v>
      </c>
      <c r="AA76" s="91">
        <f>K76</f>
        <v>0</v>
      </c>
      <c r="AB76" s="91">
        <f t="shared" si="52"/>
        <v>12200</v>
      </c>
      <c r="AC76" s="4">
        <f t="shared" si="52"/>
        <v>0</v>
      </c>
      <c r="AD76" s="92">
        <f t="shared" si="52"/>
        <v>435.71428571428572</v>
      </c>
      <c r="AE76" s="80" t="str">
        <f>S76</f>
        <v>계</v>
      </c>
      <c r="AF76" s="80" t="str">
        <f>Q76&amp;"/"&amp;R76</f>
        <v>3/1</v>
      </c>
      <c r="AH76" s="20" t="str">
        <f t="shared" si="15"/>
        <v>나운동 롯데1차</v>
      </c>
      <c r="AI76" s="88">
        <f t="shared" si="53"/>
        <v>28</v>
      </c>
      <c r="AJ76" s="80" t="str">
        <f>IF(AI76="","",$AJ$2)</f>
        <v>A-</v>
      </c>
      <c r="AK76" s="80" t="s">
        <v>14</v>
      </c>
      <c r="AL76" s="80" t="s">
        <v>63</v>
      </c>
      <c r="AM76" s="80" t="s">
        <v>64</v>
      </c>
      <c r="AN76" s="80" t="str">
        <f>IF(AI76="","",$AN$2)</f>
        <v>C</v>
      </c>
      <c r="AO76" s="80" t="str">
        <f>IF(N76="","",IF(N76&gt;=$AO$1/100,"O","X"))</f>
        <v>X</v>
      </c>
      <c r="AP76" s="80" t="str">
        <f>IF(I76="","",IF(I76&lt;=$AP$1,"O","X"))</f>
        <v>O</v>
      </c>
      <c r="AQ76" s="80" t="str">
        <f>IF(O76="","",IF(O76&lt;=$AQ$1,"O","X"))</f>
        <v>O</v>
      </c>
      <c r="AR76" s="80" t="str">
        <f>IF(M76="","",IF(M76&lt;=$AR$1,"O","X"))</f>
        <v>X</v>
      </c>
      <c r="AS76" s="80" t="s">
        <v>2</v>
      </c>
      <c r="AT76" s="80" t="str">
        <f>IF(OR(F76="",AI76=""),"",IF(AND((F76&lt;=85),(AI76&gt;=15)),"O","X"))</f>
        <v>O</v>
      </c>
      <c r="AU76" s="80" t="str">
        <f>IF(C76="","",IF(C76&gt;=$AU$1,"O","X"))</f>
        <v>O</v>
      </c>
      <c r="AV76" s="80" t="str">
        <f>IF(AO76="","",IF(AND(AO76="O",AP76="O",AR76="O",AT76="O",AU76="O"),"후보","X"))</f>
        <v>X</v>
      </c>
    </row>
    <row r="77" spans="1:48" s="37" customFormat="1" ht="12" x14ac:dyDescent="0.3">
      <c r="A77" s="75" t="s">
        <v>1418</v>
      </c>
      <c r="B77" s="76" t="s">
        <v>1598</v>
      </c>
      <c r="C77" s="86">
        <v>420</v>
      </c>
      <c r="D77" s="87">
        <v>105.9</v>
      </c>
      <c r="E77" s="88">
        <v>32</v>
      </c>
      <c r="F77" s="87">
        <v>84.8</v>
      </c>
      <c r="G77" s="17">
        <v>26</v>
      </c>
      <c r="H77" s="89">
        <v>182</v>
      </c>
      <c r="I77" s="90">
        <v>13500</v>
      </c>
      <c r="J77" s="90" t="s">
        <v>60</v>
      </c>
      <c r="K77" s="90"/>
      <c r="L77" s="90"/>
      <c r="M77" s="91">
        <f>I77-K77</f>
        <v>13500</v>
      </c>
      <c r="N77" s="4">
        <f>IF(ISERROR(K77/I77),"",K77/I77)</f>
        <v>0</v>
      </c>
      <c r="O77" s="92">
        <f>I77/E77</f>
        <v>421.875</v>
      </c>
      <c r="P77" s="92">
        <f>K77/E77</f>
        <v>0</v>
      </c>
      <c r="Q77" s="80">
        <v>3</v>
      </c>
      <c r="R77" s="80">
        <v>2</v>
      </c>
      <c r="S77" s="80" t="s">
        <v>61</v>
      </c>
      <c r="T77" s="5">
        <v>105</v>
      </c>
      <c r="U77" s="9"/>
      <c r="W77" s="87">
        <f t="shared" si="54"/>
        <v>105.9</v>
      </c>
      <c r="X77" s="88">
        <f t="shared" si="54"/>
        <v>32</v>
      </c>
      <c r="Y77" s="93">
        <f t="shared" si="55"/>
        <v>182</v>
      </c>
      <c r="Z77" s="91">
        <f t="shared" si="55"/>
        <v>13500</v>
      </c>
      <c r="AA77" s="91">
        <f>K77</f>
        <v>0</v>
      </c>
      <c r="AB77" s="91">
        <f t="shared" ref="AB77:AD92" si="56">M77</f>
        <v>13500</v>
      </c>
      <c r="AC77" s="4">
        <f t="shared" si="56"/>
        <v>0</v>
      </c>
      <c r="AD77" s="92">
        <f t="shared" si="56"/>
        <v>421.875</v>
      </c>
      <c r="AE77" s="80" t="str">
        <f>S77</f>
        <v>계</v>
      </c>
      <c r="AF77" s="80" t="str">
        <f>Q77&amp;"/"&amp;R77</f>
        <v>3/2</v>
      </c>
      <c r="AH77" s="20" t="str">
        <f t="shared" si="15"/>
        <v>나운동 롯데1차</v>
      </c>
      <c r="AI77" s="88">
        <f t="shared" si="53"/>
        <v>32</v>
      </c>
      <c r="AJ77" s="80" t="str">
        <f>IF(AI77="","",$AJ$2)</f>
        <v>A-</v>
      </c>
      <c r="AK77" s="80" t="s">
        <v>14</v>
      </c>
      <c r="AL77" s="80" t="s">
        <v>63</v>
      </c>
      <c r="AM77" s="80" t="s">
        <v>64</v>
      </c>
      <c r="AN77" s="80" t="str">
        <f>IF(AI77="","",$AN$2)</f>
        <v>C</v>
      </c>
      <c r="AO77" s="80" t="str">
        <f>IF(N77="","",IF(N77&gt;=$AO$1/100,"O","X"))</f>
        <v>X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X</v>
      </c>
      <c r="AS77" s="80" t="s">
        <v>2</v>
      </c>
      <c r="AT77" s="80" t="str">
        <f>IF(OR(F77="",AI77=""),"",IF(AND((F77&lt;=85),(AI77&gt;=15)),"O","X"))</f>
        <v>O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s="37" customFormat="1" ht="12" x14ac:dyDescent="0.3">
      <c r="A78" s="75" t="s">
        <v>1418</v>
      </c>
      <c r="B78" s="76" t="s">
        <v>1598</v>
      </c>
      <c r="C78" s="86">
        <v>420</v>
      </c>
      <c r="D78" s="87">
        <v>155.4</v>
      </c>
      <c r="E78" s="88">
        <v>47</v>
      </c>
      <c r="F78" s="87">
        <v>131.80000000000001</v>
      </c>
      <c r="G78" s="17">
        <v>40</v>
      </c>
      <c r="H78" s="89">
        <v>78</v>
      </c>
      <c r="I78" s="90"/>
      <c r="J78" s="90"/>
      <c r="K78" s="90"/>
      <c r="L78" s="90"/>
      <c r="M78" s="91">
        <f>I78-K78</f>
        <v>0</v>
      </c>
      <c r="N78" s="4" t="str">
        <f>IF(ISERROR(K78/I78),"",K78/I78)</f>
        <v/>
      </c>
      <c r="O78" s="92">
        <f>I78/E78</f>
        <v>0</v>
      </c>
      <c r="P78" s="92">
        <f>K78/E78</f>
        <v>0</v>
      </c>
      <c r="Q78" s="80">
        <v>4</v>
      </c>
      <c r="R78" s="80">
        <v>2</v>
      </c>
      <c r="S78" s="80" t="s">
        <v>61</v>
      </c>
      <c r="T78" s="5">
        <v>155</v>
      </c>
      <c r="U78" s="9"/>
      <c r="W78" s="87">
        <f t="shared" si="54"/>
        <v>155.4</v>
      </c>
      <c r="X78" s="88">
        <f t="shared" si="54"/>
        <v>47</v>
      </c>
      <c r="Y78" s="93">
        <f t="shared" si="55"/>
        <v>78</v>
      </c>
      <c r="Z78" s="91">
        <f t="shared" si="55"/>
        <v>0</v>
      </c>
      <c r="AA78" s="91">
        <f>K78</f>
        <v>0</v>
      </c>
      <c r="AB78" s="91">
        <f t="shared" si="56"/>
        <v>0</v>
      </c>
      <c r="AC78" s="4" t="str">
        <f t="shared" si="56"/>
        <v/>
      </c>
      <c r="AD78" s="92">
        <f t="shared" si="56"/>
        <v>0</v>
      </c>
      <c r="AE78" s="80" t="str">
        <f>S78</f>
        <v>계</v>
      </c>
      <c r="AF78" s="80" t="str">
        <f>Q78&amp;"/"&amp;R78</f>
        <v>4/2</v>
      </c>
      <c r="AH78" s="20" t="str">
        <f t="shared" si="15"/>
        <v>나운동 롯데1차</v>
      </c>
      <c r="AI78" s="88">
        <f t="shared" si="53"/>
        <v>47</v>
      </c>
      <c r="AJ78" s="80" t="str">
        <f>IF(AI78="","",$AJ$2)</f>
        <v>A-</v>
      </c>
      <c r="AK78" s="80" t="s">
        <v>14</v>
      </c>
      <c r="AL78" s="80" t="s">
        <v>63</v>
      </c>
      <c r="AM78" s="80" t="s">
        <v>64</v>
      </c>
      <c r="AN78" s="80" t="str">
        <f>IF(AI78="","",$AN$2)</f>
        <v>C</v>
      </c>
      <c r="AO78" s="80" t="str">
        <f>IF(N78="","",IF(N78&gt;=$AO$1/100,"O","X"))</f>
        <v/>
      </c>
      <c r="AP78" s="80" t="str">
        <f>IF(I78="","",IF(I78&lt;=$AP$1,"O","X"))</f>
        <v/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X</v>
      </c>
      <c r="AU78" s="80" t="str">
        <f>IF(C78="","",IF(C78&gt;=$AU$1,"O","X"))</f>
        <v>O</v>
      </c>
      <c r="AV78" s="80" t="str">
        <f>IF(AO78="","",IF(AND(AO78="O",AP78="O",AR78="O",AT78="O",AU78="O"),"후보","X"))</f>
        <v/>
      </c>
    </row>
    <row r="79" spans="1:48" s="37" customFormat="1" ht="12" x14ac:dyDescent="0.3">
      <c r="A79" s="75" t="s">
        <v>1418</v>
      </c>
      <c r="B79" s="76" t="s">
        <v>1419</v>
      </c>
      <c r="C79" s="86">
        <v>420</v>
      </c>
      <c r="D79" s="87">
        <v>191.8</v>
      </c>
      <c r="E79" s="88">
        <v>58</v>
      </c>
      <c r="F79" s="87">
        <v>162.9</v>
      </c>
      <c r="G79" s="17">
        <v>49</v>
      </c>
      <c r="H79" s="89">
        <v>56</v>
      </c>
      <c r="I79" s="90"/>
      <c r="J79" s="90"/>
      <c r="K79" s="90"/>
      <c r="L79" s="90"/>
      <c r="M79" s="91">
        <f>I79-K79</f>
        <v>0</v>
      </c>
      <c r="N79" s="4" t="str">
        <f>IF(ISERROR(K79/I79),"",K79/I79)</f>
        <v/>
      </c>
      <c r="O79" s="92">
        <f>I79/E79</f>
        <v>0</v>
      </c>
      <c r="P79" s="92">
        <f>K79/E79</f>
        <v>0</v>
      </c>
      <c r="Q79" s="80">
        <v>5</v>
      </c>
      <c r="R79" s="80">
        <v>2</v>
      </c>
      <c r="S79" s="80" t="s">
        <v>61</v>
      </c>
      <c r="T79" s="5">
        <v>191</v>
      </c>
      <c r="U79" s="9"/>
      <c r="W79" s="87">
        <f t="shared" si="54"/>
        <v>191.8</v>
      </c>
      <c r="X79" s="88">
        <f t="shared" si="54"/>
        <v>58</v>
      </c>
      <c r="Y79" s="93">
        <f t="shared" si="55"/>
        <v>56</v>
      </c>
      <c r="Z79" s="91">
        <f t="shared" si="55"/>
        <v>0</v>
      </c>
      <c r="AA79" s="91">
        <f>K79</f>
        <v>0</v>
      </c>
      <c r="AB79" s="91">
        <f t="shared" si="56"/>
        <v>0</v>
      </c>
      <c r="AC79" s="4" t="str">
        <f t="shared" si="56"/>
        <v/>
      </c>
      <c r="AD79" s="92">
        <f t="shared" si="56"/>
        <v>0</v>
      </c>
      <c r="AE79" s="80" t="str">
        <f>S79</f>
        <v>계</v>
      </c>
      <c r="AF79" s="80" t="str">
        <f>Q79&amp;"/"&amp;R79</f>
        <v>5/2</v>
      </c>
      <c r="AH79" s="20" t="str">
        <f t="shared" si="15"/>
        <v>나운동 롯데1차</v>
      </c>
      <c r="AI79" s="88">
        <f t="shared" si="53"/>
        <v>58</v>
      </c>
      <c r="AJ79" s="80" t="str">
        <f>IF(AI79="","",$AJ$2)</f>
        <v>A-</v>
      </c>
      <c r="AK79" s="80" t="s">
        <v>14</v>
      </c>
      <c r="AL79" s="80" t="s">
        <v>63</v>
      </c>
      <c r="AM79" s="80" t="s">
        <v>64</v>
      </c>
      <c r="AN79" s="80" t="str">
        <f>IF(AI79="","",$AN$2)</f>
        <v>C</v>
      </c>
      <c r="AO79" s="80" t="str">
        <f>IF(N79="","",IF(N79&gt;=$AO$1/100,"O","X"))</f>
        <v/>
      </c>
      <c r="AP79" s="80" t="str">
        <f>IF(I79="","",IF(I79&lt;=$AP$1,"O","X"))</f>
        <v/>
      </c>
      <c r="AQ79" s="80" t="str">
        <f>IF(O79="","",IF(O79&lt;=$AQ$1,"O","X"))</f>
        <v>O</v>
      </c>
      <c r="AR79" s="80" t="str">
        <f>IF(M79="","",IF(M79&lt;=$AR$1,"O","X"))</f>
        <v>O</v>
      </c>
      <c r="AS79" s="80" t="s">
        <v>2</v>
      </c>
      <c r="AT79" s="80" t="str">
        <f>IF(OR(F79="",AI79=""),"",IF(AND((F79&lt;=85),(AI79&gt;=15)),"O","X"))</f>
        <v>X</v>
      </c>
      <c r="AU79" s="80" t="str">
        <f>IF(C79="","",IF(C79&gt;=$AU$1,"O","X"))</f>
        <v>O</v>
      </c>
      <c r="AV79" s="80" t="str">
        <f>IF(AO79="","",IF(AND(AO79="O",AP79="O",AR79="O",AT79="O",AU79="O"),"후보","X"))</f>
        <v/>
      </c>
    </row>
    <row r="80" spans="1:48" s="37" customFormat="1" ht="12" x14ac:dyDescent="0.3">
      <c r="A80" s="75" t="s">
        <v>1420</v>
      </c>
      <c r="B80" s="76" t="s">
        <v>1421</v>
      </c>
      <c r="C80" s="86">
        <v>840</v>
      </c>
      <c r="D80" s="87">
        <v>76.099999999999994</v>
      </c>
      <c r="E80" s="88">
        <v>23</v>
      </c>
      <c r="F80" s="87">
        <v>59.7</v>
      </c>
      <c r="G80" s="17">
        <v>18</v>
      </c>
      <c r="H80" s="89">
        <v>477</v>
      </c>
      <c r="I80" s="90">
        <v>10000</v>
      </c>
      <c r="J80" s="90" t="s">
        <v>65</v>
      </c>
      <c r="K80" s="90">
        <v>10000</v>
      </c>
      <c r="L80" s="90" t="s">
        <v>84</v>
      </c>
      <c r="M80" s="91">
        <f>I80-K80</f>
        <v>0</v>
      </c>
      <c r="N80" s="4">
        <f>IF(ISERROR(K80/I80),"",K80/I80)</f>
        <v>1</v>
      </c>
      <c r="O80" s="92">
        <f>I80/E80</f>
        <v>434.78260869565219</v>
      </c>
      <c r="P80" s="92">
        <f>K80/E80</f>
        <v>434.78260869565219</v>
      </c>
      <c r="Q80" s="80">
        <v>3</v>
      </c>
      <c r="R80" s="80">
        <v>1</v>
      </c>
      <c r="S80" s="80" t="s">
        <v>61</v>
      </c>
      <c r="T80" s="5" t="s">
        <v>73</v>
      </c>
      <c r="U80" s="9"/>
      <c r="W80" s="87">
        <f>D80</f>
        <v>76.099999999999994</v>
      </c>
      <c r="X80" s="88">
        <f>E80</f>
        <v>23</v>
      </c>
      <c r="Y80" s="93">
        <f>H80</f>
        <v>477</v>
      </c>
      <c r="Z80" s="91">
        <f>I80</f>
        <v>10000</v>
      </c>
      <c r="AA80" s="91">
        <f>K80</f>
        <v>10000</v>
      </c>
      <c r="AB80" s="91">
        <f t="shared" si="56"/>
        <v>0</v>
      </c>
      <c r="AC80" s="4">
        <f t="shared" si="56"/>
        <v>1</v>
      </c>
      <c r="AD80" s="92">
        <f t="shared" si="56"/>
        <v>434.78260869565219</v>
      </c>
      <c r="AE80" s="80" t="str">
        <f>S80</f>
        <v>계</v>
      </c>
      <c r="AF80" s="80" t="str">
        <f>Q80&amp;"/"&amp;R80</f>
        <v>3/1</v>
      </c>
      <c r="AH80" s="20" t="str">
        <f t="shared" si="15"/>
        <v>나운동 한울</v>
      </c>
      <c r="AI80" s="88">
        <f t="shared" si="53"/>
        <v>23</v>
      </c>
      <c r="AJ80" s="80" t="str">
        <f>IF(AI80="","",$AJ$2)</f>
        <v>A-</v>
      </c>
      <c r="AK80" s="80" t="s">
        <v>14</v>
      </c>
      <c r="AL80" s="80" t="s">
        <v>63</v>
      </c>
      <c r="AM80" s="80" t="s">
        <v>64</v>
      </c>
      <c r="AN80" s="80" t="str">
        <f>IF(AI80="","",$AN$2)</f>
        <v>C</v>
      </c>
      <c r="AO80" s="80" t="str">
        <f>IF(N80="","",IF(N80&gt;=$AO$1/100,"O","X"))</f>
        <v>O</v>
      </c>
      <c r="AP80" s="80" t="str">
        <f>IF(I80="","",IF(I80&lt;=$AP$1,"O","X"))</f>
        <v>O</v>
      </c>
      <c r="AQ80" s="80" t="str">
        <f>IF(O80="","",IF(O80&lt;=$AQ$1,"O","X"))</f>
        <v>O</v>
      </c>
      <c r="AR80" s="80" t="str">
        <f>IF(M80="","",IF(M80&lt;=$AR$1,"O","X"))</f>
        <v>O</v>
      </c>
      <c r="AS80" s="80" t="s">
        <v>2</v>
      </c>
      <c r="AT80" s="80" t="str">
        <f>IF(OR(F80="",AI80=""),"",IF(AND((F80&lt;=85),(AI80&gt;=15)),"O","X"))</f>
        <v>O</v>
      </c>
      <c r="AU80" s="80" t="str">
        <f>IF(C80="","",IF(C80&gt;=$AU$1,"O","X"))</f>
        <v>O</v>
      </c>
      <c r="AV80" s="80" t="str">
        <f>IF(AO80="","",IF(AND(AO80="O",AP80="O",AR80="O",AT80="O",AU80="O"),"후보","X"))</f>
        <v>후보</v>
      </c>
    </row>
    <row r="81" spans="1:48" s="37" customFormat="1" ht="12" x14ac:dyDescent="0.3">
      <c r="A81" s="75" t="s">
        <v>1420</v>
      </c>
      <c r="B81" s="76" t="s">
        <v>1421</v>
      </c>
      <c r="C81" s="86">
        <v>840</v>
      </c>
      <c r="D81" s="87">
        <v>76.900000000000006</v>
      </c>
      <c r="E81" s="88">
        <v>23</v>
      </c>
      <c r="F81" s="87">
        <v>60</v>
      </c>
      <c r="G81" s="17">
        <v>18</v>
      </c>
      <c r="H81" s="89">
        <v>360</v>
      </c>
      <c r="I81" s="90"/>
      <c r="J81" s="90"/>
      <c r="K81" s="90"/>
      <c r="L81" s="90"/>
      <c r="M81" s="91">
        <f>I81-K81</f>
        <v>0</v>
      </c>
      <c r="N81" s="4" t="str">
        <f>IF(ISERROR(K81/I81),"",K81/I81)</f>
        <v/>
      </c>
      <c r="O81" s="92">
        <f>I81/E81</f>
        <v>0</v>
      </c>
      <c r="P81" s="92">
        <f>K81/E81</f>
        <v>0</v>
      </c>
      <c r="Q81" s="80">
        <v>3</v>
      </c>
      <c r="R81" s="80">
        <v>1</v>
      </c>
      <c r="S81" s="80" t="s">
        <v>61</v>
      </c>
      <c r="T81" s="5" t="s">
        <v>151</v>
      </c>
      <c r="U81" s="9"/>
      <c r="W81" s="87">
        <f>D81</f>
        <v>76.900000000000006</v>
      </c>
      <c r="X81" s="88">
        <f>E81</f>
        <v>23</v>
      </c>
      <c r="Y81" s="93">
        <f>H81</f>
        <v>360</v>
      </c>
      <c r="Z81" s="91">
        <f>I81</f>
        <v>0</v>
      </c>
      <c r="AA81" s="91">
        <f>K81</f>
        <v>0</v>
      </c>
      <c r="AB81" s="91">
        <f t="shared" si="56"/>
        <v>0</v>
      </c>
      <c r="AC81" s="4" t="str">
        <f t="shared" si="56"/>
        <v/>
      </c>
      <c r="AD81" s="92">
        <f t="shared" si="56"/>
        <v>0</v>
      </c>
      <c r="AE81" s="80" t="str">
        <f>S81</f>
        <v>계</v>
      </c>
      <c r="AF81" s="80" t="str">
        <f>Q81&amp;"/"&amp;R81</f>
        <v>3/1</v>
      </c>
      <c r="AH81" s="20" t="str">
        <f t="shared" si="15"/>
        <v>나운동 한울</v>
      </c>
      <c r="AI81" s="88">
        <f t="shared" si="53"/>
        <v>23</v>
      </c>
      <c r="AJ81" s="80" t="str">
        <f>IF(AI81="","",$AJ$2)</f>
        <v>A-</v>
      </c>
      <c r="AK81" s="80" t="s">
        <v>14</v>
      </c>
      <c r="AL81" s="80" t="s">
        <v>63</v>
      </c>
      <c r="AM81" s="80" t="s">
        <v>64</v>
      </c>
      <c r="AN81" s="80" t="str">
        <f>IF(AI81="","",$AN$2)</f>
        <v>C</v>
      </c>
      <c r="AO81" s="80" t="str">
        <f>IF(N81="","",IF(N81&gt;=$AO$1/100,"O","X"))</f>
        <v/>
      </c>
      <c r="AP81" s="80" t="str">
        <f>IF(I81="","",IF(I81&lt;=$AP$1,"O","X"))</f>
        <v/>
      </c>
      <c r="AQ81" s="80" t="str">
        <f>IF(O81="","",IF(O81&lt;=$AQ$1,"O","X"))</f>
        <v>O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O</v>
      </c>
      <c r="AU81" s="80" t="str">
        <f>IF(C81="","",IF(C81&gt;=$AU$1,"O","X"))</f>
        <v>O</v>
      </c>
      <c r="AV81" s="80" t="str">
        <f>IF(AO81="","",IF(AND(AO81="O",AP81="O",AR81="O",AT81="O",AU81="O"),"후보","X"))</f>
        <v/>
      </c>
    </row>
    <row r="82" spans="1:48" s="37" customFormat="1" ht="12" x14ac:dyDescent="0.3">
      <c r="A82" s="75" t="s">
        <v>1422</v>
      </c>
      <c r="B82" s="76" t="s">
        <v>1401</v>
      </c>
      <c r="C82" s="86">
        <v>479</v>
      </c>
      <c r="D82" s="87">
        <v>70</v>
      </c>
      <c r="E82" s="88">
        <v>21</v>
      </c>
      <c r="F82" s="87">
        <v>56.4</v>
      </c>
      <c r="G82" s="17">
        <v>17</v>
      </c>
      <c r="H82" s="89">
        <v>20</v>
      </c>
      <c r="I82" s="90"/>
      <c r="J82" s="90"/>
      <c r="K82" s="90"/>
      <c r="L82" s="90"/>
      <c r="M82" s="91">
        <f>I82-K82</f>
        <v>0</v>
      </c>
      <c r="N82" s="4" t="str">
        <f>IF(ISERROR(K82/I82),"",K82/I82)</f>
        <v/>
      </c>
      <c r="O82" s="92">
        <f>I82/E82</f>
        <v>0</v>
      </c>
      <c r="P82" s="92">
        <f>K82/E82</f>
        <v>0</v>
      </c>
      <c r="Q82" s="80">
        <v>2</v>
      </c>
      <c r="R82" s="80">
        <v>1</v>
      </c>
      <c r="S82" s="80" t="s">
        <v>76</v>
      </c>
      <c r="T82" s="5">
        <v>69</v>
      </c>
      <c r="U82" s="9"/>
      <c r="W82" s="87">
        <f t="shared" ref="W82:X97" si="57">D82</f>
        <v>70</v>
      </c>
      <c r="X82" s="88">
        <f t="shared" si="57"/>
        <v>21</v>
      </c>
      <c r="Y82" s="93">
        <f t="shared" ref="Y82:Z97" si="58">H82</f>
        <v>20</v>
      </c>
      <c r="Z82" s="91">
        <f t="shared" si="58"/>
        <v>0</v>
      </c>
      <c r="AA82" s="91">
        <f>K82</f>
        <v>0</v>
      </c>
      <c r="AB82" s="91">
        <f t="shared" si="56"/>
        <v>0</v>
      </c>
      <c r="AC82" s="4" t="str">
        <f t="shared" si="56"/>
        <v/>
      </c>
      <c r="AD82" s="92">
        <f t="shared" si="56"/>
        <v>0</v>
      </c>
      <c r="AE82" s="80" t="str">
        <f>S82</f>
        <v>복</v>
      </c>
      <c r="AF82" s="80" t="str">
        <f>Q82&amp;"/"&amp;R82</f>
        <v>2/1</v>
      </c>
      <c r="AH82" s="20" t="str">
        <f t="shared" si="15"/>
        <v>나운동 현대3차</v>
      </c>
      <c r="AI82" s="88">
        <f t="shared" si="53"/>
        <v>21</v>
      </c>
      <c r="AJ82" s="80" t="str">
        <f>IF(AI82="","",$AJ$2)</f>
        <v>A-</v>
      </c>
      <c r="AK82" s="80" t="s">
        <v>14</v>
      </c>
      <c r="AL82" s="80" t="s">
        <v>63</v>
      </c>
      <c r="AM82" s="80" t="s">
        <v>64</v>
      </c>
      <c r="AN82" s="80" t="str">
        <f>IF(AI82="","",$AN$2)</f>
        <v>C</v>
      </c>
      <c r="AO82" s="80" t="str">
        <f>IF(N82="","",IF(N82&gt;=$AO$1/100,"O","X"))</f>
        <v/>
      </c>
      <c r="AP82" s="80" t="str">
        <f>IF(I82="","",IF(I82&lt;=$AP$1,"O","X"))</f>
        <v/>
      </c>
      <c r="AQ82" s="80" t="str">
        <f>IF(O82="","",IF(O82&lt;=$AQ$1,"O","X"))</f>
        <v>O</v>
      </c>
      <c r="AR82" s="80" t="str">
        <f>IF(M82="","",IF(M82&lt;=$AR$1,"O","X"))</f>
        <v>O</v>
      </c>
      <c r="AS82" s="80" t="s">
        <v>2</v>
      </c>
      <c r="AT82" s="80" t="str">
        <f>IF(OR(F82="",AI82=""),"",IF(AND((F82&lt;=85),(AI82&gt;=15)),"O","X"))</f>
        <v>O</v>
      </c>
      <c r="AU82" s="80" t="str">
        <f>IF(C82="","",IF(C82&gt;=$AU$1,"O","X"))</f>
        <v>O</v>
      </c>
      <c r="AV82" s="80" t="str">
        <f>IF(AO82="","",IF(AND(AO82="O",AP82="O",AR82="O",AT82="O",AU82="O"),"후보","X"))</f>
        <v/>
      </c>
    </row>
    <row r="83" spans="1:48" s="37" customFormat="1" ht="12" x14ac:dyDescent="0.3">
      <c r="A83" s="75" t="s">
        <v>1422</v>
      </c>
      <c r="B83" s="76" t="s">
        <v>1401</v>
      </c>
      <c r="C83" s="86">
        <v>479</v>
      </c>
      <c r="D83" s="87">
        <v>74.3</v>
      </c>
      <c r="E83" s="88">
        <v>22</v>
      </c>
      <c r="F83" s="87">
        <v>60</v>
      </c>
      <c r="G83" s="17">
        <v>18</v>
      </c>
      <c r="H83" s="89">
        <v>180</v>
      </c>
      <c r="I83" s="90">
        <v>10800</v>
      </c>
      <c r="J83" s="90" t="s">
        <v>71</v>
      </c>
      <c r="K83" s="90">
        <v>9500</v>
      </c>
      <c r="L83" s="90" t="s">
        <v>84</v>
      </c>
      <c r="M83" s="91">
        <f>I83-K83</f>
        <v>1300</v>
      </c>
      <c r="N83" s="4">
        <f>IF(ISERROR(K83/I83),"",K83/I83)</f>
        <v>0.87962962962962965</v>
      </c>
      <c r="O83" s="92">
        <f>I83/E83</f>
        <v>490.90909090909093</v>
      </c>
      <c r="P83" s="92">
        <f>K83/E83</f>
        <v>431.81818181818181</v>
      </c>
      <c r="Q83" s="80">
        <v>3</v>
      </c>
      <c r="R83" s="80">
        <v>1</v>
      </c>
      <c r="S83" s="80" t="s">
        <v>76</v>
      </c>
      <c r="T83" s="5">
        <v>74</v>
      </c>
      <c r="U83" s="9"/>
      <c r="W83" s="87">
        <f t="shared" si="57"/>
        <v>74.3</v>
      </c>
      <c r="X83" s="88">
        <f t="shared" si="57"/>
        <v>22</v>
      </c>
      <c r="Y83" s="93">
        <f t="shared" si="58"/>
        <v>180</v>
      </c>
      <c r="Z83" s="91">
        <f t="shared" si="58"/>
        <v>10800</v>
      </c>
      <c r="AA83" s="91">
        <f>K83</f>
        <v>9500</v>
      </c>
      <c r="AB83" s="91">
        <f t="shared" si="56"/>
        <v>1300</v>
      </c>
      <c r="AC83" s="4">
        <f t="shared" si="56"/>
        <v>0.87962962962962965</v>
      </c>
      <c r="AD83" s="92">
        <f t="shared" si="56"/>
        <v>490.90909090909093</v>
      </c>
      <c r="AE83" s="80" t="str">
        <f>S83</f>
        <v>복</v>
      </c>
      <c r="AF83" s="80" t="str">
        <f>Q83&amp;"/"&amp;R83</f>
        <v>3/1</v>
      </c>
      <c r="AH83" s="20" t="str">
        <f t="shared" si="15"/>
        <v>나운동 현대3차</v>
      </c>
      <c r="AI83" s="88">
        <f t="shared" si="53"/>
        <v>22</v>
      </c>
      <c r="AJ83" s="80" t="str">
        <f>IF(AI83="","",$AJ$2)</f>
        <v>A-</v>
      </c>
      <c r="AK83" s="80" t="s">
        <v>14</v>
      </c>
      <c r="AL83" s="80" t="s">
        <v>63</v>
      </c>
      <c r="AM83" s="80" t="s">
        <v>64</v>
      </c>
      <c r="AN83" s="80" t="str">
        <f>IF(AI83="","",$AN$2)</f>
        <v>C</v>
      </c>
      <c r="AO83" s="80" t="str">
        <f>IF(N83="","",IF(N83&gt;=$AO$1/100,"O","X"))</f>
        <v>O</v>
      </c>
      <c r="AP83" s="80" t="str">
        <f>IF(I83="","",IF(I83&lt;=$AP$1,"O","X"))</f>
        <v>O</v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>후보</v>
      </c>
    </row>
    <row r="84" spans="1:48" s="37" customFormat="1" ht="12" x14ac:dyDescent="0.3">
      <c r="A84" s="75" t="s">
        <v>1422</v>
      </c>
      <c r="B84" s="76" t="s">
        <v>1367</v>
      </c>
      <c r="C84" s="86">
        <v>479</v>
      </c>
      <c r="D84" s="87">
        <v>105.3</v>
      </c>
      <c r="E84" s="88">
        <v>32</v>
      </c>
      <c r="F84" s="87">
        <v>85</v>
      </c>
      <c r="G84" s="17">
        <v>26</v>
      </c>
      <c r="H84" s="89">
        <v>199</v>
      </c>
      <c r="I84" s="90">
        <v>15000</v>
      </c>
      <c r="J84" s="90" t="s">
        <v>72</v>
      </c>
      <c r="K84" s="90"/>
      <c r="L84" s="90"/>
      <c r="M84" s="91">
        <f>I84-K84</f>
        <v>15000</v>
      </c>
      <c r="N84" s="4">
        <f>IF(ISERROR(K84/I84),"",K84/I84)</f>
        <v>0</v>
      </c>
      <c r="O84" s="92">
        <f>I84/E84</f>
        <v>468.75</v>
      </c>
      <c r="P84" s="92">
        <f>K84/E84</f>
        <v>0</v>
      </c>
      <c r="Q84" s="80">
        <v>3</v>
      </c>
      <c r="R84" s="80">
        <v>2</v>
      </c>
      <c r="S84" s="80" t="s">
        <v>61</v>
      </c>
      <c r="T84" s="5">
        <v>105</v>
      </c>
      <c r="U84" s="9"/>
      <c r="W84" s="87">
        <f t="shared" si="57"/>
        <v>105.3</v>
      </c>
      <c r="X84" s="88">
        <f t="shared" si="57"/>
        <v>32</v>
      </c>
      <c r="Y84" s="93">
        <f t="shared" si="58"/>
        <v>199</v>
      </c>
      <c r="Z84" s="91">
        <f t="shared" si="58"/>
        <v>15000</v>
      </c>
      <c r="AA84" s="91">
        <f>K84</f>
        <v>0</v>
      </c>
      <c r="AB84" s="91">
        <f t="shared" si="56"/>
        <v>15000</v>
      </c>
      <c r="AC84" s="4">
        <f t="shared" si="56"/>
        <v>0</v>
      </c>
      <c r="AD84" s="92">
        <f t="shared" si="56"/>
        <v>468.75</v>
      </c>
      <c r="AE84" s="80" t="str">
        <f>S84</f>
        <v>계</v>
      </c>
      <c r="AF84" s="80" t="str">
        <f>Q84&amp;"/"&amp;R84</f>
        <v>3/2</v>
      </c>
      <c r="AH84" s="20" t="str">
        <f t="shared" si="15"/>
        <v>나운동 현대3차</v>
      </c>
      <c r="AI84" s="88">
        <f t="shared" si="53"/>
        <v>32</v>
      </c>
      <c r="AJ84" s="80" t="str">
        <f>IF(AI84="","",$AJ$2)</f>
        <v>A-</v>
      </c>
      <c r="AK84" s="80" t="s">
        <v>14</v>
      </c>
      <c r="AL84" s="80" t="s">
        <v>63</v>
      </c>
      <c r="AM84" s="80" t="s">
        <v>64</v>
      </c>
      <c r="AN84" s="80" t="str">
        <f>IF(AI84="","",$AN$2)</f>
        <v>C</v>
      </c>
      <c r="AO84" s="80" t="str">
        <f>IF(N84="","",IF(N84&gt;=$AO$1/100,"O","X"))</f>
        <v>X</v>
      </c>
      <c r="AP84" s="80" t="str">
        <f>IF(I84="","",IF(I84&lt;=$AP$1,"O","X"))</f>
        <v>O</v>
      </c>
      <c r="AQ84" s="80" t="str">
        <f>IF(O84="","",IF(O84&lt;=$AQ$1,"O","X"))</f>
        <v>O</v>
      </c>
      <c r="AR84" s="80" t="str">
        <f>IF(M84="","",IF(M84&lt;=$AR$1,"O","X"))</f>
        <v>X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>X</v>
      </c>
    </row>
    <row r="85" spans="1:48" s="37" customFormat="1" ht="12" x14ac:dyDescent="0.3">
      <c r="A85" s="75" t="s">
        <v>1422</v>
      </c>
      <c r="B85" s="76" t="s">
        <v>1401</v>
      </c>
      <c r="C85" s="86">
        <v>479</v>
      </c>
      <c r="D85" s="87">
        <v>167.1</v>
      </c>
      <c r="E85" s="88">
        <v>51</v>
      </c>
      <c r="F85" s="87">
        <v>134.80000000000001</v>
      </c>
      <c r="G85" s="17">
        <v>41</v>
      </c>
      <c r="H85" s="89">
        <v>80</v>
      </c>
      <c r="I85" s="90"/>
      <c r="J85" s="90"/>
      <c r="K85" s="90"/>
      <c r="L85" s="90"/>
      <c r="M85" s="91">
        <f>I85-K85</f>
        <v>0</v>
      </c>
      <c r="N85" s="4" t="str">
        <f>IF(ISERROR(K85/I85),"",K85/I85)</f>
        <v/>
      </c>
      <c r="O85" s="92">
        <f>I85/E85</f>
        <v>0</v>
      </c>
      <c r="P85" s="92">
        <f>K85/E85</f>
        <v>0</v>
      </c>
      <c r="Q85" s="80">
        <v>4</v>
      </c>
      <c r="R85" s="80">
        <v>2</v>
      </c>
      <c r="S85" s="80" t="s">
        <v>61</v>
      </c>
      <c r="T85" s="5">
        <v>167</v>
      </c>
      <c r="U85" s="9"/>
      <c r="W85" s="87">
        <f t="shared" si="57"/>
        <v>167.1</v>
      </c>
      <c r="X85" s="88">
        <f t="shared" si="57"/>
        <v>51</v>
      </c>
      <c r="Y85" s="93">
        <f t="shared" si="58"/>
        <v>80</v>
      </c>
      <c r="Z85" s="91">
        <f t="shared" si="58"/>
        <v>0</v>
      </c>
      <c r="AA85" s="91">
        <f>K85</f>
        <v>0</v>
      </c>
      <c r="AB85" s="91">
        <f t="shared" si="56"/>
        <v>0</v>
      </c>
      <c r="AC85" s="4" t="str">
        <f t="shared" si="56"/>
        <v/>
      </c>
      <c r="AD85" s="92">
        <f t="shared" si="56"/>
        <v>0</v>
      </c>
      <c r="AE85" s="80" t="str">
        <f>S85</f>
        <v>계</v>
      </c>
      <c r="AF85" s="80" t="str">
        <f>Q85&amp;"/"&amp;R85</f>
        <v>4/2</v>
      </c>
      <c r="AH85" s="20" t="str">
        <f t="shared" si="15"/>
        <v>나운동 현대3차</v>
      </c>
      <c r="AI85" s="88">
        <f t="shared" si="53"/>
        <v>51</v>
      </c>
      <c r="AJ85" s="80" t="str">
        <f>IF(AI85="","",$AJ$2)</f>
        <v>A-</v>
      </c>
      <c r="AK85" s="80" t="s">
        <v>14</v>
      </c>
      <c r="AL85" s="80" t="s">
        <v>63</v>
      </c>
      <c r="AM85" s="80" t="s">
        <v>64</v>
      </c>
      <c r="AN85" s="80" t="str">
        <f>IF(AI85="","",$AN$2)</f>
        <v>C</v>
      </c>
      <c r="AO85" s="80" t="str">
        <f>IF(N85="","",IF(N85&gt;=$AO$1/100,"O","X"))</f>
        <v/>
      </c>
      <c r="AP85" s="80" t="str">
        <f>IF(I85="","",IF(I85&lt;=$AP$1,"O","X"))</f>
        <v/>
      </c>
      <c r="AQ85" s="80" t="str">
        <f>IF(O85="","",IF(O85&lt;=$AQ$1,"O","X"))</f>
        <v>O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X</v>
      </c>
      <c r="AU85" s="80" t="str">
        <f>IF(C85="","",IF(C85&gt;=$AU$1,"O","X"))</f>
        <v>O</v>
      </c>
      <c r="AV85" s="80" t="str">
        <f>IF(AO85="","",IF(AND(AO85="O",AP85="O",AR85="O",AT85="O",AU85="O"),"후보","X"))</f>
        <v/>
      </c>
    </row>
    <row r="86" spans="1:48" s="37" customFormat="1" ht="12" x14ac:dyDescent="0.3">
      <c r="A86" s="75" t="s">
        <v>1423</v>
      </c>
      <c r="B86" s="76" t="s">
        <v>1424</v>
      </c>
      <c r="C86" s="86">
        <v>498</v>
      </c>
      <c r="D86" s="87">
        <v>84.4</v>
      </c>
      <c r="E86" s="88">
        <v>26</v>
      </c>
      <c r="F86" s="87">
        <v>73.2</v>
      </c>
      <c r="G86" s="17">
        <v>22</v>
      </c>
      <c r="H86" s="89">
        <v>84</v>
      </c>
      <c r="I86" s="90"/>
      <c r="J86" s="90"/>
      <c r="K86" s="90"/>
      <c r="L86" s="90"/>
      <c r="M86" s="91">
        <f>I86-K86</f>
        <v>0</v>
      </c>
      <c r="N86" s="4" t="str">
        <f>IF(ISERROR(K86/I86),"",K86/I86)</f>
        <v/>
      </c>
      <c r="O86" s="92">
        <f>I86/E86</f>
        <v>0</v>
      </c>
      <c r="P86" s="92">
        <f>K86/E86</f>
        <v>0</v>
      </c>
      <c r="Q86" s="80">
        <v>3</v>
      </c>
      <c r="R86" s="80">
        <v>1</v>
      </c>
      <c r="S86" s="80" t="s">
        <v>61</v>
      </c>
      <c r="T86" s="5">
        <v>84</v>
      </c>
      <c r="U86" s="9"/>
      <c r="W86" s="87">
        <f t="shared" si="57"/>
        <v>84.4</v>
      </c>
      <c r="X86" s="88">
        <f t="shared" si="57"/>
        <v>26</v>
      </c>
      <c r="Y86" s="93">
        <f t="shared" si="58"/>
        <v>84</v>
      </c>
      <c r="Z86" s="91">
        <f t="shared" si="58"/>
        <v>0</v>
      </c>
      <c r="AA86" s="91">
        <f>K86</f>
        <v>0</v>
      </c>
      <c r="AB86" s="91">
        <f t="shared" si="56"/>
        <v>0</v>
      </c>
      <c r="AC86" s="4" t="str">
        <f t="shared" si="56"/>
        <v/>
      </c>
      <c r="AD86" s="92">
        <f t="shared" si="56"/>
        <v>0</v>
      </c>
      <c r="AE86" s="80" t="str">
        <f>S86</f>
        <v>계</v>
      </c>
      <c r="AF86" s="80" t="str">
        <f>Q86&amp;"/"&amp;R86</f>
        <v>3/1</v>
      </c>
      <c r="AH86" s="20" t="str">
        <f t="shared" si="15"/>
        <v>나운동 현대백조</v>
      </c>
      <c r="AI86" s="88">
        <f t="shared" si="53"/>
        <v>26</v>
      </c>
      <c r="AJ86" s="80" t="str">
        <f>IF(AI86="","",$AJ$2)</f>
        <v>A-</v>
      </c>
      <c r="AK86" s="80" t="s">
        <v>14</v>
      </c>
      <c r="AL86" s="80" t="s">
        <v>63</v>
      </c>
      <c r="AM86" s="80" t="s">
        <v>64</v>
      </c>
      <c r="AN86" s="80" t="str">
        <f>IF(AI86="","",$AN$2)</f>
        <v>C</v>
      </c>
      <c r="AO86" s="80" t="str">
        <f>IF(N86="","",IF(N86&gt;=$AO$1/100,"O","X"))</f>
        <v/>
      </c>
      <c r="AP86" s="80" t="str">
        <f>IF(I86="","",IF(I86&lt;=$AP$1,"O","X"))</f>
        <v/>
      </c>
      <c r="AQ86" s="80" t="str">
        <f>IF(O86="","",IF(O86&lt;=$AQ$1,"O","X"))</f>
        <v>O</v>
      </c>
      <c r="AR86" s="80" t="str">
        <f>IF(M86="","",IF(M86&lt;=$AR$1,"O","X"))</f>
        <v>O</v>
      </c>
      <c r="AS86" s="80" t="s">
        <v>2</v>
      </c>
      <c r="AT86" s="80" t="str">
        <f>IF(OR(F86="",AI86=""),"",IF(AND((F86&lt;=85),(AI86&gt;=15)),"O","X"))</f>
        <v>O</v>
      </c>
      <c r="AU86" s="80" t="str">
        <f>IF(C86="","",IF(C86&gt;=$AU$1,"O","X"))</f>
        <v>O</v>
      </c>
      <c r="AV86" s="80" t="str">
        <f>IF(AO86="","",IF(AND(AO86="O",AP86="O",AR86="O",AT86="O",AU86="O"),"후보","X"))</f>
        <v/>
      </c>
    </row>
    <row r="87" spans="1:48" s="37" customFormat="1" ht="12" x14ac:dyDescent="0.3">
      <c r="A87" s="75" t="s">
        <v>1423</v>
      </c>
      <c r="B87" s="76" t="s">
        <v>1424</v>
      </c>
      <c r="C87" s="86">
        <v>498</v>
      </c>
      <c r="D87" s="87">
        <v>95.8</v>
      </c>
      <c r="E87" s="88">
        <v>29</v>
      </c>
      <c r="F87" s="87">
        <v>84.6</v>
      </c>
      <c r="G87" s="17">
        <v>26</v>
      </c>
      <c r="H87" s="89">
        <v>384</v>
      </c>
      <c r="I87" s="90">
        <v>10000</v>
      </c>
      <c r="J87" s="90" t="s">
        <v>65</v>
      </c>
      <c r="K87" s="90"/>
      <c r="L87" s="90"/>
      <c r="M87" s="91">
        <f>I87-K87</f>
        <v>10000</v>
      </c>
      <c r="N87" s="4">
        <f>IF(ISERROR(K87/I87),"",K87/I87)</f>
        <v>0</v>
      </c>
      <c r="O87" s="92">
        <f>I87/E87</f>
        <v>344.82758620689657</v>
      </c>
      <c r="P87" s="92">
        <f>K87/E87</f>
        <v>0</v>
      </c>
      <c r="Q87" s="80">
        <v>3</v>
      </c>
      <c r="R87" s="80">
        <v>2</v>
      </c>
      <c r="S87" s="80" t="s">
        <v>61</v>
      </c>
      <c r="T87" s="5" t="s">
        <v>132</v>
      </c>
      <c r="U87" s="9"/>
      <c r="W87" s="87">
        <f t="shared" si="57"/>
        <v>95.8</v>
      </c>
      <c r="X87" s="88">
        <f t="shared" si="57"/>
        <v>29</v>
      </c>
      <c r="Y87" s="93">
        <f t="shared" si="58"/>
        <v>384</v>
      </c>
      <c r="Z87" s="91">
        <f t="shared" si="58"/>
        <v>10000</v>
      </c>
      <c r="AA87" s="91">
        <f>K87</f>
        <v>0</v>
      </c>
      <c r="AB87" s="91">
        <f t="shared" si="56"/>
        <v>10000</v>
      </c>
      <c r="AC87" s="4">
        <f t="shared" si="56"/>
        <v>0</v>
      </c>
      <c r="AD87" s="92">
        <f t="shared" si="56"/>
        <v>344.82758620689657</v>
      </c>
      <c r="AE87" s="80" t="str">
        <f>S87</f>
        <v>계</v>
      </c>
      <c r="AF87" s="80" t="str">
        <f>Q87&amp;"/"&amp;R87</f>
        <v>3/2</v>
      </c>
      <c r="AH87" s="20" t="str">
        <f t="shared" si="15"/>
        <v>나운동 현대백조</v>
      </c>
      <c r="AI87" s="88">
        <f t="shared" si="53"/>
        <v>29</v>
      </c>
      <c r="AJ87" s="80" t="str">
        <f>IF(AI87="","",$AJ$2)</f>
        <v>A-</v>
      </c>
      <c r="AK87" s="80" t="s">
        <v>14</v>
      </c>
      <c r="AL87" s="80" t="s">
        <v>63</v>
      </c>
      <c r="AM87" s="80" t="s">
        <v>64</v>
      </c>
      <c r="AN87" s="80" t="str">
        <f>IF(AI87="","",$AN$2)</f>
        <v>C</v>
      </c>
      <c r="AO87" s="80" t="str">
        <f>IF(N87="","",IF(N87&gt;=$AO$1/100,"O","X"))</f>
        <v>X</v>
      </c>
      <c r="AP87" s="80" t="str">
        <f>IF(I87="","",IF(I87&lt;=$AP$1,"O","X"))</f>
        <v>O</v>
      </c>
      <c r="AQ87" s="80" t="str">
        <f>IF(O87="","",IF(O87&lt;=$AQ$1,"O","X"))</f>
        <v>O</v>
      </c>
      <c r="AR87" s="80" t="str">
        <f>IF(M87="","",IF(M87&lt;=$AR$1,"O","X"))</f>
        <v>X</v>
      </c>
      <c r="AS87" s="80" t="s">
        <v>2</v>
      </c>
      <c r="AT87" s="80" t="str">
        <f>IF(OR(F87="",AI87=""),"",IF(AND((F87&lt;=85),(AI87&gt;=15)),"O","X"))</f>
        <v>O</v>
      </c>
      <c r="AU87" s="80" t="str">
        <f>IF(C87="","",IF(C87&gt;=$AU$1,"O","X"))</f>
        <v>O</v>
      </c>
      <c r="AV87" s="80" t="str">
        <f>IF(AO87="","",IF(AND(AO87="O",AP87="O",AR87="O",AT87="O",AU87="O"),"후보","X"))</f>
        <v>X</v>
      </c>
    </row>
    <row r="88" spans="1:48" s="37" customFormat="1" ht="12" x14ac:dyDescent="0.3">
      <c r="A88" s="75" t="s">
        <v>1423</v>
      </c>
      <c r="B88" s="76" t="s">
        <v>1424</v>
      </c>
      <c r="C88" s="86">
        <v>498</v>
      </c>
      <c r="D88" s="87">
        <v>95.7</v>
      </c>
      <c r="E88" s="88">
        <v>29</v>
      </c>
      <c r="F88" s="87">
        <v>84.5</v>
      </c>
      <c r="G88" s="17">
        <v>26</v>
      </c>
      <c r="H88" s="89">
        <v>30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3</v>
      </c>
      <c r="R88" s="80">
        <v>2</v>
      </c>
      <c r="S88" s="80" t="s">
        <v>61</v>
      </c>
      <c r="T88" s="5" t="s">
        <v>485</v>
      </c>
      <c r="U88" s="9"/>
      <c r="W88" s="87">
        <f t="shared" si="57"/>
        <v>95.7</v>
      </c>
      <c r="X88" s="88">
        <f t="shared" si="57"/>
        <v>29</v>
      </c>
      <c r="Y88" s="93">
        <f t="shared" si="58"/>
        <v>30</v>
      </c>
      <c r="Z88" s="91">
        <f t="shared" si="58"/>
        <v>0</v>
      </c>
      <c r="AA88" s="91">
        <f>K88</f>
        <v>0</v>
      </c>
      <c r="AB88" s="91">
        <f t="shared" si="56"/>
        <v>0</v>
      </c>
      <c r="AC88" s="4" t="str">
        <f t="shared" si="56"/>
        <v/>
      </c>
      <c r="AD88" s="92">
        <f t="shared" si="56"/>
        <v>0</v>
      </c>
      <c r="AE88" s="80" t="str">
        <f>S88</f>
        <v>계</v>
      </c>
      <c r="AF88" s="80" t="str">
        <f>Q88&amp;"/"&amp;R88</f>
        <v>3/2</v>
      </c>
      <c r="AH88" s="20" t="str">
        <f t="shared" ref="AH88:AH128" si="59">IF(A88="","",A88)</f>
        <v>나운동 현대백조</v>
      </c>
      <c r="AI88" s="88">
        <f t="shared" si="53"/>
        <v>29</v>
      </c>
      <c r="AJ88" s="80" t="str">
        <f>IF(AI88="","",$AJ$2)</f>
        <v>A-</v>
      </c>
      <c r="AK88" s="80" t="s">
        <v>14</v>
      </c>
      <c r="AL88" s="80" t="s">
        <v>63</v>
      </c>
      <c r="AM88" s="80" t="s">
        <v>64</v>
      </c>
      <c r="AN88" s="80" t="str">
        <f>IF(AI88="","",$AN$2)</f>
        <v>C</v>
      </c>
      <c r="AO88" s="80" t="str">
        <f>IF(N88="","",IF(N88&gt;=$AO$1/100,"O","X"))</f>
        <v/>
      </c>
      <c r="AP88" s="80" t="str">
        <f>IF(I88="","",IF(I88&lt;=$AP$1,"O","X"))</f>
        <v/>
      </c>
      <c r="AQ88" s="80" t="str">
        <f>IF(O88="","",IF(O88&lt;=$AQ$1,"O","X"))</f>
        <v>O</v>
      </c>
      <c r="AR88" s="80" t="str">
        <f>IF(M88="","",IF(M88&lt;=$AR$1,"O","X"))</f>
        <v>O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O</v>
      </c>
      <c r="AV88" s="80" t="str">
        <f>IF(AO88="","",IF(AND(AO88="O",AP88="O",AR88="O",AT88="O",AU88="O"),"후보","X"))</f>
        <v/>
      </c>
    </row>
    <row r="89" spans="1:48" s="37" customFormat="1" ht="12" x14ac:dyDescent="0.3">
      <c r="A89" s="75" t="s">
        <v>1425</v>
      </c>
      <c r="B89" s="76" t="s">
        <v>1427</v>
      </c>
      <c r="C89" s="86">
        <v>246</v>
      </c>
      <c r="D89" s="87">
        <v>74.400000000000006</v>
      </c>
      <c r="E89" s="88">
        <v>23</v>
      </c>
      <c r="F89" s="87">
        <v>59.1</v>
      </c>
      <c r="G89" s="17">
        <v>18</v>
      </c>
      <c r="H89" s="89">
        <v>168</v>
      </c>
      <c r="I89" s="90"/>
      <c r="J89" s="90"/>
      <c r="K89" s="90"/>
      <c r="L89" s="90"/>
      <c r="M89" s="91">
        <f>I89-K89</f>
        <v>0</v>
      </c>
      <c r="N89" s="4" t="str">
        <f>IF(ISERROR(K89/I89),"",K89/I89)</f>
        <v/>
      </c>
      <c r="O89" s="92">
        <f>I89/E89</f>
        <v>0</v>
      </c>
      <c r="P89" s="92">
        <f>K89/E89</f>
        <v>0</v>
      </c>
      <c r="Q89" s="80">
        <v>3</v>
      </c>
      <c r="R89" s="80">
        <v>1</v>
      </c>
      <c r="S89" s="80" t="s">
        <v>61</v>
      </c>
      <c r="T89" s="5">
        <v>74</v>
      </c>
      <c r="U89" s="9"/>
      <c r="W89" s="87">
        <f t="shared" si="57"/>
        <v>74.400000000000006</v>
      </c>
      <c r="X89" s="88">
        <f t="shared" si="57"/>
        <v>23</v>
      </c>
      <c r="Y89" s="93">
        <f t="shared" si="58"/>
        <v>168</v>
      </c>
      <c r="Z89" s="91">
        <f t="shared" si="58"/>
        <v>0</v>
      </c>
      <c r="AA89" s="91">
        <f>K89</f>
        <v>0</v>
      </c>
      <c r="AB89" s="91">
        <f t="shared" si="56"/>
        <v>0</v>
      </c>
      <c r="AC89" s="4" t="str">
        <f t="shared" si="56"/>
        <v/>
      </c>
      <c r="AD89" s="92">
        <f t="shared" si="56"/>
        <v>0</v>
      </c>
      <c r="AE89" s="80" t="str">
        <f>S89</f>
        <v>계</v>
      </c>
      <c r="AF89" s="80" t="str">
        <f>Q89&amp;"/"&amp;R89</f>
        <v>3/1</v>
      </c>
      <c r="AH89" s="20" t="str">
        <f t="shared" si="59"/>
        <v>나운동 동신진주</v>
      </c>
      <c r="AI89" s="88">
        <f t="shared" si="53"/>
        <v>23</v>
      </c>
      <c r="AJ89" s="80" t="str">
        <f>IF(AI89="","",$AJ$2)</f>
        <v>A-</v>
      </c>
      <c r="AK89" s="80" t="s">
        <v>14</v>
      </c>
      <c r="AL89" s="80" t="s">
        <v>63</v>
      </c>
      <c r="AM89" s="80" t="s">
        <v>64</v>
      </c>
      <c r="AN89" s="80" t="str">
        <f>IF(AI89="","",$AN$2)</f>
        <v>C</v>
      </c>
      <c r="AO89" s="80" t="str">
        <f>IF(N89="","",IF(N89&gt;=$AO$1/100,"O","X"))</f>
        <v/>
      </c>
      <c r="AP89" s="80" t="str">
        <f>IF(I89="","",IF(I89&lt;=$AP$1,"O","X"))</f>
        <v/>
      </c>
      <c r="AQ89" s="80" t="str">
        <f>IF(O89="","",IF(O89&lt;=$AQ$1,"O","X"))</f>
        <v>O</v>
      </c>
      <c r="AR89" s="80" t="str">
        <f>IF(M89="","",IF(M89&lt;=$AR$1,"O","X"))</f>
        <v>O</v>
      </c>
      <c r="AS89" s="80" t="s">
        <v>2</v>
      </c>
      <c r="AT89" s="80" t="str">
        <f>IF(OR(F89="",AI89=""),"",IF(AND((F89&lt;=85),(AI89&gt;=15)),"O","X"))</f>
        <v>O</v>
      </c>
      <c r="AU89" s="80" t="str">
        <f>IF(C89="","",IF(C89&gt;=$AU$1,"O","X"))</f>
        <v>X</v>
      </c>
      <c r="AV89" s="80" t="str">
        <f>IF(AO89="","",IF(AND(AO89="O",AP89="O",AR89="O",AT89="O",AU89="O"),"후보","X"))</f>
        <v/>
      </c>
    </row>
    <row r="90" spans="1:48" s="37" customFormat="1" ht="12" x14ac:dyDescent="0.3">
      <c r="A90" s="75" t="s">
        <v>1651</v>
      </c>
      <c r="B90" s="76" t="s">
        <v>1427</v>
      </c>
      <c r="C90" s="86">
        <v>246</v>
      </c>
      <c r="D90" s="87">
        <v>81.599999999999994</v>
      </c>
      <c r="E90" s="88">
        <v>25</v>
      </c>
      <c r="F90" s="87">
        <v>59.6</v>
      </c>
      <c r="G90" s="17">
        <v>18</v>
      </c>
      <c r="H90" s="89">
        <v>20</v>
      </c>
      <c r="I90" s="90"/>
      <c r="J90" s="90"/>
      <c r="K90" s="90"/>
      <c r="L90" s="90"/>
      <c r="M90" s="91">
        <f>I90-K90</f>
        <v>0</v>
      </c>
      <c r="N90" s="4" t="str">
        <f>IF(ISERROR(K90/I90),"",K90/I90)</f>
        <v/>
      </c>
      <c r="O90" s="92">
        <f>I90/E90</f>
        <v>0</v>
      </c>
      <c r="P90" s="92">
        <f>K90/E90</f>
        <v>0</v>
      </c>
      <c r="Q90" s="80">
        <v>3</v>
      </c>
      <c r="R90" s="80">
        <v>1</v>
      </c>
      <c r="S90" s="80" t="s">
        <v>61</v>
      </c>
      <c r="T90" s="5" t="s">
        <v>121</v>
      </c>
      <c r="U90" s="9"/>
      <c r="W90" s="87">
        <f t="shared" si="57"/>
        <v>81.599999999999994</v>
      </c>
      <c r="X90" s="88">
        <f t="shared" si="57"/>
        <v>25</v>
      </c>
      <c r="Y90" s="93">
        <f t="shared" si="58"/>
        <v>20</v>
      </c>
      <c r="Z90" s="91">
        <f t="shared" si="58"/>
        <v>0</v>
      </c>
      <c r="AA90" s="91">
        <f>K90</f>
        <v>0</v>
      </c>
      <c r="AB90" s="91">
        <f t="shared" si="56"/>
        <v>0</v>
      </c>
      <c r="AC90" s="4" t="str">
        <f t="shared" si="56"/>
        <v/>
      </c>
      <c r="AD90" s="92">
        <f t="shared" si="56"/>
        <v>0</v>
      </c>
      <c r="AE90" s="80" t="str">
        <f>S90</f>
        <v>계</v>
      </c>
      <c r="AF90" s="80" t="str">
        <f>Q90&amp;"/"&amp;R90</f>
        <v>3/1</v>
      </c>
      <c r="AH90" s="20" t="str">
        <f t="shared" si="59"/>
        <v>나운동 동신진주</v>
      </c>
      <c r="AI90" s="88">
        <f t="shared" si="53"/>
        <v>25</v>
      </c>
      <c r="AJ90" s="80" t="str">
        <f>IF(AI90="","",$AJ$2)</f>
        <v>A-</v>
      </c>
      <c r="AK90" s="80" t="s">
        <v>14</v>
      </c>
      <c r="AL90" s="80" t="s">
        <v>63</v>
      </c>
      <c r="AM90" s="80" t="s">
        <v>64</v>
      </c>
      <c r="AN90" s="80" t="str">
        <f>IF(AI90="","",$AN$2)</f>
        <v>C</v>
      </c>
      <c r="AO90" s="80" t="str">
        <f>IF(N90="","",IF(N90&gt;=$AO$1/100,"O","X"))</f>
        <v/>
      </c>
      <c r="AP90" s="80" t="str">
        <f>IF(I90="","",IF(I90&lt;=$AP$1,"O","X"))</f>
        <v/>
      </c>
      <c r="AQ90" s="80" t="str">
        <f>IF(O90="","",IF(O90&lt;=$AQ$1,"O","X"))</f>
        <v>O</v>
      </c>
      <c r="AR90" s="80" t="str">
        <f>IF(M90="","",IF(M90&lt;=$AR$1,"O","X"))</f>
        <v>O</v>
      </c>
      <c r="AS90" s="80" t="s">
        <v>2</v>
      </c>
      <c r="AT90" s="80" t="str">
        <f>IF(OR(F90="",AI90=""),"",IF(AND((F90&lt;=85),(AI90&gt;=15)),"O","X"))</f>
        <v>O</v>
      </c>
      <c r="AU90" s="80" t="str">
        <f>IF(C90="","",IF(C90&gt;=$AU$1,"O","X"))</f>
        <v>X</v>
      </c>
      <c r="AV90" s="80" t="str">
        <f>IF(AO90="","",IF(AND(AO90="O",AP90="O",AR90="O",AT90="O",AU90="O"),"후보","X"))</f>
        <v/>
      </c>
    </row>
    <row r="91" spans="1:48" s="37" customFormat="1" ht="12" x14ac:dyDescent="0.3">
      <c r="A91" s="75" t="s">
        <v>1425</v>
      </c>
      <c r="B91" s="76" t="s">
        <v>1427</v>
      </c>
      <c r="C91" s="86">
        <v>246</v>
      </c>
      <c r="D91" s="87">
        <v>82.2</v>
      </c>
      <c r="E91" s="88">
        <v>25</v>
      </c>
      <c r="F91" s="87">
        <v>60</v>
      </c>
      <c r="G91" s="17">
        <v>18</v>
      </c>
      <c r="H91" s="89">
        <v>10</v>
      </c>
      <c r="I91" s="90"/>
      <c r="J91" s="90"/>
      <c r="K91" s="90"/>
      <c r="L91" s="90"/>
      <c r="M91" s="91">
        <f>I91-K91</f>
        <v>0</v>
      </c>
      <c r="N91" s="4" t="str">
        <f>IF(ISERROR(K91/I91),"",K91/I91)</f>
        <v/>
      </c>
      <c r="O91" s="92">
        <f>I91/E91</f>
        <v>0</v>
      </c>
      <c r="P91" s="92">
        <f>K91/E91</f>
        <v>0</v>
      </c>
      <c r="Q91" s="80">
        <v>3</v>
      </c>
      <c r="R91" s="80">
        <v>1</v>
      </c>
      <c r="S91" s="80" t="s">
        <v>61</v>
      </c>
      <c r="T91" s="5" t="s">
        <v>90</v>
      </c>
      <c r="U91" s="9"/>
      <c r="W91" s="87">
        <f t="shared" si="57"/>
        <v>82.2</v>
      </c>
      <c r="X91" s="88">
        <f t="shared" si="57"/>
        <v>25</v>
      </c>
      <c r="Y91" s="93">
        <f t="shared" si="58"/>
        <v>10</v>
      </c>
      <c r="Z91" s="91">
        <f t="shared" si="58"/>
        <v>0</v>
      </c>
      <c r="AA91" s="91">
        <f>K91</f>
        <v>0</v>
      </c>
      <c r="AB91" s="91">
        <f t="shared" si="56"/>
        <v>0</v>
      </c>
      <c r="AC91" s="4" t="str">
        <f t="shared" si="56"/>
        <v/>
      </c>
      <c r="AD91" s="92">
        <f t="shared" si="56"/>
        <v>0</v>
      </c>
      <c r="AE91" s="80" t="str">
        <f>S91</f>
        <v>계</v>
      </c>
      <c r="AF91" s="80" t="str">
        <f>Q91&amp;"/"&amp;R91</f>
        <v>3/1</v>
      </c>
      <c r="AH91" s="20" t="str">
        <f t="shared" si="59"/>
        <v>나운동 동신진주</v>
      </c>
      <c r="AI91" s="88">
        <f t="shared" si="53"/>
        <v>25</v>
      </c>
      <c r="AJ91" s="80" t="str">
        <f>IF(AI91="","",$AJ$2)</f>
        <v>A-</v>
      </c>
      <c r="AK91" s="80" t="s">
        <v>14</v>
      </c>
      <c r="AL91" s="80" t="s">
        <v>63</v>
      </c>
      <c r="AM91" s="80" t="s">
        <v>64</v>
      </c>
      <c r="AN91" s="80" t="str">
        <f>IF(AI91="","",$AN$2)</f>
        <v>C</v>
      </c>
      <c r="AO91" s="80" t="str">
        <f>IF(N91="","",IF(N91&gt;=$AO$1/100,"O","X"))</f>
        <v/>
      </c>
      <c r="AP91" s="80" t="str">
        <f>IF(I91="","",IF(I91&lt;=$AP$1,"O","X"))</f>
        <v/>
      </c>
      <c r="AQ91" s="80" t="str">
        <f>IF(O91="","",IF(O91&lt;=$AQ$1,"O","X"))</f>
        <v>O</v>
      </c>
      <c r="AR91" s="80" t="str">
        <f>IF(M91="","",IF(M91&lt;=$AR$1,"O","X"))</f>
        <v>O</v>
      </c>
      <c r="AS91" s="80" t="s">
        <v>2</v>
      </c>
      <c r="AT91" s="80" t="str">
        <f>IF(OR(F91="",AI91=""),"",IF(AND((F91&lt;=85),(AI91&gt;=15)),"O","X"))</f>
        <v>O</v>
      </c>
      <c r="AU91" s="80" t="str">
        <f>IF(C91="","",IF(C91&gt;=$AU$1,"O","X"))</f>
        <v>X</v>
      </c>
      <c r="AV91" s="80" t="str">
        <f>IF(AO91="","",IF(AND(AO91="O",AP91="O",AR91="O",AT91="O",AU91="O"),"후보","X"))</f>
        <v/>
      </c>
    </row>
    <row r="92" spans="1:48" s="37" customFormat="1" ht="12" x14ac:dyDescent="0.3">
      <c r="A92" s="75" t="s">
        <v>1425</v>
      </c>
      <c r="B92" s="76" t="s">
        <v>1427</v>
      </c>
      <c r="C92" s="86">
        <v>246</v>
      </c>
      <c r="D92" s="87">
        <v>103.7</v>
      </c>
      <c r="E92" s="88">
        <v>31</v>
      </c>
      <c r="F92" s="87">
        <v>84.7</v>
      </c>
      <c r="G92" s="17">
        <v>26</v>
      </c>
      <c r="H92" s="89">
        <v>48</v>
      </c>
      <c r="I92" s="90"/>
      <c r="J92" s="90"/>
      <c r="K92" s="90"/>
      <c r="L92" s="90"/>
      <c r="M92" s="91">
        <f>I92-K92</f>
        <v>0</v>
      </c>
      <c r="N92" s="4" t="str">
        <f>IF(ISERROR(K92/I92),"",K92/I92)</f>
        <v/>
      </c>
      <c r="O92" s="92">
        <f>I92/E92</f>
        <v>0</v>
      </c>
      <c r="P92" s="92">
        <f>K92/E92</f>
        <v>0</v>
      </c>
      <c r="Q92" s="80">
        <v>3</v>
      </c>
      <c r="R92" s="80">
        <v>2</v>
      </c>
      <c r="S92" s="80" t="s">
        <v>61</v>
      </c>
      <c r="T92" s="5">
        <v>103</v>
      </c>
      <c r="U92" s="9"/>
      <c r="W92" s="87">
        <f t="shared" si="57"/>
        <v>103.7</v>
      </c>
      <c r="X92" s="88">
        <f t="shared" si="57"/>
        <v>31</v>
      </c>
      <c r="Y92" s="93">
        <f t="shared" si="58"/>
        <v>48</v>
      </c>
      <c r="Z92" s="91">
        <f t="shared" si="58"/>
        <v>0</v>
      </c>
      <c r="AA92" s="91">
        <f>K92</f>
        <v>0</v>
      </c>
      <c r="AB92" s="91">
        <f t="shared" si="56"/>
        <v>0</v>
      </c>
      <c r="AC92" s="4" t="str">
        <f t="shared" si="56"/>
        <v/>
      </c>
      <c r="AD92" s="92">
        <f t="shared" si="56"/>
        <v>0</v>
      </c>
      <c r="AE92" s="80" t="str">
        <f>S92</f>
        <v>계</v>
      </c>
      <c r="AF92" s="80" t="str">
        <f>Q92&amp;"/"&amp;R92</f>
        <v>3/2</v>
      </c>
      <c r="AH92" s="20" t="str">
        <f t="shared" si="59"/>
        <v>나운동 동신진주</v>
      </c>
      <c r="AI92" s="88">
        <f t="shared" si="53"/>
        <v>31</v>
      </c>
      <c r="AJ92" s="80" t="str">
        <f>IF(AI92="","",$AJ$2)</f>
        <v>A-</v>
      </c>
      <c r="AK92" s="80" t="s">
        <v>14</v>
      </c>
      <c r="AL92" s="80" t="s">
        <v>63</v>
      </c>
      <c r="AM92" s="80" t="s">
        <v>64</v>
      </c>
      <c r="AN92" s="80" t="str">
        <f>IF(AI92="","",$AN$2)</f>
        <v>C</v>
      </c>
      <c r="AO92" s="80" t="str">
        <f>IF(N92="","",IF(N92&gt;=$AO$1/100,"O","X"))</f>
        <v/>
      </c>
      <c r="AP92" s="80" t="str">
        <f>IF(I92="","",IF(I92&lt;=$AP$1,"O","X"))</f>
        <v/>
      </c>
      <c r="AQ92" s="80" t="str">
        <f>IF(O92="","",IF(O92&lt;=$AQ$1,"O","X"))</f>
        <v>O</v>
      </c>
      <c r="AR92" s="80" t="str">
        <f>IF(M92="","",IF(M92&lt;=$AR$1,"O","X"))</f>
        <v>O</v>
      </c>
      <c r="AS92" s="80" t="s">
        <v>2</v>
      </c>
      <c r="AT92" s="80" t="str">
        <f>IF(OR(F92="",AI92=""),"",IF(AND((F92&lt;=85),(AI92&gt;=15)),"O","X"))</f>
        <v>O</v>
      </c>
      <c r="AU92" s="80" t="str">
        <f>IF(C92="","",IF(C92&gt;=$AU$1,"O","X"))</f>
        <v>X</v>
      </c>
      <c r="AV92" s="80" t="str">
        <f>IF(AO92="","",IF(AND(AO92="O",AP92="O",AR92="O",AT92="O",AU92="O"),"후보","X"))</f>
        <v/>
      </c>
    </row>
    <row r="93" spans="1:48" s="37" customFormat="1" ht="12" x14ac:dyDescent="0.3">
      <c r="A93" s="75" t="s">
        <v>1428</v>
      </c>
      <c r="B93" s="76" t="s">
        <v>1429</v>
      </c>
      <c r="C93" s="86">
        <v>773</v>
      </c>
      <c r="D93" s="87">
        <v>110.6</v>
      </c>
      <c r="E93" s="88">
        <v>33</v>
      </c>
      <c r="F93" s="87">
        <v>84.9</v>
      </c>
      <c r="G93" s="17">
        <v>26</v>
      </c>
      <c r="H93" s="89">
        <v>336</v>
      </c>
      <c r="I93" s="90"/>
      <c r="J93" s="90"/>
      <c r="K93" s="90"/>
      <c r="L93" s="90"/>
      <c r="M93" s="91">
        <f>I93-K93</f>
        <v>0</v>
      </c>
      <c r="N93" s="4" t="str">
        <f>IF(ISERROR(K93/I93),"",K93/I93)</f>
        <v/>
      </c>
      <c r="O93" s="92">
        <f>I93/E93</f>
        <v>0</v>
      </c>
      <c r="P93" s="92">
        <f>K93/E93</f>
        <v>0</v>
      </c>
      <c r="Q93" s="80">
        <v>3</v>
      </c>
      <c r="R93" s="80">
        <v>2</v>
      </c>
      <c r="S93" s="80" t="s">
        <v>61</v>
      </c>
      <c r="T93" s="5" t="s">
        <v>62</v>
      </c>
      <c r="U93" s="9"/>
      <c r="W93" s="87">
        <f t="shared" si="57"/>
        <v>110.6</v>
      </c>
      <c r="X93" s="88">
        <f t="shared" si="57"/>
        <v>33</v>
      </c>
      <c r="Y93" s="93">
        <f t="shared" si="58"/>
        <v>336</v>
      </c>
      <c r="Z93" s="91">
        <f t="shared" si="58"/>
        <v>0</v>
      </c>
      <c r="AA93" s="91">
        <f>K93</f>
        <v>0</v>
      </c>
      <c r="AB93" s="91">
        <f t="shared" ref="AB93:AD100" si="60">M93</f>
        <v>0</v>
      </c>
      <c r="AC93" s="4" t="str">
        <f t="shared" si="60"/>
        <v/>
      </c>
      <c r="AD93" s="92">
        <f t="shared" si="60"/>
        <v>0</v>
      </c>
      <c r="AE93" s="80" t="str">
        <f>S93</f>
        <v>계</v>
      </c>
      <c r="AF93" s="80" t="str">
        <f>Q93&amp;"/"&amp;R93</f>
        <v>3/2</v>
      </c>
      <c r="AH93" s="20" t="str">
        <f t="shared" si="59"/>
        <v>나운동 수송금호어울림</v>
      </c>
      <c r="AI93" s="88">
        <f t="shared" si="53"/>
        <v>33</v>
      </c>
      <c r="AJ93" s="80" t="str">
        <f>IF(AI93="","",$AJ$2)</f>
        <v>A-</v>
      </c>
      <c r="AK93" s="80" t="s">
        <v>14</v>
      </c>
      <c r="AL93" s="80" t="s">
        <v>63</v>
      </c>
      <c r="AM93" s="80" t="s">
        <v>64</v>
      </c>
      <c r="AN93" s="80" t="str">
        <f>IF(AI93="","",$AN$2)</f>
        <v>C</v>
      </c>
      <c r="AO93" s="80" t="str">
        <f>IF(N93="","",IF(N93&gt;=$AO$1/100,"O","X"))</f>
        <v/>
      </c>
      <c r="AP93" s="80" t="str">
        <f>IF(I93="","",IF(I93&lt;=$AP$1,"O","X"))</f>
        <v/>
      </c>
      <c r="AQ93" s="80" t="str">
        <f>IF(O93="","",IF(O93&lt;=$AQ$1,"O","X"))</f>
        <v>O</v>
      </c>
      <c r="AR93" s="80" t="str">
        <f>IF(M93="","",IF(M93&lt;=$AR$1,"O","X"))</f>
        <v>O</v>
      </c>
      <c r="AS93" s="80" t="s">
        <v>2</v>
      </c>
      <c r="AT93" s="80" t="str">
        <f>IF(OR(F93="",AI93=""),"",IF(AND((F93&lt;=85),(AI93&gt;=15)),"O","X"))</f>
        <v>O</v>
      </c>
      <c r="AU93" s="80" t="str">
        <f>IF(C93="","",IF(C93&gt;=$AU$1,"O","X"))</f>
        <v>O</v>
      </c>
      <c r="AV93" s="80" t="str">
        <f>IF(AO93="","",IF(AND(AO93="O",AP93="O",AR93="O",AT93="O",AU93="O"),"후보","X"))</f>
        <v/>
      </c>
    </row>
    <row r="94" spans="1:48" s="37" customFormat="1" ht="12" x14ac:dyDescent="0.3">
      <c r="A94" s="75" t="s">
        <v>1428</v>
      </c>
      <c r="B94" s="76" t="s">
        <v>1429</v>
      </c>
      <c r="C94" s="86">
        <v>773</v>
      </c>
      <c r="D94" s="87">
        <v>111.2</v>
      </c>
      <c r="E94" s="88">
        <v>34</v>
      </c>
      <c r="F94" s="87">
        <v>85</v>
      </c>
      <c r="G94" s="17">
        <v>26</v>
      </c>
      <c r="H94" s="89">
        <v>324</v>
      </c>
      <c r="I94" s="90">
        <v>27000</v>
      </c>
      <c r="J94" s="90" t="s">
        <v>74</v>
      </c>
      <c r="K94" s="90">
        <v>23500</v>
      </c>
      <c r="L94" s="90" t="s">
        <v>68</v>
      </c>
      <c r="M94" s="91">
        <f>I94-K94</f>
        <v>3500</v>
      </c>
      <c r="N94" s="4">
        <f>IF(ISERROR(K94/I94),"",K94/I94)</f>
        <v>0.87037037037037035</v>
      </c>
      <c r="O94" s="92">
        <f>I94/E94</f>
        <v>794.11764705882354</v>
      </c>
      <c r="P94" s="92">
        <f>K94/E94</f>
        <v>691.17647058823525</v>
      </c>
      <c r="Q94" s="80">
        <v>3</v>
      </c>
      <c r="R94" s="80">
        <v>2</v>
      </c>
      <c r="S94" s="80" t="s">
        <v>61</v>
      </c>
      <c r="T94" s="5" t="s">
        <v>78</v>
      </c>
      <c r="U94" s="9"/>
      <c r="W94" s="87">
        <f t="shared" si="57"/>
        <v>111.2</v>
      </c>
      <c r="X94" s="88">
        <f t="shared" si="57"/>
        <v>34</v>
      </c>
      <c r="Y94" s="93">
        <f t="shared" si="58"/>
        <v>324</v>
      </c>
      <c r="Z94" s="91">
        <f t="shared" si="58"/>
        <v>27000</v>
      </c>
      <c r="AA94" s="91">
        <f>K94</f>
        <v>23500</v>
      </c>
      <c r="AB94" s="91">
        <f t="shared" si="60"/>
        <v>3500</v>
      </c>
      <c r="AC94" s="4">
        <f t="shared" si="60"/>
        <v>0.87037037037037035</v>
      </c>
      <c r="AD94" s="92">
        <f t="shared" si="60"/>
        <v>794.11764705882354</v>
      </c>
      <c r="AE94" s="80" t="str">
        <f>S94</f>
        <v>계</v>
      </c>
      <c r="AF94" s="80" t="str">
        <f>Q94&amp;"/"&amp;R94</f>
        <v>3/2</v>
      </c>
      <c r="AH94" s="20" t="str">
        <f t="shared" si="59"/>
        <v>나운동 수송금호어울림</v>
      </c>
      <c r="AI94" s="88">
        <f t="shared" si="53"/>
        <v>34</v>
      </c>
      <c r="AJ94" s="80" t="str">
        <f>IF(AI94="","",$AJ$2)</f>
        <v>A-</v>
      </c>
      <c r="AK94" s="80" t="s">
        <v>14</v>
      </c>
      <c r="AL94" s="80" t="s">
        <v>63</v>
      </c>
      <c r="AM94" s="80" t="s">
        <v>64</v>
      </c>
      <c r="AN94" s="80" t="str">
        <f>IF(AI94="","",$AN$2)</f>
        <v>C</v>
      </c>
      <c r="AO94" s="80" t="str">
        <f>IF(N94="","",IF(N94&gt;=$AO$1/100,"O","X"))</f>
        <v>O</v>
      </c>
      <c r="AP94" s="80" t="str">
        <f>IF(I94="","",IF(I94&lt;=$AP$1,"O","X"))</f>
        <v>O</v>
      </c>
      <c r="AQ94" s="80" t="str">
        <f>IF(O94="","",IF(O94&lt;=$AQ$1,"O","X"))</f>
        <v>O</v>
      </c>
      <c r="AR94" s="80" t="str">
        <f>IF(M94="","",IF(M94&lt;=$AR$1,"O","X"))</f>
        <v>O</v>
      </c>
      <c r="AS94" s="80" t="s">
        <v>2</v>
      </c>
      <c r="AT94" s="80" t="str">
        <f>IF(OR(F94="",AI94=""),"",IF(AND((F94&lt;=85),(AI94&gt;=15)),"O","X"))</f>
        <v>O</v>
      </c>
      <c r="AU94" s="80" t="str">
        <f>IF(C94="","",IF(C94&gt;=$AU$1,"O","X"))</f>
        <v>O</v>
      </c>
      <c r="AV94" s="80" t="str">
        <f>IF(AO94="","",IF(AND(AO94="O",AP94="O",AR94="O",AT94="O",AU94="O"),"후보","X"))</f>
        <v>후보</v>
      </c>
    </row>
    <row r="95" spans="1:48" s="37" customFormat="1" ht="12" x14ac:dyDescent="0.3">
      <c r="A95" s="75" t="s">
        <v>1428</v>
      </c>
      <c r="B95" s="76" t="s">
        <v>1429</v>
      </c>
      <c r="C95" s="86">
        <v>773</v>
      </c>
      <c r="D95" s="87">
        <v>111.3</v>
      </c>
      <c r="E95" s="88">
        <v>34</v>
      </c>
      <c r="F95" s="87">
        <v>85</v>
      </c>
      <c r="G95" s="17">
        <v>26</v>
      </c>
      <c r="H95" s="89">
        <v>37</v>
      </c>
      <c r="I95" s="90">
        <v>27000</v>
      </c>
      <c r="J95" s="90" t="s">
        <v>66</v>
      </c>
      <c r="K95" s="90">
        <v>27000</v>
      </c>
      <c r="L95" s="90" t="s">
        <v>70</v>
      </c>
      <c r="M95" s="91">
        <f>I95-K95</f>
        <v>0</v>
      </c>
      <c r="N95" s="4">
        <f>IF(ISERROR(K95/I95),"",K95/I95)</f>
        <v>1</v>
      </c>
      <c r="O95" s="92">
        <f>I95/E95</f>
        <v>794.11764705882354</v>
      </c>
      <c r="P95" s="92">
        <f>K95/E95</f>
        <v>794.11764705882354</v>
      </c>
      <c r="Q95" s="80">
        <v>3</v>
      </c>
      <c r="R95" s="80">
        <v>2</v>
      </c>
      <c r="S95" s="80" t="s">
        <v>61</v>
      </c>
      <c r="T95" s="5" t="s">
        <v>79</v>
      </c>
      <c r="U95" s="9"/>
      <c r="W95" s="87">
        <f t="shared" si="57"/>
        <v>111.3</v>
      </c>
      <c r="X95" s="88">
        <f t="shared" si="57"/>
        <v>34</v>
      </c>
      <c r="Y95" s="93">
        <f t="shared" si="58"/>
        <v>37</v>
      </c>
      <c r="Z95" s="91">
        <f t="shared" si="58"/>
        <v>27000</v>
      </c>
      <c r="AA95" s="91">
        <f>K95</f>
        <v>27000</v>
      </c>
      <c r="AB95" s="91">
        <f t="shared" si="60"/>
        <v>0</v>
      </c>
      <c r="AC95" s="4">
        <f t="shared" si="60"/>
        <v>1</v>
      </c>
      <c r="AD95" s="92">
        <f t="shared" si="60"/>
        <v>794.11764705882354</v>
      </c>
      <c r="AE95" s="80" t="str">
        <f>S95</f>
        <v>계</v>
      </c>
      <c r="AF95" s="80" t="str">
        <f>Q95&amp;"/"&amp;R95</f>
        <v>3/2</v>
      </c>
      <c r="AH95" s="20" t="str">
        <f t="shared" si="59"/>
        <v>나운동 수송금호어울림</v>
      </c>
      <c r="AI95" s="88">
        <f t="shared" si="53"/>
        <v>34</v>
      </c>
      <c r="AJ95" s="80" t="str">
        <f>IF(AI95="","",$AJ$2)</f>
        <v>A-</v>
      </c>
      <c r="AK95" s="80" t="s">
        <v>14</v>
      </c>
      <c r="AL95" s="80" t="s">
        <v>63</v>
      </c>
      <c r="AM95" s="80" t="s">
        <v>64</v>
      </c>
      <c r="AN95" s="80" t="str">
        <f>IF(AI95="","",$AN$2)</f>
        <v>C</v>
      </c>
      <c r="AO95" s="80" t="str">
        <f>IF(N95="","",IF(N95&gt;=$AO$1/100,"O","X"))</f>
        <v>O</v>
      </c>
      <c r="AP95" s="80" t="str">
        <f>IF(I95="","",IF(I95&lt;=$AP$1,"O","X"))</f>
        <v>O</v>
      </c>
      <c r="AQ95" s="80" t="str">
        <f>IF(O95="","",IF(O95&lt;=$AQ$1,"O","X"))</f>
        <v>O</v>
      </c>
      <c r="AR95" s="80" t="str">
        <f>IF(M95="","",IF(M95&lt;=$AR$1,"O","X"))</f>
        <v>O</v>
      </c>
      <c r="AS95" s="80" t="s">
        <v>2</v>
      </c>
      <c r="AT95" s="80" t="str">
        <f>IF(OR(F95="",AI95=""),"",IF(AND((F95&lt;=85),(AI95&gt;=15)),"O","X"))</f>
        <v>O</v>
      </c>
      <c r="AU95" s="80" t="str">
        <f>IF(C95="","",IF(C95&gt;=$AU$1,"O","X"))</f>
        <v>O</v>
      </c>
      <c r="AV95" s="80" t="str">
        <f>IF(AO95="","",IF(AND(AO95="O",AP95="O",AR95="O",AT95="O",AU95="O"),"후보","X"))</f>
        <v>후보</v>
      </c>
    </row>
    <row r="96" spans="1:48" s="37" customFormat="1" ht="12" x14ac:dyDescent="0.3">
      <c r="A96" s="75" t="s">
        <v>1428</v>
      </c>
      <c r="B96" s="76" t="s">
        <v>1429</v>
      </c>
      <c r="C96" s="86">
        <v>773</v>
      </c>
      <c r="D96" s="87">
        <v>112.4</v>
      </c>
      <c r="E96" s="88">
        <v>34</v>
      </c>
      <c r="F96" s="87">
        <v>85</v>
      </c>
      <c r="G96" s="17">
        <v>26</v>
      </c>
      <c r="H96" s="89">
        <v>76</v>
      </c>
      <c r="I96" s="90">
        <v>29500</v>
      </c>
      <c r="J96" s="90" t="s">
        <v>74</v>
      </c>
      <c r="K96" s="90">
        <v>23000</v>
      </c>
      <c r="L96" s="90" t="s">
        <v>70</v>
      </c>
      <c r="M96" s="91">
        <f>I96-K96</f>
        <v>6500</v>
      </c>
      <c r="N96" s="4">
        <f>IF(ISERROR(K96/I96),"",K96/I96)</f>
        <v>0.77966101694915257</v>
      </c>
      <c r="O96" s="92">
        <f>I96/E96</f>
        <v>867.64705882352939</v>
      </c>
      <c r="P96" s="92">
        <f>K96/E96</f>
        <v>676.47058823529414</v>
      </c>
      <c r="Q96" s="80">
        <v>3</v>
      </c>
      <c r="R96" s="80">
        <v>2</v>
      </c>
      <c r="S96" s="80" t="s">
        <v>61</v>
      </c>
      <c r="T96" s="5" t="s">
        <v>506</v>
      </c>
      <c r="U96" s="9"/>
      <c r="W96" s="87">
        <f t="shared" si="57"/>
        <v>112.4</v>
      </c>
      <c r="X96" s="88">
        <f t="shared" si="57"/>
        <v>34</v>
      </c>
      <c r="Y96" s="93">
        <f t="shared" si="58"/>
        <v>76</v>
      </c>
      <c r="Z96" s="91">
        <f t="shared" si="58"/>
        <v>29500</v>
      </c>
      <c r="AA96" s="91">
        <f>K96</f>
        <v>23000</v>
      </c>
      <c r="AB96" s="91">
        <f t="shared" si="60"/>
        <v>6500</v>
      </c>
      <c r="AC96" s="4">
        <f t="shared" si="60"/>
        <v>0.77966101694915257</v>
      </c>
      <c r="AD96" s="92">
        <f t="shared" si="60"/>
        <v>867.64705882352939</v>
      </c>
      <c r="AE96" s="80" t="str">
        <f>S96</f>
        <v>계</v>
      </c>
      <c r="AF96" s="80" t="str">
        <f>Q96&amp;"/"&amp;R96</f>
        <v>3/2</v>
      </c>
      <c r="AH96" s="20" t="str">
        <f t="shared" si="59"/>
        <v>나운동 수송금호어울림</v>
      </c>
      <c r="AI96" s="88">
        <f t="shared" si="53"/>
        <v>34</v>
      </c>
      <c r="AJ96" s="80" t="str">
        <f>IF(AI96="","",$AJ$2)</f>
        <v>A-</v>
      </c>
      <c r="AK96" s="80" t="s">
        <v>14</v>
      </c>
      <c r="AL96" s="80" t="s">
        <v>63</v>
      </c>
      <c r="AM96" s="80" t="s">
        <v>64</v>
      </c>
      <c r="AN96" s="80" t="str">
        <f>IF(AI96="","",$AN$2)</f>
        <v>C</v>
      </c>
      <c r="AO96" s="80" t="str">
        <f>IF(N96="","",IF(N96&gt;=$AO$1/100,"O","X"))</f>
        <v>X</v>
      </c>
      <c r="AP96" s="80" t="str">
        <f>IF(I96="","",IF(I96&lt;=$AP$1,"O","X"))</f>
        <v>O</v>
      </c>
      <c r="AQ96" s="80" t="str">
        <f>IF(O96="","",IF(O96&lt;=$AQ$1,"O","X"))</f>
        <v>O</v>
      </c>
      <c r="AR96" s="80" t="str">
        <f>IF(M96="","",IF(M96&lt;=$AR$1,"O","X"))</f>
        <v>X</v>
      </c>
      <c r="AS96" s="80" t="s">
        <v>2</v>
      </c>
      <c r="AT96" s="80" t="str">
        <f>IF(OR(F96="",AI96=""),"",IF(AND((F96&lt;=85),(AI96&gt;=15)),"O","X"))</f>
        <v>O</v>
      </c>
      <c r="AU96" s="80" t="str">
        <f>IF(C96="","",IF(C96&gt;=$AU$1,"O","X"))</f>
        <v>O</v>
      </c>
      <c r="AV96" s="80" t="str">
        <f>IF(AO96="","",IF(AND(AO96="O",AP96="O",AR96="O",AT96="O",AU96="O"),"후보","X"))</f>
        <v>X</v>
      </c>
    </row>
    <row r="97" spans="1:48" s="37" customFormat="1" ht="12" x14ac:dyDescent="0.3">
      <c r="A97" s="75" t="s">
        <v>1431</v>
      </c>
      <c r="B97" s="76" t="s">
        <v>1367</v>
      </c>
      <c r="C97" s="86">
        <v>765</v>
      </c>
      <c r="D97" s="87">
        <v>56.5</v>
      </c>
      <c r="E97" s="88">
        <v>17</v>
      </c>
      <c r="F97" s="87">
        <v>39.299999999999997</v>
      </c>
      <c r="G97" s="17">
        <v>12</v>
      </c>
      <c r="H97" s="89">
        <v>60</v>
      </c>
      <c r="I97" s="90">
        <v>5500</v>
      </c>
      <c r="J97" s="90" t="s">
        <v>72</v>
      </c>
      <c r="K97" s="90"/>
      <c r="L97" s="90"/>
      <c r="M97" s="91">
        <f>I97-K97</f>
        <v>5500</v>
      </c>
      <c r="N97" s="4">
        <f>IF(ISERROR(K97/I97),"",K97/I97)</f>
        <v>0</v>
      </c>
      <c r="O97" s="92">
        <f>I97/E97</f>
        <v>323.52941176470586</v>
      </c>
      <c r="P97" s="92">
        <f>K97/E97</f>
        <v>0</v>
      </c>
      <c r="Q97" s="80">
        <v>2</v>
      </c>
      <c r="R97" s="80">
        <v>1</v>
      </c>
      <c r="S97" s="80" t="s">
        <v>76</v>
      </c>
      <c r="T97" s="5">
        <v>56</v>
      </c>
      <c r="U97" s="9"/>
      <c r="W97" s="87">
        <f t="shared" si="57"/>
        <v>56.5</v>
      </c>
      <c r="X97" s="88">
        <f t="shared" si="57"/>
        <v>17</v>
      </c>
      <c r="Y97" s="93">
        <f t="shared" si="58"/>
        <v>60</v>
      </c>
      <c r="Z97" s="91">
        <f t="shared" si="58"/>
        <v>5500</v>
      </c>
      <c r="AA97" s="91">
        <f>K97</f>
        <v>0</v>
      </c>
      <c r="AB97" s="91">
        <f t="shared" si="60"/>
        <v>5500</v>
      </c>
      <c r="AC97" s="4">
        <f t="shared" si="60"/>
        <v>0</v>
      </c>
      <c r="AD97" s="92">
        <f t="shared" si="60"/>
        <v>323.52941176470586</v>
      </c>
      <c r="AE97" s="80" t="str">
        <f>S97</f>
        <v>복</v>
      </c>
      <c r="AF97" s="80" t="str">
        <f>Q97&amp;"/"&amp;R97</f>
        <v>2/1</v>
      </c>
      <c r="AH97" s="20" t="str">
        <f t="shared" si="59"/>
        <v>나운동 영창</v>
      </c>
      <c r="AI97" s="88">
        <f t="shared" si="53"/>
        <v>17</v>
      </c>
      <c r="AJ97" s="80" t="str">
        <f>IF(AI97="","",$AJ$2)</f>
        <v>A-</v>
      </c>
      <c r="AK97" s="80" t="s">
        <v>14</v>
      </c>
      <c r="AL97" s="80" t="s">
        <v>63</v>
      </c>
      <c r="AM97" s="80" t="s">
        <v>64</v>
      </c>
      <c r="AN97" s="80" t="str">
        <f>IF(AI97="","",$AN$2)</f>
        <v>C</v>
      </c>
      <c r="AO97" s="80" t="str">
        <f>IF(N97="","",IF(N97&gt;=$AO$1/100,"O","X"))</f>
        <v>X</v>
      </c>
      <c r="AP97" s="80" t="str">
        <f>IF(I97="","",IF(I97&lt;=$AP$1,"O","X"))</f>
        <v>O</v>
      </c>
      <c r="AQ97" s="80" t="str">
        <f>IF(O97="","",IF(O97&lt;=$AQ$1,"O","X"))</f>
        <v>O</v>
      </c>
      <c r="AR97" s="80" t="str">
        <f>IF(M97="","",IF(M97&lt;=$AR$1,"O","X"))</f>
        <v>X</v>
      </c>
      <c r="AS97" s="80" t="s">
        <v>2</v>
      </c>
      <c r="AT97" s="80" t="str">
        <f>IF(OR(F97="",AI97=""),"",IF(AND((F97&lt;=85),(AI97&gt;=15)),"O","X"))</f>
        <v>O</v>
      </c>
      <c r="AU97" s="80" t="str">
        <f>IF(C97="","",IF(C97&gt;=$AU$1,"O","X"))</f>
        <v>O</v>
      </c>
      <c r="AV97" s="80" t="str">
        <f>IF(AO97="","",IF(AND(AO97="O",AP97="O",AR97="O",AT97="O",AU97="O"),"후보","X"))</f>
        <v>X</v>
      </c>
    </row>
    <row r="98" spans="1:48" s="37" customFormat="1" ht="12" x14ac:dyDescent="0.3">
      <c r="A98" s="75" t="s">
        <v>1431</v>
      </c>
      <c r="B98" s="76" t="s">
        <v>1401</v>
      </c>
      <c r="C98" s="86">
        <v>765</v>
      </c>
      <c r="D98" s="87">
        <v>71.5</v>
      </c>
      <c r="E98" s="88">
        <v>22</v>
      </c>
      <c r="F98" s="87">
        <v>49.8</v>
      </c>
      <c r="G98" s="17">
        <v>15</v>
      </c>
      <c r="H98" s="89">
        <v>120</v>
      </c>
      <c r="I98" s="90">
        <v>7500</v>
      </c>
      <c r="J98" s="90" t="s">
        <v>69</v>
      </c>
      <c r="K98" s="90">
        <v>7000</v>
      </c>
      <c r="L98" s="90" t="s">
        <v>72</v>
      </c>
      <c r="M98" s="91">
        <f>I98-K98</f>
        <v>500</v>
      </c>
      <c r="N98" s="4">
        <f>IF(ISERROR(K98/I98),"",K98/I98)</f>
        <v>0.93333333333333335</v>
      </c>
      <c r="O98" s="92">
        <f>I98/E98</f>
        <v>340.90909090909093</v>
      </c>
      <c r="P98" s="92">
        <f>K98/E98</f>
        <v>318.18181818181819</v>
      </c>
      <c r="Q98" s="80">
        <v>2</v>
      </c>
      <c r="R98" s="80">
        <v>1</v>
      </c>
      <c r="S98" s="80" t="s">
        <v>76</v>
      </c>
      <c r="T98" s="5">
        <v>71</v>
      </c>
      <c r="U98" s="9"/>
      <c r="W98" s="87">
        <f t="shared" ref="W98:X100" si="61">D98</f>
        <v>71.5</v>
      </c>
      <c r="X98" s="88">
        <f t="shared" si="61"/>
        <v>22</v>
      </c>
      <c r="Y98" s="93">
        <f t="shared" ref="Y98:Z100" si="62">H98</f>
        <v>120</v>
      </c>
      <c r="Z98" s="91">
        <f t="shared" si="62"/>
        <v>7500</v>
      </c>
      <c r="AA98" s="91">
        <f>K98</f>
        <v>7000</v>
      </c>
      <c r="AB98" s="91">
        <f t="shared" si="60"/>
        <v>500</v>
      </c>
      <c r="AC98" s="4">
        <f t="shared" si="60"/>
        <v>0.93333333333333335</v>
      </c>
      <c r="AD98" s="92">
        <f t="shared" si="60"/>
        <v>340.90909090909093</v>
      </c>
      <c r="AE98" s="80" t="str">
        <f>S98</f>
        <v>복</v>
      </c>
      <c r="AF98" s="80" t="str">
        <f>Q98&amp;"/"&amp;R98</f>
        <v>2/1</v>
      </c>
      <c r="AH98" s="20" t="str">
        <f t="shared" si="59"/>
        <v>나운동 영창</v>
      </c>
      <c r="AI98" s="88">
        <f t="shared" si="53"/>
        <v>22</v>
      </c>
      <c r="AJ98" s="80" t="str">
        <f>IF(AI98="","",$AJ$2)</f>
        <v>A-</v>
      </c>
      <c r="AK98" s="80" t="s">
        <v>14</v>
      </c>
      <c r="AL98" s="80" t="s">
        <v>63</v>
      </c>
      <c r="AM98" s="80" t="s">
        <v>64</v>
      </c>
      <c r="AN98" s="80" t="str">
        <f>IF(AI98="","",$AN$2)</f>
        <v>C</v>
      </c>
      <c r="AO98" s="80" t="str">
        <f>IF(N98="","",IF(N98&gt;=$AO$1/100,"O","X"))</f>
        <v>O</v>
      </c>
      <c r="AP98" s="80" t="str">
        <f>IF(I98="","",IF(I98&lt;=$AP$1,"O","X"))</f>
        <v>O</v>
      </c>
      <c r="AQ98" s="80" t="str">
        <f>IF(O98="","",IF(O98&lt;=$AQ$1,"O","X"))</f>
        <v>O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O</v>
      </c>
      <c r="AV98" s="80" t="str">
        <f>IF(AO98="","",IF(AND(AO98="O",AP98="O",AR98="O",AT98="O",AU98="O"),"후보","X"))</f>
        <v>후보</v>
      </c>
    </row>
    <row r="99" spans="1:48" s="37" customFormat="1" ht="12" x14ac:dyDescent="0.3">
      <c r="A99" s="75" t="s">
        <v>1431</v>
      </c>
      <c r="B99" s="76" t="s">
        <v>1401</v>
      </c>
      <c r="C99" s="86">
        <v>765</v>
      </c>
      <c r="D99" s="87">
        <v>74.7</v>
      </c>
      <c r="E99" s="88">
        <v>23</v>
      </c>
      <c r="F99" s="87">
        <v>59.9</v>
      </c>
      <c r="G99" s="17">
        <v>18</v>
      </c>
      <c r="H99" s="89">
        <v>300</v>
      </c>
      <c r="I99" s="90">
        <v>11500</v>
      </c>
      <c r="J99" s="90" t="s">
        <v>71</v>
      </c>
      <c r="K99" s="90"/>
      <c r="L99" s="90"/>
      <c r="M99" s="91">
        <f>I99-K99</f>
        <v>11500</v>
      </c>
      <c r="N99" s="4">
        <f>IF(ISERROR(K99/I99),"",K99/I99)</f>
        <v>0</v>
      </c>
      <c r="O99" s="92">
        <f>I99/E99</f>
        <v>500</v>
      </c>
      <c r="P99" s="92">
        <f>K99/E99</f>
        <v>0</v>
      </c>
      <c r="Q99" s="80">
        <v>3</v>
      </c>
      <c r="R99" s="80">
        <v>1</v>
      </c>
      <c r="S99" s="80" t="s">
        <v>61</v>
      </c>
      <c r="T99" s="5">
        <v>74</v>
      </c>
      <c r="U99" s="9"/>
      <c r="W99" s="87">
        <f t="shared" si="61"/>
        <v>74.7</v>
      </c>
      <c r="X99" s="88">
        <f t="shared" si="61"/>
        <v>23</v>
      </c>
      <c r="Y99" s="93">
        <f t="shared" si="62"/>
        <v>300</v>
      </c>
      <c r="Z99" s="91">
        <f t="shared" si="62"/>
        <v>11500</v>
      </c>
      <c r="AA99" s="91">
        <f>K99</f>
        <v>0</v>
      </c>
      <c r="AB99" s="91">
        <f t="shared" si="60"/>
        <v>11500</v>
      </c>
      <c r="AC99" s="4">
        <f t="shared" si="60"/>
        <v>0</v>
      </c>
      <c r="AD99" s="92">
        <f t="shared" si="60"/>
        <v>500</v>
      </c>
      <c r="AE99" s="80" t="str">
        <f>S99</f>
        <v>계</v>
      </c>
      <c r="AF99" s="80" t="str">
        <f>Q99&amp;"/"&amp;R99</f>
        <v>3/1</v>
      </c>
      <c r="AH99" s="20" t="str">
        <f t="shared" si="59"/>
        <v>나운동 영창</v>
      </c>
      <c r="AI99" s="88">
        <f t="shared" si="53"/>
        <v>23</v>
      </c>
      <c r="AJ99" s="80" t="str">
        <f>IF(AI99="","",$AJ$2)</f>
        <v>A-</v>
      </c>
      <c r="AK99" s="80" t="s">
        <v>14</v>
      </c>
      <c r="AL99" s="80" t="s">
        <v>63</v>
      </c>
      <c r="AM99" s="80" t="s">
        <v>64</v>
      </c>
      <c r="AN99" s="80" t="str">
        <f>IF(AI99="","",$AN$2)</f>
        <v>C</v>
      </c>
      <c r="AO99" s="80" t="str">
        <f>IF(N99="","",IF(N99&gt;=$AO$1/100,"O","X"))</f>
        <v>X</v>
      </c>
      <c r="AP99" s="80" t="str">
        <f>IF(I99="","",IF(I99&lt;=$AP$1,"O","X"))</f>
        <v>O</v>
      </c>
      <c r="AQ99" s="80" t="str">
        <f>IF(O99="","",IF(O99&lt;=$AQ$1,"O","X"))</f>
        <v>O</v>
      </c>
      <c r="AR99" s="80" t="str">
        <f>IF(M99="","",IF(M99&lt;=$AR$1,"O","X"))</f>
        <v>X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O</v>
      </c>
      <c r="AV99" s="80" t="str">
        <f>IF(AO99="","",IF(AND(AO99="O",AP99="O",AR99="O",AT99="O",AU99="O"),"후보","X"))</f>
        <v>X</v>
      </c>
    </row>
    <row r="100" spans="1:48" s="37" customFormat="1" ht="12" x14ac:dyDescent="0.3">
      <c r="A100" s="75" t="s">
        <v>1431</v>
      </c>
      <c r="B100" s="76" t="s">
        <v>1367</v>
      </c>
      <c r="C100" s="86">
        <v>765</v>
      </c>
      <c r="D100" s="87">
        <v>82.2</v>
      </c>
      <c r="E100" s="88">
        <v>25</v>
      </c>
      <c r="F100" s="87">
        <v>59.8</v>
      </c>
      <c r="G100" s="17">
        <v>18</v>
      </c>
      <c r="H100" s="89">
        <v>285</v>
      </c>
      <c r="I100" s="90">
        <v>9500</v>
      </c>
      <c r="J100" s="90" t="s">
        <v>81</v>
      </c>
      <c r="K100" s="90">
        <v>8000</v>
      </c>
      <c r="L100" s="90" t="s">
        <v>84</v>
      </c>
      <c r="M100" s="91">
        <f>I100-K100</f>
        <v>1500</v>
      </c>
      <c r="N100" s="4">
        <f>IF(ISERROR(K100/I100),"",K100/I100)</f>
        <v>0.84210526315789469</v>
      </c>
      <c r="O100" s="92">
        <f>I100/E100</f>
        <v>380</v>
      </c>
      <c r="P100" s="92">
        <f>K100/E100</f>
        <v>320</v>
      </c>
      <c r="Q100" s="80">
        <v>3</v>
      </c>
      <c r="R100" s="80">
        <v>1</v>
      </c>
      <c r="S100" s="80" t="s">
        <v>76</v>
      </c>
      <c r="T100" s="5">
        <v>82</v>
      </c>
      <c r="U100" s="9"/>
      <c r="W100" s="87">
        <f t="shared" si="61"/>
        <v>82.2</v>
      </c>
      <c r="X100" s="88">
        <f t="shared" si="61"/>
        <v>25</v>
      </c>
      <c r="Y100" s="93">
        <f t="shared" si="62"/>
        <v>285</v>
      </c>
      <c r="Z100" s="91">
        <f t="shared" si="62"/>
        <v>9500</v>
      </c>
      <c r="AA100" s="91">
        <f>K100</f>
        <v>8000</v>
      </c>
      <c r="AB100" s="91">
        <f t="shared" si="60"/>
        <v>1500</v>
      </c>
      <c r="AC100" s="4">
        <f t="shared" si="60"/>
        <v>0.84210526315789469</v>
      </c>
      <c r="AD100" s="92">
        <f t="shared" si="60"/>
        <v>380</v>
      </c>
      <c r="AE100" s="80" t="str">
        <f>S100</f>
        <v>복</v>
      </c>
      <c r="AF100" s="80" t="str">
        <f>Q100&amp;"/"&amp;R100</f>
        <v>3/1</v>
      </c>
      <c r="AH100" s="20" t="str">
        <f t="shared" si="59"/>
        <v>나운동 영창</v>
      </c>
      <c r="AI100" s="88">
        <f t="shared" si="53"/>
        <v>25</v>
      </c>
      <c r="AJ100" s="80" t="str">
        <f>IF(AI100="","",$AJ$2)</f>
        <v>A-</v>
      </c>
      <c r="AK100" s="80" t="s">
        <v>14</v>
      </c>
      <c r="AL100" s="80" t="s">
        <v>63</v>
      </c>
      <c r="AM100" s="80" t="s">
        <v>64</v>
      </c>
      <c r="AN100" s="80" t="str">
        <f>IF(AI100="","",$AN$2)</f>
        <v>C</v>
      </c>
      <c r="AO100" s="80" t="str">
        <f>IF(N100="","",IF(N100&gt;=$AO$1/100,"O","X"))</f>
        <v>O</v>
      </c>
      <c r="AP100" s="80" t="str">
        <f>IF(I100="","",IF(I100&lt;=$AP$1,"O","X"))</f>
        <v>O</v>
      </c>
      <c r="AQ100" s="80" t="str">
        <f>IF(O100="","",IF(O100&lt;=$AQ$1,"O","X"))</f>
        <v>O</v>
      </c>
      <c r="AR100" s="80" t="str">
        <f>IF(M100="","",IF(M100&lt;=$AR$1,"O","X"))</f>
        <v>O</v>
      </c>
      <c r="AS100" s="80" t="s">
        <v>2</v>
      </c>
      <c r="AT100" s="80" t="str">
        <f>IF(OR(F100="",AI100=""),"",IF(AND((F100&lt;=85),(AI100&gt;=15)),"O","X"))</f>
        <v>O</v>
      </c>
      <c r="AU100" s="80" t="str">
        <f>IF(C100="","",IF(C100&gt;=$AU$1,"O","X"))</f>
        <v>O</v>
      </c>
      <c r="AV100" s="80" t="str">
        <f>IF(AO100="","",IF(AND(AO100="O",AP100="O",AR100="O",AT100="O",AU100="O"),"후보","X"))</f>
        <v>후보</v>
      </c>
    </row>
    <row r="101" spans="1:48" s="37" customFormat="1" ht="12" x14ac:dyDescent="0.3">
      <c r="A101" s="75" t="s">
        <v>1432</v>
      </c>
      <c r="B101" s="76" t="s">
        <v>1416</v>
      </c>
      <c r="C101" s="86">
        <v>268</v>
      </c>
      <c r="D101" s="87">
        <v>78.2</v>
      </c>
      <c r="E101" s="88">
        <v>24</v>
      </c>
      <c r="F101" s="87">
        <v>59.9</v>
      </c>
      <c r="G101" s="17">
        <v>18</v>
      </c>
      <c r="H101" s="89">
        <v>268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80">
        <v>2</v>
      </c>
      <c r="R101" s="80">
        <v>1</v>
      </c>
      <c r="S101" s="80" t="s">
        <v>61</v>
      </c>
      <c r="T101" s="5">
        <v>78</v>
      </c>
      <c r="U101" s="9"/>
      <c r="W101" s="87">
        <f>D101</f>
        <v>78.2</v>
      </c>
      <c r="X101" s="88">
        <f>E101</f>
        <v>24</v>
      </c>
      <c r="Y101" s="93">
        <f>H101</f>
        <v>268</v>
      </c>
      <c r="Z101" s="91">
        <f>I101</f>
        <v>0</v>
      </c>
      <c r="AA101" s="91">
        <f>K101</f>
        <v>0</v>
      </c>
      <c r="AB101" s="91">
        <f>M101</f>
        <v>0</v>
      </c>
      <c r="AC101" s="4" t="str">
        <f>N101</f>
        <v/>
      </c>
      <c r="AD101" s="92">
        <f>O101</f>
        <v>0</v>
      </c>
      <c r="AE101" s="80" t="str">
        <f>S101</f>
        <v>계</v>
      </c>
      <c r="AF101" s="80" t="str">
        <f>Q101&amp;"/"&amp;R101</f>
        <v>2/1</v>
      </c>
      <c r="AH101" s="20" t="str">
        <f t="shared" si="59"/>
        <v>나운동 비사벌</v>
      </c>
      <c r="AI101" s="88">
        <f t="shared" si="53"/>
        <v>24</v>
      </c>
      <c r="AJ101" s="80" t="str">
        <f>IF(AI101="","",$AJ$2)</f>
        <v>A-</v>
      </c>
      <c r="AK101" s="80" t="s">
        <v>14</v>
      </c>
      <c r="AL101" s="80" t="s">
        <v>63</v>
      </c>
      <c r="AM101" s="80" t="s">
        <v>64</v>
      </c>
      <c r="AN101" s="80" t="str">
        <f>IF(AI101="","",$AN$2)</f>
        <v>C</v>
      </c>
      <c r="AO101" s="80" t="str">
        <f>IF(N101="","",IF(N101&gt;=$AO$1/100,"O","X"))</f>
        <v/>
      </c>
      <c r="AP101" s="80" t="str">
        <f>IF(I101="","",IF(I101&lt;=$AP$1,"O","X"))</f>
        <v/>
      </c>
      <c r="AQ101" s="80" t="str">
        <f>IF(O101="","",IF(O101&lt;=$AQ$1,"O","X"))</f>
        <v>O</v>
      </c>
      <c r="AR101" s="80" t="str">
        <f>IF(M101="","",IF(M101&lt;=$AR$1,"O","X"))</f>
        <v>O</v>
      </c>
      <c r="AS101" s="80" t="s">
        <v>2</v>
      </c>
      <c r="AT101" s="80" t="str">
        <f>IF(OR(F101="",AI101=""),"",IF(AND((F101&lt;=85),(AI101&gt;=15)),"O","X"))</f>
        <v>O</v>
      </c>
      <c r="AU101" s="80" t="str">
        <f>IF(C101="","",IF(C101&gt;=$AU$1,"O","X"))</f>
        <v>X</v>
      </c>
      <c r="AV101" s="80" t="str">
        <f>IF(AO101="","",IF(AND(AO101="O",AP101="O",AR101="O",AT101="O",AU101="O"),"후보","X"))</f>
        <v/>
      </c>
    </row>
    <row r="102" spans="1:48" s="37" customFormat="1" ht="12" x14ac:dyDescent="0.3">
      <c r="A102" s="75" t="s">
        <v>1433</v>
      </c>
      <c r="B102" s="76" t="s">
        <v>1378</v>
      </c>
      <c r="C102" s="86">
        <v>458</v>
      </c>
      <c r="D102" s="87">
        <v>81.3</v>
      </c>
      <c r="E102" s="88">
        <v>25</v>
      </c>
      <c r="F102" s="87">
        <v>65.099999999999994</v>
      </c>
      <c r="G102" s="17">
        <v>20</v>
      </c>
      <c r="H102" s="89">
        <v>144</v>
      </c>
      <c r="I102" s="90">
        <v>8500</v>
      </c>
      <c r="J102" s="90" t="s">
        <v>72</v>
      </c>
      <c r="K102" s="90">
        <v>7000</v>
      </c>
      <c r="L102" s="90" t="s">
        <v>66</v>
      </c>
      <c r="M102" s="91">
        <f>I102-K102</f>
        <v>1500</v>
      </c>
      <c r="N102" s="4">
        <f>IF(ISERROR(K102/I102),"",K102/I102)</f>
        <v>0.82352941176470584</v>
      </c>
      <c r="O102" s="92">
        <f>I102/E102</f>
        <v>340</v>
      </c>
      <c r="P102" s="92">
        <f>K102/E102</f>
        <v>280</v>
      </c>
      <c r="Q102" s="80">
        <v>3</v>
      </c>
      <c r="R102" s="80">
        <v>1</v>
      </c>
      <c r="S102" s="80" t="s">
        <v>61</v>
      </c>
      <c r="T102" s="5">
        <v>81</v>
      </c>
      <c r="U102" s="9"/>
      <c r="W102" s="87">
        <f t="shared" ref="W102:X117" si="63">D102</f>
        <v>81.3</v>
      </c>
      <c r="X102" s="88">
        <f t="shared" si="63"/>
        <v>25</v>
      </c>
      <c r="Y102" s="93">
        <f t="shared" ref="Y102:Z117" si="64">H102</f>
        <v>144</v>
      </c>
      <c r="Z102" s="91">
        <f t="shared" si="64"/>
        <v>8500</v>
      </c>
      <c r="AA102" s="91">
        <f>K102</f>
        <v>7000</v>
      </c>
      <c r="AB102" s="91">
        <f t="shared" ref="AB102:AD117" si="65">M102</f>
        <v>1500</v>
      </c>
      <c r="AC102" s="4">
        <f t="shared" si="65"/>
        <v>0.82352941176470584</v>
      </c>
      <c r="AD102" s="92">
        <f t="shared" si="65"/>
        <v>340</v>
      </c>
      <c r="AE102" s="80" t="str">
        <f>S102</f>
        <v>계</v>
      </c>
      <c r="AF102" s="80" t="str">
        <f>Q102&amp;"/"&amp;R102</f>
        <v>3/1</v>
      </c>
      <c r="AH102" s="20" t="str">
        <f t="shared" si="59"/>
        <v>나운동 나운유원</v>
      </c>
      <c r="AI102" s="88">
        <f t="shared" si="53"/>
        <v>25</v>
      </c>
      <c r="AJ102" s="80" t="str">
        <f>IF(AI102="","",$AJ$2)</f>
        <v>A-</v>
      </c>
      <c r="AK102" s="80" t="s">
        <v>14</v>
      </c>
      <c r="AL102" s="80" t="s">
        <v>63</v>
      </c>
      <c r="AM102" s="80" t="s">
        <v>64</v>
      </c>
      <c r="AN102" s="80" t="str">
        <f>IF(AI102="","",$AN$2)</f>
        <v>C</v>
      </c>
      <c r="AO102" s="80" t="str">
        <f>IF(N102="","",IF(N102&gt;=$AO$1/100,"O","X"))</f>
        <v>O</v>
      </c>
      <c r="AP102" s="80" t="str">
        <f>IF(I102="","",IF(I102&lt;=$AP$1,"O","X"))</f>
        <v>O</v>
      </c>
      <c r="AQ102" s="80" t="str">
        <f>IF(O102="","",IF(O102&lt;=$AQ$1,"O","X"))</f>
        <v>O</v>
      </c>
      <c r="AR102" s="80" t="str">
        <f>IF(M102="","",IF(M102&lt;=$AR$1,"O","X"))</f>
        <v>O</v>
      </c>
      <c r="AS102" s="80" t="s">
        <v>2</v>
      </c>
      <c r="AT102" s="80" t="str">
        <f>IF(OR(F102="",AI102=""),"",IF(AND((F102&lt;=85),(AI102&gt;=15)),"O","X"))</f>
        <v>O</v>
      </c>
      <c r="AU102" s="80" t="str">
        <f>IF(C102="","",IF(C102&gt;=$AU$1,"O","X"))</f>
        <v>O</v>
      </c>
      <c r="AV102" s="80" t="str">
        <f>IF(AO102="","",IF(AND(AO102="O",AP102="O",AR102="O",AT102="O",AU102="O"),"후보","X"))</f>
        <v>후보</v>
      </c>
    </row>
    <row r="103" spans="1:48" s="37" customFormat="1" ht="12" x14ac:dyDescent="0.3">
      <c r="A103" s="75" t="s">
        <v>1433</v>
      </c>
      <c r="B103" s="76" t="s">
        <v>1378</v>
      </c>
      <c r="C103" s="86">
        <v>458</v>
      </c>
      <c r="D103" s="87">
        <v>96.8</v>
      </c>
      <c r="E103" s="88">
        <v>29</v>
      </c>
      <c r="F103" s="87">
        <v>78.099999999999994</v>
      </c>
      <c r="G103" s="17">
        <v>24</v>
      </c>
      <c r="H103" s="89">
        <v>69</v>
      </c>
      <c r="I103" s="90">
        <v>7800</v>
      </c>
      <c r="J103" s="90" t="s">
        <v>67</v>
      </c>
      <c r="K103" s="90"/>
      <c r="L103" s="90"/>
      <c r="M103" s="91">
        <f>I103-K103</f>
        <v>7800</v>
      </c>
      <c r="N103" s="4">
        <f>IF(ISERROR(K103/I103),"",K103/I103)</f>
        <v>0</v>
      </c>
      <c r="O103" s="92">
        <f>I103/E103</f>
        <v>268.9655172413793</v>
      </c>
      <c r="P103" s="92">
        <f>K103/E103</f>
        <v>0</v>
      </c>
      <c r="Q103" s="80">
        <v>3</v>
      </c>
      <c r="R103" s="80">
        <v>1</v>
      </c>
      <c r="S103" s="80" t="s">
        <v>61</v>
      </c>
      <c r="T103" s="5">
        <v>96</v>
      </c>
      <c r="U103" s="9"/>
      <c r="W103" s="87">
        <f t="shared" si="63"/>
        <v>96.8</v>
      </c>
      <c r="X103" s="88">
        <f t="shared" si="63"/>
        <v>29</v>
      </c>
      <c r="Y103" s="93">
        <f t="shared" si="64"/>
        <v>69</v>
      </c>
      <c r="Z103" s="91">
        <f t="shared" si="64"/>
        <v>7800</v>
      </c>
      <c r="AA103" s="91">
        <f>K103</f>
        <v>0</v>
      </c>
      <c r="AB103" s="91">
        <f t="shared" si="65"/>
        <v>7800</v>
      </c>
      <c r="AC103" s="4">
        <f t="shared" si="65"/>
        <v>0</v>
      </c>
      <c r="AD103" s="92">
        <f t="shared" si="65"/>
        <v>268.9655172413793</v>
      </c>
      <c r="AE103" s="80" t="str">
        <f>S103</f>
        <v>계</v>
      </c>
      <c r="AF103" s="80" t="str">
        <f>Q103&amp;"/"&amp;R103</f>
        <v>3/1</v>
      </c>
      <c r="AH103" s="20" t="str">
        <f t="shared" si="59"/>
        <v>나운동 나운유원</v>
      </c>
      <c r="AI103" s="88">
        <f t="shared" si="53"/>
        <v>29</v>
      </c>
      <c r="AJ103" s="80" t="str">
        <f>IF(AI103="","",$AJ$2)</f>
        <v>A-</v>
      </c>
      <c r="AK103" s="80" t="s">
        <v>14</v>
      </c>
      <c r="AL103" s="80" t="s">
        <v>63</v>
      </c>
      <c r="AM103" s="80" t="s">
        <v>64</v>
      </c>
      <c r="AN103" s="80" t="str">
        <f>IF(AI103="","",$AN$2)</f>
        <v>C</v>
      </c>
      <c r="AO103" s="80" t="str">
        <f>IF(N103="","",IF(N103&gt;=$AO$1/100,"O","X"))</f>
        <v>X</v>
      </c>
      <c r="AP103" s="80" t="str">
        <f>IF(I103="","",IF(I103&lt;=$AP$1,"O","X"))</f>
        <v>O</v>
      </c>
      <c r="AQ103" s="80" t="str">
        <f>IF(O103="","",IF(O103&lt;=$AQ$1,"O","X"))</f>
        <v>O</v>
      </c>
      <c r="AR103" s="80" t="str">
        <f>IF(M103="","",IF(M103&lt;=$AR$1,"O","X"))</f>
        <v>X</v>
      </c>
      <c r="AS103" s="80" t="s">
        <v>2</v>
      </c>
      <c r="AT103" s="80" t="str">
        <f>IF(OR(F103="",AI103=""),"",IF(AND((F103&lt;=85),(AI103&gt;=15)),"O","X"))</f>
        <v>O</v>
      </c>
      <c r="AU103" s="80" t="str">
        <f>IF(C103="","",IF(C103&gt;=$AU$1,"O","X"))</f>
        <v>O</v>
      </c>
      <c r="AV103" s="80" t="str">
        <f>IF(AO103="","",IF(AND(AO103="O",AP103="O",AR103="O",AT103="O",AU103="O"),"후보","X"))</f>
        <v>X</v>
      </c>
    </row>
    <row r="104" spans="1:48" s="37" customFormat="1" ht="12" x14ac:dyDescent="0.3">
      <c r="A104" s="75" t="s">
        <v>1433</v>
      </c>
      <c r="B104" s="76" t="s">
        <v>1378</v>
      </c>
      <c r="C104" s="86">
        <v>458</v>
      </c>
      <c r="D104" s="87">
        <v>104.1</v>
      </c>
      <c r="E104" s="88">
        <v>31</v>
      </c>
      <c r="F104" s="87">
        <v>85</v>
      </c>
      <c r="G104" s="17">
        <v>26</v>
      </c>
      <c r="H104" s="89">
        <v>245</v>
      </c>
      <c r="I104" s="90">
        <v>9500</v>
      </c>
      <c r="J104" s="90" t="s">
        <v>111</v>
      </c>
      <c r="K104" s="90"/>
      <c r="L104" s="90"/>
      <c r="M104" s="91">
        <f>I104-K104</f>
        <v>9500</v>
      </c>
      <c r="N104" s="4">
        <f>IF(ISERROR(K104/I104),"",K104/I104)</f>
        <v>0</v>
      </c>
      <c r="O104" s="92">
        <f>I104/E104</f>
        <v>306.45161290322579</v>
      </c>
      <c r="P104" s="92">
        <f>K104/E104</f>
        <v>0</v>
      </c>
      <c r="Q104" s="80">
        <v>3</v>
      </c>
      <c r="R104" s="80">
        <v>2</v>
      </c>
      <c r="S104" s="80" t="s">
        <v>61</v>
      </c>
      <c r="T104" s="5">
        <v>104</v>
      </c>
      <c r="U104" s="9"/>
      <c r="W104" s="87">
        <f t="shared" si="63"/>
        <v>104.1</v>
      </c>
      <c r="X104" s="88">
        <f t="shared" si="63"/>
        <v>31</v>
      </c>
      <c r="Y104" s="93">
        <f t="shared" si="64"/>
        <v>245</v>
      </c>
      <c r="Z104" s="91">
        <f t="shared" si="64"/>
        <v>9500</v>
      </c>
      <c r="AA104" s="91">
        <f>K104</f>
        <v>0</v>
      </c>
      <c r="AB104" s="91">
        <f t="shared" si="65"/>
        <v>9500</v>
      </c>
      <c r="AC104" s="4">
        <f t="shared" si="65"/>
        <v>0</v>
      </c>
      <c r="AD104" s="92">
        <f t="shared" si="65"/>
        <v>306.45161290322579</v>
      </c>
      <c r="AE104" s="80" t="str">
        <f>S104</f>
        <v>계</v>
      </c>
      <c r="AF104" s="80" t="str">
        <f>Q104&amp;"/"&amp;R104</f>
        <v>3/2</v>
      </c>
      <c r="AH104" s="20" t="str">
        <f t="shared" si="59"/>
        <v>나운동 나운유원</v>
      </c>
      <c r="AI104" s="88">
        <f t="shared" si="53"/>
        <v>31</v>
      </c>
      <c r="AJ104" s="80" t="str">
        <f>IF(AI104="","",$AJ$2)</f>
        <v>A-</v>
      </c>
      <c r="AK104" s="80" t="s">
        <v>14</v>
      </c>
      <c r="AL104" s="80" t="s">
        <v>63</v>
      </c>
      <c r="AM104" s="80" t="s">
        <v>64</v>
      </c>
      <c r="AN104" s="80" t="str">
        <f>IF(AI104="","",$AN$2)</f>
        <v>C</v>
      </c>
      <c r="AO104" s="80" t="str">
        <f>IF(N104="","",IF(N104&gt;=$AO$1/100,"O","X"))</f>
        <v>X</v>
      </c>
      <c r="AP104" s="80" t="str">
        <f>IF(I104="","",IF(I104&lt;=$AP$1,"O","X"))</f>
        <v>O</v>
      </c>
      <c r="AQ104" s="80" t="str">
        <f>IF(O104="","",IF(O104&lt;=$AQ$1,"O","X"))</f>
        <v>O</v>
      </c>
      <c r="AR104" s="80" t="str">
        <f>IF(M104="","",IF(M104&lt;=$AR$1,"O","X"))</f>
        <v>X</v>
      </c>
      <c r="AS104" s="80" t="s">
        <v>2</v>
      </c>
      <c r="AT104" s="80" t="str">
        <f>IF(OR(F104="",AI104=""),"",IF(AND((F104&lt;=85),(AI104&gt;=15)),"O","X"))</f>
        <v>O</v>
      </c>
      <c r="AU104" s="80" t="str">
        <f>IF(C104="","",IF(C104&gt;=$AU$1,"O","X"))</f>
        <v>O</v>
      </c>
      <c r="AV104" s="80" t="str">
        <f>IF(AO104="","",IF(AND(AO104="O",AP104="O",AR104="O",AT104="O",AU104="O"),"후보","X"))</f>
        <v>X</v>
      </c>
    </row>
    <row r="105" spans="1:48" s="37" customFormat="1" ht="12" x14ac:dyDescent="0.3">
      <c r="A105" s="75" t="s">
        <v>1434</v>
      </c>
      <c r="B105" s="76" t="s">
        <v>1599</v>
      </c>
      <c r="C105" s="86">
        <v>1541</v>
      </c>
      <c r="D105" s="87">
        <v>54.8</v>
      </c>
      <c r="E105" s="88">
        <v>17</v>
      </c>
      <c r="F105" s="87">
        <v>37.700000000000003</v>
      </c>
      <c r="G105" s="17">
        <v>11</v>
      </c>
      <c r="H105" s="89">
        <v>149</v>
      </c>
      <c r="I105" s="90"/>
      <c r="J105" s="90"/>
      <c r="K105" s="90"/>
      <c r="L105" s="90"/>
      <c r="M105" s="91">
        <f>I105-K105</f>
        <v>0</v>
      </c>
      <c r="N105" s="4" t="str">
        <f>IF(ISERROR(K105/I105),"",K105/I105)</f>
        <v/>
      </c>
      <c r="O105" s="92">
        <f>I105/E105</f>
        <v>0</v>
      </c>
      <c r="P105" s="92">
        <f>K105/E105</f>
        <v>0</v>
      </c>
      <c r="Q105" s="80">
        <v>2</v>
      </c>
      <c r="R105" s="80">
        <v>1</v>
      </c>
      <c r="S105" s="80" t="s">
        <v>76</v>
      </c>
      <c r="T105" s="5">
        <v>54</v>
      </c>
      <c r="U105" s="9"/>
      <c r="W105" s="87">
        <f t="shared" si="63"/>
        <v>54.8</v>
      </c>
      <c r="X105" s="88">
        <f t="shared" si="63"/>
        <v>17</v>
      </c>
      <c r="Y105" s="93">
        <f t="shared" si="64"/>
        <v>149</v>
      </c>
      <c r="Z105" s="91">
        <f t="shared" si="64"/>
        <v>0</v>
      </c>
      <c r="AA105" s="91">
        <f>K105</f>
        <v>0</v>
      </c>
      <c r="AB105" s="91">
        <f t="shared" si="65"/>
        <v>0</v>
      </c>
      <c r="AC105" s="4" t="str">
        <f t="shared" si="65"/>
        <v/>
      </c>
      <c r="AD105" s="92">
        <f t="shared" si="65"/>
        <v>0</v>
      </c>
      <c r="AE105" s="80" t="str">
        <f>S105</f>
        <v>복</v>
      </c>
      <c r="AF105" s="80" t="str">
        <f>Q105&amp;"/"&amp;R105</f>
        <v>2/1</v>
      </c>
      <c r="AH105" s="20" t="str">
        <f t="shared" si="59"/>
        <v>나운동 주공5단지</v>
      </c>
      <c r="AI105" s="88">
        <f t="shared" si="53"/>
        <v>17</v>
      </c>
      <c r="AJ105" s="80" t="str">
        <f>IF(AI105="","",$AJ$2)</f>
        <v>A-</v>
      </c>
      <c r="AK105" s="80" t="s">
        <v>14</v>
      </c>
      <c r="AL105" s="80" t="s">
        <v>63</v>
      </c>
      <c r="AM105" s="80" t="s">
        <v>64</v>
      </c>
      <c r="AN105" s="80" t="str">
        <f>IF(AI105="","",$AN$2)</f>
        <v>C</v>
      </c>
      <c r="AO105" s="80" t="str">
        <f>IF(N105="","",IF(N105&gt;=$AO$1/100,"O","X"))</f>
        <v/>
      </c>
      <c r="AP105" s="80" t="str">
        <f>IF(I105="","",IF(I105&lt;=$AP$1,"O","X"))</f>
        <v/>
      </c>
      <c r="AQ105" s="80" t="str">
        <f>IF(O105="","",IF(O105&lt;=$AQ$1,"O","X"))</f>
        <v>O</v>
      </c>
      <c r="AR105" s="80" t="str">
        <f>IF(M105="","",IF(M105&lt;=$AR$1,"O","X"))</f>
        <v>O</v>
      </c>
      <c r="AS105" s="80" t="s">
        <v>2</v>
      </c>
      <c r="AT105" s="80" t="str">
        <f>IF(OR(F105="",AI105=""),"",IF(AND((F105&lt;=85),(AI105&gt;=15)),"O","X"))</f>
        <v>O</v>
      </c>
      <c r="AU105" s="80" t="str">
        <f>IF(C105="","",IF(C105&gt;=$AU$1,"O","X"))</f>
        <v>O</v>
      </c>
      <c r="AV105" s="80" t="str">
        <f>IF(AO105="","",IF(AND(AO105="O",AP105="O",AR105="O",AT105="O",AU105="O"),"후보","X"))</f>
        <v/>
      </c>
    </row>
    <row r="106" spans="1:48" s="37" customFormat="1" ht="12" x14ac:dyDescent="0.3">
      <c r="A106" s="75" t="s">
        <v>1434</v>
      </c>
      <c r="B106" s="76" t="s">
        <v>1599</v>
      </c>
      <c r="C106" s="86">
        <v>1541</v>
      </c>
      <c r="D106" s="87">
        <v>69.8</v>
      </c>
      <c r="E106" s="88">
        <v>21</v>
      </c>
      <c r="F106" s="87">
        <v>49.7</v>
      </c>
      <c r="G106" s="17">
        <v>15</v>
      </c>
      <c r="H106" s="89">
        <v>149</v>
      </c>
      <c r="I106" s="90">
        <v>8000</v>
      </c>
      <c r="J106" s="90" t="s">
        <v>70</v>
      </c>
      <c r="K106" s="90"/>
      <c r="L106" s="90"/>
      <c r="M106" s="91">
        <f>I106-K106</f>
        <v>8000</v>
      </c>
      <c r="N106" s="4">
        <f>IF(ISERROR(K106/I106),"",K106/I106)</f>
        <v>0</v>
      </c>
      <c r="O106" s="92">
        <f>I106/E106</f>
        <v>380.95238095238096</v>
      </c>
      <c r="P106" s="92">
        <f>K106/E106</f>
        <v>0</v>
      </c>
      <c r="Q106" s="80">
        <v>2</v>
      </c>
      <c r="R106" s="80">
        <v>1</v>
      </c>
      <c r="S106" s="80" t="s">
        <v>76</v>
      </c>
      <c r="T106" s="5">
        <v>69</v>
      </c>
      <c r="U106" s="9"/>
      <c r="W106" s="87">
        <f t="shared" si="63"/>
        <v>69.8</v>
      </c>
      <c r="X106" s="88">
        <f t="shared" si="63"/>
        <v>21</v>
      </c>
      <c r="Y106" s="93">
        <f t="shared" si="64"/>
        <v>149</v>
      </c>
      <c r="Z106" s="91">
        <f t="shared" si="64"/>
        <v>8000</v>
      </c>
      <c r="AA106" s="91">
        <f>K106</f>
        <v>0</v>
      </c>
      <c r="AB106" s="91">
        <f t="shared" si="65"/>
        <v>8000</v>
      </c>
      <c r="AC106" s="4">
        <f t="shared" si="65"/>
        <v>0</v>
      </c>
      <c r="AD106" s="92">
        <f t="shared" si="65"/>
        <v>380.95238095238096</v>
      </c>
      <c r="AE106" s="80" t="str">
        <f>S106</f>
        <v>복</v>
      </c>
      <c r="AF106" s="80" t="str">
        <f>Q106&amp;"/"&amp;R106</f>
        <v>2/1</v>
      </c>
      <c r="AH106" s="20" t="str">
        <f t="shared" si="59"/>
        <v>나운동 주공5단지</v>
      </c>
      <c r="AI106" s="88">
        <f t="shared" si="53"/>
        <v>21</v>
      </c>
      <c r="AJ106" s="80" t="str">
        <f>IF(AI106="","",$AJ$2)</f>
        <v>A-</v>
      </c>
      <c r="AK106" s="80" t="s">
        <v>14</v>
      </c>
      <c r="AL106" s="80" t="s">
        <v>63</v>
      </c>
      <c r="AM106" s="80" t="s">
        <v>64</v>
      </c>
      <c r="AN106" s="80" t="str">
        <f>IF(AI106="","",$AN$2)</f>
        <v>C</v>
      </c>
      <c r="AO106" s="80" t="str">
        <f>IF(N106="","",IF(N106&gt;=$AO$1/100,"O","X"))</f>
        <v>X</v>
      </c>
      <c r="AP106" s="80" t="str">
        <f>IF(I106="","",IF(I106&lt;=$AP$1,"O","X"))</f>
        <v>O</v>
      </c>
      <c r="AQ106" s="80" t="str">
        <f>IF(O106="","",IF(O106&lt;=$AQ$1,"O","X"))</f>
        <v>O</v>
      </c>
      <c r="AR106" s="80" t="str">
        <f>IF(M106="","",IF(M106&lt;=$AR$1,"O","X"))</f>
        <v>X</v>
      </c>
      <c r="AS106" s="80" t="s">
        <v>2</v>
      </c>
      <c r="AT106" s="80" t="str">
        <f>IF(OR(F106="",AI106=""),"",IF(AND((F106&lt;=85),(AI106&gt;=15)),"O","X"))</f>
        <v>O</v>
      </c>
      <c r="AU106" s="80" t="str">
        <f>IF(C106="","",IF(C106&gt;=$AU$1,"O","X"))</f>
        <v>O</v>
      </c>
      <c r="AV106" s="80" t="str">
        <f>IF(AO106="","",IF(AND(AO106="O",AP106="O",AR106="O",AT106="O",AU106="O"),"후보","X"))</f>
        <v>X</v>
      </c>
    </row>
    <row r="107" spans="1:48" s="37" customFormat="1" ht="12" x14ac:dyDescent="0.3">
      <c r="A107" s="75" t="s">
        <v>1434</v>
      </c>
      <c r="B107" s="76" t="s">
        <v>1599</v>
      </c>
      <c r="C107" s="86">
        <v>1541</v>
      </c>
      <c r="D107" s="87">
        <v>79.2</v>
      </c>
      <c r="E107" s="88">
        <v>24</v>
      </c>
      <c r="F107" s="87">
        <v>58.1</v>
      </c>
      <c r="G107" s="17">
        <v>18</v>
      </c>
      <c r="H107" s="89">
        <v>1243</v>
      </c>
      <c r="I107" s="90">
        <v>8700</v>
      </c>
      <c r="J107" s="90" t="s">
        <v>81</v>
      </c>
      <c r="K107" s="90">
        <v>8000</v>
      </c>
      <c r="L107" s="90" t="s">
        <v>65</v>
      </c>
      <c r="M107" s="91">
        <f>I107-K107</f>
        <v>700</v>
      </c>
      <c r="N107" s="4">
        <f>IF(ISERROR(K107/I107),"",K107/I107)</f>
        <v>0.91954022988505746</v>
      </c>
      <c r="O107" s="92">
        <f>I107/E107</f>
        <v>362.5</v>
      </c>
      <c r="P107" s="92">
        <f>K107/E107</f>
        <v>333.33333333333331</v>
      </c>
      <c r="Q107" s="80">
        <v>3</v>
      </c>
      <c r="R107" s="80">
        <v>1</v>
      </c>
      <c r="S107" s="80" t="s">
        <v>76</v>
      </c>
      <c r="T107" s="5">
        <v>79</v>
      </c>
      <c r="U107" s="9"/>
      <c r="W107" s="87">
        <f t="shared" si="63"/>
        <v>79.2</v>
      </c>
      <c r="X107" s="88">
        <f t="shared" si="63"/>
        <v>24</v>
      </c>
      <c r="Y107" s="93">
        <f t="shared" si="64"/>
        <v>1243</v>
      </c>
      <c r="Z107" s="91">
        <f t="shared" si="64"/>
        <v>8700</v>
      </c>
      <c r="AA107" s="91">
        <f>K107</f>
        <v>8000</v>
      </c>
      <c r="AB107" s="91">
        <f t="shared" si="65"/>
        <v>700</v>
      </c>
      <c r="AC107" s="4">
        <f t="shared" si="65"/>
        <v>0.91954022988505746</v>
      </c>
      <c r="AD107" s="92">
        <f t="shared" si="65"/>
        <v>362.5</v>
      </c>
      <c r="AE107" s="80" t="str">
        <f>S107</f>
        <v>복</v>
      </c>
      <c r="AF107" s="80" t="str">
        <f>Q107&amp;"/"&amp;R107</f>
        <v>3/1</v>
      </c>
      <c r="AH107" s="20" t="str">
        <f t="shared" si="59"/>
        <v>나운동 주공5단지</v>
      </c>
      <c r="AI107" s="88">
        <f t="shared" si="53"/>
        <v>24</v>
      </c>
      <c r="AJ107" s="80" t="str">
        <f>IF(AI107="","",$AJ$2)</f>
        <v>A-</v>
      </c>
      <c r="AK107" s="80" t="s">
        <v>14</v>
      </c>
      <c r="AL107" s="80" t="s">
        <v>63</v>
      </c>
      <c r="AM107" s="80" t="s">
        <v>64</v>
      </c>
      <c r="AN107" s="80" t="str">
        <f>IF(AI107="","",$AN$2)</f>
        <v>C</v>
      </c>
      <c r="AO107" s="80" t="str">
        <f>IF(N107="","",IF(N107&gt;=$AO$1/100,"O","X"))</f>
        <v>O</v>
      </c>
      <c r="AP107" s="80" t="str">
        <f>IF(I107="","",IF(I107&lt;=$AP$1,"O","X"))</f>
        <v>O</v>
      </c>
      <c r="AQ107" s="80" t="str">
        <f>IF(O107="","",IF(O107&lt;=$AQ$1,"O","X"))</f>
        <v>O</v>
      </c>
      <c r="AR107" s="80" t="str">
        <f>IF(M107="","",IF(M107&lt;=$AR$1,"O","X"))</f>
        <v>O</v>
      </c>
      <c r="AS107" s="80" t="s">
        <v>2</v>
      </c>
      <c r="AT107" s="80" t="str">
        <f>IF(OR(F107="",AI107=""),"",IF(AND((F107&lt;=85),(AI107&gt;=15)),"O","X"))</f>
        <v>O</v>
      </c>
      <c r="AU107" s="80" t="str">
        <f>IF(C107="","",IF(C107&gt;=$AU$1,"O","X"))</f>
        <v>O</v>
      </c>
      <c r="AV107" s="80" t="str">
        <f>IF(AO107="","",IF(AND(AO107="O",AP107="O",AR107="O",AT107="O",AU107="O"),"후보","X"))</f>
        <v>후보</v>
      </c>
    </row>
    <row r="108" spans="1:48" s="37" customFormat="1" ht="12" x14ac:dyDescent="0.3">
      <c r="A108" s="75" t="s">
        <v>1437</v>
      </c>
      <c r="B108" s="76" t="s">
        <v>1371</v>
      </c>
      <c r="C108" s="86">
        <v>636</v>
      </c>
      <c r="D108" s="87">
        <v>74.8</v>
      </c>
      <c r="E108" s="88">
        <v>23</v>
      </c>
      <c r="F108" s="87">
        <v>60</v>
      </c>
      <c r="G108" s="17">
        <v>18</v>
      </c>
      <c r="H108" s="89">
        <v>64</v>
      </c>
      <c r="I108" s="90">
        <v>13000</v>
      </c>
      <c r="J108" s="90" t="s">
        <v>68</v>
      </c>
      <c r="K108" s="90"/>
      <c r="L108" s="90"/>
      <c r="M108" s="91">
        <f>I108-K108</f>
        <v>13000</v>
      </c>
      <c r="N108" s="4">
        <f>IF(ISERROR(K108/I108),"",K108/I108)</f>
        <v>0</v>
      </c>
      <c r="O108" s="92">
        <f>I108/E108</f>
        <v>565.21739130434787</v>
      </c>
      <c r="P108" s="92">
        <f>K108/E108</f>
        <v>0</v>
      </c>
      <c r="Q108" s="80">
        <v>3</v>
      </c>
      <c r="R108" s="80">
        <v>1</v>
      </c>
      <c r="S108" s="80" t="s">
        <v>61</v>
      </c>
      <c r="T108" s="5">
        <v>74</v>
      </c>
      <c r="U108" s="9"/>
      <c r="W108" s="87">
        <f t="shared" si="63"/>
        <v>74.8</v>
      </c>
      <c r="X108" s="88">
        <f t="shared" si="63"/>
        <v>23</v>
      </c>
      <c r="Y108" s="93">
        <f t="shared" si="64"/>
        <v>64</v>
      </c>
      <c r="Z108" s="91">
        <f t="shared" si="64"/>
        <v>13000</v>
      </c>
      <c r="AA108" s="91">
        <f>K108</f>
        <v>0</v>
      </c>
      <c r="AB108" s="91">
        <f t="shared" si="65"/>
        <v>13000</v>
      </c>
      <c r="AC108" s="4">
        <f t="shared" si="65"/>
        <v>0</v>
      </c>
      <c r="AD108" s="92">
        <f t="shared" si="65"/>
        <v>565.21739130434787</v>
      </c>
      <c r="AE108" s="80" t="str">
        <f>S108</f>
        <v>계</v>
      </c>
      <c r="AF108" s="80" t="str">
        <f>Q108&amp;"/"&amp;R108</f>
        <v>3/1</v>
      </c>
      <c r="AH108" s="20" t="str">
        <f t="shared" si="59"/>
        <v>나운동 현대4차</v>
      </c>
      <c r="AI108" s="88">
        <f t="shared" si="53"/>
        <v>23</v>
      </c>
      <c r="AJ108" s="80" t="str">
        <f>IF(AI108="","",$AJ$2)</f>
        <v>A-</v>
      </c>
      <c r="AK108" s="80" t="s">
        <v>14</v>
      </c>
      <c r="AL108" s="80" t="s">
        <v>63</v>
      </c>
      <c r="AM108" s="80" t="s">
        <v>64</v>
      </c>
      <c r="AN108" s="80" t="str">
        <f>IF(AI108="","",$AN$2)</f>
        <v>C</v>
      </c>
      <c r="AO108" s="80" t="str">
        <f>IF(N108="","",IF(N108&gt;=$AO$1/100,"O","X"))</f>
        <v>X</v>
      </c>
      <c r="AP108" s="80" t="str">
        <f>IF(I108="","",IF(I108&lt;=$AP$1,"O","X"))</f>
        <v>O</v>
      </c>
      <c r="AQ108" s="80" t="str">
        <f>IF(O108="","",IF(O108&lt;=$AQ$1,"O","X"))</f>
        <v>O</v>
      </c>
      <c r="AR108" s="80" t="str">
        <f>IF(M108="","",IF(M108&lt;=$AR$1,"O","X"))</f>
        <v>X</v>
      </c>
      <c r="AS108" s="80" t="s">
        <v>2</v>
      </c>
      <c r="AT108" s="80" t="str">
        <f>IF(OR(F108="",AI108=""),"",IF(AND((F108&lt;=85),(AI108&gt;=15)),"O","X"))</f>
        <v>O</v>
      </c>
      <c r="AU108" s="80" t="str">
        <f>IF(C108="","",IF(C108&gt;=$AU$1,"O","X"))</f>
        <v>O</v>
      </c>
      <c r="AV108" s="80" t="str">
        <f>IF(AO108="","",IF(AND(AO108="O",AP108="O",AR108="O",AT108="O",AU108="O"),"후보","X"))</f>
        <v>X</v>
      </c>
    </row>
    <row r="109" spans="1:48" s="37" customFormat="1" ht="12" x14ac:dyDescent="0.3">
      <c r="A109" s="75" t="s">
        <v>1437</v>
      </c>
      <c r="B109" s="76" t="s">
        <v>1371</v>
      </c>
      <c r="C109" s="86">
        <v>636</v>
      </c>
      <c r="D109" s="87">
        <v>93.7</v>
      </c>
      <c r="E109" s="88">
        <v>28</v>
      </c>
      <c r="F109" s="87">
        <v>75.2</v>
      </c>
      <c r="G109" s="17">
        <v>23</v>
      </c>
      <c r="H109" s="89">
        <v>68</v>
      </c>
      <c r="I109" s="90"/>
      <c r="J109" s="90"/>
      <c r="K109" s="90"/>
      <c r="L109" s="90"/>
      <c r="M109" s="91">
        <f>I109-K109</f>
        <v>0</v>
      </c>
      <c r="N109" s="4" t="str">
        <f>IF(ISERROR(K109/I109),"",K109/I109)</f>
        <v/>
      </c>
      <c r="O109" s="92">
        <f>I109/E109</f>
        <v>0</v>
      </c>
      <c r="P109" s="92">
        <f>K109/E109</f>
        <v>0</v>
      </c>
      <c r="Q109" s="80">
        <v>3</v>
      </c>
      <c r="R109" s="80">
        <v>1</v>
      </c>
      <c r="S109" s="80" t="s">
        <v>61</v>
      </c>
      <c r="T109" s="5">
        <v>93</v>
      </c>
      <c r="U109" s="9"/>
      <c r="W109" s="87">
        <f t="shared" si="63"/>
        <v>93.7</v>
      </c>
      <c r="X109" s="88">
        <f t="shared" si="63"/>
        <v>28</v>
      </c>
      <c r="Y109" s="93">
        <f t="shared" si="64"/>
        <v>68</v>
      </c>
      <c r="Z109" s="91">
        <f t="shared" si="64"/>
        <v>0</v>
      </c>
      <c r="AA109" s="91">
        <f>K109</f>
        <v>0</v>
      </c>
      <c r="AB109" s="91">
        <f t="shared" si="65"/>
        <v>0</v>
      </c>
      <c r="AC109" s="4" t="str">
        <f t="shared" si="65"/>
        <v/>
      </c>
      <c r="AD109" s="92">
        <f t="shared" si="65"/>
        <v>0</v>
      </c>
      <c r="AE109" s="80" t="str">
        <f>S109</f>
        <v>계</v>
      </c>
      <c r="AF109" s="80" t="str">
        <f>Q109&amp;"/"&amp;R109</f>
        <v>3/1</v>
      </c>
      <c r="AH109" s="20" t="str">
        <f t="shared" si="59"/>
        <v>나운동 현대4차</v>
      </c>
      <c r="AI109" s="88">
        <f t="shared" si="53"/>
        <v>28</v>
      </c>
      <c r="AJ109" s="80" t="str">
        <f>IF(AI109="","",$AJ$2)</f>
        <v>A-</v>
      </c>
      <c r="AK109" s="80" t="s">
        <v>14</v>
      </c>
      <c r="AL109" s="80" t="s">
        <v>63</v>
      </c>
      <c r="AM109" s="80" t="s">
        <v>64</v>
      </c>
      <c r="AN109" s="80" t="str">
        <f>IF(AI109="","",$AN$2)</f>
        <v>C</v>
      </c>
      <c r="AO109" s="80" t="str">
        <f>IF(N109="","",IF(N109&gt;=$AO$1/100,"O","X"))</f>
        <v/>
      </c>
      <c r="AP109" s="80" t="str">
        <f>IF(I109="","",IF(I109&lt;=$AP$1,"O","X"))</f>
        <v/>
      </c>
      <c r="AQ109" s="80" t="str">
        <f>IF(O109="","",IF(O109&lt;=$AQ$1,"O","X"))</f>
        <v>O</v>
      </c>
      <c r="AR109" s="80" t="str">
        <f>IF(M109="","",IF(M109&lt;=$AR$1,"O","X"))</f>
        <v>O</v>
      </c>
      <c r="AS109" s="80" t="s">
        <v>2</v>
      </c>
      <c r="AT109" s="80" t="str">
        <f>IF(OR(F109="",AI109=""),"",IF(AND((F109&lt;=85),(AI109&gt;=15)),"O","X"))</f>
        <v>O</v>
      </c>
      <c r="AU109" s="80" t="str">
        <f>IF(C109="","",IF(C109&gt;=$AU$1,"O","X"))</f>
        <v>O</v>
      </c>
      <c r="AV109" s="80" t="str">
        <f>IF(AO109="","",IF(AND(AO109="O",AP109="O",AR109="O",AT109="O",AU109="O"),"후보","X"))</f>
        <v/>
      </c>
    </row>
    <row r="110" spans="1:48" s="37" customFormat="1" ht="12" x14ac:dyDescent="0.3">
      <c r="A110" s="75" t="s">
        <v>1437</v>
      </c>
      <c r="B110" s="76" t="s">
        <v>1371</v>
      </c>
      <c r="C110" s="86">
        <v>636</v>
      </c>
      <c r="D110" s="87">
        <v>105.9</v>
      </c>
      <c r="E110" s="88">
        <v>32</v>
      </c>
      <c r="F110" s="87">
        <v>85</v>
      </c>
      <c r="G110" s="17">
        <v>26</v>
      </c>
      <c r="H110" s="89">
        <v>386</v>
      </c>
      <c r="I110" s="90">
        <v>18700</v>
      </c>
      <c r="J110" s="90" t="s">
        <v>72</v>
      </c>
      <c r="K110" s="90">
        <v>19000</v>
      </c>
      <c r="L110" s="90" t="s">
        <v>70</v>
      </c>
      <c r="M110" s="91">
        <f>I110-K110</f>
        <v>-300</v>
      </c>
      <c r="N110" s="4">
        <f>IF(ISERROR(K110/I110),"",K110/I110)</f>
        <v>1.0160427807486632</v>
      </c>
      <c r="O110" s="92">
        <f>I110/E110</f>
        <v>584.375</v>
      </c>
      <c r="P110" s="92">
        <f>K110/E110</f>
        <v>593.75</v>
      </c>
      <c r="Q110" s="80">
        <v>3</v>
      </c>
      <c r="R110" s="80">
        <v>2</v>
      </c>
      <c r="S110" s="80" t="s">
        <v>61</v>
      </c>
      <c r="T110" s="5">
        <v>105</v>
      </c>
      <c r="U110" s="9"/>
      <c r="W110" s="87">
        <f t="shared" si="63"/>
        <v>105.9</v>
      </c>
      <c r="X110" s="88">
        <f t="shared" si="63"/>
        <v>32</v>
      </c>
      <c r="Y110" s="93">
        <f t="shared" si="64"/>
        <v>386</v>
      </c>
      <c r="Z110" s="91">
        <f t="shared" si="64"/>
        <v>18700</v>
      </c>
      <c r="AA110" s="91">
        <f>K110</f>
        <v>19000</v>
      </c>
      <c r="AB110" s="91">
        <f t="shared" si="65"/>
        <v>-300</v>
      </c>
      <c r="AC110" s="4">
        <f t="shared" si="65"/>
        <v>1.0160427807486632</v>
      </c>
      <c r="AD110" s="92">
        <f t="shared" si="65"/>
        <v>584.375</v>
      </c>
      <c r="AE110" s="80" t="str">
        <f>S110</f>
        <v>계</v>
      </c>
      <c r="AF110" s="80" t="str">
        <f>Q110&amp;"/"&amp;R110</f>
        <v>3/2</v>
      </c>
      <c r="AH110" s="20" t="str">
        <f t="shared" si="59"/>
        <v>나운동 현대4차</v>
      </c>
      <c r="AI110" s="88">
        <f t="shared" si="53"/>
        <v>32</v>
      </c>
      <c r="AJ110" s="80" t="str">
        <f>IF(AI110="","",$AJ$2)</f>
        <v>A-</v>
      </c>
      <c r="AK110" s="80" t="s">
        <v>14</v>
      </c>
      <c r="AL110" s="80" t="s">
        <v>63</v>
      </c>
      <c r="AM110" s="80" t="s">
        <v>64</v>
      </c>
      <c r="AN110" s="80" t="str">
        <f>IF(AI110="","",$AN$2)</f>
        <v>C</v>
      </c>
      <c r="AO110" s="80" t="str">
        <f>IF(N110="","",IF(N110&gt;=$AO$1/100,"O","X"))</f>
        <v>O</v>
      </c>
      <c r="AP110" s="80" t="str">
        <f>IF(I110="","",IF(I110&lt;=$AP$1,"O","X"))</f>
        <v>O</v>
      </c>
      <c r="AQ110" s="80" t="str">
        <f>IF(O110="","",IF(O110&lt;=$AQ$1,"O","X"))</f>
        <v>O</v>
      </c>
      <c r="AR110" s="80" t="str">
        <f>IF(M110="","",IF(M110&lt;=$AR$1,"O","X"))</f>
        <v>O</v>
      </c>
      <c r="AS110" s="80" t="s">
        <v>2</v>
      </c>
      <c r="AT110" s="80" t="str">
        <f>IF(OR(F110="",AI110=""),"",IF(AND((F110&lt;=85),(AI110&gt;=15)),"O","X"))</f>
        <v>O</v>
      </c>
      <c r="AU110" s="80" t="str">
        <f>IF(C110="","",IF(C110&gt;=$AU$1,"O","X"))</f>
        <v>O</v>
      </c>
      <c r="AV110" s="80" t="str">
        <f>IF(AO110="","",IF(AND(AO110="O",AP110="O",AR110="O",AT110="O",AU110="O"),"후보","X"))</f>
        <v>후보</v>
      </c>
    </row>
    <row r="111" spans="1:48" s="37" customFormat="1" ht="12" x14ac:dyDescent="0.3">
      <c r="A111" s="75" t="s">
        <v>1437</v>
      </c>
      <c r="B111" s="76" t="s">
        <v>1436</v>
      </c>
      <c r="C111" s="86">
        <v>636</v>
      </c>
      <c r="D111" s="87">
        <v>124.6</v>
      </c>
      <c r="E111" s="88">
        <v>38</v>
      </c>
      <c r="F111" s="87">
        <v>99.9</v>
      </c>
      <c r="G111" s="17">
        <v>30</v>
      </c>
      <c r="H111" s="89">
        <v>78</v>
      </c>
      <c r="I111" s="90">
        <v>23000</v>
      </c>
      <c r="J111" s="90" t="s">
        <v>68</v>
      </c>
      <c r="K111" s="90"/>
      <c r="L111" s="90"/>
      <c r="M111" s="91">
        <f>I111-K111</f>
        <v>23000</v>
      </c>
      <c r="N111" s="4">
        <f>IF(ISERROR(K111/I111),"",K111/I111)</f>
        <v>0</v>
      </c>
      <c r="O111" s="92">
        <f>I111/E111</f>
        <v>605.26315789473688</v>
      </c>
      <c r="P111" s="92">
        <f>K111/E111</f>
        <v>0</v>
      </c>
      <c r="Q111" s="80">
        <v>3</v>
      </c>
      <c r="R111" s="80">
        <v>2</v>
      </c>
      <c r="S111" s="80" t="s">
        <v>61</v>
      </c>
      <c r="T111" s="5">
        <v>124</v>
      </c>
      <c r="U111" s="9"/>
      <c r="W111" s="87">
        <f t="shared" si="63"/>
        <v>124.6</v>
      </c>
      <c r="X111" s="88">
        <f t="shared" si="63"/>
        <v>38</v>
      </c>
      <c r="Y111" s="93">
        <f t="shared" si="64"/>
        <v>78</v>
      </c>
      <c r="Z111" s="91">
        <f t="shared" si="64"/>
        <v>23000</v>
      </c>
      <c r="AA111" s="91">
        <f>K111</f>
        <v>0</v>
      </c>
      <c r="AB111" s="91">
        <f t="shared" si="65"/>
        <v>23000</v>
      </c>
      <c r="AC111" s="4">
        <f t="shared" si="65"/>
        <v>0</v>
      </c>
      <c r="AD111" s="92">
        <f t="shared" si="65"/>
        <v>605.26315789473688</v>
      </c>
      <c r="AE111" s="80" t="str">
        <f>S111</f>
        <v>계</v>
      </c>
      <c r="AF111" s="80" t="str">
        <f>Q111&amp;"/"&amp;R111</f>
        <v>3/2</v>
      </c>
      <c r="AH111" s="20" t="str">
        <f t="shared" si="59"/>
        <v>나운동 현대4차</v>
      </c>
      <c r="AI111" s="88">
        <f t="shared" si="53"/>
        <v>38</v>
      </c>
      <c r="AJ111" s="80" t="str">
        <f>IF(AI111="","",$AJ$2)</f>
        <v>A-</v>
      </c>
      <c r="AK111" s="80" t="s">
        <v>14</v>
      </c>
      <c r="AL111" s="80" t="s">
        <v>63</v>
      </c>
      <c r="AM111" s="80" t="s">
        <v>64</v>
      </c>
      <c r="AN111" s="80" t="str">
        <f>IF(AI111="","",$AN$2)</f>
        <v>C</v>
      </c>
      <c r="AO111" s="80" t="str">
        <f>IF(N111="","",IF(N111&gt;=$AO$1/100,"O","X"))</f>
        <v>X</v>
      </c>
      <c r="AP111" s="80" t="str">
        <f>IF(I111="","",IF(I111&lt;=$AP$1,"O","X"))</f>
        <v>O</v>
      </c>
      <c r="AQ111" s="80" t="str">
        <f>IF(O111="","",IF(O111&lt;=$AQ$1,"O","X"))</f>
        <v>O</v>
      </c>
      <c r="AR111" s="80" t="str">
        <f>IF(M111="","",IF(M111&lt;=$AR$1,"O","X"))</f>
        <v>X</v>
      </c>
      <c r="AS111" s="80" t="s">
        <v>2</v>
      </c>
      <c r="AT111" s="80" t="str">
        <f>IF(OR(F111="",AI111=""),"",IF(AND((F111&lt;=85),(AI111&gt;=15)),"O","X"))</f>
        <v>X</v>
      </c>
      <c r="AU111" s="80" t="str">
        <f>IF(C111="","",IF(C111&gt;=$AU$1,"O","X"))</f>
        <v>O</v>
      </c>
      <c r="AV111" s="80" t="str">
        <f>IF(AO111="","",IF(AND(AO111="O",AP111="O",AR111="O",AT111="O",AU111="O"),"후보","X"))</f>
        <v>X</v>
      </c>
    </row>
    <row r="112" spans="1:48" s="37" customFormat="1" ht="12" x14ac:dyDescent="0.3">
      <c r="A112" s="75" t="s">
        <v>1437</v>
      </c>
      <c r="B112" s="76" t="s">
        <v>1371</v>
      </c>
      <c r="C112" s="86">
        <v>636</v>
      </c>
      <c r="D112" s="87">
        <v>147.30000000000001</v>
      </c>
      <c r="E112" s="88">
        <v>45</v>
      </c>
      <c r="F112" s="87">
        <v>118.2</v>
      </c>
      <c r="G112" s="17">
        <v>36</v>
      </c>
      <c r="H112" s="89">
        <v>40</v>
      </c>
      <c r="I112" s="90"/>
      <c r="J112" s="90"/>
      <c r="K112" s="90"/>
      <c r="L112" s="90"/>
      <c r="M112" s="91">
        <f>I112-K112</f>
        <v>0</v>
      </c>
      <c r="N112" s="4" t="str">
        <f>IF(ISERROR(K112/I112),"",K112/I112)</f>
        <v/>
      </c>
      <c r="O112" s="92">
        <f>I112/E112</f>
        <v>0</v>
      </c>
      <c r="P112" s="92">
        <f>K112/E112</f>
        <v>0</v>
      </c>
      <c r="Q112" s="80">
        <v>4</v>
      </c>
      <c r="R112" s="80">
        <v>2</v>
      </c>
      <c r="S112" s="80" t="s">
        <v>61</v>
      </c>
      <c r="T112" s="5">
        <v>147</v>
      </c>
      <c r="U112" s="9"/>
      <c r="W112" s="87">
        <f t="shared" si="63"/>
        <v>147.30000000000001</v>
      </c>
      <c r="X112" s="88">
        <f t="shared" si="63"/>
        <v>45</v>
      </c>
      <c r="Y112" s="93">
        <f t="shared" si="64"/>
        <v>40</v>
      </c>
      <c r="Z112" s="91">
        <f t="shared" si="64"/>
        <v>0</v>
      </c>
      <c r="AA112" s="91">
        <f>K112</f>
        <v>0</v>
      </c>
      <c r="AB112" s="91">
        <f t="shared" si="65"/>
        <v>0</v>
      </c>
      <c r="AC112" s="4" t="str">
        <f t="shared" si="65"/>
        <v/>
      </c>
      <c r="AD112" s="92">
        <f t="shared" si="65"/>
        <v>0</v>
      </c>
      <c r="AE112" s="80" t="str">
        <f>S112</f>
        <v>계</v>
      </c>
      <c r="AF112" s="80" t="str">
        <f>Q112&amp;"/"&amp;R112</f>
        <v>4/2</v>
      </c>
      <c r="AH112" s="20" t="str">
        <f t="shared" si="59"/>
        <v>나운동 현대4차</v>
      </c>
      <c r="AI112" s="88">
        <f t="shared" si="53"/>
        <v>45</v>
      </c>
      <c r="AJ112" s="80" t="str">
        <f>IF(AI112="","",$AJ$2)</f>
        <v>A-</v>
      </c>
      <c r="AK112" s="80" t="s">
        <v>14</v>
      </c>
      <c r="AL112" s="80" t="s">
        <v>63</v>
      </c>
      <c r="AM112" s="80" t="s">
        <v>64</v>
      </c>
      <c r="AN112" s="80" t="str">
        <f>IF(AI112="","",$AN$2)</f>
        <v>C</v>
      </c>
      <c r="AO112" s="80" t="str">
        <f>IF(N112="","",IF(N112&gt;=$AO$1/100,"O","X"))</f>
        <v/>
      </c>
      <c r="AP112" s="80" t="str">
        <f>IF(I112="","",IF(I112&lt;=$AP$1,"O","X"))</f>
        <v/>
      </c>
      <c r="AQ112" s="80" t="str">
        <f>IF(O112="","",IF(O112&lt;=$AQ$1,"O","X"))</f>
        <v>O</v>
      </c>
      <c r="AR112" s="80" t="str">
        <f>IF(M112="","",IF(M112&lt;=$AR$1,"O","X"))</f>
        <v>O</v>
      </c>
      <c r="AS112" s="80" t="s">
        <v>2</v>
      </c>
      <c r="AT112" s="80" t="str">
        <f>IF(OR(F112="",AI112=""),"",IF(AND((F112&lt;=85),(AI112&gt;=15)),"O","X"))</f>
        <v>X</v>
      </c>
      <c r="AU112" s="80" t="str">
        <f>IF(C112="","",IF(C112&gt;=$AU$1,"O","X"))</f>
        <v>O</v>
      </c>
      <c r="AV112" s="80" t="str">
        <f>IF(AO112="","",IF(AND(AO112="O",AP112="O",AR112="O",AT112="O",AU112="O"),"후보","X"))</f>
        <v/>
      </c>
    </row>
    <row r="113" spans="1:48" s="37" customFormat="1" ht="12" x14ac:dyDescent="0.3">
      <c r="A113" s="75" t="s">
        <v>1438</v>
      </c>
      <c r="B113" s="76" t="s">
        <v>1439</v>
      </c>
      <c r="C113" s="86">
        <v>670</v>
      </c>
      <c r="D113" s="87">
        <v>95.5</v>
      </c>
      <c r="E113" s="88">
        <v>29</v>
      </c>
      <c r="F113" s="87">
        <v>73.900000000000006</v>
      </c>
      <c r="G113" s="17">
        <v>22</v>
      </c>
      <c r="H113" s="89">
        <v>128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80">
        <v>3</v>
      </c>
      <c r="R113" s="80">
        <v>1</v>
      </c>
      <c r="S113" s="80" t="s">
        <v>61</v>
      </c>
      <c r="T113" s="5">
        <v>95</v>
      </c>
      <c r="U113" s="9"/>
      <c r="W113" s="87">
        <f t="shared" si="63"/>
        <v>95.5</v>
      </c>
      <c r="X113" s="88">
        <f t="shared" si="63"/>
        <v>29</v>
      </c>
      <c r="Y113" s="93">
        <f t="shared" si="64"/>
        <v>128</v>
      </c>
      <c r="Z113" s="91">
        <f t="shared" si="64"/>
        <v>0</v>
      </c>
      <c r="AA113" s="91">
        <f>K113</f>
        <v>0</v>
      </c>
      <c r="AB113" s="91">
        <f t="shared" si="65"/>
        <v>0</v>
      </c>
      <c r="AC113" s="4" t="str">
        <f t="shared" si="65"/>
        <v/>
      </c>
      <c r="AD113" s="92">
        <f t="shared" si="65"/>
        <v>0</v>
      </c>
      <c r="AE113" s="80" t="str">
        <f>S113</f>
        <v>계</v>
      </c>
      <c r="AF113" s="80" t="str">
        <f>Q113&amp;"/"&amp;R113</f>
        <v>3/1</v>
      </c>
      <c r="AH113" s="20" t="str">
        <f t="shared" si="59"/>
        <v>나운동 삼성(401)</v>
      </c>
      <c r="AI113" s="88">
        <f t="shared" si="53"/>
        <v>29</v>
      </c>
      <c r="AJ113" s="80" t="str">
        <f>IF(AI113="","",$AJ$2)</f>
        <v>A-</v>
      </c>
      <c r="AK113" s="80" t="s">
        <v>14</v>
      </c>
      <c r="AL113" s="80" t="s">
        <v>63</v>
      </c>
      <c r="AM113" s="80" t="s">
        <v>64</v>
      </c>
      <c r="AN113" s="80" t="str">
        <f>IF(AI113="","",$AN$2)</f>
        <v>C</v>
      </c>
      <c r="AO113" s="80" t="str">
        <f>IF(N113="","",IF(N113&gt;=$AO$1/100,"O","X"))</f>
        <v/>
      </c>
      <c r="AP113" s="80" t="str">
        <f>IF(I113="","",IF(I113&lt;=$AP$1,"O","X"))</f>
        <v/>
      </c>
      <c r="AQ113" s="80" t="str">
        <f>IF(O113="","",IF(O113&lt;=$AQ$1,"O","X"))</f>
        <v>O</v>
      </c>
      <c r="AR113" s="80" t="str">
        <f>IF(M113="","",IF(M113&lt;=$AR$1,"O","X"))</f>
        <v>O</v>
      </c>
      <c r="AS113" s="80" t="s">
        <v>2</v>
      </c>
      <c r="AT113" s="80" t="str">
        <f>IF(OR(F113="",AI113=""),"",IF(AND((F113&lt;=85),(AI113&gt;=15)),"O","X"))</f>
        <v>O</v>
      </c>
      <c r="AU113" s="80" t="str">
        <f>IF(C113="","",IF(C113&gt;=$AU$1,"O","X"))</f>
        <v>O</v>
      </c>
      <c r="AV113" s="80" t="str">
        <f>IF(AO113="","",IF(AND(AO113="O",AP113="O",AR113="O",AT113="O",AU113="O"),"후보","X"))</f>
        <v/>
      </c>
    </row>
    <row r="114" spans="1:48" s="37" customFormat="1" ht="12" x14ac:dyDescent="0.3">
      <c r="A114" s="75" t="s">
        <v>1438</v>
      </c>
      <c r="B114" s="76" t="s">
        <v>1439</v>
      </c>
      <c r="C114" s="86">
        <v>670</v>
      </c>
      <c r="D114" s="87">
        <v>107.4</v>
      </c>
      <c r="E114" s="88">
        <v>32</v>
      </c>
      <c r="F114" s="87">
        <v>85</v>
      </c>
      <c r="G114" s="17">
        <v>26</v>
      </c>
      <c r="H114" s="89">
        <v>422</v>
      </c>
      <c r="I114" s="90">
        <v>17200</v>
      </c>
      <c r="J114" s="90" t="s">
        <v>81</v>
      </c>
      <c r="K114" s="90">
        <v>17000</v>
      </c>
      <c r="L114" s="90" t="s">
        <v>91</v>
      </c>
      <c r="M114" s="91">
        <f>I114-K114</f>
        <v>200</v>
      </c>
      <c r="N114" s="4">
        <f>IF(ISERROR(K114/I114),"",K114/I114)</f>
        <v>0.98837209302325579</v>
      </c>
      <c r="O114" s="92">
        <f>I114/E114</f>
        <v>537.5</v>
      </c>
      <c r="P114" s="92">
        <f>K114/E114</f>
        <v>531.25</v>
      </c>
      <c r="Q114" s="80">
        <v>3</v>
      </c>
      <c r="R114" s="80">
        <v>2</v>
      </c>
      <c r="S114" s="80" t="s">
        <v>61</v>
      </c>
      <c r="T114" s="5">
        <v>107</v>
      </c>
      <c r="U114" s="9"/>
      <c r="W114" s="87">
        <f t="shared" si="63"/>
        <v>107.4</v>
      </c>
      <c r="X114" s="88">
        <f t="shared" si="63"/>
        <v>32</v>
      </c>
      <c r="Y114" s="93">
        <f t="shared" si="64"/>
        <v>422</v>
      </c>
      <c r="Z114" s="91">
        <f t="shared" si="64"/>
        <v>17200</v>
      </c>
      <c r="AA114" s="91">
        <f>K114</f>
        <v>17000</v>
      </c>
      <c r="AB114" s="91">
        <f t="shared" si="65"/>
        <v>200</v>
      </c>
      <c r="AC114" s="4">
        <f t="shared" si="65"/>
        <v>0.98837209302325579</v>
      </c>
      <c r="AD114" s="92">
        <f t="shared" si="65"/>
        <v>537.5</v>
      </c>
      <c r="AE114" s="80" t="str">
        <f>S114</f>
        <v>계</v>
      </c>
      <c r="AF114" s="80" t="str">
        <f>Q114&amp;"/"&amp;R114</f>
        <v>3/2</v>
      </c>
      <c r="AH114" s="20" t="str">
        <f t="shared" si="59"/>
        <v>나운동 삼성(401)</v>
      </c>
      <c r="AI114" s="88">
        <f t="shared" si="53"/>
        <v>32</v>
      </c>
      <c r="AJ114" s="80" t="str">
        <f>IF(AI114="","",$AJ$2)</f>
        <v>A-</v>
      </c>
      <c r="AK114" s="80" t="s">
        <v>14</v>
      </c>
      <c r="AL114" s="80" t="s">
        <v>63</v>
      </c>
      <c r="AM114" s="80" t="s">
        <v>64</v>
      </c>
      <c r="AN114" s="80" t="str">
        <f>IF(AI114="","",$AN$2)</f>
        <v>C</v>
      </c>
      <c r="AO114" s="80" t="str">
        <f>IF(N114="","",IF(N114&gt;=$AO$1/100,"O","X"))</f>
        <v>O</v>
      </c>
      <c r="AP114" s="80" t="str">
        <f>IF(I114="","",IF(I114&lt;=$AP$1,"O","X"))</f>
        <v>O</v>
      </c>
      <c r="AQ114" s="80" t="str">
        <f>IF(O114="","",IF(O114&lt;=$AQ$1,"O","X"))</f>
        <v>O</v>
      </c>
      <c r="AR114" s="80" t="str">
        <f>IF(M114="","",IF(M114&lt;=$AR$1,"O","X"))</f>
        <v>O</v>
      </c>
      <c r="AS114" s="80" t="s">
        <v>2</v>
      </c>
      <c r="AT114" s="80" t="str">
        <f>IF(OR(F114="",AI114=""),"",IF(AND((F114&lt;=85),(AI114&gt;=15)),"O","X"))</f>
        <v>O</v>
      </c>
      <c r="AU114" s="80" t="str">
        <f>IF(C114="","",IF(C114&gt;=$AU$1,"O","X"))</f>
        <v>O</v>
      </c>
      <c r="AV114" s="80" t="str">
        <f>IF(AO114="","",IF(AND(AO114="O",AP114="O",AR114="O",AT114="O",AU114="O"),"후보","X"))</f>
        <v>후보</v>
      </c>
    </row>
    <row r="115" spans="1:48" s="37" customFormat="1" ht="12" x14ac:dyDescent="0.3">
      <c r="A115" s="75" t="s">
        <v>1438</v>
      </c>
      <c r="B115" s="76" t="s">
        <v>1440</v>
      </c>
      <c r="C115" s="86">
        <v>670</v>
      </c>
      <c r="D115" s="87">
        <v>139.69999999999999</v>
      </c>
      <c r="E115" s="88">
        <v>42</v>
      </c>
      <c r="F115" s="87">
        <v>115</v>
      </c>
      <c r="G115" s="17">
        <v>35</v>
      </c>
      <c r="H115" s="89">
        <v>40</v>
      </c>
      <c r="I115" s="90"/>
      <c r="J115" s="90"/>
      <c r="K115" s="90"/>
      <c r="L115" s="90"/>
      <c r="M115" s="91">
        <f>I115-K115</f>
        <v>0</v>
      </c>
      <c r="N115" s="4" t="str">
        <f>IF(ISERROR(K115/I115),"",K115/I115)</f>
        <v/>
      </c>
      <c r="O115" s="92">
        <f>I115/E115</f>
        <v>0</v>
      </c>
      <c r="P115" s="92">
        <f>K115/E115</f>
        <v>0</v>
      </c>
      <c r="Q115" s="80">
        <v>4</v>
      </c>
      <c r="R115" s="80">
        <v>2</v>
      </c>
      <c r="S115" s="80" t="s">
        <v>61</v>
      </c>
      <c r="T115" s="5">
        <v>139</v>
      </c>
      <c r="U115" s="9"/>
      <c r="W115" s="87">
        <f t="shared" si="63"/>
        <v>139.69999999999999</v>
      </c>
      <c r="X115" s="88">
        <f t="shared" si="63"/>
        <v>42</v>
      </c>
      <c r="Y115" s="93">
        <f t="shared" si="64"/>
        <v>40</v>
      </c>
      <c r="Z115" s="91">
        <f t="shared" si="64"/>
        <v>0</v>
      </c>
      <c r="AA115" s="91">
        <f>K115</f>
        <v>0</v>
      </c>
      <c r="AB115" s="91">
        <f t="shared" si="65"/>
        <v>0</v>
      </c>
      <c r="AC115" s="4" t="str">
        <f t="shared" si="65"/>
        <v/>
      </c>
      <c r="AD115" s="92">
        <f t="shared" si="65"/>
        <v>0</v>
      </c>
      <c r="AE115" s="80" t="str">
        <f>S115</f>
        <v>계</v>
      </c>
      <c r="AF115" s="80" t="str">
        <f>Q115&amp;"/"&amp;R115</f>
        <v>4/2</v>
      </c>
      <c r="AH115" s="20" t="str">
        <f t="shared" si="59"/>
        <v>나운동 삼성(401)</v>
      </c>
      <c r="AI115" s="88">
        <f t="shared" si="53"/>
        <v>42</v>
      </c>
      <c r="AJ115" s="80" t="str">
        <f>IF(AI115="","",$AJ$2)</f>
        <v>A-</v>
      </c>
      <c r="AK115" s="80" t="s">
        <v>14</v>
      </c>
      <c r="AL115" s="80" t="s">
        <v>63</v>
      </c>
      <c r="AM115" s="80" t="s">
        <v>64</v>
      </c>
      <c r="AN115" s="80" t="str">
        <f>IF(AI115="","",$AN$2)</f>
        <v>C</v>
      </c>
      <c r="AO115" s="80" t="str">
        <f>IF(N115="","",IF(N115&gt;=$AO$1/100,"O","X"))</f>
        <v/>
      </c>
      <c r="AP115" s="80" t="str">
        <f>IF(I115="","",IF(I115&lt;=$AP$1,"O","X"))</f>
        <v/>
      </c>
      <c r="AQ115" s="80" t="str">
        <f>IF(O115="","",IF(O115&lt;=$AQ$1,"O","X"))</f>
        <v>O</v>
      </c>
      <c r="AR115" s="80" t="str">
        <f>IF(M115="","",IF(M115&lt;=$AR$1,"O","X"))</f>
        <v>O</v>
      </c>
      <c r="AS115" s="80" t="s">
        <v>2</v>
      </c>
      <c r="AT115" s="80" t="str">
        <f>IF(OR(F115="",AI115=""),"",IF(AND((F115&lt;=85),(AI115&gt;=15)),"O","X"))</f>
        <v>X</v>
      </c>
      <c r="AU115" s="80" t="str">
        <f>IF(C115="","",IF(C115&gt;=$AU$1,"O","X"))</f>
        <v>O</v>
      </c>
      <c r="AV115" s="80" t="str">
        <f>IF(AO115="","",IF(AND(AO115="O",AP115="O",AR115="O",AT115="O",AU115="O"),"후보","X"))</f>
        <v/>
      </c>
    </row>
    <row r="116" spans="1:48" s="37" customFormat="1" ht="12" x14ac:dyDescent="0.3">
      <c r="A116" s="75" t="s">
        <v>1438</v>
      </c>
      <c r="B116" s="76" t="s">
        <v>1439</v>
      </c>
      <c r="C116" s="86">
        <v>670</v>
      </c>
      <c r="D116" s="87">
        <v>161.19999999999999</v>
      </c>
      <c r="E116" s="88">
        <v>49</v>
      </c>
      <c r="F116" s="87">
        <v>135</v>
      </c>
      <c r="G116" s="17">
        <v>41</v>
      </c>
      <c r="H116" s="89">
        <v>80</v>
      </c>
      <c r="I116" s="90">
        <v>23500</v>
      </c>
      <c r="J116" s="90" t="s">
        <v>80</v>
      </c>
      <c r="K116" s="90"/>
      <c r="L116" s="90"/>
      <c r="M116" s="91">
        <f>I116-K116</f>
        <v>23500</v>
      </c>
      <c r="N116" s="4">
        <f>IF(ISERROR(K116/I116),"",K116/I116)</f>
        <v>0</v>
      </c>
      <c r="O116" s="92">
        <f>I116/E116</f>
        <v>479.59183673469386</v>
      </c>
      <c r="P116" s="92">
        <f>K116/E116</f>
        <v>0</v>
      </c>
      <c r="Q116" s="80">
        <v>4</v>
      </c>
      <c r="R116" s="80">
        <v>2</v>
      </c>
      <c r="S116" s="80" t="s">
        <v>61</v>
      </c>
      <c r="T116" s="5">
        <v>161</v>
      </c>
      <c r="U116" s="9"/>
      <c r="W116" s="87">
        <f t="shared" si="63"/>
        <v>161.19999999999999</v>
      </c>
      <c r="X116" s="88">
        <f t="shared" si="63"/>
        <v>49</v>
      </c>
      <c r="Y116" s="93">
        <f t="shared" si="64"/>
        <v>80</v>
      </c>
      <c r="Z116" s="91">
        <f t="shared" si="64"/>
        <v>23500</v>
      </c>
      <c r="AA116" s="91">
        <f>K116</f>
        <v>0</v>
      </c>
      <c r="AB116" s="91">
        <f t="shared" si="65"/>
        <v>23500</v>
      </c>
      <c r="AC116" s="4">
        <f t="shared" si="65"/>
        <v>0</v>
      </c>
      <c r="AD116" s="92">
        <f t="shared" si="65"/>
        <v>479.59183673469386</v>
      </c>
      <c r="AE116" s="80" t="str">
        <f>S116</f>
        <v>계</v>
      </c>
      <c r="AF116" s="80" t="str">
        <f>Q116&amp;"/"&amp;R116</f>
        <v>4/2</v>
      </c>
      <c r="AH116" s="20" t="str">
        <f t="shared" si="59"/>
        <v>나운동 삼성(401)</v>
      </c>
      <c r="AI116" s="88">
        <f t="shared" si="53"/>
        <v>49</v>
      </c>
      <c r="AJ116" s="80" t="str">
        <f>IF(AI116="","",$AJ$2)</f>
        <v>A-</v>
      </c>
      <c r="AK116" s="80" t="s">
        <v>14</v>
      </c>
      <c r="AL116" s="80" t="s">
        <v>63</v>
      </c>
      <c r="AM116" s="80" t="s">
        <v>64</v>
      </c>
      <c r="AN116" s="80" t="str">
        <f>IF(AI116="","",$AN$2)</f>
        <v>C</v>
      </c>
      <c r="AO116" s="80" t="str">
        <f>IF(N116="","",IF(N116&gt;=$AO$1/100,"O","X"))</f>
        <v>X</v>
      </c>
      <c r="AP116" s="80" t="str">
        <f>IF(I116="","",IF(I116&lt;=$AP$1,"O","X"))</f>
        <v>O</v>
      </c>
      <c r="AQ116" s="80" t="str">
        <f>IF(O116="","",IF(O116&lt;=$AQ$1,"O","X"))</f>
        <v>O</v>
      </c>
      <c r="AR116" s="80" t="str">
        <f>IF(M116="","",IF(M116&lt;=$AR$1,"O","X"))</f>
        <v>X</v>
      </c>
      <c r="AS116" s="80" t="s">
        <v>2</v>
      </c>
      <c r="AT116" s="80" t="str">
        <f>IF(OR(F116="",AI116=""),"",IF(AND((F116&lt;=85),(AI116&gt;=15)),"O","X"))</f>
        <v>X</v>
      </c>
      <c r="AU116" s="80" t="str">
        <f>IF(C116="","",IF(C116&gt;=$AU$1,"O","X"))</f>
        <v>O</v>
      </c>
      <c r="AV116" s="80" t="str">
        <f>IF(AO116="","",IF(AND(AO116="O",AP116="O",AR116="O",AT116="O",AU116="O"),"후보","X"))</f>
        <v>X</v>
      </c>
    </row>
    <row r="117" spans="1:48" s="37" customFormat="1" ht="12" x14ac:dyDescent="0.3">
      <c r="A117" s="75" t="s">
        <v>1441</v>
      </c>
      <c r="B117" s="76" t="s">
        <v>1442</v>
      </c>
      <c r="C117" s="86">
        <v>572</v>
      </c>
      <c r="D117" s="87">
        <v>90.6</v>
      </c>
      <c r="E117" s="88">
        <v>27</v>
      </c>
      <c r="F117" s="87">
        <v>74</v>
      </c>
      <c r="G117" s="17">
        <v>22</v>
      </c>
      <c r="H117" s="89">
        <v>234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80">
        <v>3</v>
      </c>
      <c r="R117" s="80">
        <v>1</v>
      </c>
      <c r="S117" s="80" t="s">
        <v>61</v>
      </c>
      <c r="T117" s="5">
        <v>90</v>
      </c>
      <c r="U117" s="9"/>
      <c r="W117" s="87">
        <f t="shared" si="63"/>
        <v>90.6</v>
      </c>
      <c r="X117" s="88">
        <f t="shared" si="63"/>
        <v>27</v>
      </c>
      <c r="Y117" s="93">
        <f t="shared" si="64"/>
        <v>234</v>
      </c>
      <c r="Z117" s="91">
        <f t="shared" si="64"/>
        <v>0</v>
      </c>
      <c r="AA117" s="91">
        <f>K117</f>
        <v>0</v>
      </c>
      <c r="AB117" s="91">
        <f t="shared" si="65"/>
        <v>0</v>
      </c>
      <c r="AC117" s="4" t="str">
        <f t="shared" si="65"/>
        <v/>
      </c>
      <c r="AD117" s="92">
        <f t="shared" si="65"/>
        <v>0</v>
      </c>
      <c r="AE117" s="80" t="str">
        <f>S117</f>
        <v>계</v>
      </c>
      <c r="AF117" s="80" t="str">
        <f>Q117&amp;"/"&amp;R117</f>
        <v>3/1</v>
      </c>
      <c r="AH117" s="20" t="str">
        <f t="shared" si="59"/>
        <v>나운동 롯데3차</v>
      </c>
      <c r="AI117" s="88">
        <f t="shared" si="53"/>
        <v>27</v>
      </c>
      <c r="AJ117" s="80" t="str">
        <f>IF(AI117="","",$AJ$2)</f>
        <v>A-</v>
      </c>
      <c r="AK117" s="80" t="s">
        <v>14</v>
      </c>
      <c r="AL117" s="80" t="s">
        <v>63</v>
      </c>
      <c r="AM117" s="80" t="s">
        <v>64</v>
      </c>
      <c r="AN117" s="80" t="str">
        <f>IF(AI117="","",$AN$2)</f>
        <v>C</v>
      </c>
      <c r="AO117" s="80" t="str">
        <f>IF(N117="","",IF(N117&gt;=$AO$1/100,"O","X"))</f>
        <v/>
      </c>
      <c r="AP117" s="80" t="str">
        <f>IF(I117="","",IF(I117&lt;=$AP$1,"O","X"))</f>
        <v/>
      </c>
      <c r="AQ117" s="80" t="str">
        <f>IF(O117="","",IF(O117&lt;=$AQ$1,"O","X"))</f>
        <v>O</v>
      </c>
      <c r="AR117" s="80" t="str">
        <f>IF(M117="","",IF(M117&lt;=$AR$1,"O","X"))</f>
        <v>O</v>
      </c>
      <c r="AS117" s="80" t="s">
        <v>2</v>
      </c>
      <c r="AT117" s="80" t="str">
        <f>IF(OR(F117="",AI117=""),"",IF(AND((F117&lt;=85),(AI117&gt;=15)),"O","X"))</f>
        <v>O</v>
      </c>
      <c r="AU117" s="80" t="str">
        <f>IF(C117="","",IF(C117&gt;=$AU$1,"O","X"))</f>
        <v>O</v>
      </c>
      <c r="AV117" s="80" t="str">
        <f>IF(AO117="","",IF(AND(AO117="O",AP117="O",AR117="O",AT117="O",AU117="O"),"후보","X"))</f>
        <v/>
      </c>
    </row>
    <row r="118" spans="1:48" s="37" customFormat="1" ht="12" x14ac:dyDescent="0.3">
      <c r="A118" s="75" t="s">
        <v>1441</v>
      </c>
      <c r="B118" s="76" t="s">
        <v>1443</v>
      </c>
      <c r="C118" s="86">
        <v>572</v>
      </c>
      <c r="D118" s="87">
        <v>104.5</v>
      </c>
      <c r="E118" s="88">
        <v>32</v>
      </c>
      <c r="F118" s="87">
        <v>84.8</v>
      </c>
      <c r="G118" s="17">
        <v>26</v>
      </c>
      <c r="H118" s="89">
        <v>286</v>
      </c>
      <c r="I118" s="90">
        <v>16000</v>
      </c>
      <c r="J118" s="90" t="s">
        <v>81</v>
      </c>
      <c r="K118" s="90"/>
      <c r="L118" s="90"/>
      <c r="M118" s="91">
        <f>I118-K118</f>
        <v>16000</v>
      </c>
      <c r="N118" s="4">
        <f>IF(ISERROR(K118/I118),"",K118/I118)</f>
        <v>0</v>
      </c>
      <c r="O118" s="92">
        <f>I118/E118</f>
        <v>500</v>
      </c>
      <c r="P118" s="92">
        <f>K118/E118</f>
        <v>0</v>
      </c>
      <c r="Q118" s="80">
        <v>3</v>
      </c>
      <c r="R118" s="80">
        <v>2</v>
      </c>
      <c r="S118" s="80" t="s">
        <v>61</v>
      </c>
      <c r="T118" s="5">
        <v>104</v>
      </c>
      <c r="U118" s="9"/>
      <c r="W118" s="87">
        <f t="shared" ref="W118:X133" si="66">D118</f>
        <v>104.5</v>
      </c>
      <c r="X118" s="88">
        <f t="shared" si="66"/>
        <v>32</v>
      </c>
      <c r="Y118" s="93">
        <f t="shared" ref="Y118:Z133" si="67">H118</f>
        <v>286</v>
      </c>
      <c r="Z118" s="91">
        <f t="shared" si="67"/>
        <v>16000</v>
      </c>
      <c r="AA118" s="91">
        <f>K118</f>
        <v>0</v>
      </c>
      <c r="AB118" s="91">
        <f t="shared" ref="AB118:AD133" si="68">M118</f>
        <v>16000</v>
      </c>
      <c r="AC118" s="4">
        <f t="shared" si="68"/>
        <v>0</v>
      </c>
      <c r="AD118" s="92">
        <f t="shared" si="68"/>
        <v>500</v>
      </c>
      <c r="AE118" s="80" t="str">
        <f>S118</f>
        <v>계</v>
      </c>
      <c r="AF118" s="80" t="str">
        <f>Q118&amp;"/"&amp;R118</f>
        <v>3/2</v>
      </c>
      <c r="AH118" s="20" t="str">
        <f t="shared" si="59"/>
        <v>나운동 롯데3차</v>
      </c>
      <c r="AI118" s="88">
        <f t="shared" si="53"/>
        <v>32</v>
      </c>
      <c r="AJ118" s="80" t="str">
        <f>IF(AI118="","",$AJ$2)</f>
        <v>A-</v>
      </c>
      <c r="AK118" s="80" t="s">
        <v>14</v>
      </c>
      <c r="AL118" s="80" t="s">
        <v>63</v>
      </c>
      <c r="AM118" s="80" t="s">
        <v>64</v>
      </c>
      <c r="AN118" s="80" t="str">
        <f>IF(AI118="","",$AN$2)</f>
        <v>C</v>
      </c>
      <c r="AO118" s="80" t="str">
        <f>IF(N118="","",IF(N118&gt;=$AO$1/100,"O","X"))</f>
        <v>X</v>
      </c>
      <c r="AP118" s="80" t="str">
        <f>IF(I118="","",IF(I118&lt;=$AP$1,"O","X"))</f>
        <v>O</v>
      </c>
      <c r="AQ118" s="80" t="str">
        <f>IF(O118="","",IF(O118&lt;=$AQ$1,"O","X"))</f>
        <v>O</v>
      </c>
      <c r="AR118" s="80" t="str">
        <f>IF(M118="","",IF(M118&lt;=$AR$1,"O","X"))</f>
        <v>X</v>
      </c>
      <c r="AS118" s="80" t="s">
        <v>2</v>
      </c>
      <c r="AT118" s="80" t="str">
        <f>IF(OR(F118="",AI118=""),"",IF(AND((F118&lt;=85),(AI118&gt;=15)),"O","X"))</f>
        <v>O</v>
      </c>
      <c r="AU118" s="80" t="str">
        <f>IF(C118="","",IF(C118&gt;=$AU$1,"O","X"))</f>
        <v>O</v>
      </c>
      <c r="AV118" s="80" t="str">
        <f>IF(AO118="","",IF(AND(AO118="O",AP118="O",AR118="O",AT118="O",AU118="O"),"후보","X"))</f>
        <v>X</v>
      </c>
    </row>
    <row r="119" spans="1:48" s="37" customFormat="1" ht="12" x14ac:dyDescent="0.3">
      <c r="A119" s="75" t="s">
        <v>1441</v>
      </c>
      <c r="B119" s="76" t="s">
        <v>1442</v>
      </c>
      <c r="C119" s="86">
        <v>572</v>
      </c>
      <c r="D119" s="87">
        <v>153.4</v>
      </c>
      <c r="E119" s="88">
        <v>46</v>
      </c>
      <c r="F119" s="87">
        <v>131.80000000000001</v>
      </c>
      <c r="G119" s="17">
        <v>40</v>
      </c>
      <c r="H119" s="89">
        <v>52</v>
      </c>
      <c r="I119" s="90">
        <v>24000</v>
      </c>
      <c r="J119" s="90" t="s">
        <v>70</v>
      </c>
      <c r="K119" s="90"/>
      <c r="L119" s="90"/>
      <c r="M119" s="91">
        <f>I119-K119</f>
        <v>24000</v>
      </c>
      <c r="N119" s="4">
        <f>IF(ISERROR(K119/I119),"",K119/I119)</f>
        <v>0</v>
      </c>
      <c r="O119" s="92">
        <f>I119/E119</f>
        <v>521.73913043478262</v>
      </c>
      <c r="P119" s="92">
        <f>K119/E119</f>
        <v>0</v>
      </c>
      <c r="Q119" s="80">
        <v>4</v>
      </c>
      <c r="R119" s="80">
        <v>2</v>
      </c>
      <c r="S119" s="80" t="s">
        <v>61</v>
      </c>
      <c r="T119" s="5">
        <v>153</v>
      </c>
      <c r="U119" s="9"/>
      <c r="W119" s="87">
        <f t="shared" si="66"/>
        <v>153.4</v>
      </c>
      <c r="X119" s="88">
        <f t="shared" si="66"/>
        <v>46</v>
      </c>
      <c r="Y119" s="93">
        <f t="shared" si="67"/>
        <v>52</v>
      </c>
      <c r="Z119" s="91">
        <f t="shared" si="67"/>
        <v>24000</v>
      </c>
      <c r="AA119" s="91">
        <f>K119</f>
        <v>0</v>
      </c>
      <c r="AB119" s="91">
        <f t="shared" si="68"/>
        <v>24000</v>
      </c>
      <c r="AC119" s="4">
        <f t="shared" si="68"/>
        <v>0</v>
      </c>
      <c r="AD119" s="92">
        <f t="shared" si="68"/>
        <v>521.73913043478262</v>
      </c>
      <c r="AE119" s="80" t="str">
        <f>S119</f>
        <v>계</v>
      </c>
      <c r="AF119" s="80" t="str">
        <f>Q119&amp;"/"&amp;R119</f>
        <v>4/2</v>
      </c>
      <c r="AH119" s="20" t="str">
        <f t="shared" si="59"/>
        <v>나운동 롯데3차</v>
      </c>
      <c r="AI119" s="88">
        <f t="shared" si="53"/>
        <v>46</v>
      </c>
      <c r="AJ119" s="80" t="str">
        <f>IF(AI119="","",$AJ$2)</f>
        <v>A-</v>
      </c>
      <c r="AK119" s="80" t="s">
        <v>14</v>
      </c>
      <c r="AL119" s="80" t="s">
        <v>63</v>
      </c>
      <c r="AM119" s="80" t="s">
        <v>64</v>
      </c>
      <c r="AN119" s="80" t="str">
        <f>IF(AI119="","",$AN$2)</f>
        <v>C</v>
      </c>
      <c r="AO119" s="80" t="str">
        <f>IF(N119="","",IF(N119&gt;=$AO$1/100,"O","X"))</f>
        <v>X</v>
      </c>
      <c r="AP119" s="80" t="str">
        <f>IF(I119="","",IF(I119&lt;=$AP$1,"O","X"))</f>
        <v>O</v>
      </c>
      <c r="AQ119" s="80" t="str">
        <f>IF(O119="","",IF(O119&lt;=$AQ$1,"O","X"))</f>
        <v>O</v>
      </c>
      <c r="AR119" s="80" t="str">
        <f>IF(M119="","",IF(M119&lt;=$AR$1,"O","X"))</f>
        <v>X</v>
      </c>
      <c r="AS119" s="80" t="s">
        <v>2</v>
      </c>
      <c r="AT119" s="80" t="str">
        <f>IF(OR(F119="",AI119=""),"",IF(AND((F119&lt;=85),(AI119&gt;=15)),"O","X"))</f>
        <v>X</v>
      </c>
      <c r="AU119" s="80" t="str">
        <f>IF(C119="","",IF(C119&gt;=$AU$1,"O","X"))</f>
        <v>O</v>
      </c>
      <c r="AV119" s="80" t="str">
        <f>IF(AO119="","",IF(AND(AO119="O",AP119="O",AR119="O",AT119="O",AU119="O"),"후보","X"))</f>
        <v>X</v>
      </c>
    </row>
    <row r="120" spans="1:48" s="37" customFormat="1" ht="12" x14ac:dyDescent="0.3">
      <c r="A120" s="75" t="s">
        <v>1600</v>
      </c>
      <c r="B120" s="76" t="s">
        <v>1444</v>
      </c>
      <c r="C120" s="86">
        <v>390</v>
      </c>
      <c r="D120" s="87">
        <v>60.5</v>
      </c>
      <c r="E120" s="88">
        <v>18</v>
      </c>
      <c r="F120" s="87">
        <v>55.5</v>
      </c>
      <c r="G120" s="17">
        <v>17</v>
      </c>
      <c r="H120" s="89">
        <v>100</v>
      </c>
      <c r="I120" s="90"/>
      <c r="J120" s="90"/>
      <c r="K120" s="90"/>
      <c r="L120" s="90"/>
      <c r="M120" s="91">
        <f>I120-K120</f>
        <v>0</v>
      </c>
      <c r="N120" s="4" t="str">
        <f>IF(ISERROR(K120/I120),"",K120/I120)</f>
        <v/>
      </c>
      <c r="O120" s="92">
        <f>I120/E120</f>
        <v>0</v>
      </c>
      <c r="P120" s="92">
        <f>K120/E120</f>
        <v>0</v>
      </c>
      <c r="Q120" s="80">
        <v>3</v>
      </c>
      <c r="R120" s="80">
        <v>1</v>
      </c>
      <c r="S120" s="80" t="s">
        <v>61</v>
      </c>
      <c r="T120" s="5">
        <v>60</v>
      </c>
      <c r="U120" s="9"/>
      <c r="W120" s="87">
        <f t="shared" si="66"/>
        <v>60.5</v>
      </c>
      <c r="X120" s="88">
        <f t="shared" si="66"/>
        <v>18</v>
      </c>
      <c r="Y120" s="93">
        <f t="shared" si="67"/>
        <v>100</v>
      </c>
      <c r="Z120" s="91">
        <f t="shared" si="67"/>
        <v>0</v>
      </c>
      <c r="AA120" s="91">
        <f>K120</f>
        <v>0</v>
      </c>
      <c r="AB120" s="91">
        <f t="shared" si="68"/>
        <v>0</v>
      </c>
      <c r="AC120" s="4" t="str">
        <f t="shared" si="68"/>
        <v/>
      </c>
      <c r="AD120" s="92">
        <f t="shared" si="68"/>
        <v>0</v>
      </c>
      <c r="AE120" s="80" t="str">
        <f>S120</f>
        <v>계</v>
      </c>
      <c r="AF120" s="80" t="str">
        <f>Q120&amp;"/"&amp;R120</f>
        <v>3/1</v>
      </c>
      <c r="AH120" s="20" t="str">
        <f t="shared" si="59"/>
        <v>나운동 우진</v>
      </c>
      <c r="AI120" s="88">
        <f t="shared" si="53"/>
        <v>18</v>
      </c>
      <c r="AJ120" s="80" t="str">
        <f>IF(AI120="","",$AJ$2)</f>
        <v>A-</v>
      </c>
      <c r="AK120" s="80" t="s">
        <v>14</v>
      </c>
      <c r="AL120" s="80" t="s">
        <v>63</v>
      </c>
      <c r="AM120" s="80" t="s">
        <v>64</v>
      </c>
      <c r="AN120" s="80" t="str">
        <f>IF(AI120="","",$AN$2)</f>
        <v>C</v>
      </c>
      <c r="AO120" s="80" t="str">
        <f>IF(N120="","",IF(N120&gt;=$AO$1/100,"O","X"))</f>
        <v/>
      </c>
      <c r="AP120" s="80" t="str">
        <f>IF(I120="","",IF(I120&lt;=$AP$1,"O","X"))</f>
        <v/>
      </c>
      <c r="AQ120" s="80" t="str">
        <f>IF(O120="","",IF(O120&lt;=$AQ$1,"O","X"))</f>
        <v>O</v>
      </c>
      <c r="AR120" s="80" t="str">
        <f>IF(M120="","",IF(M120&lt;=$AR$1,"O","X"))</f>
        <v>O</v>
      </c>
      <c r="AS120" s="80" t="s">
        <v>2</v>
      </c>
      <c r="AT120" s="80" t="str">
        <f>IF(OR(F120="",AI120=""),"",IF(AND((F120&lt;=85),(AI120&gt;=15)),"O","X"))</f>
        <v>O</v>
      </c>
      <c r="AU120" s="80" t="str">
        <f>IF(C120="","",IF(C120&gt;=$AU$1,"O","X"))</f>
        <v>O</v>
      </c>
      <c r="AV120" s="80" t="str">
        <f>IF(AO120="","",IF(AND(AO120="O",AP120="O",AR120="O",AT120="O",AU120="O"),"후보","X"))</f>
        <v/>
      </c>
    </row>
    <row r="121" spans="1:48" s="37" customFormat="1" ht="12" x14ac:dyDescent="0.3">
      <c r="A121" s="75" t="s">
        <v>1600</v>
      </c>
      <c r="B121" s="76" t="s">
        <v>1444</v>
      </c>
      <c r="C121" s="86">
        <v>390</v>
      </c>
      <c r="D121" s="87">
        <v>61.2</v>
      </c>
      <c r="E121" s="88">
        <v>19</v>
      </c>
      <c r="F121" s="87">
        <v>55.4</v>
      </c>
      <c r="G121" s="17">
        <v>17</v>
      </c>
      <c r="H121" s="89">
        <v>170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2</v>
      </c>
      <c r="R121" s="80">
        <v>1</v>
      </c>
      <c r="S121" s="80" t="s">
        <v>76</v>
      </c>
      <c r="T121" s="5">
        <v>61</v>
      </c>
      <c r="U121" s="9"/>
      <c r="W121" s="87">
        <f t="shared" si="66"/>
        <v>61.2</v>
      </c>
      <c r="X121" s="88">
        <f t="shared" si="66"/>
        <v>19</v>
      </c>
      <c r="Y121" s="93">
        <f t="shared" si="67"/>
        <v>170</v>
      </c>
      <c r="Z121" s="91">
        <f t="shared" si="67"/>
        <v>0</v>
      </c>
      <c r="AA121" s="91">
        <f>K121</f>
        <v>0</v>
      </c>
      <c r="AB121" s="91">
        <f t="shared" si="68"/>
        <v>0</v>
      </c>
      <c r="AC121" s="4" t="str">
        <f t="shared" si="68"/>
        <v/>
      </c>
      <c r="AD121" s="92">
        <f t="shared" si="68"/>
        <v>0</v>
      </c>
      <c r="AE121" s="80" t="str">
        <f>S121</f>
        <v>복</v>
      </c>
      <c r="AF121" s="80" t="str">
        <f>Q121&amp;"/"&amp;R121</f>
        <v>2/1</v>
      </c>
      <c r="AH121" s="20" t="str">
        <f t="shared" si="59"/>
        <v>나운동 우진</v>
      </c>
      <c r="AI121" s="88">
        <f t="shared" si="53"/>
        <v>19</v>
      </c>
      <c r="AJ121" s="80" t="str">
        <f>IF(AI121="","",$AJ$2)</f>
        <v>A-</v>
      </c>
      <c r="AK121" s="80" t="s">
        <v>14</v>
      </c>
      <c r="AL121" s="80" t="s">
        <v>63</v>
      </c>
      <c r="AM121" s="80" t="s">
        <v>64</v>
      </c>
      <c r="AN121" s="80" t="str">
        <f>IF(AI121="","",$AN$2)</f>
        <v>C</v>
      </c>
      <c r="AO121" s="80" t="str">
        <f>IF(N121="","",IF(N121&gt;=$AO$1/100,"O","X"))</f>
        <v/>
      </c>
      <c r="AP121" s="80" t="str">
        <f>IF(I121="","",IF(I121&lt;=$AP$1,"O","X"))</f>
        <v/>
      </c>
      <c r="AQ121" s="80" t="str">
        <f>IF(O121="","",IF(O121&lt;=$AQ$1,"O","X"))</f>
        <v>O</v>
      </c>
      <c r="AR121" s="80" t="str">
        <f>IF(M121="","",IF(M121&lt;=$AR$1,"O","X"))</f>
        <v>O</v>
      </c>
      <c r="AS121" s="80" t="s">
        <v>2</v>
      </c>
      <c r="AT121" s="80" t="str">
        <f>IF(OR(F121="",AI121=""),"",IF(AND((F121&lt;=85),(AI121&gt;=15)),"O","X"))</f>
        <v>O</v>
      </c>
      <c r="AU121" s="80" t="str">
        <f>IF(C121="","",IF(C121&gt;=$AU$1,"O","X"))</f>
        <v>O</v>
      </c>
      <c r="AV121" s="80" t="str">
        <f>IF(AO121="","",IF(AND(AO121="O",AP121="O",AR121="O",AT121="O",AU121="O"),"후보","X"))</f>
        <v/>
      </c>
    </row>
    <row r="122" spans="1:48" s="37" customFormat="1" ht="12" x14ac:dyDescent="0.3">
      <c r="A122" s="75" t="s">
        <v>1652</v>
      </c>
      <c r="B122" s="76" t="s">
        <v>1653</v>
      </c>
      <c r="C122" s="86">
        <v>390</v>
      </c>
      <c r="D122" s="87">
        <v>72.7</v>
      </c>
      <c r="E122" s="88">
        <v>22</v>
      </c>
      <c r="F122" s="87">
        <v>65.8</v>
      </c>
      <c r="G122" s="17">
        <v>20</v>
      </c>
      <c r="H122" s="89">
        <v>120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80">
        <v>3</v>
      </c>
      <c r="R122" s="80">
        <v>1</v>
      </c>
      <c r="S122" s="80" t="s">
        <v>61</v>
      </c>
      <c r="T122" s="5">
        <v>72</v>
      </c>
      <c r="U122" s="9"/>
      <c r="W122" s="87">
        <f t="shared" si="66"/>
        <v>72.7</v>
      </c>
      <c r="X122" s="88">
        <f t="shared" si="66"/>
        <v>22</v>
      </c>
      <c r="Y122" s="93">
        <f t="shared" si="67"/>
        <v>120</v>
      </c>
      <c r="Z122" s="91">
        <f t="shared" si="67"/>
        <v>0</v>
      </c>
      <c r="AA122" s="91">
        <f>K122</f>
        <v>0</v>
      </c>
      <c r="AB122" s="91">
        <f t="shared" si="68"/>
        <v>0</v>
      </c>
      <c r="AC122" s="4" t="str">
        <f t="shared" si="68"/>
        <v/>
      </c>
      <c r="AD122" s="92">
        <f t="shared" si="68"/>
        <v>0</v>
      </c>
      <c r="AE122" s="80" t="str">
        <f>S122</f>
        <v>계</v>
      </c>
      <c r="AF122" s="80" t="str">
        <f>Q122&amp;"/"&amp;R122</f>
        <v>3/1</v>
      </c>
      <c r="AH122" s="20" t="str">
        <f t="shared" si="59"/>
        <v>나운동 우진</v>
      </c>
      <c r="AI122" s="88">
        <f t="shared" si="53"/>
        <v>22</v>
      </c>
      <c r="AJ122" s="80" t="str">
        <f>IF(AI122="","",$AJ$2)</f>
        <v>A-</v>
      </c>
      <c r="AK122" s="80" t="s">
        <v>14</v>
      </c>
      <c r="AL122" s="80" t="s">
        <v>63</v>
      </c>
      <c r="AM122" s="80" t="s">
        <v>64</v>
      </c>
      <c r="AN122" s="80" t="str">
        <f>IF(AI122="","",$AN$2)</f>
        <v>C</v>
      </c>
      <c r="AO122" s="80" t="str">
        <f>IF(N122="","",IF(N122&gt;=$AO$1/100,"O","X"))</f>
        <v/>
      </c>
      <c r="AP122" s="80" t="str">
        <f>IF(I122="","",IF(I122&lt;=$AP$1,"O","X"))</f>
        <v/>
      </c>
      <c r="AQ122" s="80" t="str">
        <f>IF(O122="","",IF(O122&lt;=$AQ$1,"O","X"))</f>
        <v>O</v>
      </c>
      <c r="AR122" s="80" t="str">
        <f>IF(M122="","",IF(M122&lt;=$AR$1,"O","X"))</f>
        <v>O</v>
      </c>
      <c r="AS122" s="80" t="s">
        <v>2</v>
      </c>
      <c r="AT122" s="80" t="str">
        <f>IF(OR(F122="",AI122=""),"",IF(AND((F122&lt;=85),(AI122&gt;=15)),"O","X"))</f>
        <v>O</v>
      </c>
      <c r="AU122" s="80" t="str">
        <f>IF(C122="","",IF(C122&gt;=$AU$1,"O","X"))</f>
        <v>O</v>
      </c>
      <c r="AV122" s="80" t="str">
        <f>IF(AO122="","",IF(AND(AO122="O",AP122="O",AR122="O",AT122="O",AU122="O"),"후보","X"))</f>
        <v/>
      </c>
    </row>
    <row r="123" spans="1:48" s="37" customFormat="1" ht="12" x14ac:dyDescent="0.3">
      <c r="A123" s="75" t="s">
        <v>1654</v>
      </c>
      <c r="B123" s="76" t="s">
        <v>1655</v>
      </c>
      <c r="C123" s="86">
        <v>942</v>
      </c>
      <c r="D123" s="87">
        <v>115.3</v>
      </c>
      <c r="E123" s="88">
        <v>35</v>
      </c>
      <c r="F123" s="87">
        <v>84.9</v>
      </c>
      <c r="G123" s="17">
        <v>26</v>
      </c>
      <c r="H123" s="89">
        <v>318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3</v>
      </c>
      <c r="R123" s="80">
        <v>2</v>
      </c>
      <c r="S123" s="80" t="s">
        <v>61</v>
      </c>
      <c r="T123" s="5" t="s">
        <v>141</v>
      </c>
      <c r="U123" s="9"/>
      <c r="W123" s="87">
        <f t="shared" si="66"/>
        <v>115.3</v>
      </c>
      <c r="X123" s="88">
        <f t="shared" si="66"/>
        <v>35</v>
      </c>
      <c r="Y123" s="93">
        <f t="shared" si="67"/>
        <v>318</v>
      </c>
      <c r="Z123" s="91">
        <f t="shared" si="67"/>
        <v>0</v>
      </c>
      <c r="AA123" s="91">
        <f>K123</f>
        <v>0</v>
      </c>
      <c r="AB123" s="91">
        <f t="shared" si="68"/>
        <v>0</v>
      </c>
      <c r="AC123" s="4" t="str">
        <f t="shared" si="68"/>
        <v/>
      </c>
      <c r="AD123" s="92">
        <f t="shared" si="68"/>
        <v>0</v>
      </c>
      <c r="AE123" s="80" t="str">
        <f>S123</f>
        <v>계</v>
      </c>
      <c r="AF123" s="80" t="str">
        <f>Q123&amp;"/"&amp;R123</f>
        <v>3/2</v>
      </c>
      <c r="AH123" s="20" t="str">
        <f t="shared" si="59"/>
        <v>대명동 현대메트로타워2차</v>
      </c>
      <c r="AI123" s="88">
        <f t="shared" si="53"/>
        <v>35</v>
      </c>
      <c r="AJ123" s="80" t="str">
        <f>IF(AI123="","",$AJ$2)</f>
        <v>A-</v>
      </c>
      <c r="AK123" s="80" t="s">
        <v>14</v>
      </c>
      <c r="AL123" s="80" t="s">
        <v>63</v>
      </c>
      <c r="AM123" s="80" t="s">
        <v>64</v>
      </c>
      <c r="AN123" s="80" t="str">
        <f>IF(AI123="","",$AN$2)</f>
        <v>C</v>
      </c>
      <c r="AO123" s="80" t="str">
        <f>IF(N123="","",IF(N123&gt;=$AO$1/100,"O","X"))</f>
        <v/>
      </c>
      <c r="AP123" s="80" t="str">
        <f>IF(I123="","",IF(I123&lt;=$AP$1,"O","X"))</f>
        <v/>
      </c>
      <c r="AQ123" s="80" t="str">
        <f>IF(O123="","",IF(O123&lt;=$AQ$1,"O","X"))</f>
        <v>O</v>
      </c>
      <c r="AR123" s="80" t="str">
        <f>IF(M123="","",IF(M123&lt;=$AR$1,"O","X"))</f>
        <v>O</v>
      </c>
      <c r="AS123" s="80" t="s">
        <v>2</v>
      </c>
      <c r="AT123" s="80" t="str">
        <f>IF(OR(F123="",AI123=""),"",IF(AND((F123&lt;=85),(AI123&gt;=15)),"O","X"))</f>
        <v>O</v>
      </c>
      <c r="AU123" s="80" t="str">
        <f>IF(C123="","",IF(C123&gt;=$AU$1,"O","X"))</f>
        <v>O</v>
      </c>
      <c r="AV123" s="80" t="str">
        <f>IF(AO123="","",IF(AND(AO123="O",AP123="O",AR123="O",AT123="O",AU123="O"),"후보","X"))</f>
        <v/>
      </c>
    </row>
    <row r="124" spans="1:48" s="37" customFormat="1" ht="12" x14ac:dyDescent="0.3">
      <c r="A124" s="75" t="s">
        <v>1654</v>
      </c>
      <c r="B124" s="76" t="s">
        <v>1447</v>
      </c>
      <c r="C124" s="86">
        <v>942</v>
      </c>
      <c r="D124" s="87">
        <v>115.5</v>
      </c>
      <c r="E124" s="88">
        <v>35</v>
      </c>
      <c r="F124" s="87">
        <v>85</v>
      </c>
      <c r="G124" s="17">
        <v>26</v>
      </c>
      <c r="H124" s="89">
        <v>316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80">
        <v>3</v>
      </c>
      <c r="R124" s="80">
        <v>2</v>
      </c>
      <c r="S124" s="80" t="s">
        <v>61</v>
      </c>
      <c r="T124" s="5" t="s">
        <v>94</v>
      </c>
      <c r="U124" s="9"/>
      <c r="W124" s="87">
        <f t="shared" si="66"/>
        <v>115.5</v>
      </c>
      <c r="X124" s="88">
        <f t="shared" si="66"/>
        <v>35</v>
      </c>
      <c r="Y124" s="93">
        <f t="shared" si="67"/>
        <v>316</v>
      </c>
      <c r="Z124" s="91">
        <f t="shared" si="67"/>
        <v>0</v>
      </c>
      <c r="AA124" s="91">
        <f>K124</f>
        <v>0</v>
      </c>
      <c r="AB124" s="91">
        <f t="shared" si="68"/>
        <v>0</v>
      </c>
      <c r="AC124" s="4" t="str">
        <f t="shared" si="68"/>
        <v/>
      </c>
      <c r="AD124" s="92">
        <f t="shared" si="68"/>
        <v>0</v>
      </c>
      <c r="AE124" s="80" t="str">
        <f>S124</f>
        <v>계</v>
      </c>
      <c r="AF124" s="80" t="str">
        <f>Q124&amp;"/"&amp;R124</f>
        <v>3/2</v>
      </c>
      <c r="AH124" s="20" t="str">
        <f t="shared" si="59"/>
        <v>대명동 현대메트로타워2차</v>
      </c>
      <c r="AI124" s="88">
        <f t="shared" si="53"/>
        <v>35</v>
      </c>
      <c r="AJ124" s="80" t="str">
        <f>IF(AI124="","",$AJ$2)</f>
        <v>A-</v>
      </c>
      <c r="AK124" s="80" t="s">
        <v>14</v>
      </c>
      <c r="AL124" s="80" t="s">
        <v>63</v>
      </c>
      <c r="AM124" s="80" t="s">
        <v>64</v>
      </c>
      <c r="AN124" s="80" t="str">
        <f>IF(AI124="","",$AN$2)</f>
        <v>C</v>
      </c>
      <c r="AO124" s="80" t="str">
        <f>IF(N124="","",IF(N124&gt;=$AO$1/100,"O","X"))</f>
        <v/>
      </c>
      <c r="AP124" s="80" t="str">
        <f>IF(I124="","",IF(I124&lt;=$AP$1,"O","X"))</f>
        <v/>
      </c>
      <c r="AQ124" s="80" t="str">
        <f>IF(O124="","",IF(O124&lt;=$AQ$1,"O","X"))</f>
        <v>O</v>
      </c>
      <c r="AR124" s="80" t="str">
        <f>IF(M124="","",IF(M124&lt;=$AR$1,"O","X"))</f>
        <v>O</v>
      </c>
      <c r="AS124" s="80" t="s">
        <v>2</v>
      </c>
      <c r="AT124" s="80" t="str">
        <f>IF(OR(F124="",AI124=""),"",IF(AND((F124&lt;=85),(AI124&gt;=15)),"O","X"))</f>
        <v>O</v>
      </c>
      <c r="AU124" s="80" t="str">
        <f>IF(C124="","",IF(C124&gt;=$AU$1,"O","X"))</f>
        <v>O</v>
      </c>
      <c r="AV124" s="80" t="str">
        <f>IF(AO124="","",IF(AND(AO124="O",AP124="O",AR124="O",AT124="O",AU124="O"),"후보","X"))</f>
        <v/>
      </c>
    </row>
    <row r="125" spans="1:48" s="37" customFormat="1" ht="12" x14ac:dyDescent="0.3">
      <c r="A125" s="75" t="s">
        <v>1654</v>
      </c>
      <c r="B125" s="76" t="s">
        <v>1656</v>
      </c>
      <c r="C125" s="86">
        <v>942</v>
      </c>
      <c r="D125" s="87">
        <v>115.3</v>
      </c>
      <c r="E125" s="88">
        <v>35</v>
      </c>
      <c r="F125" s="87">
        <v>85</v>
      </c>
      <c r="G125" s="17">
        <v>26</v>
      </c>
      <c r="H125" s="89">
        <v>308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3</v>
      </c>
      <c r="R125" s="80">
        <v>2</v>
      </c>
      <c r="S125" s="80" t="s">
        <v>61</v>
      </c>
      <c r="T125" s="5" t="s">
        <v>93</v>
      </c>
      <c r="U125" s="9"/>
      <c r="W125" s="87">
        <f t="shared" si="66"/>
        <v>115.3</v>
      </c>
      <c r="X125" s="88">
        <f t="shared" si="66"/>
        <v>35</v>
      </c>
      <c r="Y125" s="93">
        <f t="shared" si="67"/>
        <v>308</v>
      </c>
      <c r="Z125" s="91">
        <f t="shared" si="67"/>
        <v>0</v>
      </c>
      <c r="AA125" s="91">
        <f>K125</f>
        <v>0</v>
      </c>
      <c r="AB125" s="91">
        <f t="shared" si="68"/>
        <v>0</v>
      </c>
      <c r="AC125" s="4" t="str">
        <f t="shared" si="68"/>
        <v/>
      </c>
      <c r="AD125" s="92">
        <f t="shared" si="68"/>
        <v>0</v>
      </c>
      <c r="AE125" s="80" t="str">
        <f>S125</f>
        <v>계</v>
      </c>
      <c r="AF125" s="80" t="str">
        <f>Q125&amp;"/"&amp;R125</f>
        <v>3/2</v>
      </c>
      <c r="AH125" s="20" t="str">
        <f t="shared" si="59"/>
        <v>대명동 현대메트로타워2차</v>
      </c>
      <c r="AI125" s="88">
        <f t="shared" si="53"/>
        <v>35</v>
      </c>
      <c r="AJ125" s="80" t="str">
        <f>IF(AI125="","",$AJ$2)</f>
        <v>A-</v>
      </c>
      <c r="AK125" s="80" t="s">
        <v>14</v>
      </c>
      <c r="AL125" s="80" t="s">
        <v>63</v>
      </c>
      <c r="AM125" s="80" t="s">
        <v>64</v>
      </c>
      <c r="AN125" s="80" t="str">
        <f>IF(AI125="","",$AN$2)</f>
        <v>C</v>
      </c>
      <c r="AO125" s="80" t="str">
        <f>IF(N125="","",IF(N125&gt;=$AO$1/100,"O","X"))</f>
        <v/>
      </c>
      <c r="AP125" s="80" t="str">
        <f>IF(I125="","",IF(I125&lt;=$AP$1,"O","X"))</f>
        <v/>
      </c>
      <c r="AQ125" s="80" t="str">
        <f>IF(O125="","",IF(O125&lt;=$AQ$1,"O","X"))</f>
        <v>O</v>
      </c>
      <c r="AR125" s="80" t="str">
        <f>IF(M125="","",IF(M125&lt;=$AR$1,"O","X"))</f>
        <v>O</v>
      </c>
      <c r="AS125" s="80" t="s">
        <v>2</v>
      </c>
      <c r="AT125" s="80" t="str">
        <f>IF(OR(F125="",AI125=""),"",IF(AND((F125&lt;=85),(AI125&gt;=15)),"O","X"))</f>
        <v>O</v>
      </c>
      <c r="AU125" s="80" t="str">
        <f>IF(C125="","",IF(C125&gt;=$AU$1,"O","X"))</f>
        <v>O</v>
      </c>
      <c r="AV125" s="80" t="str">
        <f>IF(AO125="","",IF(AND(AO125="O",AP125="O",AR125="O",AT125="O",AU125="O"),"후보","X"))</f>
        <v/>
      </c>
    </row>
    <row r="126" spans="1:48" s="37" customFormat="1" ht="12" x14ac:dyDescent="0.3">
      <c r="A126" s="75" t="s">
        <v>1657</v>
      </c>
      <c r="B126" s="76" t="s">
        <v>1658</v>
      </c>
      <c r="C126" s="86">
        <v>614</v>
      </c>
      <c r="D126" s="87">
        <v>108.7</v>
      </c>
      <c r="E126" s="88">
        <v>33</v>
      </c>
      <c r="F126" s="87">
        <v>76.3</v>
      </c>
      <c r="G126" s="17">
        <v>23</v>
      </c>
      <c r="H126" s="89">
        <v>248</v>
      </c>
      <c r="I126" s="90"/>
      <c r="J126" s="90"/>
      <c r="K126" s="90"/>
      <c r="L126" s="90"/>
      <c r="M126" s="91">
        <f>I126-K126</f>
        <v>0</v>
      </c>
      <c r="N126" s="4" t="str">
        <f>IF(ISERROR(K126/I126),"",K126/I126)</f>
        <v/>
      </c>
      <c r="O126" s="92">
        <f>I126/E126</f>
        <v>0</v>
      </c>
      <c r="P126" s="92">
        <f>K126/E126</f>
        <v>0</v>
      </c>
      <c r="Q126" s="80">
        <v>3</v>
      </c>
      <c r="R126" s="80">
        <v>2</v>
      </c>
      <c r="S126" s="80" t="s">
        <v>61</v>
      </c>
      <c r="T126" s="5">
        <v>108</v>
      </c>
      <c r="U126" s="9"/>
      <c r="W126" s="87">
        <f t="shared" si="66"/>
        <v>108.7</v>
      </c>
      <c r="X126" s="88">
        <f t="shared" si="66"/>
        <v>33</v>
      </c>
      <c r="Y126" s="93">
        <f t="shared" si="67"/>
        <v>248</v>
      </c>
      <c r="Z126" s="91">
        <f t="shared" si="67"/>
        <v>0</v>
      </c>
      <c r="AA126" s="91">
        <f>K126</f>
        <v>0</v>
      </c>
      <c r="AB126" s="91">
        <f t="shared" si="68"/>
        <v>0</v>
      </c>
      <c r="AC126" s="4" t="str">
        <f t="shared" si="68"/>
        <v/>
      </c>
      <c r="AD126" s="92">
        <f t="shared" si="68"/>
        <v>0</v>
      </c>
      <c r="AE126" s="80" t="str">
        <f>S126</f>
        <v>계</v>
      </c>
      <c r="AF126" s="80" t="str">
        <f>Q126&amp;"/"&amp;R126</f>
        <v>3/2</v>
      </c>
      <c r="AH126" s="20" t="str">
        <f t="shared" si="59"/>
        <v>대명동 현대메트로타워</v>
      </c>
      <c r="AI126" s="88">
        <f t="shared" si="53"/>
        <v>33</v>
      </c>
      <c r="AJ126" s="80" t="str">
        <f>IF(AI126="","",$AJ$2)</f>
        <v>A-</v>
      </c>
      <c r="AK126" s="80" t="s">
        <v>14</v>
      </c>
      <c r="AL126" s="80" t="s">
        <v>63</v>
      </c>
      <c r="AM126" s="80" t="s">
        <v>64</v>
      </c>
      <c r="AN126" s="80" t="str">
        <f>IF(AI126="","",$AN$2)</f>
        <v>C</v>
      </c>
      <c r="AO126" s="80" t="str">
        <f>IF(N126="","",IF(N126&gt;=$AO$1/100,"O","X"))</f>
        <v/>
      </c>
      <c r="AP126" s="80" t="str">
        <f>IF(I126="","",IF(I126&lt;=$AP$1,"O","X"))</f>
        <v/>
      </c>
      <c r="AQ126" s="80" t="str">
        <f>IF(O126="","",IF(O126&lt;=$AQ$1,"O","X"))</f>
        <v>O</v>
      </c>
      <c r="AR126" s="80" t="str">
        <f>IF(M126="","",IF(M126&lt;=$AR$1,"O","X"))</f>
        <v>O</v>
      </c>
      <c r="AS126" s="80" t="s">
        <v>2</v>
      </c>
      <c r="AT126" s="80" t="str">
        <f>IF(OR(F126="",AI126=""),"",IF(AND((F126&lt;=85),(AI126&gt;=15)),"O","X"))</f>
        <v>O</v>
      </c>
      <c r="AU126" s="80" t="str">
        <f>IF(C126="","",IF(C126&gt;=$AU$1,"O","X"))</f>
        <v>O</v>
      </c>
      <c r="AV126" s="80" t="str">
        <f>IF(AO126="","",IF(AND(AO126="O",AP126="O",AR126="O",AT126="O",AU126="O"),"후보","X"))</f>
        <v/>
      </c>
    </row>
    <row r="127" spans="1:48" s="37" customFormat="1" ht="12" x14ac:dyDescent="0.3">
      <c r="A127" s="75" t="s">
        <v>1448</v>
      </c>
      <c r="B127" s="76" t="s">
        <v>1449</v>
      </c>
      <c r="C127" s="86">
        <v>614</v>
      </c>
      <c r="D127" s="87">
        <v>120.5</v>
      </c>
      <c r="E127" s="88">
        <v>36</v>
      </c>
      <c r="F127" s="87">
        <v>84.9</v>
      </c>
      <c r="G127" s="17">
        <v>26</v>
      </c>
      <c r="H127" s="89">
        <v>244</v>
      </c>
      <c r="I127" s="90"/>
      <c r="J127" s="90"/>
      <c r="K127" s="90"/>
      <c r="L127" s="90"/>
      <c r="M127" s="91">
        <f>I127-K127</f>
        <v>0</v>
      </c>
      <c r="N127" s="4" t="str">
        <f>IF(ISERROR(K127/I127),"",K127/I127)</f>
        <v/>
      </c>
      <c r="O127" s="92">
        <f>I127/E127</f>
        <v>0</v>
      </c>
      <c r="P127" s="92">
        <f>K127/E127</f>
        <v>0</v>
      </c>
      <c r="Q127" s="80">
        <v>3</v>
      </c>
      <c r="R127" s="80">
        <v>2</v>
      </c>
      <c r="S127" s="80" t="s">
        <v>61</v>
      </c>
      <c r="T127" s="5">
        <v>120</v>
      </c>
      <c r="U127" s="9"/>
      <c r="W127" s="87">
        <f t="shared" si="66"/>
        <v>120.5</v>
      </c>
      <c r="X127" s="88">
        <f t="shared" si="66"/>
        <v>36</v>
      </c>
      <c r="Y127" s="93">
        <f t="shared" si="67"/>
        <v>244</v>
      </c>
      <c r="Z127" s="91">
        <f t="shared" si="67"/>
        <v>0</v>
      </c>
      <c r="AA127" s="91">
        <f>K127</f>
        <v>0</v>
      </c>
      <c r="AB127" s="91">
        <f t="shared" si="68"/>
        <v>0</v>
      </c>
      <c r="AC127" s="4" t="str">
        <f t="shared" si="68"/>
        <v/>
      </c>
      <c r="AD127" s="92">
        <f t="shared" si="68"/>
        <v>0</v>
      </c>
      <c r="AE127" s="80" t="str">
        <f>S127</f>
        <v>계</v>
      </c>
      <c r="AF127" s="80" t="str">
        <f>Q127&amp;"/"&amp;R127</f>
        <v>3/2</v>
      </c>
      <c r="AH127" s="20" t="str">
        <f t="shared" si="59"/>
        <v>대명동 현대메트로타워</v>
      </c>
      <c r="AI127" s="88">
        <f t="shared" si="53"/>
        <v>36</v>
      </c>
      <c r="AJ127" s="80" t="str">
        <f>IF(AI127="","",$AJ$2)</f>
        <v>A-</v>
      </c>
      <c r="AK127" s="80" t="s">
        <v>14</v>
      </c>
      <c r="AL127" s="80" t="s">
        <v>63</v>
      </c>
      <c r="AM127" s="80" t="s">
        <v>64</v>
      </c>
      <c r="AN127" s="80" t="str">
        <f>IF(AI127="","",$AN$2)</f>
        <v>C</v>
      </c>
      <c r="AO127" s="80" t="str">
        <f>IF(N127="","",IF(N127&gt;=$AO$1/100,"O","X"))</f>
        <v/>
      </c>
      <c r="AP127" s="80" t="str">
        <f>IF(I127="","",IF(I127&lt;=$AP$1,"O","X"))</f>
        <v/>
      </c>
      <c r="AQ127" s="80" t="str">
        <f>IF(O127="","",IF(O127&lt;=$AQ$1,"O","X"))</f>
        <v>O</v>
      </c>
      <c r="AR127" s="80" t="str">
        <f>IF(M127="","",IF(M127&lt;=$AR$1,"O","X"))</f>
        <v>O</v>
      </c>
      <c r="AS127" s="80" t="s">
        <v>2</v>
      </c>
      <c r="AT127" s="80" t="str">
        <f>IF(OR(F127="",AI127=""),"",IF(AND((F127&lt;=85),(AI127&gt;=15)),"O","X"))</f>
        <v>O</v>
      </c>
      <c r="AU127" s="80" t="str">
        <f>IF(C127="","",IF(C127&gt;=$AU$1,"O","X"))</f>
        <v>O</v>
      </c>
      <c r="AV127" s="80" t="str">
        <f>IF(AO127="","",IF(AND(AO127="O",AP127="O",AR127="O",AT127="O",AU127="O"),"후보","X"))</f>
        <v/>
      </c>
    </row>
    <row r="128" spans="1:48" s="37" customFormat="1" ht="12" x14ac:dyDescent="0.3">
      <c r="A128" s="75" t="s">
        <v>1659</v>
      </c>
      <c r="B128" s="76" t="s">
        <v>1658</v>
      </c>
      <c r="C128" s="86">
        <v>614</v>
      </c>
      <c r="D128" s="87">
        <v>120.7</v>
      </c>
      <c r="E128" s="88">
        <v>37</v>
      </c>
      <c r="F128" s="87">
        <v>84.9</v>
      </c>
      <c r="G128" s="17">
        <v>26</v>
      </c>
      <c r="H128" s="89">
        <v>122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3</v>
      </c>
      <c r="R128" s="80">
        <v>2</v>
      </c>
      <c r="S128" s="80" t="s">
        <v>61</v>
      </c>
      <c r="T128" s="5">
        <v>120</v>
      </c>
      <c r="U128" s="9"/>
      <c r="W128" s="87">
        <f t="shared" si="66"/>
        <v>120.7</v>
      </c>
      <c r="X128" s="88">
        <f t="shared" si="66"/>
        <v>37</v>
      </c>
      <c r="Y128" s="93">
        <f t="shared" si="67"/>
        <v>122</v>
      </c>
      <c r="Z128" s="91">
        <f t="shared" si="67"/>
        <v>0</v>
      </c>
      <c r="AA128" s="91">
        <f>K128</f>
        <v>0</v>
      </c>
      <c r="AB128" s="91">
        <f t="shared" si="68"/>
        <v>0</v>
      </c>
      <c r="AC128" s="4" t="str">
        <f t="shared" si="68"/>
        <v/>
      </c>
      <c r="AD128" s="92">
        <f t="shared" si="68"/>
        <v>0</v>
      </c>
      <c r="AE128" s="80" t="str">
        <f>S128</f>
        <v>계</v>
      </c>
      <c r="AF128" s="80" t="str">
        <f>Q128&amp;"/"&amp;R128</f>
        <v>3/2</v>
      </c>
      <c r="AH128" s="20" t="str">
        <f t="shared" si="59"/>
        <v>대명동 현대메트로타워</v>
      </c>
      <c r="AI128" s="88">
        <f t="shared" si="53"/>
        <v>37</v>
      </c>
      <c r="AJ128" s="80" t="str">
        <f>IF(AI128="","",$AJ$2)</f>
        <v>A-</v>
      </c>
      <c r="AK128" s="80" t="s">
        <v>14</v>
      </c>
      <c r="AL128" s="80" t="s">
        <v>63</v>
      </c>
      <c r="AM128" s="80" t="s">
        <v>64</v>
      </c>
      <c r="AN128" s="80" t="str">
        <f>IF(AI128="","",$AN$2)</f>
        <v>C</v>
      </c>
      <c r="AO128" s="80" t="str">
        <f>IF(N128="","",IF(N128&gt;=$AO$1/100,"O","X"))</f>
        <v/>
      </c>
      <c r="AP128" s="80" t="str">
        <f>IF(I128="","",IF(I128&lt;=$AP$1,"O","X"))</f>
        <v/>
      </c>
      <c r="AQ128" s="80" t="str">
        <f>IF(O128="","",IF(O128&lt;=$AQ$1,"O","X"))</f>
        <v>O</v>
      </c>
      <c r="AR128" s="80" t="str">
        <f>IF(M128="","",IF(M128&lt;=$AR$1,"O","X"))</f>
        <v>O</v>
      </c>
      <c r="AS128" s="80" t="s">
        <v>2</v>
      </c>
      <c r="AT128" s="80" t="str">
        <f>IF(OR(F128="",AI128=""),"",IF(AND((F128&lt;=85),(AI128&gt;=15)),"O","X"))</f>
        <v>O</v>
      </c>
      <c r="AU128" s="80" t="str">
        <f>IF(C128="","",IF(C128&gt;=$AU$1,"O","X"))</f>
        <v>O</v>
      </c>
      <c r="AV128" s="80" t="str">
        <f>IF(AO128="","",IF(AND(AO128="O",AP128="O",AR128="O",AT128="O",AU128="O"),"후보","X"))</f>
        <v/>
      </c>
    </row>
    <row r="129" spans="1:48" s="37" customFormat="1" ht="12" x14ac:dyDescent="0.3">
      <c r="A129" s="75" t="s">
        <v>1450</v>
      </c>
      <c r="B129" s="76" t="s">
        <v>1451</v>
      </c>
      <c r="C129" s="86">
        <v>318</v>
      </c>
      <c r="D129" s="87">
        <v>94.9</v>
      </c>
      <c r="E129" s="88">
        <v>29</v>
      </c>
      <c r="F129" s="87">
        <v>75.3</v>
      </c>
      <c r="G129" s="17">
        <v>23</v>
      </c>
      <c r="H129" s="89">
        <v>90</v>
      </c>
      <c r="I129" s="90"/>
      <c r="J129" s="90"/>
      <c r="K129" s="90"/>
      <c r="L129" s="90"/>
      <c r="M129" s="91">
        <f>I129-K129</f>
        <v>0</v>
      </c>
      <c r="N129" s="4" t="str">
        <f>IF(ISERROR(K129/I129),"",K129/I129)</f>
        <v/>
      </c>
      <c r="O129" s="92">
        <f>I129/E129</f>
        <v>0</v>
      </c>
      <c r="P129" s="92">
        <f>K129/E129</f>
        <v>0</v>
      </c>
      <c r="Q129" s="80">
        <v>3</v>
      </c>
      <c r="R129" s="80">
        <v>2</v>
      </c>
      <c r="S129" s="80" t="s">
        <v>61</v>
      </c>
      <c r="T129" s="5">
        <v>94</v>
      </c>
      <c r="U129" s="9"/>
      <c r="W129" s="87">
        <f t="shared" si="66"/>
        <v>94.9</v>
      </c>
      <c r="X129" s="88">
        <f t="shared" si="66"/>
        <v>29</v>
      </c>
      <c r="Y129" s="93">
        <f t="shared" si="67"/>
        <v>90</v>
      </c>
      <c r="Z129" s="91">
        <f t="shared" si="67"/>
        <v>0</v>
      </c>
      <c r="AA129" s="91">
        <f>K129</f>
        <v>0</v>
      </c>
      <c r="AB129" s="91">
        <f t="shared" si="68"/>
        <v>0</v>
      </c>
      <c r="AC129" s="4" t="str">
        <f t="shared" si="68"/>
        <v/>
      </c>
      <c r="AD129" s="92">
        <f t="shared" si="68"/>
        <v>0</v>
      </c>
      <c r="AE129" s="80" t="str">
        <f>S129</f>
        <v>계</v>
      </c>
      <c r="AF129" s="80" t="str">
        <f>Q129&amp;"/"&amp;R129</f>
        <v>3/2</v>
      </c>
      <c r="AH129" s="20" t="str">
        <f>IF(A129="","",A129)</f>
        <v>동흥남동 군산동흥남주공</v>
      </c>
      <c r="AI129" s="88">
        <f t="shared" si="53"/>
        <v>29</v>
      </c>
      <c r="AJ129" s="80" t="str">
        <f>IF(AI129="","",$AJ$2)</f>
        <v>A-</v>
      </c>
      <c r="AK129" s="80" t="s">
        <v>14</v>
      </c>
      <c r="AL129" s="80" t="s">
        <v>63</v>
      </c>
      <c r="AM129" s="80" t="s">
        <v>64</v>
      </c>
      <c r="AN129" s="80" t="str">
        <f>IF(AI129="","",$AN$2)</f>
        <v>C</v>
      </c>
      <c r="AO129" s="80" t="str">
        <f>IF(N129="","",IF(N129&gt;=$AO$1/100,"O","X"))</f>
        <v/>
      </c>
      <c r="AP129" s="80" t="str">
        <f>IF(I129="","",IF(I129&lt;=$AP$1,"O","X"))</f>
        <v/>
      </c>
      <c r="AQ129" s="80" t="str">
        <f>IF(O129="","",IF(O129&lt;=$AQ$1,"O","X"))</f>
        <v>O</v>
      </c>
      <c r="AR129" s="80" t="str">
        <f>IF(M129="","",IF(M129&lt;=$AR$1,"O","X"))</f>
        <v>O</v>
      </c>
      <c r="AS129" s="80" t="s">
        <v>2</v>
      </c>
      <c r="AT129" s="80" t="str">
        <f>IF(OR(F129="",AI129=""),"",IF(AND((F129&lt;=85),(AI129&gt;=15)),"O","X"))</f>
        <v>O</v>
      </c>
      <c r="AU129" s="80" t="str">
        <f>IF(C129="","",IF(C129&gt;=$AU$1,"O","X"))</f>
        <v>O</v>
      </c>
      <c r="AV129" s="80" t="str">
        <f>IF(AO129="","",IF(AND(AO129="O",AP129="O",AR129="O",AT129="O",AU129="O"),"후보","X"))</f>
        <v/>
      </c>
    </row>
    <row r="130" spans="1:48" s="37" customFormat="1" ht="12" x14ac:dyDescent="0.3">
      <c r="A130" s="75" t="s">
        <v>1450</v>
      </c>
      <c r="B130" s="76" t="s">
        <v>1451</v>
      </c>
      <c r="C130" s="86">
        <v>318</v>
      </c>
      <c r="D130" s="87">
        <v>107</v>
      </c>
      <c r="E130" s="88">
        <v>32</v>
      </c>
      <c r="F130" s="87">
        <v>84.9</v>
      </c>
      <c r="G130" s="17">
        <v>26</v>
      </c>
      <c r="H130" s="89">
        <v>99</v>
      </c>
      <c r="I130" s="90">
        <v>19000</v>
      </c>
      <c r="J130" s="90" t="s">
        <v>68</v>
      </c>
      <c r="K130" s="90"/>
      <c r="L130" s="90"/>
      <c r="M130" s="91">
        <f>I130-K130</f>
        <v>19000</v>
      </c>
      <c r="N130" s="4">
        <f>IF(ISERROR(K130/I130),"",K130/I130)</f>
        <v>0</v>
      </c>
      <c r="O130" s="92">
        <f>I130/E130</f>
        <v>593.75</v>
      </c>
      <c r="P130" s="92">
        <f>K130/E130</f>
        <v>0</v>
      </c>
      <c r="Q130" s="80">
        <v>3</v>
      </c>
      <c r="R130" s="80">
        <v>2</v>
      </c>
      <c r="S130" s="80" t="s">
        <v>61</v>
      </c>
      <c r="T130" s="5" t="s">
        <v>229</v>
      </c>
      <c r="U130" s="9"/>
      <c r="W130" s="87">
        <f t="shared" si="66"/>
        <v>107</v>
      </c>
      <c r="X130" s="88">
        <f t="shared" si="66"/>
        <v>32</v>
      </c>
      <c r="Y130" s="93">
        <f t="shared" si="67"/>
        <v>99</v>
      </c>
      <c r="Z130" s="91">
        <f t="shared" si="67"/>
        <v>19000</v>
      </c>
      <c r="AA130" s="91">
        <f>K130</f>
        <v>0</v>
      </c>
      <c r="AB130" s="91">
        <f t="shared" si="68"/>
        <v>19000</v>
      </c>
      <c r="AC130" s="4">
        <f t="shared" si="68"/>
        <v>0</v>
      </c>
      <c r="AD130" s="92">
        <f t="shared" si="68"/>
        <v>593.75</v>
      </c>
      <c r="AE130" s="80" t="str">
        <f>S130</f>
        <v>계</v>
      </c>
      <c r="AF130" s="80" t="str">
        <f>Q130&amp;"/"&amp;R130</f>
        <v>3/2</v>
      </c>
      <c r="AH130" s="20" t="str">
        <f>IF(A130="","",A130)</f>
        <v>동흥남동 군산동흥남주공</v>
      </c>
      <c r="AI130" s="88">
        <f t="shared" si="53"/>
        <v>32</v>
      </c>
      <c r="AJ130" s="80" t="str">
        <f>IF(AI130="","",$AJ$2)</f>
        <v>A-</v>
      </c>
      <c r="AK130" s="80" t="s">
        <v>14</v>
      </c>
      <c r="AL130" s="80" t="s">
        <v>63</v>
      </c>
      <c r="AM130" s="80" t="s">
        <v>64</v>
      </c>
      <c r="AN130" s="80" t="str">
        <f>IF(AI130="","",$AN$2)</f>
        <v>C</v>
      </c>
      <c r="AO130" s="80" t="str">
        <f>IF(N130="","",IF(N130&gt;=$AO$1/100,"O","X"))</f>
        <v>X</v>
      </c>
      <c r="AP130" s="80" t="str">
        <f>IF(I130="","",IF(I130&lt;=$AP$1,"O","X"))</f>
        <v>O</v>
      </c>
      <c r="AQ130" s="80" t="str">
        <f>IF(O130="","",IF(O130&lt;=$AQ$1,"O","X"))</f>
        <v>O</v>
      </c>
      <c r="AR130" s="80" t="str">
        <f>IF(M130="","",IF(M130&lt;=$AR$1,"O","X"))</f>
        <v>X</v>
      </c>
      <c r="AS130" s="80" t="s">
        <v>2</v>
      </c>
      <c r="AT130" s="80" t="str">
        <f>IF(OR(F130="",AI130=""),"",IF(AND((F130&lt;=85),(AI130&gt;=15)),"O","X"))</f>
        <v>O</v>
      </c>
      <c r="AU130" s="80" t="str">
        <f>IF(C130="","",IF(C130&gt;=$AU$1,"O","X"))</f>
        <v>O</v>
      </c>
      <c r="AV130" s="80" t="str">
        <f>IF(AO130="","",IF(AND(AO130="O",AP130="O",AR130="O",AT130="O",AU130="O"),"후보","X"))</f>
        <v>X</v>
      </c>
    </row>
    <row r="131" spans="1:48" s="37" customFormat="1" ht="12" x14ac:dyDescent="0.3">
      <c r="A131" s="75" t="s">
        <v>1450</v>
      </c>
      <c r="B131" s="76" t="s">
        <v>1451</v>
      </c>
      <c r="C131" s="86">
        <v>318</v>
      </c>
      <c r="D131" s="87">
        <v>107.1</v>
      </c>
      <c r="E131" s="88">
        <v>32</v>
      </c>
      <c r="F131" s="87">
        <v>85</v>
      </c>
      <c r="G131" s="17">
        <v>26</v>
      </c>
      <c r="H131" s="89">
        <v>129</v>
      </c>
      <c r="I131" s="90"/>
      <c r="J131" s="90"/>
      <c r="K131" s="90"/>
      <c r="L131" s="90"/>
      <c r="M131" s="91">
        <f>I131-K131</f>
        <v>0</v>
      </c>
      <c r="N131" s="4" t="str">
        <f>IF(ISERROR(K131/I131),"",K131/I131)</f>
        <v/>
      </c>
      <c r="O131" s="92">
        <f>I131/E131</f>
        <v>0</v>
      </c>
      <c r="P131" s="92">
        <f>K131/E131</f>
        <v>0</v>
      </c>
      <c r="Q131" s="80">
        <v>3</v>
      </c>
      <c r="R131" s="80">
        <v>2</v>
      </c>
      <c r="S131" s="80" t="s">
        <v>61</v>
      </c>
      <c r="T131" s="5" t="s">
        <v>142</v>
      </c>
      <c r="U131" s="9"/>
      <c r="W131" s="87">
        <f t="shared" si="66"/>
        <v>107.1</v>
      </c>
      <c r="X131" s="88">
        <f t="shared" si="66"/>
        <v>32</v>
      </c>
      <c r="Y131" s="93">
        <f t="shared" si="67"/>
        <v>129</v>
      </c>
      <c r="Z131" s="91">
        <f t="shared" si="67"/>
        <v>0</v>
      </c>
      <c r="AA131" s="91">
        <f>K131</f>
        <v>0</v>
      </c>
      <c r="AB131" s="91">
        <f t="shared" si="68"/>
        <v>0</v>
      </c>
      <c r="AC131" s="4" t="str">
        <f t="shared" si="68"/>
        <v/>
      </c>
      <c r="AD131" s="92">
        <f t="shared" si="68"/>
        <v>0</v>
      </c>
      <c r="AE131" s="80" t="str">
        <f>S131</f>
        <v>계</v>
      </c>
      <c r="AF131" s="80" t="str">
        <f>Q131&amp;"/"&amp;R131</f>
        <v>3/2</v>
      </c>
      <c r="AH131" s="20" t="str">
        <f>IF(A131="","",A131)</f>
        <v>동흥남동 군산동흥남주공</v>
      </c>
      <c r="AI131" s="88">
        <f t="shared" si="53"/>
        <v>32</v>
      </c>
      <c r="AJ131" s="80" t="str">
        <f>IF(AI131="","",$AJ$2)</f>
        <v>A-</v>
      </c>
      <c r="AK131" s="80" t="s">
        <v>14</v>
      </c>
      <c r="AL131" s="80" t="s">
        <v>63</v>
      </c>
      <c r="AM131" s="80" t="s">
        <v>64</v>
      </c>
      <c r="AN131" s="80" t="str">
        <f>IF(AI131="","",$AN$2)</f>
        <v>C</v>
      </c>
      <c r="AO131" s="80" t="str">
        <f>IF(N131="","",IF(N131&gt;=$AO$1/100,"O","X"))</f>
        <v/>
      </c>
      <c r="AP131" s="80" t="str">
        <f>IF(I131="","",IF(I131&lt;=$AP$1,"O","X"))</f>
        <v/>
      </c>
      <c r="AQ131" s="80" t="str">
        <f>IF(O131="","",IF(O131&lt;=$AQ$1,"O","X"))</f>
        <v>O</v>
      </c>
      <c r="AR131" s="80" t="str">
        <f>IF(M131="","",IF(M131&lt;=$AR$1,"O","X"))</f>
        <v>O</v>
      </c>
      <c r="AS131" s="80" t="s">
        <v>2</v>
      </c>
      <c r="AT131" s="80" t="str">
        <f>IF(OR(F131="",AI131=""),"",IF(AND((F131&lt;=85),(AI131&gt;=15)),"O","X"))</f>
        <v>O</v>
      </c>
      <c r="AU131" s="80" t="str">
        <f>IF(C131="","",IF(C131&gt;=$AU$1,"O","X"))</f>
        <v>O</v>
      </c>
      <c r="AV131" s="80" t="str">
        <f>IF(AO131="","",IF(AND(AO131="O",AP131="O",AR131="O",AT131="O",AU131="O"),"후보","X"))</f>
        <v/>
      </c>
    </row>
    <row r="132" spans="1:48" s="37" customFormat="1" ht="12" x14ac:dyDescent="0.3">
      <c r="A132" s="75" t="s">
        <v>1452</v>
      </c>
      <c r="B132" s="76" t="s">
        <v>1453</v>
      </c>
      <c r="C132" s="86">
        <v>716</v>
      </c>
      <c r="D132" s="87">
        <v>79.7</v>
      </c>
      <c r="E132" s="88">
        <v>24</v>
      </c>
      <c r="F132" s="87">
        <v>65.2</v>
      </c>
      <c r="G132" s="17">
        <v>20</v>
      </c>
      <c r="H132" s="89">
        <v>56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3</v>
      </c>
      <c r="R132" s="80">
        <v>1</v>
      </c>
      <c r="S132" s="80" t="s">
        <v>61</v>
      </c>
      <c r="T132" s="5">
        <v>79</v>
      </c>
      <c r="U132" s="9"/>
      <c r="W132" s="87">
        <f t="shared" si="66"/>
        <v>79.7</v>
      </c>
      <c r="X132" s="88">
        <f t="shared" si="66"/>
        <v>24</v>
      </c>
      <c r="Y132" s="93">
        <f t="shared" si="67"/>
        <v>56</v>
      </c>
      <c r="Z132" s="91">
        <f t="shared" si="67"/>
        <v>0</v>
      </c>
      <c r="AA132" s="91">
        <f>K132</f>
        <v>0</v>
      </c>
      <c r="AB132" s="91">
        <f t="shared" si="68"/>
        <v>0</v>
      </c>
      <c r="AC132" s="4" t="str">
        <f t="shared" si="68"/>
        <v/>
      </c>
      <c r="AD132" s="92">
        <f t="shared" si="68"/>
        <v>0</v>
      </c>
      <c r="AE132" s="80" t="str">
        <f>S132</f>
        <v>계</v>
      </c>
      <c r="AF132" s="80" t="str">
        <f>Q132&amp;"/"&amp;R132</f>
        <v>3/1</v>
      </c>
      <c r="AH132" s="20" t="str">
        <f>IF(A132="","",A132)</f>
        <v>문화동 삼성</v>
      </c>
      <c r="AI132" s="88">
        <f t="shared" ref="AI132:AI195" si="69">IF(E132="","",E132)</f>
        <v>24</v>
      </c>
      <c r="AJ132" s="80" t="str">
        <f>IF(AI132="","",$AJ$2)</f>
        <v>A-</v>
      </c>
      <c r="AK132" s="80" t="s">
        <v>14</v>
      </c>
      <c r="AL132" s="80" t="s">
        <v>63</v>
      </c>
      <c r="AM132" s="80" t="s">
        <v>64</v>
      </c>
      <c r="AN132" s="80" t="str">
        <f>IF(AI132="","",$AN$2)</f>
        <v>C</v>
      </c>
      <c r="AO132" s="80" t="str">
        <f>IF(N132="","",IF(N132&gt;=$AO$1/100,"O","X"))</f>
        <v/>
      </c>
      <c r="AP132" s="80" t="str">
        <f>IF(I132="","",IF(I132&lt;=$AP$1,"O","X"))</f>
        <v/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O</v>
      </c>
      <c r="AU132" s="80" t="str">
        <f>IF(C132="","",IF(C132&gt;=$AU$1,"O","X"))</f>
        <v>O</v>
      </c>
      <c r="AV132" s="80" t="str">
        <f>IF(AO132="","",IF(AND(AO132="O",AP132="O",AR132="O",AT132="O",AU132="O"),"후보","X"))</f>
        <v/>
      </c>
    </row>
    <row r="133" spans="1:48" s="37" customFormat="1" ht="12" x14ac:dyDescent="0.3">
      <c r="A133" s="75" t="s">
        <v>1660</v>
      </c>
      <c r="B133" s="76" t="s">
        <v>1453</v>
      </c>
      <c r="C133" s="86">
        <v>716</v>
      </c>
      <c r="D133" s="87">
        <v>93.1</v>
      </c>
      <c r="E133" s="88">
        <v>28</v>
      </c>
      <c r="F133" s="87">
        <v>76</v>
      </c>
      <c r="G133" s="17">
        <v>23</v>
      </c>
      <c r="H133" s="89">
        <v>198</v>
      </c>
      <c r="I133" s="90">
        <v>12800</v>
      </c>
      <c r="J133" s="90" t="s">
        <v>60</v>
      </c>
      <c r="K133" s="90"/>
      <c r="L133" s="90"/>
      <c r="M133" s="91">
        <f>I133-K133</f>
        <v>12800</v>
      </c>
      <c r="N133" s="4">
        <f>IF(ISERROR(K133/I133),"",K133/I133)</f>
        <v>0</v>
      </c>
      <c r="O133" s="92">
        <f>I133/E133</f>
        <v>457.14285714285717</v>
      </c>
      <c r="P133" s="92">
        <f>K133/E133</f>
        <v>0</v>
      </c>
      <c r="Q133" s="80">
        <v>3</v>
      </c>
      <c r="R133" s="80">
        <v>1</v>
      </c>
      <c r="S133" s="80" t="s">
        <v>61</v>
      </c>
      <c r="T133" s="5">
        <v>93</v>
      </c>
      <c r="U133" s="9"/>
      <c r="W133" s="87">
        <f t="shared" si="66"/>
        <v>93.1</v>
      </c>
      <c r="X133" s="88">
        <f t="shared" si="66"/>
        <v>28</v>
      </c>
      <c r="Y133" s="93">
        <f t="shared" si="67"/>
        <v>198</v>
      </c>
      <c r="Z133" s="91">
        <f t="shared" si="67"/>
        <v>12800</v>
      </c>
      <c r="AA133" s="91">
        <f>K133</f>
        <v>0</v>
      </c>
      <c r="AB133" s="91">
        <f t="shared" si="68"/>
        <v>12800</v>
      </c>
      <c r="AC133" s="4">
        <f t="shared" si="68"/>
        <v>0</v>
      </c>
      <c r="AD133" s="92">
        <f t="shared" si="68"/>
        <v>457.14285714285717</v>
      </c>
      <c r="AE133" s="80" t="str">
        <f>S133</f>
        <v>계</v>
      </c>
      <c r="AF133" s="80" t="str">
        <f>Q133&amp;"/"&amp;R133</f>
        <v>3/1</v>
      </c>
      <c r="AH133" s="20" t="str">
        <f>IF(A133="","",A133)</f>
        <v>문화동 삼성</v>
      </c>
      <c r="AI133" s="88">
        <f t="shared" si="69"/>
        <v>28</v>
      </c>
      <c r="AJ133" s="80" t="str">
        <f>IF(AI133="","",$AJ$2)</f>
        <v>A-</v>
      </c>
      <c r="AK133" s="80" t="s">
        <v>14</v>
      </c>
      <c r="AL133" s="80" t="s">
        <v>63</v>
      </c>
      <c r="AM133" s="80" t="s">
        <v>64</v>
      </c>
      <c r="AN133" s="80" t="str">
        <f>IF(AI133="","",$AN$2)</f>
        <v>C</v>
      </c>
      <c r="AO133" s="80" t="str">
        <f>IF(N133="","",IF(N133&gt;=$AO$1/100,"O","X"))</f>
        <v>X</v>
      </c>
      <c r="AP133" s="80" t="str">
        <f>IF(I133="","",IF(I133&lt;=$AP$1,"O","X"))</f>
        <v>O</v>
      </c>
      <c r="AQ133" s="80" t="str">
        <f>IF(O133="","",IF(O133&lt;=$AQ$1,"O","X"))</f>
        <v>O</v>
      </c>
      <c r="AR133" s="80" t="str">
        <f>IF(M133="","",IF(M133&lt;=$AR$1,"O","X"))</f>
        <v>X</v>
      </c>
      <c r="AS133" s="80" t="s">
        <v>2</v>
      </c>
      <c r="AT133" s="80" t="str">
        <f>IF(OR(F133="",AI133=""),"",IF(AND((F133&lt;=85),(AI133&gt;=15)),"O","X"))</f>
        <v>O</v>
      </c>
      <c r="AU133" s="80" t="str">
        <f>IF(C133="","",IF(C133&gt;=$AU$1,"O","X"))</f>
        <v>O</v>
      </c>
      <c r="AV133" s="80" t="str">
        <f>IF(AO133="","",IF(AND(AO133="O",AP133="O",AR133="O",AT133="O",AU133="O"),"후보","X"))</f>
        <v>X</v>
      </c>
    </row>
    <row r="134" spans="1:48" s="37" customFormat="1" ht="12" x14ac:dyDescent="0.3">
      <c r="A134" s="75" t="s">
        <v>1452</v>
      </c>
      <c r="B134" s="76" t="s">
        <v>1399</v>
      </c>
      <c r="C134" s="86">
        <v>716</v>
      </c>
      <c r="D134" s="87">
        <v>104</v>
      </c>
      <c r="E134" s="88">
        <v>31</v>
      </c>
      <c r="F134" s="87">
        <v>84.9</v>
      </c>
      <c r="G134" s="17">
        <v>26</v>
      </c>
      <c r="H134" s="89">
        <v>462</v>
      </c>
      <c r="I134" s="90">
        <v>14500</v>
      </c>
      <c r="J134" s="90" t="s">
        <v>81</v>
      </c>
      <c r="K134" s="90">
        <v>12500</v>
      </c>
      <c r="L134" s="90" t="s">
        <v>81</v>
      </c>
      <c r="M134" s="91">
        <f>I134-K134</f>
        <v>2000</v>
      </c>
      <c r="N134" s="4">
        <f>IF(ISERROR(K134/I134),"",K134/I134)</f>
        <v>0.86206896551724133</v>
      </c>
      <c r="O134" s="92">
        <f>I134/E134</f>
        <v>467.74193548387098</v>
      </c>
      <c r="P134" s="92">
        <f>K134/E134</f>
        <v>403.22580645161293</v>
      </c>
      <c r="Q134" s="80">
        <v>3</v>
      </c>
      <c r="R134" s="80">
        <v>2</v>
      </c>
      <c r="S134" s="80" t="s">
        <v>61</v>
      </c>
      <c r="T134" s="5">
        <v>104</v>
      </c>
      <c r="U134" s="9"/>
      <c r="W134" s="87">
        <f t="shared" ref="W134:X134" si="70">D134</f>
        <v>104</v>
      </c>
      <c r="X134" s="88">
        <f t="shared" si="70"/>
        <v>31</v>
      </c>
      <c r="Y134" s="93">
        <f t="shared" ref="Y134:Z134" si="71">H134</f>
        <v>462</v>
      </c>
      <c r="Z134" s="91">
        <f t="shared" si="71"/>
        <v>14500</v>
      </c>
      <c r="AA134" s="91">
        <f>K134</f>
        <v>12500</v>
      </c>
      <c r="AB134" s="91">
        <f t="shared" ref="AB134:AD134" si="72">M134</f>
        <v>2000</v>
      </c>
      <c r="AC134" s="4">
        <f t="shared" si="72"/>
        <v>0.86206896551724133</v>
      </c>
      <c r="AD134" s="92">
        <f t="shared" si="72"/>
        <v>467.74193548387098</v>
      </c>
      <c r="AE134" s="80" t="str">
        <f>S134</f>
        <v>계</v>
      </c>
      <c r="AF134" s="80" t="str">
        <f>Q134&amp;"/"&amp;R134</f>
        <v>3/2</v>
      </c>
      <c r="AH134" s="20" t="str">
        <f>IF(A134="","",A134)</f>
        <v>문화동 삼성</v>
      </c>
      <c r="AI134" s="88">
        <f t="shared" si="69"/>
        <v>31</v>
      </c>
      <c r="AJ134" s="80" t="str">
        <f>IF(AI134="","",$AJ$2)</f>
        <v>A-</v>
      </c>
      <c r="AK134" s="80" t="s">
        <v>14</v>
      </c>
      <c r="AL134" s="80" t="s">
        <v>63</v>
      </c>
      <c r="AM134" s="80" t="s">
        <v>64</v>
      </c>
      <c r="AN134" s="80" t="str">
        <f>IF(AI134="","",$AN$2)</f>
        <v>C</v>
      </c>
      <c r="AO134" s="80" t="str">
        <f>IF(N134="","",IF(N134&gt;=$AO$1/100,"O","X"))</f>
        <v>O</v>
      </c>
      <c r="AP134" s="80" t="str">
        <f>IF(I134="","",IF(I134&lt;=$AP$1,"O","X"))</f>
        <v>O</v>
      </c>
      <c r="AQ134" s="80" t="str">
        <f>IF(O134="","",IF(O134&lt;=$AQ$1,"O","X"))</f>
        <v>O</v>
      </c>
      <c r="AR134" s="80" t="str">
        <f>IF(M134="","",IF(M134&lt;=$AR$1,"O","X"))</f>
        <v>O</v>
      </c>
      <c r="AS134" s="80" t="s">
        <v>2</v>
      </c>
      <c r="AT134" s="80" t="str">
        <f>IF(OR(F134="",AI134=""),"",IF(AND((F134&lt;=85),(AI134&gt;=15)),"O","X"))</f>
        <v>O</v>
      </c>
      <c r="AU134" s="80" t="str">
        <f>IF(C134="","",IF(C134&gt;=$AU$1,"O","X"))</f>
        <v>O</v>
      </c>
      <c r="AV134" s="80" t="str">
        <f>IF(AO134="","",IF(AND(AO134="O",AP134="O",AR134="O",AT134="O",AU134="O"),"후보","X"))</f>
        <v>후보</v>
      </c>
    </row>
    <row r="135" spans="1:48" s="37" customFormat="1" ht="12" x14ac:dyDescent="0.3">
      <c r="A135" s="75" t="s">
        <v>1580</v>
      </c>
      <c r="B135" s="76" t="s">
        <v>1454</v>
      </c>
      <c r="C135" s="86">
        <v>498</v>
      </c>
      <c r="D135" s="87">
        <v>53.9</v>
      </c>
      <c r="E135" s="88">
        <v>16</v>
      </c>
      <c r="F135" s="87">
        <v>40</v>
      </c>
      <c r="G135" s="17">
        <v>12</v>
      </c>
      <c r="H135" s="89">
        <v>498</v>
      </c>
      <c r="I135" s="90">
        <v>3950</v>
      </c>
      <c r="J135" s="90" t="s">
        <v>71</v>
      </c>
      <c r="K135" s="90">
        <v>4500</v>
      </c>
      <c r="L135" s="90" t="s">
        <v>111</v>
      </c>
      <c r="M135" s="91">
        <f>I135-K135</f>
        <v>-550</v>
      </c>
      <c r="N135" s="4">
        <f>IF(ISERROR(K135/I135),"",K135/I135)</f>
        <v>1.139240506329114</v>
      </c>
      <c r="O135" s="92">
        <f>I135/E135</f>
        <v>246.875</v>
      </c>
      <c r="P135" s="92">
        <f>K135/E135</f>
        <v>281.25</v>
      </c>
      <c r="Q135" s="80">
        <v>2</v>
      </c>
      <c r="R135" s="80">
        <v>1</v>
      </c>
      <c r="S135" s="80" t="s">
        <v>61</v>
      </c>
      <c r="T135" s="5">
        <v>53</v>
      </c>
      <c r="U135" s="9"/>
      <c r="W135" s="87">
        <f>D135</f>
        <v>53.9</v>
      </c>
      <c r="X135" s="88">
        <f>E135</f>
        <v>16</v>
      </c>
      <c r="Y135" s="93">
        <f>H135</f>
        <v>498</v>
      </c>
      <c r="Z135" s="91">
        <f>I135</f>
        <v>3950</v>
      </c>
      <c r="AA135" s="91">
        <f>K135</f>
        <v>4500</v>
      </c>
      <c r="AB135" s="91">
        <f>M135</f>
        <v>-550</v>
      </c>
      <c r="AC135" s="4">
        <f>N135</f>
        <v>1.139240506329114</v>
      </c>
      <c r="AD135" s="92">
        <f>O135</f>
        <v>246.875</v>
      </c>
      <c r="AE135" s="80" t="str">
        <f>S135</f>
        <v>계</v>
      </c>
      <c r="AF135" s="80" t="str">
        <f>Q135&amp;"/"&amp;R135</f>
        <v>2/1</v>
      </c>
      <c r="AH135" s="20" t="str">
        <f t="shared" ref="AH135:AH198" si="73">IF(A135="","",A135)</f>
        <v>미룡동 미룡대명1차</v>
      </c>
      <c r="AI135" s="88">
        <f t="shared" si="69"/>
        <v>16</v>
      </c>
      <c r="AJ135" s="80" t="str">
        <f>IF(AI135="","",$AJ$2)</f>
        <v>A-</v>
      </c>
      <c r="AK135" s="80" t="s">
        <v>14</v>
      </c>
      <c r="AL135" s="80" t="s">
        <v>63</v>
      </c>
      <c r="AM135" s="80" t="s">
        <v>64</v>
      </c>
      <c r="AN135" s="80" t="str">
        <f>IF(AI135="","",$AN$2)</f>
        <v>C</v>
      </c>
      <c r="AO135" s="80" t="str">
        <f>IF(N135="","",IF(N135&gt;=$AO$1/100,"O","X"))</f>
        <v>O</v>
      </c>
      <c r="AP135" s="80" t="str">
        <f>IF(I135="","",IF(I135&lt;=$AP$1,"O","X"))</f>
        <v>O</v>
      </c>
      <c r="AQ135" s="80" t="str">
        <f>IF(O135="","",IF(O135&lt;=$AQ$1,"O","X"))</f>
        <v>O</v>
      </c>
      <c r="AR135" s="80" t="str">
        <f>IF(M135="","",IF(M135&lt;=$AR$1,"O","X"))</f>
        <v>O</v>
      </c>
      <c r="AS135" s="80" t="s">
        <v>2</v>
      </c>
      <c r="AT135" s="80" t="str">
        <f>IF(OR(F135="",AI135=""),"",IF(AND((F135&lt;=85),(AI135&gt;=15)),"O","X"))</f>
        <v>O</v>
      </c>
      <c r="AU135" s="80" t="str">
        <f>IF(C135="","",IF(C135&gt;=$AU$1,"O","X"))</f>
        <v>O</v>
      </c>
      <c r="AV135" s="80" t="str">
        <f>IF(AO135="","",IF(AND(AO135="O",AP135="O",AR135="O",AT135="O",AU135="O"),"후보","X"))</f>
        <v>후보</v>
      </c>
    </row>
    <row r="136" spans="1:48" s="37" customFormat="1" ht="12" x14ac:dyDescent="0.3">
      <c r="A136" s="75" t="s">
        <v>1456</v>
      </c>
      <c r="B136" s="76" t="s">
        <v>1457</v>
      </c>
      <c r="C136" s="86">
        <v>950</v>
      </c>
      <c r="D136" s="87">
        <v>110.3</v>
      </c>
      <c r="E136" s="88">
        <v>33</v>
      </c>
      <c r="F136" s="87">
        <v>84.7</v>
      </c>
      <c r="G136" s="17">
        <v>26</v>
      </c>
      <c r="H136" s="89">
        <v>120</v>
      </c>
      <c r="I136" s="90"/>
      <c r="J136" s="90"/>
      <c r="K136" s="90"/>
      <c r="L136" s="90"/>
      <c r="M136" s="91">
        <f t="shared" ref="M136:M151" si="74">I136-K136</f>
        <v>0</v>
      </c>
      <c r="N136" s="4" t="str">
        <f t="shared" ref="N136:N151" si="75">IF(ISERROR(K136/I136),"",K136/I136)</f>
        <v/>
      </c>
      <c r="O136" s="92">
        <f t="shared" ref="O136:O151" si="76">I136/E136</f>
        <v>0</v>
      </c>
      <c r="P136" s="92">
        <f t="shared" ref="P136:P151" si="77">K136/E136</f>
        <v>0</v>
      </c>
      <c r="Q136" s="80">
        <v>3</v>
      </c>
      <c r="R136" s="80">
        <v>2</v>
      </c>
      <c r="S136" s="80" t="s">
        <v>76</v>
      </c>
      <c r="T136" s="5" t="s">
        <v>62</v>
      </c>
      <c r="U136" s="9"/>
      <c r="W136" s="87">
        <f t="shared" ref="W136:X151" si="78">D136</f>
        <v>110.3</v>
      </c>
      <c r="X136" s="88">
        <f t="shared" si="78"/>
        <v>33</v>
      </c>
      <c r="Y136" s="93">
        <f t="shared" ref="Y136:Z151" si="79">H136</f>
        <v>120</v>
      </c>
      <c r="Z136" s="91">
        <f t="shared" si="79"/>
        <v>0</v>
      </c>
      <c r="AA136" s="91">
        <f t="shared" ref="AA136:AA151" si="80">K136</f>
        <v>0</v>
      </c>
      <c r="AB136" s="91">
        <f t="shared" ref="AB136:AD151" si="81">M136</f>
        <v>0</v>
      </c>
      <c r="AC136" s="4" t="str">
        <f t="shared" si="81"/>
        <v/>
      </c>
      <c r="AD136" s="92">
        <f t="shared" si="81"/>
        <v>0</v>
      </c>
      <c r="AE136" s="80" t="str">
        <f t="shared" ref="AE136:AE151" si="82">S136</f>
        <v>복</v>
      </c>
      <c r="AF136" s="80" t="str">
        <f t="shared" ref="AF136:AF151" si="83">Q136&amp;"/"&amp;R136</f>
        <v>3/2</v>
      </c>
      <c r="AH136" s="20" t="str">
        <f t="shared" si="73"/>
        <v>미룡동 금광베네스타</v>
      </c>
      <c r="AI136" s="88">
        <f t="shared" si="69"/>
        <v>33</v>
      </c>
      <c r="AJ136" s="80" t="str">
        <f t="shared" ref="AJ136:AJ151" si="84">IF(AI136="","",$AJ$2)</f>
        <v>A-</v>
      </c>
      <c r="AK136" s="80" t="s">
        <v>14</v>
      </c>
      <c r="AL136" s="80" t="s">
        <v>63</v>
      </c>
      <c r="AM136" s="80" t="s">
        <v>64</v>
      </c>
      <c r="AN136" s="80" t="str">
        <f t="shared" ref="AN136:AN151" si="85">IF(AI136="","",$AN$2)</f>
        <v>C</v>
      </c>
      <c r="AO136" s="80" t="str">
        <f t="shared" ref="AO136:AO151" si="86">IF(N136="","",IF(N136&gt;=$AO$1/100,"O","X"))</f>
        <v/>
      </c>
      <c r="AP136" s="80" t="str">
        <f t="shared" ref="AP136:AP151" si="87">IF(I136="","",IF(I136&lt;=$AP$1,"O","X"))</f>
        <v/>
      </c>
      <c r="AQ136" s="80" t="str">
        <f t="shared" ref="AQ136:AQ151" si="88">IF(O136="","",IF(O136&lt;=$AQ$1,"O","X"))</f>
        <v>O</v>
      </c>
      <c r="AR136" s="80" t="str">
        <f t="shared" ref="AR136:AR151" si="89">IF(M136="","",IF(M136&lt;=$AR$1,"O","X"))</f>
        <v>O</v>
      </c>
      <c r="AS136" s="80" t="s">
        <v>2</v>
      </c>
      <c r="AT136" s="80" t="str">
        <f t="shared" ref="AT136:AT151" si="90">IF(OR(F136="",AI136=""),"",IF(AND((F136&lt;=85),(AI136&gt;=15)),"O","X"))</f>
        <v>O</v>
      </c>
      <c r="AU136" s="80" t="str">
        <f t="shared" ref="AU136:AU151" si="91">IF(C136="","",IF(C136&gt;=$AU$1,"O","X"))</f>
        <v>O</v>
      </c>
      <c r="AV136" s="80" t="str">
        <f t="shared" ref="AV136:AV151" si="92">IF(AO136="","",IF(AND(AO136="O",AP136="O",AR136="O",AT136="O",AU136="O"),"후보","X"))</f>
        <v/>
      </c>
    </row>
    <row r="137" spans="1:48" s="37" customFormat="1" ht="12" x14ac:dyDescent="0.3">
      <c r="A137" s="75" t="s">
        <v>1456</v>
      </c>
      <c r="B137" s="76" t="s">
        <v>1457</v>
      </c>
      <c r="C137" s="86">
        <v>950</v>
      </c>
      <c r="D137" s="87">
        <v>110.5</v>
      </c>
      <c r="E137" s="88">
        <v>33</v>
      </c>
      <c r="F137" s="87">
        <v>84.8</v>
      </c>
      <c r="G137" s="17">
        <v>26</v>
      </c>
      <c r="H137" s="89">
        <v>39</v>
      </c>
      <c r="I137" s="90"/>
      <c r="J137" s="90"/>
      <c r="K137" s="90"/>
      <c r="L137" s="90"/>
      <c r="M137" s="91">
        <f t="shared" si="74"/>
        <v>0</v>
      </c>
      <c r="N137" s="4" t="str">
        <f t="shared" si="75"/>
        <v/>
      </c>
      <c r="O137" s="92">
        <f t="shared" si="76"/>
        <v>0</v>
      </c>
      <c r="P137" s="92">
        <f t="shared" si="77"/>
        <v>0</v>
      </c>
      <c r="Q137" s="80">
        <v>3</v>
      </c>
      <c r="R137" s="80">
        <v>2</v>
      </c>
      <c r="S137" s="80" t="s">
        <v>76</v>
      </c>
      <c r="T137" s="5" t="s">
        <v>97</v>
      </c>
      <c r="U137" s="9"/>
      <c r="W137" s="87">
        <f t="shared" si="78"/>
        <v>110.5</v>
      </c>
      <c r="X137" s="88">
        <f t="shared" si="78"/>
        <v>33</v>
      </c>
      <c r="Y137" s="93">
        <f t="shared" si="79"/>
        <v>39</v>
      </c>
      <c r="Z137" s="91">
        <f t="shared" si="79"/>
        <v>0</v>
      </c>
      <c r="AA137" s="91">
        <f t="shared" si="80"/>
        <v>0</v>
      </c>
      <c r="AB137" s="91">
        <f t="shared" si="81"/>
        <v>0</v>
      </c>
      <c r="AC137" s="4" t="str">
        <f t="shared" si="81"/>
        <v/>
      </c>
      <c r="AD137" s="92">
        <f t="shared" si="81"/>
        <v>0</v>
      </c>
      <c r="AE137" s="80" t="str">
        <f t="shared" si="82"/>
        <v>복</v>
      </c>
      <c r="AF137" s="80" t="str">
        <f t="shared" si="83"/>
        <v>3/2</v>
      </c>
      <c r="AH137" s="20" t="str">
        <f t="shared" si="73"/>
        <v>미룡동 금광베네스타</v>
      </c>
      <c r="AI137" s="88">
        <f t="shared" si="69"/>
        <v>33</v>
      </c>
      <c r="AJ137" s="80" t="str">
        <f t="shared" si="84"/>
        <v>A-</v>
      </c>
      <c r="AK137" s="80" t="s">
        <v>14</v>
      </c>
      <c r="AL137" s="80" t="s">
        <v>63</v>
      </c>
      <c r="AM137" s="80" t="s">
        <v>64</v>
      </c>
      <c r="AN137" s="80" t="str">
        <f t="shared" si="85"/>
        <v>C</v>
      </c>
      <c r="AO137" s="80" t="str">
        <f t="shared" si="86"/>
        <v/>
      </c>
      <c r="AP137" s="80" t="str">
        <f t="shared" si="87"/>
        <v/>
      </c>
      <c r="AQ137" s="80" t="str">
        <f t="shared" si="88"/>
        <v>O</v>
      </c>
      <c r="AR137" s="80" t="str">
        <f t="shared" si="89"/>
        <v>O</v>
      </c>
      <c r="AS137" s="80" t="s">
        <v>2</v>
      </c>
      <c r="AT137" s="80" t="str">
        <f t="shared" si="90"/>
        <v>O</v>
      </c>
      <c r="AU137" s="80" t="str">
        <f t="shared" si="91"/>
        <v>O</v>
      </c>
      <c r="AV137" s="80" t="str">
        <f t="shared" si="92"/>
        <v/>
      </c>
    </row>
    <row r="138" spans="1:48" s="37" customFormat="1" ht="12" x14ac:dyDescent="0.3">
      <c r="A138" s="75" t="s">
        <v>1456</v>
      </c>
      <c r="B138" s="76" t="s">
        <v>1457</v>
      </c>
      <c r="C138" s="86">
        <v>950</v>
      </c>
      <c r="D138" s="87">
        <v>111.7</v>
      </c>
      <c r="E138" s="88">
        <v>34</v>
      </c>
      <c r="F138" s="87">
        <v>85</v>
      </c>
      <c r="G138" s="17">
        <v>26</v>
      </c>
      <c r="H138" s="89">
        <v>40</v>
      </c>
      <c r="I138" s="90"/>
      <c r="J138" s="90"/>
      <c r="K138" s="90"/>
      <c r="L138" s="90"/>
      <c r="M138" s="91">
        <f t="shared" si="74"/>
        <v>0</v>
      </c>
      <c r="N138" s="4" t="str">
        <f t="shared" si="75"/>
        <v/>
      </c>
      <c r="O138" s="92">
        <f t="shared" si="76"/>
        <v>0</v>
      </c>
      <c r="P138" s="92">
        <f t="shared" si="77"/>
        <v>0</v>
      </c>
      <c r="Q138" s="80">
        <v>3</v>
      </c>
      <c r="R138" s="80">
        <v>2</v>
      </c>
      <c r="S138" s="80" t="s">
        <v>76</v>
      </c>
      <c r="T138" s="5" t="s">
        <v>79</v>
      </c>
      <c r="U138" s="9"/>
      <c r="W138" s="87">
        <f t="shared" si="78"/>
        <v>111.7</v>
      </c>
      <c r="X138" s="88">
        <f t="shared" si="78"/>
        <v>34</v>
      </c>
      <c r="Y138" s="93">
        <f t="shared" si="79"/>
        <v>40</v>
      </c>
      <c r="Z138" s="91">
        <f t="shared" si="79"/>
        <v>0</v>
      </c>
      <c r="AA138" s="91">
        <f t="shared" si="80"/>
        <v>0</v>
      </c>
      <c r="AB138" s="91">
        <f t="shared" si="81"/>
        <v>0</v>
      </c>
      <c r="AC138" s="4" t="str">
        <f t="shared" si="81"/>
        <v/>
      </c>
      <c r="AD138" s="92">
        <f t="shared" si="81"/>
        <v>0</v>
      </c>
      <c r="AE138" s="80" t="str">
        <f t="shared" si="82"/>
        <v>복</v>
      </c>
      <c r="AF138" s="80" t="str">
        <f t="shared" si="83"/>
        <v>3/2</v>
      </c>
      <c r="AH138" s="20" t="str">
        <f t="shared" si="73"/>
        <v>미룡동 금광베네스타</v>
      </c>
      <c r="AI138" s="88">
        <f t="shared" si="69"/>
        <v>34</v>
      </c>
      <c r="AJ138" s="80" t="str">
        <f t="shared" si="84"/>
        <v>A-</v>
      </c>
      <c r="AK138" s="80" t="s">
        <v>14</v>
      </c>
      <c r="AL138" s="80" t="s">
        <v>63</v>
      </c>
      <c r="AM138" s="80" t="s">
        <v>64</v>
      </c>
      <c r="AN138" s="80" t="str">
        <f t="shared" si="85"/>
        <v>C</v>
      </c>
      <c r="AO138" s="80" t="str">
        <f t="shared" si="86"/>
        <v/>
      </c>
      <c r="AP138" s="80" t="str">
        <f t="shared" si="87"/>
        <v/>
      </c>
      <c r="AQ138" s="80" t="str">
        <f t="shared" si="88"/>
        <v>O</v>
      </c>
      <c r="AR138" s="80" t="str">
        <f t="shared" si="89"/>
        <v>O</v>
      </c>
      <c r="AS138" s="80" t="s">
        <v>2</v>
      </c>
      <c r="AT138" s="80" t="str">
        <f t="shared" si="90"/>
        <v>O</v>
      </c>
      <c r="AU138" s="80" t="str">
        <f t="shared" si="91"/>
        <v>O</v>
      </c>
      <c r="AV138" s="80" t="str">
        <f t="shared" si="92"/>
        <v/>
      </c>
    </row>
    <row r="139" spans="1:48" s="37" customFormat="1" ht="12" x14ac:dyDescent="0.3">
      <c r="A139" s="75" t="s">
        <v>1456</v>
      </c>
      <c r="B139" s="76" t="s">
        <v>1455</v>
      </c>
      <c r="C139" s="86">
        <v>950</v>
      </c>
      <c r="D139" s="87">
        <v>146.5</v>
      </c>
      <c r="E139" s="88">
        <v>44</v>
      </c>
      <c r="F139" s="87">
        <v>113.5</v>
      </c>
      <c r="G139" s="17">
        <v>34</v>
      </c>
      <c r="H139" s="89">
        <v>114</v>
      </c>
      <c r="I139" s="90">
        <v>32500</v>
      </c>
      <c r="J139" s="90" t="s">
        <v>81</v>
      </c>
      <c r="K139" s="90"/>
      <c r="L139" s="90"/>
      <c r="M139" s="91">
        <f t="shared" si="74"/>
        <v>32500</v>
      </c>
      <c r="N139" s="4">
        <f t="shared" si="75"/>
        <v>0</v>
      </c>
      <c r="O139" s="92">
        <f t="shared" si="76"/>
        <v>738.63636363636363</v>
      </c>
      <c r="P139" s="92">
        <f t="shared" si="77"/>
        <v>0</v>
      </c>
      <c r="Q139" s="80">
        <v>3</v>
      </c>
      <c r="R139" s="80">
        <v>2</v>
      </c>
      <c r="S139" s="80" t="s">
        <v>76</v>
      </c>
      <c r="T139" s="5">
        <v>146</v>
      </c>
      <c r="U139" s="9"/>
      <c r="W139" s="87">
        <f t="shared" si="78"/>
        <v>146.5</v>
      </c>
      <c r="X139" s="88">
        <f t="shared" si="78"/>
        <v>44</v>
      </c>
      <c r="Y139" s="93">
        <f t="shared" si="79"/>
        <v>114</v>
      </c>
      <c r="Z139" s="91">
        <f t="shared" si="79"/>
        <v>32500</v>
      </c>
      <c r="AA139" s="91">
        <f t="shared" si="80"/>
        <v>0</v>
      </c>
      <c r="AB139" s="91">
        <f t="shared" si="81"/>
        <v>32500</v>
      </c>
      <c r="AC139" s="4">
        <f t="shared" si="81"/>
        <v>0</v>
      </c>
      <c r="AD139" s="92">
        <f t="shared" si="81"/>
        <v>738.63636363636363</v>
      </c>
      <c r="AE139" s="80" t="str">
        <f t="shared" si="82"/>
        <v>복</v>
      </c>
      <c r="AF139" s="80" t="str">
        <f t="shared" si="83"/>
        <v>3/2</v>
      </c>
      <c r="AH139" s="20" t="str">
        <f t="shared" si="73"/>
        <v>미룡동 금광베네스타</v>
      </c>
      <c r="AI139" s="88">
        <f t="shared" si="69"/>
        <v>44</v>
      </c>
      <c r="AJ139" s="80" t="str">
        <f t="shared" si="84"/>
        <v>A-</v>
      </c>
      <c r="AK139" s="80" t="s">
        <v>14</v>
      </c>
      <c r="AL139" s="80" t="s">
        <v>63</v>
      </c>
      <c r="AM139" s="80" t="s">
        <v>64</v>
      </c>
      <c r="AN139" s="80" t="str">
        <f t="shared" si="85"/>
        <v>C</v>
      </c>
      <c r="AO139" s="80" t="str">
        <f t="shared" si="86"/>
        <v>X</v>
      </c>
      <c r="AP139" s="80" t="str">
        <f t="shared" si="87"/>
        <v>O</v>
      </c>
      <c r="AQ139" s="80" t="str">
        <f t="shared" si="88"/>
        <v>O</v>
      </c>
      <c r="AR139" s="80" t="str">
        <f t="shared" si="89"/>
        <v>X</v>
      </c>
      <c r="AS139" s="80" t="s">
        <v>2</v>
      </c>
      <c r="AT139" s="80" t="str">
        <f t="shared" si="90"/>
        <v>X</v>
      </c>
      <c r="AU139" s="80" t="str">
        <f t="shared" si="91"/>
        <v>O</v>
      </c>
      <c r="AV139" s="80" t="str">
        <f t="shared" si="92"/>
        <v>X</v>
      </c>
    </row>
    <row r="140" spans="1:48" s="37" customFormat="1" ht="12" x14ac:dyDescent="0.3">
      <c r="A140" s="75" t="s">
        <v>1456</v>
      </c>
      <c r="B140" s="76" t="s">
        <v>1457</v>
      </c>
      <c r="C140" s="86">
        <v>950</v>
      </c>
      <c r="D140" s="87">
        <v>160</v>
      </c>
      <c r="E140" s="88">
        <v>48</v>
      </c>
      <c r="F140" s="87">
        <v>130.80000000000001</v>
      </c>
      <c r="G140" s="17">
        <v>40</v>
      </c>
      <c r="H140" s="89">
        <v>320</v>
      </c>
      <c r="I140" s="90">
        <v>34000</v>
      </c>
      <c r="J140" s="90" t="s">
        <v>68</v>
      </c>
      <c r="K140" s="90"/>
      <c r="L140" s="90"/>
      <c r="M140" s="91">
        <f t="shared" si="74"/>
        <v>34000</v>
      </c>
      <c r="N140" s="4">
        <f t="shared" si="75"/>
        <v>0</v>
      </c>
      <c r="O140" s="92">
        <f t="shared" si="76"/>
        <v>708.33333333333337</v>
      </c>
      <c r="P140" s="92">
        <f t="shared" si="77"/>
        <v>0</v>
      </c>
      <c r="Q140" s="80">
        <v>4</v>
      </c>
      <c r="R140" s="80">
        <v>2</v>
      </c>
      <c r="S140" s="80" t="s">
        <v>76</v>
      </c>
      <c r="T140" s="5" t="s">
        <v>119</v>
      </c>
      <c r="U140" s="9"/>
      <c r="W140" s="87">
        <f t="shared" si="78"/>
        <v>160</v>
      </c>
      <c r="X140" s="88">
        <f t="shared" si="78"/>
        <v>48</v>
      </c>
      <c r="Y140" s="93">
        <f t="shared" si="79"/>
        <v>320</v>
      </c>
      <c r="Z140" s="91">
        <f t="shared" si="79"/>
        <v>34000</v>
      </c>
      <c r="AA140" s="91">
        <f t="shared" si="80"/>
        <v>0</v>
      </c>
      <c r="AB140" s="91">
        <f t="shared" si="81"/>
        <v>34000</v>
      </c>
      <c r="AC140" s="4">
        <f t="shared" si="81"/>
        <v>0</v>
      </c>
      <c r="AD140" s="92">
        <f t="shared" si="81"/>
        <v>708.33333333333337</v>
      </c>
      <c r="AE140" s="80" t="str">
        <f t="shared" si="82"/>
        <v>복</v>
      </c>
      <c r="AF140" s="80" t="str">
        <f t="shared" si="83"/>
        <v>4/2</v>
      </c>
      <c r="AH140" s="20" t="str">
        <f t="shared" si="73"/>
        <v>미룡동 금광베네스타</v>
      </c>
      <c r="AI140" s="88">
        <f t="shared" si="69"/>
        <v>48</v>
      </c>
      <c r="AJ140" s="80" t="str">
        <f t="shared" si="84"/>
        <v>A-</v>
      </c>
      <c r="AK140" s="80" t="s">
        <v>14</v>
      </c>
      <c r="AL140" s="80" t="s">
        <v>63</v>
      </c>
      <c r="AM140" s="80" t="s">
        <v>64</v>
      </c>
      <c r="AN140" s="80" t="str">
        <f t="shared" si="85"/>
        <v>C</v>
      </c>
      <c r="AO140" s="80" t="str">
        <f t="shared" si="86"/>
        <v>X</v>
      </c>
      <c r="AP140" s="80" t="str">
        <f t="shared" si="87"/>
        <v>O</v>
      </c>
      <c r="AQ140" s="80" t="str">
        <f t="shared" si="88"/>
        <v>O</v>
      </c>
      <c r="AR140" s="80" t="str">
        <f t="shared" si="89"/>
        <v>X</v>
      </c>
      <c r="AS140" s="80" t="s">
        <v>2</v>
      </c>
      <c r="AT140" s="80" t="str">
        <f t="shared" si="90"/>
        <v>X</v>
      </c>
      <c r="AU140" s="80" t="str">
        <f t="shared" si="91"/>
        <v>O</v>
      </c>
      <c r="AV140" s="80" t="str">
        <f t="shared" si="92"/>
        <v>X</v>
      </c>
    </row>
    <row r="141" spans="1:48" s="37" customFormat="1" ht="12" x14ac:dyDescent="0.3">
      <c r="A141" s="75" t="s">
        <v>1456</v>
      </c>
      <c r="B141" s="76" t="s">
        <v>1455</v>
      </c>
      <c r="C141" s="86">
        <v>950</v>
      </c>
      <c r="D141" s="87">
        <v>160</v>
      </c>
      <c r="E141" s="88">
        <v>48</v>
      </c>
      <c r="F141" s="87">
        <v>130.80000000000001</v>
      </c>
      <c r="G141" s="17">
        <v>40</v>
      </c>
      <c r="H141" s="89">
        <v>78</v>
      </c>
      <c r="I141" s="90">
        <v>34000</v>
      </c>
      <c r="J141" s="90" t="s">
        <v>68</v>
      </c>
      <c r="K141" s="90"/>
      <c r="L141" s="90"/>
      <c r="M141" s="91">
        <f t="shared" si="74"/>
        <v>34000</v>
      </c>
      <c r="N141" s="4">
        <f t="shared" si="75"/>
        <v>0</v>
      </c>
      <c r="O141" s="92">
        <f t="shared" si="76"/>
        <v>708.33333333333337</v>
      </c>
      <c r="P141" s="92">
        <f t="shared" si="77"/>
        <v>0</v>
      </c>
      <c r="Q141" s="80">
        <v>4</v>
      </c>
      <c r="R141" s="80">
        <v>2</v>
      </c>
      <c r="S141" s="80" t="s">
        <v>76</v>
      </c>
      <c r="T141" s="5" t="s">
        <v>695</v>
      </c>
      <c r="U141" s="9"/>
      <c r="W141" s="87">
        <f t="shared" si="78"/>
        <v>160</v>
      </c>
      <c r="X141" s="88">
        <f t="shared" si="78"/>
        <v>48</v>
      </c>
      <c r="Y141" s="93">
        <f t="shared" si="79"/>
        <v>78</v>
      </c>
      <c r="Z141" s="91">
        <f t="shared" si="79"/>
        <v>34000</v>
      </c>
      <c r="AA141" s="91">
        <f t="shared" si="80"/>
        <v>0</v>
      </c>
      <c r="AB141" s="91">
        <f t="shared" si="81"/>
        <v>34000</v>
      </c>
      <c r="AC141" s="4">
        <f t="shared" si="81"/>
        <v>0</v>
      </c>
      <c r="AD141" s="92">
        <f t="shared" si="81"/>
        <v>708.33333333333337</v>
      </c>
      <c r="AE141" s="80" t="str">
        <f t="shared" si="82"/>
        <v>복</v>
      </c>
      <c r="AF141" s="80" t="str">
        <f t="shared" si="83"/>
        <v>4/2</v>
      </c>
      <c r="AH141" s="20" t="str">
        <f t="shared" si="73"/>
        <v>미룡동 금광베네스타</v>
      </c>
      <c r="AI141" s="88">
        <f t="shared" si="69"/>
        <v>48</v>
      </c>
      <c r="AJ141" s="80" t="str">
        <f t="shared" si="84"/>
        <v>A-</v>
      </c>
      <c r="AK141" s="80" t="s">
        <v>14</v>
      </c>
      <c r="AL141" s="80" t="s">
        <v>63</v>
      </c>
      <c r="AM141" s="80" t="s">
        <v>64</v>
      </c>
      <c r="AN141" s="80" t="str">
        <f t="shared" si="85"/>
        <v>C</v>
      </c>
      <c r="AO141" s="80" t="str">
        <f t="shared" si="86"/>
        <v>X</v>
      </c>
      <c r="AP141" s="80" t="str">
        <f t="shared" si="87"/>
        <v>O</v>
      </c>
      <c r="AQ141" s="80" t="str">
        <f t="shared" si="88"/>
        <v>O</v>
      </c>
      <c r="AR141" s="80" t="str">
        <f t="shared" si="89"/>
        <v>X</v>
      </c>
      <c r="AS141" s="80" t="s">
        <v>2</v>
      </c>
      <c r="AT141" s="80" t="str">
        <f t="shared" si="90"/>
        <v>X</v>
      </c>
      <c r="AU141" s="80" t="str">
        <f t="shared" si="91"/>
        <v>O</v>
      </c>
      <c r="AV141" s="80" t="str">
        <f t="shared" si="92"/>
        <v>X</v>
      </c>
    </row>
    <row r="142" spans="1:48" s="37" customFormat="1" ht="12" x14ac:dyDescent="0.3">
      <c r="A142" s="75" t="s">
        <v>1456</v>
      </c>
      <c r="B142" s="76" t="s">
        <v>1457</v>
      </c>
      <c r="C142" s="86">
        <v>950</v>
      </c>
      <c r="D142" s="87">
        <v>176.6</v>
      </c>
      <c r="E142" s="88">
        <v>53</v>
      </c>
      <c r="F142" s="87">
        <v>139.80000000000001</v>
      </c>
      <c r="G142" s="17">
        <v>42</v>
      </c>
      <c r="H142" s="89">
        <v>160</v>
      </c>
      <c r="I142" s="90">
        <v>35000</v>
      </c>
      <c r="J142" s="90" t="s">
        <v>71</v>
      </c>
      <c r="K142" s="90"/>
      <c r="L142" s="90"/>
      <c r="M142" s="91">
        <f t="shared" si="74"/>
        <v>35000</v>
      </c>
      <c r="N142" s="4">
        <f t="shared" si="75"/>
        <v>0</v>
      </c>
      <c r="O142" s="92">
        <f t="shared" si="76"/>
        <v>660.37735849056605</v>
      </c>
      <c r="P142" s="92">
        <f t="shared" si="77"/>
        <v>0</v>
      </c>
      <c r="Q142" s="80">
        <v>4</v>
      </c>
      <c r="R142" s="80">
        <v>2</v>
      </c>
      <c r="S142" s="80" t="s">
        <v>76</v>
      </c>
      <c r="T142" s="5">
        <v>176</v>
      </c>
      <c r="U142" s="9"/>
      <c r="W142" s="87">
        <f t="shared" si="78"/>
        <v>176.6</v>
      </c>
      <c r="X142" s="88">
        <f t="shared" si="78"/>
        <v>53</v>
      </c>
      <c r="Y142" s="93">
        <f t="shared" si="79"/>
        <v>160</v>
      </c>
      <c r="Z142" s="91">
        <f t="shared" si="79"/>
        <v>35000</v>
      </c>
      <c r="AA142" s="91">
        <f t="shared" si="80"/>
        <v>0</v>
      </c>
      <c r="AB142" s="91">
        <f t="shared" si="81"/>
        <v>35000</v>
      </c>
      <c r="AC142" s="4">
        <f t="shared" si="81"/>
        <v>0</v>
      </c>
      <c r="AD142" s="92">
        <f t="shared" si="81"/>
        <v>660.37735849056605</v>
      </c>
      <c r="AE142" s="80" t="str">
        <f t="shared" si="82"/>
        <v>복</v>
      </c>
      <c r="AF142" s="80" t="str">
        <f t="shared" si="83"/>
        <v>4/2</v>
      </c>
      <c r="AH142" s="20" t="str">
        <f t="shared" si="73"/>
        <v>미룡동 금광베네스타</v>
      </c>
      <c r="AI142" s="88">
        <f t="shared" si="69"/>
        <v>53</v>
      </c>
      <c r="AJ142" s="80" t="str">
        <f t="shared" si="84"/>
        <v>A-</v>
      </c>
      <c r="AK142" s="80" t="s">
        <v>14</v>
      </c>
      <c r="AL142" s="80" t="s">
        <v>63</v>
      </c>
      <c r="AM142" s="80" t="s">
        <v>64</v>
      </c>
      <c r="AN142" s="80" t="str">
        <f t="shared" si="85"/>
        <v>C</v>
      </c>
      <c r="AO142" s="80" t="str">
        <f t="shared" si="86"/>
        <v>X</v>
      </c>
      <c r="AP142" s="80" t="str">
        <f t="shared" si="87"/>
        <v>O</v>
      </c>
      <c r="AQ142" s="80" t="str">
        <f t="shared" si="88"/>
        <v>O</v>
      </c>
      <c r="AR142" s="80" t="str">
        <f t="shared" si="89"/>
        <v>X</v>
      </c>
      <c r="AS142" s="80" t="s">
        <v>2</v>
      </c>
      <c r="AT142" s="80" t="str">
        <f t="shared" si="90"/>
        <v>X</v>
      </c>
      <c r="AU142" s="80" t="str">
        <f t="shared" si="91"/>
        <v>O</v>
      </c>
      <c r="AV142" s="80" t="str">
        <f t="shared" si="92"/>
        <v>X</v>
      </c>
    </row>
    <row r="143" spans="1:48" s="37" customFormat="1" ht="12" x14ac:dyDescent="0.3">
      <c r="A143" s="75" t="s">
        <v>1456</v>
      </c>
      <c r="B143" s="76" t="s">
        <v>1457</v>
      </c>
      <c r="C143" s="86">
        <v>950</v>
      </c>
      <c r="D143" s="87">
        <v>203.2</v>
      </c>
      <c r="E143" s="88">
        <v>61</v>
      </c>
      <c r="F143" s="87">
        <v>172.2</v>
      </c>
      <c r="G143" s="17">
        <v>52</v>
      </c>
      <c r="H143" s="89">
        <v>40</v>
      </c>
      <c r="I143" s="90">
        <v>45000</v>
      </c>
      <c r="J143" s="90" t="s">
        <v>69</v>
      </c>
      <c r="K143" s="90"/>
      <c r="L143" s="90"/>
      <c r="M143" s="91">
        <f t="shared" si="74"/>
        <v>45000</v>
      </c>
      <c r="N143" s="4">
        <f t="shared" si="75"/>
        <v>0</v>
      </c>
      <c r="O143" s="92">
        <f t="shared" si="76"/>
        <v>737.70491803278685</v>
      </c>
      <c r="P143" s="92">
        <f t="shared" si="77"/>
        <v>0</v>
      </c>
      <c r="Q143" s="80">
        <v>4</v>
      </c>
      <c r="R143" s="80">
        <v>2</v>
      </c>
      <c r="S143" s="80" t="s">
        <v>76</v>
      </c>
      <c r="T143" s="5" t="s">
        <v>112</v>
      </c>
      <c r="U143" s="9"/>
      <c r="W143" s="87">
        <f t="shared" si="78"/>
        <v>203.2</v>
      </c>
      <c r="X143" s="88">
        <f t="shared" si="78"/>
        <v>61</v>
      </c>
      <c r="Y143" s="93">
        <f t="shared" si="79"/>
        <v>40</v>
      </c>
      <c r="Z143" s="91">
        <f t="shared" si="79"/>
        <v>45000</v>
      </c>
      <c r="AA143" s="91">
        <f t="shared" si="80"/>
        <v>0</v>
      </c>
      <c r="AB143" s="91">
        <f t="shared" si="81"/>
        <v>45000</v>
      </c>
      <c r="AC143" s="4">
        <f t="shared" si="81"/>
        <v>0</v>
      </c>
      <c r="AD143" s="92">
        <f t="shared" si="81"/>
        <v>737.70491803278685</v>
      </c>
      <c r="AE143" s="80" t="str">
        <f t="shared" si="82"/>
        <v>복</v>
      </c>
      <c r="AF143" s="80" t="str">
        <f t="shared" si="83"/>
        <v>4/2</v>
      </c>
      <c r="AH143" s="20" t="str">
        <f t="shared" si="73"/>
        <v>미룡동 금광베네스타</v>
      </c>
      <c r="AI143" s="88">
        <f t="shared" si="69"/>
        <v>61</v>
      </c>
      <c r="AJ143" s="80" t="str">
        <f t="shared" si="84"/>
        <v>A-</v>
      </c>
      <c r="AK143" s="80" t="s">
        <v>14</v>
      </c>
      <c r="AL143" s="80" t="s">
        <v>63</v>
      </c>
      <c r="AM143" s="80" t="s">
        <v>64</v>
      </c>
      <c r="AN143" s="80" t="str">
        <f t="shared" si="85"/>
        <v>C</v>
      </c>
      <c r="AO143" s="80" t="str">
        <f t="shared" si="86"/>
        <v>X</v>
      </c>
      <c r="AP143" s="80" t="str">
        <f t="shared" si="87"/>
        <v>O</v>
      </c>
      <c r="AQ143" s="80" t="str">
        <f t="shared" si="88"/>
        <v>O</v>
      </c>
      <c r="AR143" s="80" t="str">
        <f t="shared" si="89"/>
        <v>X</v>
      </c>
      <c r="AS143" s="80" t="s">
        <v>2</v>
      </c>
      <c r="AT143" s="80" t="str">
        <f t="shared" si="90"/>
        <v>X</v>
      </c>
      <c r="AU143" s="80" t="str">
        <f t="shared" si="91"/>
        <v>O</v>
      </c>
      <c r="AV143" s="80" t="str">
        <f t="shared" si="92"/>
        <v>X</v>
      </c>
    </row>
    <row r="144" spans="1:48" s="37" customFormat="1" ht="12" x14ac:dyDescent="0.3">
      <c r="A144" s="75" t="s">
        <v>1456</v>
      </c>
      <c r="B144" s="76" t="s">
        <v>1457</v>
      </c>
      <c r="C144" s="86">
        <v>950</v>
      </c>
      <c r="D144" s="87">
        <v>204.9</v>
      </c>
      <c r="E144" s="88">
        <v>62</v>
      </c>
      <c r="F144" s="87">
        <v>170.7</v>
      </c>
      <c r="G144" s="17">
        <v>52</v>
      </c>
      <c r="H144" s="89">
        <v>39</v>
      </c>
      <c r="I144" s="90">
        <v>45000</v>
      </c>
      <c r="J144" s="90" t="s">
        <v>80</v>
      </c>
      <c r="K144" s="90">
        <v>35000</v>
      </c>
      <c r="L144" s="90" t="s">
        <v>80</v>
      </c>
      <c r="M144" s="91">
        <f t="shared" si="74"/>
        <v>10000</v>
      </c>
      <c r="N144" s="4">
        <f t="shared" si="75"/>
        <v>0.77777777777777779</v>
      </c>
      <c r="O144" s="92">
        <f t="shared" si="76"/>
        <v>725.80645161290317</v>
      </c>
      <c r="P144" s="92">
        <f t="shared" si="77"/>
        <v>564.51612903225805</v>
      </c>
      <c r="Q144" s="80">
        <v>5</v>
      </c>
      <c r="R144" s="80">
        <v>2</v>
      </c>
      <c r="S144" s="80" t="s">
        <v>76</v>
      </c>
      <c r="T144" s="5" t="s">
        <v>696</v>
      </c>
      <c r="U144" s="9"/>
      <c r="W144" s="87">
        <f t="shared" si="78"/>
        <v>204.9</v>
      </c>
      <c r="X144" s="88">
        <f t="shared" si="78"/>
        <v>62</v>
      </c>
      <c r="Y144" s="93">
        <f t="shared" si="79"/>
        <v>39</v>
      </c>
      <c r="Z144" s="91">
        <f t="shared" si="79"/>
        <v>45000</v>
      </c>
      <c r="AA144" s="91">
        <f t="shared" si="80"/>
        <v>35000</v>
      </c>
      <c r="AB144" s="91">
        <f t="shared" si="81"/>
        <v>10000</v>
      </c>
      <c r="AC144" s="4">
        <f t="shared" si="81"/>
        <v>0.77777777777777779</v>
      </c>
      <c r="AD144" s="92">
        <f t="shared" si="81"/>
        <v>725.80645161290317</v>
      </c>
      <c r="AE144" s="80" t="str">
        <f t="shared" si="82"/>
        <v>복</v>
      </c>
      <c r="AF144" s="80" t="str">
        <f t="shared" si="83"/>
        <v>5/2</v>
      </c>
      <c r="AH144" s="20" t="str">
        <f t="shared" si="73"/>
        <v>미룡동 금광베네스타</v>
      </c>
      <c r="AI144" s="88">
        <f t="shared" si="69"/>
        <v>62</v>
      </c>
      <c r="AJ144" s="80" t="str">
        <f t="shared" si="84"/>
        <v>A-</v>
      </c>
      <c r="AK144" s="80" t="s">
        <v>14</v>
      </c>
      <c r="AL144" s="80" t="s">
        <v>63</v>
      </c>
      <c r="AM144" s="80" t="s">
        <v>64</v>
      </c>
      <c r="AN144" s="80" t="str">
        <f t="shared" si="85"/>
        <v>C</v>
      </c>
      <c r="AO144" s="80" t="str">
        <f t="shared" si="86"/>
        <v>X</v>
      </c>
      <c r="AP144" s="80" t="str">
        <f t="shared" si="87"/>
        <v>O</v>
      </c>
      <c r="AQ144" s="80" t="str">
        <f t="shared" si="88"/>
        <v>O</v>
      </c>
      <c r="AR144" s="80" t="str">
        <f t="shared" si="89"/>
        <v>X</v>
      </c>
      <c r="AS144" s="80" t="s">
        <v>2</v>
      </c>
      <c r="AT144" s="80" t="str">
        <f t="shared" si="90"/>
        <v>X</v>
      </c>
      <c r="AU144" s="80" t="str">
        <f t="shared" si="91"/>
        <v>O</v>
      </c>
      <c r="AV144" s="80" t="str">
        <f t="shared" si="92"/>
        <v>X</v>
      </c>
    </row>
    <row r="145" spans="1:48" s="37" customFormat="1" ht="12" x14ac:dyDescent="0.3">
      <c r="A145" s="75" t="s">
        <v>1661</v>
      </c>
      <c r="B145" s="76" t="s">
        <v>1460</v>
      </c>
      <c r="C145" s="86">
        <v>307</v>
      </c>
      <c r="D145" s="87">
        <v>109.8</v>
      </c>
      <c r="E145" s="88">
        <v>33</v>
      </c>
      <c r="F145" s="87">
        <v>85</v>
      </c>
      <c r="G145" s="17">
        <v>26</v>
      </c>
      <c r="H145" s="89">
        <v>50</v>
      </c>
      <c r="I145" s="90"/>
      <c r="J145" s="90"/>
      <c r="K145" s="90"/>
      <c r="L145" s="90"/>
      <c r="M145" s="91">
        <f t="shared" si="74"/>
        <v>0</v>
      </c>
      <c r="N145" s="4" t="str">
        <f t="shared" si="75"/>
        <v/>
      </c>
      <c r="O145" s="92">
        <f t="shared" si="76"/>
        <v>0</v>
      </c>
      <c r="P145" s="92">
        <f t="shared" si="77"/>
        <v>0</v>
      </c>
      <c r="Q145" s="80">
        <v>3</v>
      </c>
      <c r="R145" s="80">
        <v>2</v>
      </c>
      <c r="S145" s="80" t="s">
        <v>76</v>
      </c>
      <c r="T145" s="5">
        <v>109</v>
      </c>
      <c r="U145" s="9"/>
      <c r="W145" s="87">
        <f t="shared" si="78"/>
        <v>109.8</v>
      </c>
      <c r="X145" s="88">
        <f t="shared" si="78"/>
        <v>33</v>
      </c>
      <c r="Y145" s="93">
        <f t="shared" si="79"/>
        <v>50</v>
      </c>
      <c r="Z145" s="91">
        <f t="shared" si="79"/>
        <v>0</v>
      </c>
      <c r="AA145" s="91">
        <f t="shared" si="80"/>
        <v>0</v>
      </c>
      <c r="AB145" s="91">
        <f t="shared" si="81"/>
        <v>0</v>
      </c>
      <c r="AC145" s="4" t="str">
        <f t="shared" si="81"/>
        <v/>
      </c>
      <c r="AD145" s="92">
        <f t="shared" si="81"/>
        <v>0</v>
      </c>
      <c r="AE145" s="80" t="str">
        <f t="shared" si="82"/>
        <v>복</v>
      </c>
      <c r="AF145" s="80" t="str">
        <f t="shared" si="83"/>
        <v>3/2</v>
      </c>
      <c r="AH145" s="20" t="str">
        <f t="shared" si="73"/>
        <v>미룡동 은파롯데캐슬</v>
      </c>
      <c r="AI145" s="88">
        <f t="shared" si="69"/>
        <v>33</v>
      </c>
      <c r="AJ145" s="80" t="str">
        <f t="shared" si="84"/>
        <v>A-</v>
      </c>
      <c r="AK145" s="80" t="s">
        <v>14</v>
      </c>
      <c r="AL145" s="80" t="s">
        <v>63</v>
      </c>
      <c r="AM145" s="80" t="s">
        <v>64</v>
      </c>
      <c r="AN145" s="80" t="str">
        <f t="shared" si="85"/>
        <v>C</v>
      </c>
      <c r="AO145" s="80" t="str">
        <f t="shared" si="86"/>
        <v/>
      </c>
      <c r="AP145" s="80" t="str">
        <f t="shared" si="87"/>
        <v/>
      </c>
      <c r="AQ145" s="80" t="str">
        <f t="shared" si="88"/>
        <v>O</v>
      </c>
      <c r="AR145" s="80" t="str">
        <f t="shared" si="89"/>
        <v>O</v>
      </c>
      <c r="AS145" s="80" t="s">
        <v>2</v>
      </c>
      <c r="AT145" s="80" t="str">
        <f t="shared" si="90"/>
        <v>O</v>
      </c>
      <c r="AU145" s="80" t="str">
        <f t="shared" si="91"/>
        <v>O</v>
      </c>
      <c r="AV145" s="80" t="str">
        <f t="shared" si="92"/>
        <v/>
      </c>
    </row>
    <row r="146" spans="1:48" s="37" customFormat="1" ht="12" x14ac:dyDescent="0.3">
      <c r="A146" s="75" t="s">
        <v>1662</v>
      </c>
      <c r="B146" s="76" t="s">
        <v>1663</v>
      </c>
      <c r="C146" s="86">
        <v>307</v>
      </c>
      <c r="D146" s="87">
        <v>129.9</v>
      </c>
      <c r="E146" s="88">
        <v>39</v>
      </c>
      <c r="F146" s="87">
        <v>102.8</v>
      </c>
      <c r="G146" s="17">
        <v>31</v>
      </c>
      <c r="H146" s="89">
        <v>52</v>
      </c>
      <c r="I146" s="90">
        <v>28000</v>
      </c>
      <c r="J146" s="90" t="s">
        <v>70</v>
      </c>
      <c r="K146" s="90"/>
      <c r="L146" s="90"/>
      <c r="M146" s="91">
        <f t="shared" si="74"/>
        <v>28000</v>
      </c>
      <c r="N146" s="4">
        <f t="shared" si="75"/>
        <v>0</v>
      </c>
      <c r="O146" s="92">
        <f t="shared" si="76"/>
        <v>717.9487179487179</v>
      </c>
      <c r="P146" s="92">
        <f t="shared" si="77"/>
        <v>0</v>
      </c>
      <c r="Q146" s="80">
        <v>3</v>
      </c>
      <c r="R146" s="80">
        <v>2</v>
      </c>
      <c r="S146" s="80" t="s">
        <v>76</v>
      </c>
      <c r="T146" s="5" t="s">
        <v>297</v>
      </c>
      <c r="U146" s="9"/>
      <c r="W146" s="87">
        <f t="shared" si="78"/>
        <v>129.9</v>
      </c>
      <c r="X146" s="88">
        <f t="shared" si="78"/>
        <v>39</v>
      </c>
      <c r="Y146" s="93">
        <f t="shared" si="79"/>
        <v>52</v>
      </c>
      <c r="Z146" s="91">
        <f t="shared" si="79"/>
        <v>28000</v>
      </c>
      <c r="AA146" s="91">
        <f t="shared" si="80"/>
        <v>0</v>
      </c>
      <c r="AB146" s="91">
        <f t="shared" si="81"/>
        <v>28000</v>
      </c>
      <c r="AC146" s="4">
        <f t="shared" si="81"/>
        <v>0</v>
      </c>
      <c r="AD146" s="92">
        <f t="shared" si="81"/>
        <v>717.9487179487179</v>
      </c>
      <c r="AE146" s="80" t="str">
        <f t="shared" si="82"/>
        <v>복</v>
      </c>
      <c r="AF146" s="80" t="str">
        <f t="shared" si="83"/>
        <v>3/2</v>
      </c>
      <c r="AH146" s="20" t="str">
        <f t="shared" si="73"/>
        <v>미룡동 은파롯데캐슬</v>
      </c>
      <c r="AI146" s="88">
        <f t="shared" si="69"/>
        <v>39</v>
      </c>
      <c r="AJ146" s="80" t="str">
        <f t="shared" si="84"/>
        <v>A-</v>
      </c>
      <c r="AK146" s="80" t="s">
        <v>14</v>
      </c>
      <c r="AL146" s="80" t="s">
        <v>63</v>
      </c>
      <c r="AM146" s="80" t="s">
        <v>64</v>
      </c>
      <c r="AN146" s="80" t="str">
        <f t="shared" si="85"/>
        <v>C</v>
      </c>
      <c r="AO146" s="80" t="str">
        <f t="shared" si="86"/>
        <v>X</v>
      </c>
      <c r="AP146" s="80" t="str">
        <f t="shared" si="87"/>
        <v>O</v>
      </c>
      <c r="AQ146" s="80" t="str">
        <f t="shared" si="88"/>
        <v>O</v>
      </c>
      <c r="AR146" s="80" t="str">
        <f t="shared" si="89"/>
        <v>X</v>
      </c>
      <c r="AS146" s="80" t="s">
        <v>2</v>
      </c>
      <c r="AT146" s="80" t="str">
        <f t="shared" si="90"/>
        <v>X</v>
      </c>
      <c r="AU146" s="80" t="str">
        <f t="shared" si="91"/>
        <v>O</v>
      </c>
      <c r="AV146" s="80" t="str">
        <f t="shared" si="92"/>
        <v>X</v>
      </c>
    </row>
    <row r="147" spans="1:48" s="37" customFormat="1" ht="12" x14ac:dyDescent="0.3">
      <c r="A147" s="75" t="s">
        <v>1661</v>
      </c>
      <c r="B147" s="76" t="s">
        <v>1460</v>
      </c>
      <c r="C147" s="86">
        <v>307</v>
      </c>
      <c r="D147" s="87">
        <v>131.5</v>
      </c>
      <c r="E147" s="88">
        <v>40</v>
      </c>
      <c r="F147" s="87">
        <v>104.6</v>
      </c>
      <c r="G147" s="17">
        <v>32</v>
      </c>
      <c r="H147" s="89">
        <v>79</v>
      </c>
      <c r="I147" s="90">
        <v>32000</v>
      </c>
      <c r="J147" s="90" t="s">
        <v>70</v>
      </c>
      <c r="K147" s="90"/>
      <c r="L147" s="90"/>
      <c r="M147" s="91">
        <f t="shared" si="74"/>
        <v>32000</v>
      </c>
      <c r="N147" s="4">
        <f t="shared" si="75"/>
        <v>0</v>
      </c>
      <c r="O147" s="92">
        <f t="shared" si="76"/>
        <v>800</v>
      </c>
      <c r="P147" s="92">
        <f t="shared" si="77"/>
        <v>0</v>
      </c>
      <c r="Q147" s="80">
        <v>3</v>
      </c>
      <c r="R147" s="80">
        <v>2</v>
      </c>
      <c r="S147" s="80" t="s">
        <v>76</v>
      </c>
      <c r="T147" s="5" t="s">
        <v>143</v>
      </c>
      <c r="U147" s="9"/>
      <c r="W147" s="87">
        <f t="shared" si="78"/>
        <v>131.5</v>
      </c>
      <c r="X147" s="88">
        <f t="shared" si="78"/>
        <v>40</v>
      </c>
      <c r="Y147" s="93">
        <f t="shared" si="79"/>
        <v>79</v>
      </c>
      <c r="Z147" s="91">
        <f t="shared" si="79"/>
        <v>32000</v>
      </c>
      <c r="AA147" s="91">
        <f t="shared" si="80"/>
        <v>0</v>
      </c>
      <c r="AB147" s="91">
        <f t="shared" si="81"/>
        <v>32000</v>
      </c>
      <c r="AC147" s="4">
        <f t="shared" si="81"/>
        <v>0</v>
      </c>
      <c r="AD147" s="92">
        <f t="shared" si="81"/>
        <v>800</v>
      </c>
      <c r="AE147" s="80" t="str">
        <f t="shared" si="82"/>
        <v>복</v>
      </c>
      <c r="AF147" s="80" t="str">
        <f t="shared" si="83"/>
        <v>3/2</v>
      </c>
      <c r="AH147" s="20" t="str">
        <f t="shared" si="73"/>
        <v>미룡동 은파롯데캐슬</v>
      </c>
      <c r="AI147" s="88">
        <f t="shared" si="69"/>
        <v>40</v>
      </c>
      <c r="AJ147" s="80" t="str">
        <f t="shared" si="84"/>
        <v>A-</v>
      </c>
      <c r="AK147" s="80" t="s">
        <v>14</v>
      </c>
      <c r="AL147" s="80" t="s">
        <v>63</v>
      </c>
      <c r="AM147" s="80" t="s">
        <v>64</v>
      </c>
      <c r="AN147" s="80" t="str">
        <f t="shared" si="85"/>
        <v>C</v>
      </c>
      <c r="AO147" s="80" t="str">
        <f t="shared" si="86"/>
        <v>X</v>
      </c>
      <c r="AP147" s="80" t="str">
        <f t="shared" si="87"/>
        <v>O</v>
      </c>
      <c r="AQ147" s="80" t="str">
        <f t="shared" si="88"/>
        <v>O</v>
      </c>
      <c r="AR147" s="80" t="str">
        <f t="shared" si="89"/>
        <v>X</v>
      </c>
      <c r="AS147" s="80" t="s">
        <v>2</v>
      </c>
      <c r="AT147" s="80" t="str">
        <f t="shared" si="90"/>
        <v>X</v>
      </c>
      <c r="AU147" s="80" t="str">
        <f t="shared" si="91"/>
        <v>O</v>
      </c>
      <c r="AV147" s="80" t="str">
        <f t="shared" si="92"/>
        <v>X</v>
      </c>
    </row>
    <row r="148" spans="1:48" s="37" customFormat="1" ht="12" x14ac:dyDescent="0.3">
      <c r="A148" s="75" t="s">
        <v>1661</v>
      </c>
      <c r="B148" s="76" t="s">
        <v>1460</v>
      </c>
      <c r="C148" s="86">
        <v>307</v>
      </c>
      <c r="D148" s="87">
        <v>158.30000000000001</v>
      </c>
      <c r="E148" s="88">
        <v>48</v>
      </c>
      <c r="F148" s="87">
        <v>127.2</v>
      </c>
      <c r="G148" s="17">
        <v>38</v>
      </c>
      <c r="H148" s="89">
        <v>77</v>
      </c>
      <c r="I148" s="90">
        <v>34000</v>
      </c>
      <c r="J148" s="90" t="s">
        <v>111</v>
      </c>
      <c r="K148" s="90"/>
      <c r="L148" s="90"/>
      <c r="M148" s="91">
        <f t="shared" si="74"/>
        <v>34000</v>
      </c>
      <c r="N148" s="4">
        <f t="shared" si="75"/>
        <v>0</v>
      </c>
      <c r="O148" s="92">
        <f t="shared" si="76"/>
        <v>708.33333333333337</v>
      </c>
      <c r="P148" s="92">
        <f t="shared" si="77"/>
        <v>0</v>
      </c>
      <c r="Q148" s="80">
        <v>4</v>
      </c>
      <c r="R148" s="80">
        <v>2</v>
      </c>
      <c r="S148" s="80" t="s">
        <v>76</v>
      </c>
      <c r="T148" s="5" t="s">
        <v>122</v>
      </c>
      <c r="U148" s="9"/>
      <c r="W148" s="87">
        <f t="shared" si="78"/>
        <v>158.30000000000001</v>
      </c>
      <c r="X148" s="88">
        <f t="shared" si="78"/>
        <v>48</v>
      </c>
      <c r="Y148" s="93">
        <f t="shared" si="79"/>
        <v>77</v>
      </c>
      <c r="Z148" s="91">
        <f t="shared" si="79"/>
        <v>34000</v>
      </c>
      <c r="AA148" s="91">
        <f t="shared" si="80"/>
        <v>0</v>
      </c>
      <c r="AB148" s="91">
        <f t="shared" si="81"/>
        <v>34000</v>
      </c>
      <c r="AC148" s="4">
        <f t="shared" si="81"/>
        <v>0</v>
      </c>
      <c r="AD148" s="92">
        <f t="shared" si="81"/>
        <v>708.33333333333337</v>
      </c>
      <c r="AE148" s="80" t="str">
        <f t="shared" si="82"/>
        <v>복</v>
      </c>
      <c r="AF148" s="80" t="str">
        <f t="shared" si="83"/>
        <v>4/2</v>
      </c>
      <c r="AH148" s="20" t="str">
        <f t="shared" si="73"/>
        <v>미룡동 은파롯데캐슬</v>
      </c>
      <c r="AI148" s="88">
        <f t="shared" si="69"/>
        <v>48</v>
      </c>
      <c r="AJ148" s="80" t="str">
        <f t="shared" si="84"/>
        <v>A-</v>
      </c>
      <c r="AK148" s="80" t="s">
        <v>14</v>
      </c>
      <c r="AL148" s="80" t="s">
        <v>63</v>
      </c>
      <c r="AM148" s="80" t="s">
        <v>64</v>
      </c>
      <c r="AN148" s="80" t="str">
        <f t="shared" si="85"/>
        <v>C</v>
      </c>
      <c r="AO148" s="80" t="str">
        <f t="shared" si="86"/>
        <v>X</v>
      </c>
      <c r="AP148" s="80" t="str">
        <f t="shared" si="87"/>
        <v>O</v>
      </c>
      <c r="AQ148" s="80" t="str">
        <f t="shared" si="88"/>
        <v>O</v>
      </c>
      <c r="AR148" s="80" t="str">
        <f t="shared" si="89"/>
        <v>X</v>
      </c>
      <c r="AS148" s="80" t="s">
        <v>2</v>
      </c>
      <c r="AT148" s="80" t="str">
        <f t="shared" si="90"/>
        <v>X</v>
      </c>
      <c r="AU148" s="80" t="str">
        <f t="shared" si="91"/>
        <v>O</v>
      </c>
      <c r="AV148" s="80" t="str">
        <f t="shared" si="92"/>
        <v>X</v>
      </c>
    </row>
    <row r="149" spans="1:48" s="37" customFormat="1" ht="12" x14ac:dyDescent="0.3">
      <c r="A149" s="75" t="s">
        <v>1661</v>
      </c>
      <c r="B149" s="76" t="s">
        <v>1460</v>
      </c>
      <c r="C149" s="86">
        <v>307</v>
      </c>
      <c r="D149" s="87">
        <v>158.30000000000001</v>
      </c>
      <c r="E149" s="88">
        <v>48</v>
      </c>
      <c r="F149" s="87">
        <v>125.8</v>
      </c>
      <c r="G149" s="17">
        <v>38</v>
      </c>
      <c r="H149" s="89">
        <v>22</v>
      </c>
      <c r="I149" s="90"/>
      <c r="J149" s="90"/>
      <c r="K149" s="90"/>
      <c r="L149" s="90"/>
      <c r="M149" s="91">
        <f t="shared" si="74"/>
        <v>0</v>
      </c>
      <c r="N149" s="4" t="str">
        <f t="shared" si="75"/>
        <v/>
      </c>
      <c r="O149" s="92">
        <f t="shared" si="76"/>
        <v>0</v>
      </c>
      <c r="P149" s="92">
        <f t="shared" si="77"/>
        <v>0</v>
      </c>
      <c r="Q149" s="80">
        <v>4</v>
      </c>
      <c r="R149" s="80">
        <v>2</v>
      </c>
      <c r="S149" s="80" t="s">
        <v>76</v>
      </c>
      <c r="T149" s="5" t="s">
        <v>707</v>
      </c>
      <c r="U149" s="9"/>
      <c r="W149" s="87">
        <f t="shared" si="78"/>
        <v>158.30000000000001</v>
      </c>
      <c r="X149" s="88">
        <f t="shared" si="78"/>
        <v>48</v>
      </c>
      <c r="Y149" s="93">
        <f t="shared" si="79"/>
        <v>22</v>
      </c>
      <c r="Z149" s="91">
        <f t="shared" si="79"/>
        <v>0</v>
      </c>
      <c r="AA149" s="91">
        <f t="shared" si="80"/>
        <v>0</v>
      </c>
      <c r="AB149" s="91">
        <f t="shared" si="81"/>
        <v>0</v>
      </c>
      <c r="AC149" s="4" t="str">
        <f t="shared" si="81"/>
        <v/>
      </c>
      <c r="AD149" s="92">
        <f t="shared" si="81"/>
        <v>0</v>
      </c>
      <c r="AE149" s="80" t="str">
        <f t="shared" si="82"/>
        <v>복</v>
      </c>
      <c r="AF149" s="80" t="str">
        <f t="shared" si="83"/>
        <v>4/2</v>
      </c>
      <c r="AH149" s="20" t="str">
        <f t="shared" si="73"/>
        <v>미룡동 은파롯데캐슬</v>
      </c>
      <c r="AI149" s="88">
        <f t="shared" si="69"/>
        <v>48</v>
      </c>
      <c r="AJ149" s="80" t="str">
        <f t="shared" si="84"/>
        <v>A-</v>
      </c>
      <c r="AK149" s="80" t="s">
        <v>14</v>
      </c>
      <c r="AL149" s="80" t="s">
        <v>63</v>
      </c>
      <c r="AM149" s="80" t="s">
        <v>64</v>
      </c>
      <c r="AN149" s="80" t="str">
        <f t="shared" si="85"/>
        <v>C</v>
      </c>
      <c r="AO149" s="80" t="str">
        <f t="shared" si="86"/>
        <v/>
      </c>
      <c r="AP149" s="80" t="str">
        <f t="shared" si="87"/>
        <v/>
      </c>
      <c r="AQ149" s="80" t="str">
        <f t="shared" si="88"/>
        <v>O</v>
      </c>
      <c r="AR149" s="80" t="str">
        <f t="shared" si="89"/>
        <v>O</v>
      </c>
      <c r="AS149" s="80" t="s">
        <v>2</v>
      </c>
      <c r="AT149" s="80" t="str">
        <f t="shared" si="90"/>
        <v>X</v>
      </c>
      <c r="AU149" s="80" t="str">
        <f t="shared" si="91"/>
        <v>O</v>
      </c>
      <c r="AV149" s="80" t="str">
        <f t="shared" si="92"/>
        <v/>
      </c>
    </row>
    <row r="150" spans="1:48" s="37" customFormat="1" ht="12" x14ac:dyDescent="0.3">
      <c r="A150" s="75" t="s">
        <v>1661</v>
      </c>
      <c r="B150" s="76" t="s">
        <v>1664</v>
      </c>
      <c r="C150" s="86">
        <v>307</v>
      </c>
      <c r="D150" s="87">
        <v>189.5</v>
      </c>
      <c r="E150" s="88">
        <v>57</v>
      </c>
      <c r="F150" s="87">
        <v>149.5</v>
      </c>
      <c r="G150" s="17">
        <v>45</v>
      </c>
      <c r="H150" s="89">
        <v>26</v>
      </c>
      <c r="I150" s="90"/>
      <c r="J150" s="90"/>
      <c r="K150" s="90"/>
      <c r="L150" s="90"/>
      <c r="M150" s="91">
        <f t="shared" si="74"/>
        <v>0</v>
      </c>
      <c r="N150" s="4" t="str">
        <f t="shared" si="75"/>
        <v/>
      </c>
      <c r="O150" s="92">
        <f t="shared" si="76"/>
        <v>0</v>
      </c>
      <c r="P150" s="92">
        <f t="shared" si="77"/>
        <v>0</v>
      </c>
      <c r="Q150" s="80">
        <v>4</v>
      </c>
      <c r="R150" s="80">
        <v>2</v>
      </c>
      <c r="S150" s="80" t="s">
        <v>76</v>
      </c>
      <c r="T150" s="5">
        <v>189</v>
      </c>
      <c r="U150" s="9"/>
      <c r="W150" s="87">
        <f t="shared" si="78"/>
        <v>189.5</v>
      </c>
      <c r="X150" s="88">
        <f t="shared" si="78"/>
        <v>57</v>
      </c>
      <c r="Y150" s="93">
        <f t="shared" si="79"/>
        <v>26</v>
      </c>
      <c r="Z150" s="91">
        <f t="shared" si="79"/>
        <v>0</v>
      </c>
      <c r="AA150" s="91">
        <f t="shared" si="80"/>
        <v>0</v>
      </c>
      <c r="AB150" s="91">
        <f t="shared" si="81"/>
        <v>0</v>
      </c>
      <c r="AC150" s="4" t="str">
        <f t="shared" si="81"/>
        <v/>
      </c>
      <c r="AD150" s="92">
        <f t="shared" si="81"/>
        <v>0</v>
      </c>
      <c r="AE150" s="80" t="str">
        <f t="shared" si="82"/>
        <v>복</v>
      </c>
      <c r="AF150" s="80" t="str">
        <f t="shared" si="83"/>
        <v>4/2</v>
      </c>
      <c r="AH150" s="20" t="str">
        <f t="shared" si="73"/>
        <v>미룡동 은파롯데캐슬</v>
      </c>
      <c r="AI150" s="88">
        <f t="shared" si="69"/>
        <v>57</v>
      </c>
      <c r="AJ150" s="80" t="str">
        <f t="shared" si="84"/>
        <v>A-</v>
      </c>
      <c r="AK150" s="80" t="s">
        <v>14</v>
      </c>
      <c r="AL150" s="80" t="s">
        <v>63</v>
      </c>
      <c r="AM150" s="80" t="s">
        <v>64</v>
      </c>
      <c r="AN150" s="80" t="str">
        <f t="shared" si="85"/>
        <v>C</v>
      </c>
      <c r="AO150" s="80" t="str">
        <f t="shared" si="86"/>
        <v/>
      </c>
      <c r="AP150" s="80" t="str">
        <f t="shared" si="87"/>
        <v/>
      </c>
      <c r="AQ150" s="80" t="str">
        <f t="shared" si="88"/>
        <v>O</v>
      </c>
      <c r="AR150" s="80" t="str">
        <f t="shared" si="89"/>
        <v>O</v>
      </c>
      <c r="AS150" s="80" t="s">
        <v>2</v>
      </c>
      <c r="AT150" s="80" t="str">
        <f t="shared" si="90"/>
        <v>X</v>
      </c>
      <c r="AU150" s="80" t="str">
        <f t="shared" si="91"/>
        <v>O</v>
      </c>
      <c r="AV150" s="80" t="str">
        <f t="shared" si="92"/>
        <v/>
      </c>
    </row>
    <row r="151" spans="1:48" s="37" customFormat="1" ht="12" x14ac:dyDescent="0.3">
      <c r="A151" s="75" t="s">
        <v>1665</v>
      </c>
      <c r="B151" s="76" t="s">
        <v>1460</v>
      </c>
      <c r="C151" s="86">
        <v>307</v>
      </c>
      <c r="D151" s="87">
        <v>241.3</v>
      </c>
      <c r="E151" s="88">
        <v>73</v>
      </c>
      <c r="F151" s="87">
        <v>194.7</v>
      </c>
      <c r="G151" s="17">
        <v>59</v>
      </c>
      <c r="H151" s="89">
        <v>1</v>
      </c>
      <c r="I151" s="90"/>
      <c r="J151" s="90"/>
      <c r="K151" s="90"/>
      <c r="L151" s="90"/>
      <c r="M151" s="91">
        <f t="shared" si="74"/>
        <v>0</v>
      </c>
      <c r="N151" s="4" t="str">
        <f t="shared" si="75"/>
        <v/>
      </c>
      <c r="O151" s="92">
        <f t="shared" si="76"/>
        <v>0</v>
      </c>
      <c r="P151" s="92">
        <f t="shared" si="77"/>
        <v>0</v>
      </c>
      <c r="Q151" s="80">
        <v>4</v>
      </c>
      <c r="R151" s="80">
        <v>2</v>
      </c>
      <c r="S151" s="80" t="s">
        <v>76</v>
      </c>
      <c r="T151" s="5">
        <v>241</v>
      </c>
      <c r="U151" s="9"/>
      <c r="W151" s="87">
        <f t="shared" si="78"/>
        <v>241.3</v>
      </c>
      <c r="X151" s="88">
        <f t="shared" si="78"/>
        <v>73</v>
      </c>
      <c r="Y151" s="93">
        <f t="shared" si="79"/>
        <v>1</v>
      </c>
      <c r="Z151" s="91">
        <f t="shared" si="79"/>
        <v>0</v>
      </c>
      <c r="AA151" s="91">
        <f t="shared" si="80"/>
        <v>0</v>
      </c>
      <c r="AB151" s="91">
        <f t="shared" si="81"/>
        <v>0</v>
      </c>
      <c r="AC151" s="4" t="str">
        <f t="shared" si="81"/>
        <v/>
      </c>
      <c r="AD151" s="92">
        <f t="shared" si="81"/>
        <v>0</v>
      </c>
      <c r="AE151" s="80" t="str">
        <f t="shared" si="82"/>
        <v>복</v>
      </c>
      <c r="AF151" s="80" t="str">
        <f t="shared" si="83"/>
        <v>4/2</v>
      </c>
      <c r="AH151" s="20" t="str">
        <f t="shared" si="73"/>
        <v>미룡동 은파롯데캐슬</v>
      </c>
      <c r="AI151" s="88">
        <f t="shared" si="69"/>
        <v>73</v>
      </c>
      <c r="AJ151" s="80" t="str">
        <f t="shared" si="84"/>
        <v>A-</v>
      </c>
      <c r="AK151" s="80" t="s">
        <v>14</v>
      </c>
      <c r="AL151" s="80" t="s">
        <v>63</v>
      </c>
      <c r="AM151" s="80" t="s">
        <v>64</v>
      </c>
      <c r="AN151" s="80" t="str">
        <f t="shared" si="85"/>
        <v>C</v>
      </c>
      <c r="AO151" s="80" t="str">
        <f t="shared" si="86"/>
        <v/>
      </c>
      <c r="AP151" s="80" t="str">
        <f t="shared" si="87"/>
        <v/>
      </c>
      <c r="AQ151" s="80" t="str">
        <f t="shared" si="88"/>
        <v>O</v>
      </c>
      <c r="AR151" s="80" t="str">
        <f t="shared" si="89"/>
        <v>O</v>
      </c>
      <c r="AS151" s="80" t="s">
        <v>2</v>
      </c>
      <c r="AT151" s="80" t="str">
        <f t="shared" si="90"/>
        <v>X</v>
      </c>
      <c r="AU151" s="80" t="str">
        <f t="shared" si="91"/>
        <v>O</v>
      </c>
      <c r="AV151" s="80" t="str">
        <f t="shared" si="92"/>
        <v/>
      </c>
    </row>
    <row r="152" spans="1:48" s="37" customFormat="1" ht="12" x14ac:dyDescent="0.3">
      <c r="A152" s="75" t="s">
        <v>1462</v>
      </c>
      <c r="B152" s="76" t="s">
        <v>1461</v>
      </c>
      <c r="C152" s="86">
        <v>1460</v>
      </c>
      <c r="D152" s="87">
        <v>64.3</v>
      </c>
      <c r="E152" s="88">
        <v>19</v>
      </c>
      <c r="F152" s="87">
        <v>49</v>
      </c>
      <c r="G152" s="17">
        <v>15</v>
      </c>
      <c r="H152" s="89">
        <v>36</v>
      </c>
      <c r="I152" s="90"/>
      <c r="J152" s="90"/>
      <c r="K152" s="90"/>
      <c r="L152" s="90"/>
      <c r="M152" s="91">
        <f>I152-K152</f>
        <v>0</v>
      </c>
      <c r="N152" s="4" t="str">
        <f>IF(ISERROR(K152/I152),"",K152/I152)</f>
        <v/>
      </c>
      <c r="O152" s="92">
        <f>I152/E152</f>
        <v>0</v>
      </c>
      <c r="P152" s="92">
        <f>K152/E152</f>
        <v>0</v>
      </c>
      <c r="Q152" s="80">
        <v>2</v>
      </c>
      <c r="R152" s="80">
        <v>1</v>
      </c>
      <c r="S152" s="80" t="s">
        <v>61</v>
      </c>
      <c r="T152" s="5" t="s">
        <v>472</v>
      </c>
      <c r="U152" s="9"/>
      <c r="W152" s="87">
        <f t="shared" ref="W152:X156" si="93">D152</f>
        <v>64.3</v>
      </c>
      <c r="X152" s="88">
        <f t="shared" si="93"/>
        <v>19</v>
      </c>
      <c r="Y152" s="93">
        <f t="shared" ref="Y152:Z156" si="94">H152</f>
        <v>36</v>
      </c>
      <c r="Z152" s="91">
        <f t="shared" si="94"/>
        <v>0</v>
      </c>
      <c r="AA152" s="91">
        <f>K152</f>
        <v>0</v>
      </c>
      <c r="AB152" s="91">
        <f t="shared" ref="AB152:AD167" si="95">M152</f>
        <v>0</v>
      </c>
      <c r="AC152" s="4" t="str">
        <f t="shared" si="95"/>
        <v/>
      </c>
      <c r="AD152" s="92">
        <f t="shared" si="95"/>
        <v>0</v>
      </c>
      <c r="AE152" s="80" t="str">
        <f>S152</f>
        <v>계</v>
      </c>
      <c r="AF152" s="80" t="str">
        <f>Q152&amp;"/"&amp;R152</f>
        <v>2/1</v>
      </c>
      <c r="AH152" s="20" t="str">
        <f t="shared" si="73"/>
        <v>미룡동 미룡주공3단지</v>
      </c>
      <c r="AI152" s="88">
        <f t="shared" si="69"/>
        <v>19</v>
      </c>
      <c r="AJ152" s="80" t="str">
        <f>IF(AI152="","",$AJ$2)</f>
        <v>A-</v>
      </c>
      <c r="AK152" s="80" t="s">
        <v>14</v>
      </c>
      <c r="AL152" s="80" t="s">
        <v>63</v>
      </c>
      <c r="AM152" s="80" t="s">
        <v>64</v>
      </c>
      <c r="AN152" s="80" t="str">
        <f>IF(AI152="","",$AN$2)</f>
        <v>C</v>
      </c>
      <c r="AO152" s="80" t="str">
        <f>IF(N152="","",IF(N152&gt;=$AO$1/100,"O","X"))</f>
        <v/>
      </c>
      <c r="AP152" s="80" t="str">
        <f>IF(I152="","",IF(I152&lt;=$AP$1,"O","X"))</f>
        <v/>
      </c>
      <c r="AQ152" s="80" t="str">
        <f>IF(O152="","",IF(O152&lt;=$AQ$1,"O","X"))</f>
        <v>O</v>
      </c>
      <c r="AR152" s="80" t="str">
        <f>IF(M152="","",IF(M152&lt;=$AR$1,"O","X"))</f>
        <v>O</v>
      </c>
      <c r="AS152" s="80" t="s">
        <v>2</v>
      </c>
      <c r="AT152" s="80" t="str">
        <f>IF(OR(F152="",AI152=""),"",IF(AND((F152&lt;=85),(AI152&gt;=15)),"O","X"))</f>
        <v>O</v>
      </c>
      <c r="AU152" s="80" t="str">
        <f>IF(C152="","",IF(C152&gt;=$AU$1,"O","X"))</f>
        <v>O</v>
      </c>
      <c r="AV152" s="80" t="str">
        <f>IF(AO152="","",IF(AND(AO152="O",AP152="O",AR152="O",AT152="O",AU152="O"),"후보","X"))</f>
        <v/>
      </c>
    </row>
    <row r="153" spans="1:48" s="37" customFormat="1" ht="12" x14ac:dyDescent="0.3">
      <c r="A153" s="75" t="s">
        <v>1666</v>
      </c>
      <c r="B153" s="76" t="s">
        <v>1461</v>
      </c>
      <c r="C153" s="86">
        <v>1460</v>
      </c>
      <c r="D153" s="87">
        <v>65.400000000000006</v>
      </c>
      <c r="E153" s="88">
        <v>20</v>
      </c>
      <c r="F153" s="87">
        <v>49.9</v>
      </c>
      <c r="G153" s="17">
        <v>15</v>
      </c>
      <c r="H153" s="89">
        <v>529</v>
      </c>
      <c r="I153" s="90">
        <v>8000</v>
      </c>
      <c r="J153" s="90" t="s">
        <v>67</v>
      </c>
      <c r="K153" s="90">
        <v>7500</v>
      </c>
      <c r="L153" s="90" t="s">
        <v>69</v>
      </c>
      <c r="M153" s="91">
        <f>I153-K153</f>
        <v>500</v>
      </c>
      <c r="N153" s="4">
        <f>IF(ISERROR(K153/I153),"",K153/I153)</f>
        <v>0.9375</v>
      </c>
      <c r="O153" s="92">
        <f>I153/E153</f>
        <v>400</v>
      </c>
      <c r="P153" s="92">
        <f>K153/E153</f>
        <v>375</v>
      </c>
      <c r="Q153" s="80">
        <v>2</v>
      </c>
      <c r="R153" s="80">
        <v>1</v>
      </c>
      <c r="S153" s="80" t="s">
        <v>61</v>
      </c>
      <c r="T153" s="5" t="s">
        <v>82</v>
      </c>
      <c r="U153" s="9"/>
      <c r="W153" s="87">
        <f t="shared" si="93"/>
        <v>65.400000000000006</v>
      </c>
      <c r="X153" s="88">
        <f t="shared" si="93"/>
        <v>20</v>
      </c>
      <c r="Y153" s="93">
        <f t="shared" si="94"/>
        <v>529</v>
      </c>
      <c r="Z153" s="91">
        <f t="shared" si="94"/>
        <v>8000</v>
      </c>
      <c r="AA153" s="91">
        <f>K153</f>
        <v>7500</v>
      </c>
      <c r="AB153" s="91">
        <f t="shared" si="95"/>
        <v>500</v>
      </c>
      <c r="AC153" s="4">
        <f t="shared" si="95"/>
        <v>0.9375</v>
      </c>
      <c r="AD153" s="92">
        <f t="shared" si="95"/>
        <v>400</v>
      </c>
      <c r="AE153" s="80" t="str">
        <f>S153</f>
        <v>계</v>
      </c>
      <c r="AF153" s="80" t="str">
        <f>Q153&amp;"/"&amp;R153</f>
        <v>2/1</v>
      </c>
      <c r="AH153" s="20" t="str">
        <f t="shared" si="73"/>
        <v>미룡동 미룡주공3단지</v>
      </c>
      <c r="AI153" s="88">
        <f t="shared" si="69"/>
        <v>20</v>
      </c>
      <c r="AJ153" s="80" t="str">
        <f>IF(AI153="","",$AJ$2)</f>
        <v>A-</v>
      </c>
      <c r="AK153" s="80" t="s">
        <v>14</v>
      </c>
      <c r="AL153" s="80" t="s">
        <v>63</v>
      </c>
      <c r="AM153" s="80" t="s">
        <v>64</v>
      </c>
      <c r="AN153" s="80" t="str">
        <f>IF(AI153="","",$AN$2)</f>
        <v>C</v>
      </c>
      <c r="AO153" s="80" t="str">
        <f>IF(N153="","",IF(N153&gt;=$AO$1/100,"O","X"))</f>
        <v>O</v>
      </c>
      <c r="AP153" s="80" t="str">
        <f>IF(I153="","",IF(I153&lt;=$AP$1,"O","X"))</f>
        <v>O</v>
      </c>
      <c r="AQ153" s="80" t="str">
        <f>IF(O153="","",IF(O153&lt;=$AQ$1,"O","X"))</f>
        <v>O</v>
      </c>
      <c r="AR153" s="80" t="str">
        <f>IF(M153="","",IF(M153&lt;=$AR$1,"O","X"))</f>
        <v>O</v>
      </c>
      <c r="AS153" s="80" t="s">
        <v>2</v>
      </c>
      <c r="AT153" s="80" t="str">
        <f>IF(OR(F153="",AI153=""),"",IF(AND((F153&lt;=85),(AI153&gt;=15)),"O","X"))</f>
        <v>O</v>
      </c>
      <c r="AU153" s="80" t="str">
        <f>IF(C153="","",IF(C153&gt;=$AU$1,"O","X"))</f>
        <v>O</v>
      </c>
      <c r="AV153" s="80" t="str">
        <f>IF(AO153="","",IF(AND(AO153="O",AP153="O",AR153="O",AT153="O",AU153="O"),"후보","X"))</f>
        <v>후보</v>
      </c>
    </row>
    <row r="154" spans="1:48" s="37" customFormat="1" ht="12" x14ac:dyDescent="0.3">
      <c r="A154" s="75" t="s">
        <v>1462</v>
      </c>
      <c r="B154" s="76" t="s">
        <v>1667</v>
      </c>
      <c r="C154" s="86">
        <v>1460</v>
      </c>
      <c r="D154" s="87">
        <v>65</v>
      </c>
      <c r="E154" s="88">
        <v>20</v>
      </c>
      <c r="F154" s="87">
        <v>49.6</v>
      </c>
      <c r="G154" s="17">
        <v>15</v>
      </c>
      <c r="H154" s="89">
        <v>55</v>
      </c>
      <c r="I154" s="90">
        <v>8200</v>
      </c>
      <c r="J154" s="90" t="s">
        <v>68</v>
      </c>
      <c r="K154" s="90"/>
      <c r="L154" s="90"/>
      <c r="M154" s="91">
        <f>I154-K154</f>
        <v>8200</v>
      </c>
      <c r="N154" s="4">
        <f>IF(ISERROR(K154/I154),"",K154/I154)</f>
        <v>0</v>
      </c>
      <c r="O154" s="92">
        <f>I154/E154</f>
        <v>410</v>
      </c>
      <c r="P154" s="92">
        <f>K154/E154</f>
        <v>0</v>
      </c>
      <c r="Q154" s="80">
        <v>2</v>
      </c>
      <c r="R154" s="80">
        <v>1</v>
      </c>
      <c r="S154" s="80" t="s">
        <v>61</v>
      </c>
      <c r="T154" s="5" t="s">
        <v>127</v>
      </c>
      <c r="U154" s="9"/>
      <c r="W154" s="87">
        <f t="shared" si="93"/>
        <v>65</v>
      </c>
      <c r="X154" s="88">
        <f t="shared" si="93"/>
        <v>20</v>
      </c>
      <c r="Y154" s="93">
        <f t="shared" si="94"/>
        <v>55</v>
      </c>
      <c r="Z154" s="91">
        <f t="shared" si="94"/>
        <v>8200</v>
      </c>
      <c r="AA154" s="91">
        <f>K154</f>
        <v>0</v>
      </c>
      <c r="AB154" s="91">
        <f t="shared" si="95"/>
        <v>8200</v>
      </c>
      <c r="AC154" s="4">
        <f t="shared" si="95"/>
        <v>0</v>
      </c>
      <c r="AD154" s="92">
        <f t="shared" si="95"/>
        <v>410</v>
      </c>
      <c r="AE154" s="80" t="str">
        <f>S154</f>
        <v>계</v>
      </c>
      <c r="AF154" s="80" t="str">
        <f>Q154&amp;"/"&amp;R154</f>
        <v>2/1</v>
      </c>
      <c r="AH154" s="20" t="str">
        <f t="shared" si="73"/>
        <v>미룡동 미룡주공3단지</v>
      </c>
      <c r="AI154" s="88">
        <f t="shared" si="69"/>
        <v>20</v>
      </c>
      <c r="AJ154" s="80" t="str">
        <f>IF(AI154="","",$AJ$2)</f>
        <v>A-</v>
      </c>
      <c r="AK154" s="80" t="s">
        <v>14</v>
      </c>
      <c r="AL154" s="80" t="s">
        <v>63</v>
      </c>
      <c r="AM154" s="80" t="s">
        <v>64</v>
      </c>
      <c r="AN154" s="80" t="str">
        <f>IF(AI154="","",$AN$2)</f>
        <v>C</v>
      </c>
      <c r="AO154" s="80" t="str">
        <f>IF(N154="","",IF(N154&gt;=$AO$1/100,"O","X"))</f>
        <v>X</v>
      </c>
      <c r="AP154" s="80" t="str">
        <f>IF(I154="","",IF(I154&lt;=$AP$1,"O","X"))</f>
        <v>O</v>
      </c>
      <c r="AQ154" s="80" t="str">
        <f>IF(O154="","",IF(O154&lt;=$AQ$1,"O","X"))</f>
        <v>O</v>
      </c>
      <c r="AR154" s="80" t="str">
        <f>IF(M154="","",IF(M154&lt;=$AR$1,"O","X"))</f>
        <v>X</v>
      </c>
      <c r="AS154" s="80" t="s">
        <v>2</v>
      </c>
      <c r="AT154" s="80" t="str">
        <f>IF(OR(F154="",AI154=""),"",IF(AND((F154&lt;=85),(AI154&gt;=15)),"O","X"))</f>
        <v>O</v>
      </c>
      <c r="AU154" s="80" t="str">
        <f>IF(C154="","",IF(C154&gt;=$AU$1,"O","X"))</f>
        <v>O</v>
      </c>
      <c r="AV154" s="80" t="str">
        <f>IF(AO154="","",IF(AND(AO154="O",AP154="O",AR154="O",AT154="O",AU154="O"),"후보","X"))</f>
        <v>X</v>
      </c>
    </row>
    <row r="155" spans="1:48" s="37" customFormat="1" ht="12" x14ac:dyDescent="0.3">
      <c r="A155" s="75" t="s">
        <v>1668</v>
      </c>
      <c r="B155" s="76" t="s">
        <v>1669</v>
      </c>
      <c r="C155" s="86">
        <v>1460</v>
      </c>
      <c r="D155" s="87">
        <v>77.900000000000006</v>
      </c>
      <c r="E155" s="88">
        <v>24</v>
      </c>
      <c r="F155" s="87">
        <v>59.4</v>
      </c>
      <c r="G155" s="17">
        <v>18</v>
      </c>
      <c r="H155" s="89">
        <v>759</v>
      </c>
      <c r="I155" s="90">
        <v>12000</v>
      </c>
      <c r="J155" s="90" t="s">
        <v>80</v>
      </c>
      <c r="K155" s="90">
        <v>11500</v>
      </c>
      <c r="L155" s="90" t="s">
        <v>60</v>
      </c>
      <c r="M155" s="91">
        <f>I155-K155</f>
        <v>500</v>
      </c>
      <c r="N155" s="4">
        <f>IF(ISERROR(K155/I155),"",K155/I155)</f>
        <v>0.95833333333333337</v>
      </c>
      <c r="O155" s="92">
        <f>I155/E155</f>
        <v>500</v>
      </c>
      <c r="P155" s="92">
        <f>K155/E155</f>
        <v>479.16666666666669</v>
      </c>
      <c r="Q155" s="80">
        <v>3</v>
      </c>
      <c r="R155" s="80">
        <v>1</v>
      </c>
      <c r="S155" s="80" t="s">
        <v>61</v>
      </c>
      <c r="T155" s="5" t="s">
        <v>83</v>
      </c>
      <c r="U155" s="9"/>
      <c r="W155" s="87">
        <f t="shared" si="93"/>
        <v>77.900000000000006</v>
      </c>
      <c r="X155" s="88">
        <f t="shared" si="93"/>
        <v>24</v>
      </c>
      <c r="Y155" s="93">
        <f t="shared" si="94"/>
        <v>759</v>
      </c>
      <c r="Z155" s="91">
        <f t="shared" si="94"/>
        <v>12000</v>
      </c>
      <c r="AA155" s="91">
        <f>K155</f>
        <v>11500</v>
      </c>
      <c r="AB155" s="91">
        <f t="shared" si="95"/>
        <v>500</v>
      </c>
      <c r="AC155" s="4">
        <f t="shared" si="95"/>
        <v>0.95833333333333337</v>
      </c>
      <c r="AD155" s="92">
        <f t="shared" si="95"/>
        <v>500</v>
      </c>
      <c r="AE155" s="80" t="str">
        <f>S155</f>
        <v>계</v>
      </c>
      <c r="AF155" s="80" t="str">
        <f>Q155&amp;"/"&amp;R155</f>
        <v>3/1</v>
      </c>
      <c r="AH155" s="20" t="str">
        <f t="shared" si="73"/>
        <v>미룡동 미룡주공3단지</v>
      </c>
      <c r="AI155" s="88">
        <f t="shared" si="69"/>
        <v>24</v>
      </c>
      <c r="AJ155" s="80" t="str">
        <f>IF(AI155="","",$AJ$2)</f>
        <v>A-</v>
      </c>
      <c r="AK155" s="80" t="s">
        <v>14</v>
      </c>
      <c r="AL155" s="80" t="s">
        <v>63</v>
      </c>
      <c r="AM155" s="80" t="s">
        <v>64</v>
      </c>
      <c r="AN155" s="80" t="str">
        <f>IF(AI155="","",$AN$2)</f>
        <v>C</v>
      </c>
      <c r="AO155" s="80" t="str">
        <f>IF(N155="","",IF(N155&gt;=$AO$1/100,"O","X"))</f>
        <v>O</v>
      </c>
      <c r="AP155" s="80" t="str">
        <f>IF(I155="","",IF(I155&lt;=$AP$1,"O","X"))</f>
        <v>O</v>
      </c>
      <c r="AQ155" s="80" t="str">
        <f>IF(O155="","",IF(O155&lt;=$AQ$1,"O","X"))</f>
        <v>O</v>
      </c>
      <c r="AR155" s="80" t="str">
        <f>IF(M155="","",IF(M155&lt;=$AR$1,"O","X"))</f>
        <v>O</v>
      </c>
      <c r="AS155" s="80" t="s">
        <v>2</v>
      </c>
      <c r="AT155" s="80" t="str">
        <f>IF(OR(F155="",AI155=""),"",IF(AND((F155&lt;=85),(AI155&gt;=15)),"O","X"))</f>
        <v>O</v>
      </c>
      <c r="AU155" s="80" t="str">
        <f>IF(C155="","",IF(C155&gt;=$AU$1,"O","X"))</f>
        <v>O</v>
      </c>
      <c r="AV155" s="80" t="str">
        <f>IF(AO155="","",IF(AND(AO155="O",AP155="O",AR155="O",AT155="O",AU155="O"),"후보","X"))</f>
        <v>후보</v>
      </c>
    </row>
    <row r="156" spans="1:48" s="37" customFormat="1" ht="12" x14ac:dyDescent="0.3">
      <c r="A156" s="75" t="s">
        <v>1462</v>
      </c>
      <c r="B156" s="76" t="s">
        <v>1461</v>
      </c>
      <c r="C156" s="86">
        <v>1460</v>
      </c>
      <c r="D156" s="87">
        <v>77.599999999999994</v>
      </c>
      <c r="E156" s="88">
        <v>23</v>
      </c>
      <c r="F156" s="87">
        <v>59.2</v>
      </c>
      <c r="G156" s="17">
        <v>18</v>
      </c>
      <c r="H156" s="89">
        <v>81</v>
      </c>
      <c r="I156" s="90"/>
      <c r="J156" s="90"/>
      <c r="K156" s="90"/>
      <c r="L156" s="90"/>
      <c r="M156" s="91">
        <f>I156-K156</f>
        <v>0</v>
      </c>
      <c r="N156" s="4" t="str">
        <f>IF(ISERROR(K156/I156),"",K156/I156)</f>
        <v/>
      </c>
      <c r="O156" s="92">
        <f>I156/E156</f>
        <v>0</v>
      </c>
      <c r="P156" s="92">
        <f>K156/E156</f>
        <v>0</v>
      </c>
      <c r="Q156" s="80">
        <v>3</v>
      </c>
      <c r="R156" s="80">
        <v>1</v>
      </c>
      <c r="S156" s="80" t="s">
        <v>61</v>
      </c>
      <c r="T156" s="5" t="s">
        <v>147</v>
      </c>
      <c r="U156" s="9"/>
      <c r="W156" s="87">
        <f t="shared" si="93"/>
        <v>77.599999999999994</v>
      </c>
      <c r="X156" s="88">
        <f t="shared" si="93"/>
        <v>23</v>
      </c>
      <c r="Y156" s="93">
        <f t="shared" si="94"/>
        <v>81</v>
      </c>
      <c r="Z156" s="91">
        <f t="shared" si="94"/>
        <v>0</v>
      </c>
      <c r="AA156" s="91">
        <f>K156</f>
        <v>0</v>
      </c>
      <c r="AB156" s="91">
        <f t="shared" si="95"/>
        <v>0</v>
      </c>
      <c r="AC156" s="4" t="str">
        <f t="shared" si="95"/>
        <v/>
      </c>
      <c r="AD156" s="92">
        <f t="shared" si="95"/>
        <v>0</v>
      </c>
      <c r="AE156" s="80" t="str">
        <f>S156</f>
        <v>계</v>
      </c>
      <c r="AF156" s="80" t="str">
        <f>Q156&amp;"/"&amp;R156</f>
        <v>3/1</v>
      </c>
      <c r="AH156" s="20" t="str">
        <f t="shared" si="73"/>
        <v>미룡동 미룡주공3단지</v>
      </c>
      <c r="AI156" s="88">
        <f t="shared" si="69"/>
        <v>23</v>
      </c>
      <c r="AJ156" s="80" t="str">
        <f>IF(AI156="","",$AJ$2)</f>
        <v>A-</v>
      </c>
      <c r="AK156" s="80" t="s">
        <v>14</v>
      </c>
      <c r="AL156" s="80" t="s">
        <v>63</v>
      </c>
      <c r="AM156" s="80" t="s">
        <v>64</v>
      </c>
      <c r="AN156" s="80" t="str">
        <f>IF(AI156="","",$AN$2)</f>
        <v>C</v>
      </c>
      <c r="AO156" s="80" t="str">
        <f>IF(N156="","",IF(N156&gt;=$AO$1/100,"O","X"))</f>
        <v/>
      </c>
      <c r="AP156" s="80" t="str">
        <f>IF(I156="","",IF(I156&lt;=$AP$1,"O","X"))</f>
        <v/>
      </c>
      <c r="AQ156" s="80" t="str">
        <f>IF(O156="","",IF(O156&lt;=$AQ$1,"O","X"))</f>
        <v>O</v>
      </c>
      <c r="AR156" s="80" t="str">
        <f>IF(M156="","",IF(M156&lt;=$AR$1,"O","X"))</f>
        <v>O</v>
      </c>
      <c r="AS156" s="80" t="s">
        <v>2</v>
      </c>
      <c r="AT156" s="80" t="str">
        <f>IF(OR(F156="",AI156=""),"",IF(AND((F156&lt;=85),(AI156&gt;=15)),"O","X"))</f>
        <v>O</v>
      </c>
      <c r="AU156" s="80" t="str">
        <f>IF(C156="","",IF(C156&gt;=$AU$1,"O","X"))</f>
        <v>O</v>
      </c>
      <c r="AV156" s="80" t="str">
        <f>IF(AO156="","",IF(AND(AO156="O",AP156="O",AR156="O",AT156="O",AU156="O"),"후보","X"))</f>
        <v/>
      </c>
    </row>
    <row r="157" spans="1:48" s="37" customFormat="1" ht="12" x14ac:dyDescent="0.3">
      <c r="A157" s="75" t="s">
        <v>1670</v>
      </c>
      <c r="B157" s="76" t="s">
        <v>1466</v>
      </c>
      <c r="C157" s="86">
        <v>346</v>
      </c>
      <c r="D157" s="87">
        <v>45.2</v>
      </c>
      <c r="E157" s="88">
        <v>14</v>
      </c>
      <c r="F157" s="87">
        <v>32.799999999999997</v>
      </c>
      <c r="G157" s="17">
        <v>10</v>
      </c>
      <c r="H157" s="89">
        <v>12</v>
      </c>
      <c r="I157" s="90"/>
      <c r="J157" s="90"/>
      <c r="K157" s="90"/>
      <c r="L157" s="90"/>
      <c r="M157" s="91">
        <f>I157-K157</f>
        <v>0</v>
      </c>
      <c r="N157" s="4" t="str">
        <f>IF(ISERROR(K157/I157),"",K157/I157)</f>
        <v/>
      </c>
      <c r="O157" s="92">
        <f>I157/E157</f>
        <v>0</v>
      </c>
      <c r="P157" s="92">
        <f>K157/E157</f>
        <v>0</v>
      </c>
      <c r="Q157" s="80">
        <v>2</v>
      </c>
      <c r="R157" s="80">
        <v>1</v>
      </c>
      <c r="S157" s="80" t="s">
        <v>61</v>
      </c>
      <c r="T157" s="5">
        <v>45</v>
      </c>
      <c r="U157" s="9"/>
      <c r="W157" s="87">
        <f>D157</f>
        <v>45.2</v>
      </c>
      <c r="X157" s="88">
        <f>E157</f>
        <v>14</v>
      </c>
      <c r="Y157" s="93">
        <f>H157</f>
        <v>12</v>
      </c>
      <c r="Z157" s="91">
        <f>I157</f>
        <v>0</v>
      </c>
      <c r="AA157" s="91">
        <f>K157</f>
        <v>0</v>
      </c>
      <c r="AB157" s="91">
        <f t="shared" si="95"/>
        <v>0</v>
      </c>
      <c r="AC157" s="4" t="str">
        <f t="shared" si="95"/>
        <v/>
      </c>
      <c r="AD157" s="92">
        <f t="shared" si="95"/>
        <v>0</v>
      </c>
      <c r="AE157" s="80" t="str">
        <f>S157</f>
        <v>계</v>
      </c>
      <c r="AF157" s="80" t="str">
        <f>Q157&amp;"/"&amp;R157</f>
        <v>2/1</v>
      </c>
      <c r="AH157" s="20" t="str">
        <f t="shared" si="73"/>
        <v>미룡동 산북부향하나로3차</v>
      </c>
      <c r="AI157" s="88">
        <f t="shared" si="69"/>
        <v>14</v>
      </c>
      <c r="AJ157" s="80" t="str">
        <f>IF(AI157="","",$AJ$2)</f>
        <v>A-</v>
      </c>
      <c r="AK157" s="80" t="s">
        <v>14</v>
      </c>
      <c r="AL157" s="80" t="s">
        <v>63</v>
      </c>
      <c r="AM157" s="80" t="s">
        <v>64</v>
      </c>
      <c r="AN157" s="80" t="str">
        <f>IF(AI157="","",$AN$2)</f>
        <v>C</v>
      </c>
      <c r="AO157" s="80" t="str">
        <f>IF(N157="","",IF(N157&gt;=$AO$1/100,"O","X"))</f>
        <v/>
      </c>
      <c r="AP157" s="80" t="str">
        <f>IF(I157="","",IF(I157&lt;=$AP$1,"O","X"))</f>
        <v/>
      </c>
      <c r="AQ157" s="80" t="str">
        <f>IF(O157="","",IF(O157&lt;=$AQ$1,"O","X"))</f>
        <v>O</v>
      </c>
      <c r="AR157" s="80" t="str">
        <f>IF(M157="","",IF(M157&lt;=$AR$1,"O","X"))</f>
        <v>O</v>
      </c>
      <c r="AS157" s="80" t="s">
        <v>2</v>
      </c>
      <c r="AT157" s="80" t="str">
        <f>IF(OR(F157="",AI157=""),"",IF(AND((F157&lt;=85),(AI157&gt;=15)),"O","X"))</f>
        <v>X</v>
      </c>
      <c r="AU157" s="80" t="str">
        <f>IF(C157="","",IF(C157&gt;=$AU$1,"O","X"))</f>
        <v>O</v>
      </c>
      <c r="AV157" s="80" t="str">
        <f>IF(AO157="","",IF(AND(AO157="O",AP157="O",AR157="O",AT157="O",AU157="O"),"후보","X"))</f>
        <v/>
      </c>
    </row>
    <row r="158" spans="1:48" s="37" customFormat="1" ht="12" x14ac:dyDescent="0.3">
      <c r="A158" s="75" t="s">
        <v>1671</v>
      </c>
      <c r="B158" s="76" t="s">
        <v>1466</v>
      </c>
      <c r="C158" s="86">
        <v>346</v>
      </c>
      <c r="D158" s="87">
        <v>55.1</v>
      </c>
      <c r="E158" s="88">
        <v>17</v>
      </c>
      <c r="F158" s="87">
        <v>40</v>
      </c>
      <c r="G158" s="17">
        <v>12</v>
      </c>
      <c r="H158" s="89">
        <v>334</v>
      </c>
      <c r="I158" s="90"/>
      <c r="J158" s="90"/>
      <c r="K158" s="90"/>
      <c r="L158" s="90"/>
      <c r="M158" s="91">
        <f>I158-K158</f>
        <v>0</v>
      </c>
      <c r="N158" s="4" t="str">
        <f>IF(ISERROR(K158/I158),"",K158/I158)</f>
        <v/>
      </c>
      <c r="O158" s="92">
        <f>I158/E158</f>
        <v>0</v>
      </c>
      <c r="P158" s="92">
        <f>K158/E158</f>
        <v>0</v>
      </c>
      <c r="Q158" s="80">
        <v>2</v>
      </c>
      <c r="R158" s="80">
        <v>1</v>
      </c>
      <c r="S158" s="80" t="s">
        <v>61</v>
      </c>
      <c r="T158" s="5">
        <v>55</v>
      </c>
      <c r="U158" s="9"/>
      <c r="W158" s="87">
        <f>D158</f>
        <v>55.1</v>
      </c>
      <c r="X158" s="88">
        <f>E158</f>
        <v>17</v>
      </c>
      <c r="Y158" s="93">
        <f>H158</f>
        <v>334</v>
      </c>
      <c r="Z158" s="91">
        <f>I158</f>
        <v>0</v>
      </c>
      <c r="AA158" s="91">
        <f>K158</f>
        <v>0</v>
      </c>
      <c r="AB158" s="91">
        <f t="shared" si="95"/>
        <v>0</v>
      </c>
      <c r="AC158" s="4" t="str">
        <f t="shared" si="95"/>
        <v/>
      </c>
      <c r="AD158" s="92">
        <f t="shared" si="95"/>
        <v>0</v>
      </c>
      <c r="AE158" s="80" t="str">
        <f>S158</f>
        <v>계</v>
      </c>
      <c r="AF158" s="80" t="str">
        <f>Q158&amp;"/"&amp;R158</f>
        <v>2/1</v>
      </c>
      <c r="AH158" s="20" t="str">
        <f t="shared" si="73"/>
        <v>미룡동 산북부향하나로3차</v>
      </c>
      <c r="AI158" s="88">
        <f t="shared" si="69"/>
        <v>17</v>
      </c>
      <c r="AJ158" s="80" t="str">
        <f>IF(AI158="","",$AJ$2)</f>
        <v>A-</v>
      </c>
      <c r="AK158" s="80" t="s">
        <v>14</v>
      </c>
      <c r="AL158" s="80" t="s">
        <v>63</v>
      </c>
      <c r="AM158" s="80" t="s">
        <v>64</v>
      </c>
      <c r="AN158" s="80" t="str">
        <f>IF(AI158="","",$AN$2)</f>
        <v>C</v>
      </c>
      <c r="AO158" s="80" t="str">
        <f>IF(N158="","",IF(N158&gt;=$AO$1/100,"O","X"))</f>
        <v/>
      </c>
      <c r="AP158" s="80" t="str">
        <f>IF(I158="","",IF(I158&lt;=$AP$1,"O","X"))</f>
        <v/>
      </c>
      <c r="AQ158" s="80" t="str">
        <f>IF(O158="","",IF(O158&lt;=$AQ$1,"O","X"))</f>
        <v>O</v>
      </c>
      <c r="AR158" s="80" t="str">
        <f>IF(M158="","",IF(M158&lt;=$AR$1,"O","X"))</f>
        <v>O</v>
      </c>
      <c r="AS158" s="80" t="s">
        <v>2</v>
      </c>
      <c r="AT158" s="80" t="str">
        <f>IF(OR(F158="",AI158=""),"",IF(AND((F158&lt;=85),(AI158&gt;=15)),"O","X"))</f>
        <v>O</v>
      </c>
      <c r="AU158" s="80" t="str">
        <f>IF(C158="","",IF(C158&gt;=$AU$1,"O","X"))</f>
        <v>O</v>
      </c>
      <c r="AV158" s="80" t="str">
        <f>IF(AO158="","",IF(AND(AO158="O",AP158="O",AR158="O",AT158="O",AU158="O"),"후보","X"))</f>
        <v/>
      </c>
    </row>
    <row r="159" spans="1:48" s="37" customFormat="1" ht="12" x14ac:dyDescent="0.3">
      <c r="A159" s="75" t="s">
        <v>1602</v>
      </c>
      <c r="B159" s="76" t="s">
        <v>1470</v>
      </c>
      <c r="C159" s="86">
        <v>317</v>
      </c>
      <c r="D159" s="87">
        <v>115.9</v>
      </c>
      <c r="E159" s="88">
        <v>35</v>
      </c>
      <c r="F159" s="87">
        <v>84.9</v>
      </c>
      <c r="G159" s="17">
        <v>26</v>
      </c>
      <c r="H159" s="89">
        <v>233</v>
      </c>
      <c r="I159" s="90"/>
      <c r="J159" s="90"/>
      <c r="K159" s="90"/>
      <c r="L159" s="90"/>
      <c r="M159" s="91">
        <f>I159-K159</f>
        <v>0</v>
      </c>
      <c r="N159" s="4" t="str">
        <f>IF(ISERROR(K159/I159),"",K159/I159)</f>
        <v/>
      </c>
      <c r="O159" s="92">
        <f>I159/E159</f>
        <v>0</v>
      </c>
      <c r="P159" s="92">
        <f>K159/E159</f>
        <v>0</v>
      </c>
      <c r="Q159" s="80">
        <v>3</v>
      </c>
      <c r="R159" s="80">
        <v>2</v>
      </c>
      <c r="S159" s="80" t="s">
        <v>61</v>
      </c>
      <c r="T159" s="5">
        <v>115</v>
      </c>
      <c r="U159" s="9"/>
      <c r="W159" s="87">
        <f>D159</f>
        <v>115.9</v>
      </c>
      <c r="X159" s="88">
        <f>E159</f>
        <v>35</v>
      </c>
      <c r="Y159" s="93">
        <f>H159</f>
        <v>233</v>
      </c>
      <c r="Z159" s="91">
        <f>I159</f>
        <v>0</v>
      </c>
      <c r="AA159" s="91">
        <f>K159</f>
        <v>0</v>
      </c>
      <c r="AB159" s="91">
        <f t="shared" si="95"/>
        <v>0</v>
      </c>
      <c r="AC159" s="4" t="str">
        <f t="shared" si="95"/>
        <v/>
      </c>
      <c r="AD159" s="92">
        <f t="shared" si="95"/>
        <v>0</v>
      </c>
      <c r="AE159" s="80" t="str">
        <f>S159</f>
        <v>계</v>
      </c>
      <c r="AF159" s="80" t="str">
        <f>Q159&amp;"/"&amp;R159</f>
        <v>3/2</v>
      </c>
      <c r="AH159" s="20" t="str">
        <f t="shared" si="73"/>
        <v>미룡동 은파리젠시빌파크</v>
      </c>
      <c r="AI159" s="88">
        <f t="shared" si="69"/>
        <v>35</v>
      </c>
      <c r="AJ159" s="80" t="str">
        <f>IF(AI159="","",$AJ$2)</f>
        <v>A-</v>
      </c>
      <c r="AK159" s="80" t="s">
        <v>14</v>
      </c>
      <c r="AL159" s="80" t="s">
        <v>63</v>
      </c>
      <c r="AM159" s="80" t="s">
        <v>64</v>
      </c>
      <c r="AN159" s="80" t="str">
        <f>IF(AI159="","",$AN$2)</f>
        <v>C</v>
      </c>
      <c r="AO159" s="80" t="str">
        <f>IF(N159="","",IF(N159&gt;=$AO$1/100,"O","X"))</f>
        <v/>
      </c>
      <c r="AP159" s="80" t="str">
        <f>IF(I159="","",IF(I159&lt;=$AP$1,"O","X"))</f>
        <v/>
      </c>
      <c r="AQ159" s="80" t="str">
        <f>IF(O159="","",IF(O159&lt;=$AQ$1,"O","X"))</f>
        <v>O</v>
      </c>
      <c r="AR159" s="80" t="str">
        <f>IF(M159="","",IF(M159&lt;=$AR$1,"O","X"))</f>
        <v>O</v>
      </c>
      <c r="AS159" s="80" t="s">
        <v>2</v>
      </c>
      <c r="AT159" s="80" t="str">
        <f>IF(OR(F159="",AI159=""),"",IF(AND((F159&lt;=85),(AI159&gt;=15)),"O","X"))</f>
        <v>O</v>
      </c>
      <c r="AU159" s="80" t="str">
        <f>IF(C159="","",IF(C159&gt;=$AU$1,"O","X"))</f>
        <v>O</v>
      </c>
      <c r="AV159" s="80" t="str">
        <f>IF(AO159="","",IF(AND(AO159="O",AP159="O",AR159="O",AT159="O",AU159="O"),"후보","X"))</f>
        <v/>
      </c>
    </row>
    <row r="160" spans="1:48" s="37" customFormat="1" ht="12" x14ac:dyDescent="0.3">
      <c r="A160" s="75" t="s">
        <v>1672</v>
      </c>
      <c r="B160" s="76" t="s">
        <v>1470</v>
      </c>
      <c r="C160" s="86">
        <v>317</v>
      </c>
      <c r="D160" s="87">
        <v>159.69999999999999</v>
      </c>
      <c r="E160" s="88">
        <v>48</v>
      </c>
      <c r="F160" s="87">
        <v>132.4</v>
      </c>
      <c r="G160" s="17">
        <v>40</v>
      </c>
      <c r="H160" s="89">
        <v>84</v>
      </c>
      <c r="I160" s="90">
        <v>33300</v>
      </c>
      <c r="J160" s="90" t="s">
        <v>81</v>
      </c>
      <c r="K160" s="90"/>
      <c r="L160" s="90"/>
      <c r="M160" s="91">
        <f>I160-K160</f>
        <v>33300</v>
      </c>
      <c r="N160" s="4">
        <f>IF(ISERROR(K160/I160),"",K160/I160)</f>
        <v>0</v>
      </c>
      <c r="O160" s="92">
        <f>I160/E160</f>
        <v>693.75</v>
      </c>
      <c r="P160" s="92">
        <f>K160/E160</f>
        <v>0</v>
      </c>
      <c r="Q160" s="80">
        <v>4</v>
      </c>
      <c r="R160" s="80">
        <v>2</v>
      </c>
      <c r="S160" s="80" t="s">
        <v>61</v>
      </c>
      <c r="T160" s="5">
        <v>159</v>
      </c>
      <c r="U160" s="9"/>
      <c r="W160" s="87">
        <f>D160</f>
        <v>159.69999999999999</v>
      </c>
      <c r="X160" s="88">
        <f>E160</f>
        <v>48</v>
      </c>
      <c r="Y160" s="93">
        <f>H160</f>
        <v>84</v>
      </c>
      <c r="Z160" s="91">
        <f>I160</f>
        <v>33300</v>
      </c>
      <c r="AA160" s="91">
        <f>K160</f>
        <v>0</v>
      </c>
      <c r="AB160" s="91">
        <f t="shared" si="95"/>
        <v>33300</v>
      </c>
      <c r="AC160" s="4">
        <f t="shared" si="95"/>
        <v>0</v>
      </c>
      <c r="AD160" s="92">
        <f t="shared" si="95"/>
        <v>693.75</v>
      </c>
      <c r="AE160" s="80" t="str">
        <f>S160</f>
        <v>계</v>
      </c>
      <c r="AF160" s="80" t="str">
        <f>Q160&amp;"/"&amp;R160</f>
        <v>4/2</v>
      </c>
      <c r="AH160" s="20" t="str">
        <f t="shared" si="73"/>
        <v>미룡동 은파리젠시빌파크</v>
      </c>
      <c r="AI160" s="88">
        <f t="shared" si="69"/>
        <v>48</v>
      </c>
      <c r="AJ160" s="80" t="str">
        <f>IF(AI160="","",$AJ$2)</f>
        <v>A-</v>
      </c>
      <c r="AK160" s="80" t="s">
        <v>14</v>
      </c>
      <c r="AL160" s="80" t="s">
        <v>63</v>
      </c>
      <c r="AM160" s="80" t="s">
        <v>64</v>
      </c>
      <c r="AN160" s="80" t="str">
        <f>IF(AI160="","",$AN$2)</f>
        <v>C</v>
      </c>
      <c r="AO160" s="80" t="str">
        <f>IF(N160="","",IF(N160&gt;=$AO$1/100,"O","X"))</f>
        <v>X</v>
      </c>
      <c r="AP160" s="80" t="str">
        <f>IF(I160="","",IF(I160&lt;=$AP$1,"O","X"))</f>
        <v>O</v>
      </c>
      <c r="AQ160" s="80" t="str">
        <f>IF(O160="","",IF(O160&lt;=$AQ$1,"O","X"))</f>
        <v>O</v>
      </c>
      <c r="AR160" s="80" t="str">
        <f>IF(M160="","",IF(M160&lt;=$AR$1,"O","X"))</f>
        <v>X</v>
      </c>
      <c r="AS160" s="80" t="s">
        <v>2</v>
      </c>
      <c r="AT160" s="80" t="str">
        <f>IF(OR(F160="",AI160=""),"",IF(AND((F160&lt;=85),(AI160&gt;=15)),"O","X"))</f>
        <v>X</v>
      </c>
      <c r="AU160" s="80" t="str">
        <f>IF(C160="","",IF(C160&gt;=$AU$1,"O","X"))</f>
        <v>O</v>
      </c>
      <c r="AV160" s="80" t="str">
        <f>IF(AO160="","",IF(AND(AO160="O",AP160="O",AR160="O",AT160="O",AU160="O"),"후보","X"))</f>
        <v>X</v>
      </c>
    </row>
    <row r="161" spans="1:48" s="37" customFormat="1" ht="12" x14ac:dyDescent="0.3">
      <c r="A161" s="75" t="s">
        <v>1472</v>
      </c>
      <c r="B161" s="76" t="s">
        <v>1603</v>
      </c>
      <c r="C161" s="86">
        <v>276</v>
      </c>
      <c r="D161" s="87">
        <v>68.900000000000006</v>
      </c>
      <c r="E161" s="88">
        <v>21</v>
      </c>
      <c r="F161" s="87">
        <v>48.9</v>
      </c>
      <c r="G161" s="17">
        <v>15</v>
      </c>
      <c r="H161" s="89">
        <v>78</v>
      </c>
      <c r="I161" s="90"/>
      <c r="J161" s="90"/>
      <c r="K161" s="90"/>
      <c r="L161" s="90"/>
      <c r="M161" s="91">
        <f>I161-K161</f>
        <v>0</v>
      </c>
      <c r="N161" s="4" t="str">
        <f>IF(ISERROR(K161/I161),"",K161/I161)</f>
        <v/>
      </c>
      <c r="O161" s="92">
        <f>I161/E161</f>
        <v>0</v>
      </c>
      <c r="P161" s="92">
        <f>K161/E161</f>
        <v>0</v>
      </c>
      <c r="Q161" s="80">
        <v>2</v>
      </c>
      <c r="R161" s="80">
        <v>1</v>
      </c>
      <c r="S161" s="80" t="s">
        <v>61</v>
      </c>
      <c r="T161" s="5" t="s">
        <v>729</v>
      </c>
      <c r="U161" s="9"/>
      <c r="W161" s="87">
        <f>D161</f>
        <v>68.900000000000006</v>
      </c>
      <c r="X161" s="88">
        <f>E161</f>
        <v>21</v>
      </c>
      <c r="Y161" s="93">
        <f>H161</f>
        <v>78</v>
      </c>
      <c r="Z161" s="91">
        <f>I161</f>
        <v>0</v>
      </c>
      <c r="AA161" s="91">
        <f>K161</f>
        <v>0</v>
      </c>
      <c r="AB161" s="91">
        <f t="shared" si="95"/>
        <v>0</v>
      </c>
      <c r="AC161" s="4" t="str">
        <f t="shared" si="95"/>
        <v/>
      </c>
      <c r="AD161" s="92">
        <f t="shared" si="95"/>
        <v>0</v>
      </c>
      <c r="AE161" s="80" t="str">
        <f>S161</f>
        <v>계</v>
      </c>
      <c r="AF161" s="80" t="str">
        <f>Q161&amp;"/"&amp;R161</f>
        <v>2/1</v>
      </c>
      <c r="AH161" s="20" t="str">
        <f t="shared" si="73"/>
        <v>미룡동 미룡대명2차</v>
      </c>
      <c r="AI161" s="88">
        <f t="shared" si="69"/>
        <v>21</v>
      </c>
      <c r="AJ161" s="80" t="str">
        <f>IF(AI161="","",$AJ$2)</f>
        <v>A-</v>
      </c>
      <c r="AK161" s="80" t="s">
        <v>14</v>
      </c>
      <c r="AL161" s="80" t="s">
        <v>63</v>
      </c>
      <c r="AM161" s="80" t="s">
        <v>64</v>
      </c>
      <c r="AN161" s="80" t="str">
        <f>IF(AI161="","",$AN$2)</f>
        <v>C</v>
      </c>
      <c r="AO161" s="80" t="str">
        <f>IF(N161="","",IF(N161&gt;=$AO$1/100,"O","X"))</f>
        <v/>
      </c>
      <c r="AP161" s="80" t="str">
        <f>IF(I161="","",IF(I161&lt;=$AP$1,"O","X"))</f>
        <v/>
      </c>
      <c r="AQ161" s="80" t="str">
        <f>IF(O161="","",IF(O161&lt;=$AQ$1,"O","X"))</f>
        <v>O</v>
      </c>
      <c r="AR161" s="80" t="str">
        <f>IF(M161="","",IF(M161&lt;=$AR$1,"O","X"))</f>
        <v>O</v>
      </c>
      <c r="AS161" s="80" t="s">
        <v>2</v>
      </c>
      <c r="AT161" s="80" t="str">
        <f>IF(OR(F161="",AI161=""),"",IF(AND((F161&lt;=85),(AI161&gt;=15)),"O","X"))</f>
        <v>O</v>
      </c>
      <c r="AU161" s="80" t="str">
        <f>IF(C161="","",IF(C161&gt;=$AU$1,"O","X"))</f>
        <v>X</v>
      </c>
      <c r="AV161" s="80" t="str">
        <f>IF(AO161="","",IF(AND(AO161="O",AP161="O",AR161="O",AT161="O",AU161="O"),"후보","X"))</f>
        <v/>
      </c>
    </row>
    <row r="162" spans="1:48" s="37" customFormat="1" ht="12" x14ac:dyDescent="0.3">
      <c r="A162" s="75" t="s">
        <v>1472</v>
      </c>
      <c r="B162" s="76" t="s">
        <v>1673</v>
      </c>
      <c r="C162" s="86">
        <v>276</v>
      </c>
      <c r="D162" s="87">
        <v>69.3</v>
      </c>
      <c r="E162" s="88">
        <v>21</v>
      </c>
      <c r="F162" s="87">
        <v>49.1</v>
      </c>
      <c r="G162" s="17">
        <v>15</v>
      </c>
      <c r="H162" s="89">
        <v>198</v>
      </c>
      <c r="I162" s="90"/>
      <c r="J162" s="90"/>
      <c r="K162" s="90"/>
      <c r="L162" s="90"/>
      <c r="M162" s="91">
        <f>I162-K162</f>
        <v>0</v>
      </c>
      <c r="N162" s="4" t="str">
        <f>IF(ISERROR(K162/I162),"",K162/I162)</f>
        <v/>
      </c>
      <c r="O162" s="92">
        <f>I162/E162</f>
        <v>0</v>
      </c>
      <c r="P162" s="92">
        <f>K162/E162</f>
        <v>0</v>
      </c>
      <c r="Q162" s="80">
        <v>2</v>
      </c>
      <c r="R162" s="80">
        <v>1</v>
      </c>
      <c r="S162" s="80" t="s">
        <v>61</v>
      </c>
      <c r="T162" s="5" t="s">
        <v>144</v>
      </c>
      <c r="U162" s="9"/>
      <c r="W162" s="87">
        <f>D162</f>
        <v>69.3</v>
      </c>
      <c r="X162" s="88">
        <f>E162</f>
        <v>21</v>
      </c>
      <c r="Y162" s="93">
        <f>H162</f>
        <v>198</v>
      </c>
      <c r="Z162" s="91">
        <f>I162</f>
        <v>0</v>
      </c>
      <c r="AA162" s="91">
        <f>K162</f>
        <v>0</v>
      </c>
      <c r="AB162" s="91">
        <f t="shared" si="95"/>
        <v>0</v>
      </c>
      <c r="AC162" s="4" t="str">
        <f t="shared" si="95"/>
        <v/>
      </c>
      <c r="AD162" s="92">
        <f t="shared" si="95"/>
        <v>0</v>
      </c>
      <c r="AE162" s="80" t="str">
        <f>S162</f>
        <v>계</v>
      </c>
      <c r="AF162" s="80" t="str">
        <f>Q162&amp;"/"&amp;R162</f>
        <v>2/1</v>
      </c>
      <c r="AH162" s="20" t="str">
        <f t="shared" si="73"/>
        <v>미룡동 미룡대명2차</v>
      </c>
      <c r="AI162" s="88">
        <f t="shared" si="69"/>
        <v>21</v>
      </c>
      <c r="AJ162" s="80" t="str">
        <f>IF(AI162="","",$AJ$2)</f>
        <v>A-</v>
      </c>
      <c r="AK162" s="80" t="s">
        <v>14</v>
      </c>
      <c r="AL162" s="80" t="s">
        <v>63</v>
      </c>
      <c r="AM162" s="80" t="s">
        <v>64</v>
      </c>
      <c r="AN162" s="80" t="str">
        <f>IF(AI162="","",$AN$2)</f>
        <v>C</v>
      </c>
      <c r="AO162" s="80" t="str">
        <f>IF(N162="","",IF(N162&gt;=$AO$1/100,"O","X"))</f>
        <v/>
      </c>
      <c r="AP162" s="80" t="str">
        <f>IF(I162="","",IF(I162&lt;=$AP$1,"O","X"))</f>
        <v/>
      </c>
      <c r="AQ162" s="80" t="str">
        <f>IF(O162="","",IF(O162&lt;=$AQ$1,"O","X"))</f>
        <v>O</v>
      </c>
      <c r="AR162" s="80" t="str">
        <f>IF(M162="","",IF(M162&lt;=$AR$1,"O","X"))</f>
        <v>O</v>
      </c>
      <c r="AS162" s="80" t="s">
        <v>2</v>
      </c>
      <c r="AT162" s="80" t="str">
        <f>IF(OR(F162="",AI162=""),"",IF(AND((F162&lt;=85),(AI162&gt;=15)),"O","X"))</f>
        <v>O</v>
      </c>
      <c r="AU162" s="80" t="str">
        <f>IF(C162="","",IF(C162&gt;=$AU$1,"O","X"))</f>
        <v>X</v>
      </c>
      <c r="AV162" s="80" t="str">
        <f>IF(AO162="","",IF(AND(AO162="O",AP162="O",AR162="O",AT162="O",AU162="O"),"후보","X"))</f>
        <v/>
      </c>
    </row>
    <row r="163" spans="1:48" s="37" customFormat="1" ht="12" x14ac:dyDescent="0.3">
      <c r="A163" s="75" t="s">
        <v>1473</v>
      </c>
      <c r="B163" s="76" t="s">
        <v>1674</v>
      </c>
      <c r="C163" s="86">
        <v>874</v>
      </c>
      <c r="D163" s="87">
        <v>68.3</v>
      </c>
      <c r="E163" s="88">
        <v>21</v>
      </c>
      <c r="F163" s="87">
        <v>50.3</v>
      </c>
      <c r="G163" s="17">
        <v>15</v>
      </c>
      <c r="H163" s="89">
        <v>288</v>
      </c>
      <c r="I163" s="90">
        <v>9200</v>
      </c>
      <c r="J163" s="90" t="s">
        <v>71</v>
      </c>
      <c r="K163" s="90">
        <v>8800</v>
      </c>
      <c r="L163" s="90" t="s">
        <v>70</v>
      </c>
      <c r="M163" s="91">
        <f t="shared" ref="M163:M168" si="96">I163-K163</f>
        <v>400</v>
      </c>
      <c r="N163" s="4">
        <f t="shared" ref="N163:N168" si="97">IF(ISERROR(K163/I163),"",K163/I163)</f>
        <v>0.95652173913043481</v>
      </c>
      <c r="O163" s="92">
        <f t="shared" ref="O163:O168" si="98">I163/E163</f>
        <v>438.09523809523807</v>
      </c>
      <c r="P163" s="92">
        <f t="shared" ref="P163:P168" si="99">K163/E163</f>
        <v>419.04761904761904</v>
      </c>
      <c r="Q163" s="80">
        <v>2</v>
      </c>
      <c r="R163" s="80">
        <v>1</v>
      </c>
      <c r="S163" s="80" t="s">
        <v>76</v>
      </c>
      <c r="T163" s="5" t="s">
        <v>135</v>
      </c>
      <c r="U163" s="9"/>
      <c r="W163" s="87">
        <f t="shared" ref="W163:X168" si="100">D163</f>
        <v>68.3</v>
      </c>
      <c r="X163" s="88">
        <f t="shared" si="100"/>
        <v>21</v>
      </c>
      <c r="Y163" s="93">
        <f t="shared" ref="Y163:Z168" si="101">H163</f>
        <v>288</v>
      </c>
      <c r="Z163" s="91">
        <f t="shared" si="101"/>
        <v>9200</v>
      </c>
      <c r="AA163" s="91">
        <f t="shared" ref="AA163:AA168" si="102">K163</f>
        <v>8800</v>
      </c>
      <c r="AB163" s="91">
        <f t="shared" si="95"/>
        <v>400</v>
      </c>
      <c r="AC163" s="4">
        <f t="shared" si="95"/>
        <v>0.95652173913043481</v>
      </c>
      <c r="AD163" s="92">
        <f t="shared" si="95"/>
        <v>438.09523809523807</v>
      </c>
      <c r="AE163" s="80" t="str">
        <f t="shared" ref="AE163:AE168" si="103">S163</f>
        <v>복</v>
      </c>
      <c r="AF163" s="80" t="str">
        <f t="shared" ref="AF163:AF168" si="104">Q163&amp;"/"&amp;R163</f>
        <v>2/1</v>
      </c>
      <c r="AH163" s="20" t="str">
        <f t="shared" si="73"/>
        <v>미룡동 미룡주공2단지</v>
      </c>
      <c r="AI163" s="88">
        <f t="shared" si="69"/>
        <v>21</v>
      </c>
      <c r="AJ163" s="80" t="str">
        <f t="shared" ref="AJ163:AJ168" si="105">IF(AI163="","",$AJ$2)</f>
        <v>A-</v>
      </c>
      <c r="AK163" s="80" t="s">
        <v>14</v>
      </c>
      <c r="AL163" s="80" t="s">
        <v>63</v>
      </c>
      <c r="AM163" s="80" t="s">
        <v>64</v>
      </c>
      <c r="AN163" s="80" t="str">
        <f t="shared" ref="AN163:AN168" si="106">IF(AI163="","",$AN$2)</f>
        <v>C</v>
      </c>
      <c r="AO163" s="80" t="str">
        <f t="shared" ref="AO163:AO168" si="107">IF(N163="","",IF(N163&gt;=$AO$1/100,"O","X"))</f>
        <v>O</v>
      </c>
      <c r="AP163" s="80" t="str">
        <f t="shared" ref="AP163:AP168" si="108">IF(I163="","",IF(I163&lt;=$AP$1,"O","X"))</f>
        <v>O</v>
      </c>
      <c r="AQ163" s="80" t="str">
        <f t="shared" ref="AQ163:AQ168" si="109">IF(O163="","",IF(O163&lt;=$AQ$1,"O","X"))</f>
        <v>O</v>
      </c>
      <c r="AR163" s="80" t="str">
        <f t="shared" ref="AR163:AR168" si="110">IF(M163="","",IF(M163&lt;=$AR$1,"O","X"))</f>
        <v>O</v>
      </c>
      <c r="AS163" s="80" t="s">
        <v>2</v>
      </c>
      <c r="AT163" s="80" t="str">
        <f t="shared" ref="AT163:AT168" si="111">IF(OR(F163="",AI163=""),"",IF(AND((F163&lt;=85),(AI163&gt;=15)),"O","X"))</f>
        <v>O</v>
      </c>
      <c r="AU163" s="80" t="str">
        <f t="shared" ref="AU163:AU168" si="112">IF(C163="","",IF(C163&gt;=$AU$1,"O","X"))</f>
        <v>O</v>
      </c>
      <c r="AV163" s="80" t="str">
        <f t="shared" ref="AV163:AV168" si="113">IF(AO163="","",IF(AND(AO163="O",AP163="O",AR163="O",AT163="O",AU163="O"),"후보","X"))</f>
        <v>후보</v>
      </c>
    </row>
    <row r="164" spans="1:48" s="37" customFormat="1" ht="12" x14ac:dyDescent="0.3">
      <c r="A164" s="75" t="s">
        <v>1675</v>
      </c>
      <c r="B164" s="76" t="s">
        <v>1474</v>
      </c>
      <c r="C164" s="86">
        <v>874</v>
      </c>
      <c r="D164" s="87">
        <v>70.599999999999994</v>
      </c>
      <c r="E164" s="88">
        <v>21</v>
      </c>
      <c r="F164" s="87">
        <v>51.9</v>
      </c>
      <c r="G164" s="17">
        <v>16</v>
      </c>
      <c r="H164" s="89">
        <v>4</v>
      </c>
      <c r="I164" s="90"/>
      <c r="J164" s="90"/>
      <c r="K164" s="90"/>
      <c r="L164" s="90"/>
      <c r="M164" s="91">
        <f t="shared" si="96"/>
        <v>0</v>
      </c>
      <c r="N164" s="4" t="str">
        <f t="shared" si="97"/>
        <v/>
      </c>
      <c r="O164" s="92">
        <f t="shared" si="98"/>
        <v>0</v>
      </c>
      <c r="P164" s="92">
        <f t="shared" si="99"/>
        <v>0</v>
      </c>
      <c r="Q164" s="80">
        <v>2</v>
      </c>
      <c r="R164" s="80">
        <v>1</v>
      </c>
      <c r="S164" s="80" t="s">
        <v>61</v>
      </c>
      <c r="T164" s="5" t="s">
        <v>743</v>
      </c>
      <c r="U164" s="9"/>
      <c r="W164" s="87">
        <f t="shared" si="100"/>
        <v>70.599999999999994</v>
      </c>
      <c r="X164" s="88">
        <f t="shared" si="100"/>
        <v>21</v>
      </c>
      <c r="Y164" s="93">
        <f t="shared" si="101"/>
        <v>4</v>
      </c>
      <c r="Z164" s="91">
        <f t="shared" si="101"/>
        <v>0</v>
      </c>
      <c r="AA164" s="91">
        <f t="shared" si="102"/>
        <v>0</v>
      </c>
      <c r="AB164" s="91">
        <f t="shared" si="95"/>
        <v>0</v>
      </c>
      <c r="AC164" s="4" t="str">
        <f t="shared" si="95"/>
        <v/>
      </c>
      <c r="AD164" s="92">
        <f t="shared" si="95"/>
        <v>0</v>
      </c>
      <c r="AE164" s="80" t="str">
        <f t="shared" si="103"/>
        <v>계</v>
      </c>
      <c r="AF164" s="80" t="str">
        <f t="shared" si="104"/>
        <v>2/1</v>
      </c>
      <c r="AH164" s="20" t="str">
        <f t="shared" si="73"/>
        <v>미룡동 미룡주공2단지</v>
      </c>
      <c r="AI164" s="88">
        <f t="shared" si="69"/>
        <v>21</v>
      </c>
      <c r="AJ164" s="80" t="str">
        <f t="shared" si="105"/>
        <v>A-</v>
      </c>
      <c r="AK164" s="80" t="s">
        <v>14</v>
      </c>
      <c r="AL164" s="80" t="s">
        <v>63</v>
      </c>
      <c r="AM164" s="80" t="s">
        <v>64</v>
      </c>
      <c r="AN164" s="80" t="str">
        <f t="shared" si="106"/>
        <v>C</v>
      </c>
      <c r="AO164" s="80" t="str">
        <f t="shared" si="107"/>
        <v/>
      </c>
      <c r="AP164" s="80" t="str">
        <f t="shared" si="108"/>
        <v/>
      </c>
      <c r="AQ164" s="80" t="str">
        <f t="shared" si="109"/>
        <v>O</v>
      </c>
      <c r="AR164" s="80" t="str">
        <f t="shared" si="110"/>
        <v>O</v>
      </c>
      <c r="AS164" s="80" t="s">
        <v>2</v>
      </c>
      <c r="AT164" s="80" t="str">
        <f t="shared" si="111"/>
        <v>O</v>
      </c>
      <c r="AU164" s="80" t="str">
        <f t="shared" si="112"/>
        <v>O</v>
      </c>
      <c r="AV164" s="80" t="str">
        <f t="shared" si="113"/>
        <v/>
      </c>
    </row>
    <row r="165" spans="1:48" s="37" customFormat="1" ht="12" x14ac:dyDescent="0.3">
      <c r="A165" s="75" t="s">
        <v>1473</v>
      </c>
      <c r="B165" s="76" t="s">
        <v>1676</v>
      </c>
      <c r="C165" s="86">
        <v>874</v>
      </c>
      <c r="D165" s="87">
        <v>80.7</v>
      </c>
      <c r="E165" s="88">
        <v>24</v>
      </c>
      <c r="F165" s="87">
        <v>59.4</v>
      </c>
      <c r="G165" s="17">
        <v>18</v>
      </c>
      <c r="H165" s="89">
        <v>267</v>
      </c>
      <c r="I165" s="90">
        <v>12500</v>
      </c>
      <c r="J165" s="90" t="s">
        <v>81</v>
      </c>
      <c r="K165" s="90">
        <v>12300</v>
      </c>
      <c r="L165" s="90" t="s">
        <v>70</v>
      </c>
      <c r="M165" s="91">
        <f t="shared" si="96"/>
        <v>200</v>
      </c>
      <c r="N165" s="4">
        <f t="shared" si="97"/>
        <v>0.98399999999999999</v>
      </c>
      <c r="O165" s="92">
        <f t="shared" si="98"/>
        <v>520.83333333333337</v>
      </c>
      <c r="P165" s="92">
        <f t="shared" si="99"/>
        <v>512.5</v>
      </c>
      <c r="Q165" s="80">
        <v>3</v>
      </c>
      <c r="R165" s="80">
        <v>1</v>
      </c>
      <c r="S165" s="80" t="s">
        <v>61</v>
      </c>
      <c r="T165" s="5" t="s">
        <v>85</v>
      </c>
      <c r="U165" s="9"/>
      <c r="W165" s="87">
        <f t="shared" si="100"/>
        <v>80.7</v>
      </c>
      <c r="X165" s="88">
        <f t="shared" si="100"/>
        <v>24</v>
      </c>
      <c r="Y165" s="93">
        <f t="shared" si="101"/>
        <v>267</v>
      </c>
      <c r="Z165" s="91">
        <f t="shared" si="101"/>
        <v>12500</v>
      </c>
      <c r="AA165" s="91">
        <f t="shared" si="102"/>
        <v>12300</v>
      </c>
      <c r="AB165" s="91">
        <f t="shared" si="95"/>
        <v>200</v>
      </c>
      <c r="AC165" s="4">
        <f t="shared" si="95"/>
        <v>0.98399999999999999</v>
      </c>
      <c r="AD165" s="92">
        <f t="shared" si="95"/>
        <v>520.83333333333337</v>
      </c>
      <c r="AE165" s="80" t="str">
        <f t="shared" si="103"/>
        <v>계</v>
      </c>
      <c r="AF165" s="80" t="str">
        <f t="shared" si="104"/>
        <v>3/1</v>
      </c>
      <c r="AH165" s="20" t="str">
        <f t="shared" si="73"/>
        <v>미룡동 미룡주공2단지</v>
      </c>
      <c r="AI165" s="88">
        <f t="shared" si="69"/>
        <v>24</v>
      </c>
      <c r="AJ165" s="80" t="str">
        <f t="shared" si="105"/>
        <v>A-</v>
      </c>
      <c r="AK165" s="80" t="s">
        <v>14</v>
      </c>
      <c r="AL165" s="80" t="s">
        <v>63</v>
      </c>
      <c r="AM165" s="80" t="s">
        <v>64</v>
      </c>
      <c r="AN165" s="80" t="str">
        <f t="shared" si="106"/>
        <v>C</v>
      </c>
      <c r="AO165" s="80" t="str">
        <f t="shared" si="107"/>
        <v>O</v>
      </c>
      <c r="AP165" s="80" t="str">
        <f t="shared" si="108"/>
        <v>O</v>
      </c>
      <c r="AQ165" s="80" t="str">
        <f t="shared" si="109"/>
        <v>O</v>
      </c>
      <c r="AR165" s="80" t="str">
        <f t="shared" si="110"/>
        <v>O</v>
      </c>
      <c r="AS165" s="80" t="s">
        <v>2</v>
      </c>
      <c r="AT165" s="80" t="str">
        <f t="shared" si="111"/>
        <v>O</v>
      </c>
      <c r="AU165" s="80" t="str">
        <f t="shared" si="112"/>
        <v>O</v>
      </c>
      <c r="AV165" s="80" t="str">
        <f t="shared" si="113"/>
        <v>후보</v>
      </c>
    </row>
    <row r="166" spans="1:48" s="37" customFormat="1" ht="12" x14ac:dyDescent="0.3">
      <c r="A166" s="75" t="s">
        <v>1473</v>
      </c>
      <c r="B166" s="76" t="s">
        <v>1474</v>
      </c>
      <c r="C166" s="86">
        <v>874</v>
      </c>
      <c r="D166" s="87">
        <v>80.7</v>
      </c>
      <c r="E166" s="88">
        <v>24</v>
      </c>
      <c r="F166" s="87">
        <v>59.4</v>
      </c>
      <c r="G166" s="17">
        <v>18</v>
      </c>
      <c r="H166" s="89">
        <v>76</v>
      </c>
      <c r="I166" s="90">
        <v>12500</v>
      </c>
      <c r="J166" s="90" t="s">
        <v>81</v>
      </c>
      <c r="K166" s="90">
        <v>12300</v>
      </c>
      <c r="L166" s="90" t="s">
        <v>70</v>
      </c>
      <c r="M166" s="91">
        <f t="shared" si="96"/>
        <v>200</v>
      </c>
      <c r="N166" s="4">
        <f t="shared" si="97"/>
        <v>0.98399999999999999</v>
      </c>
      <c r="O166" s="92">
        <f t="shared" si="98"/>
        <v>520.83333333333337</v>
      </c>
      <c r="P166" s="92">
        <f t="shared" si="99"/>
        <v>512.5</v>
      </c>
      <c r="Q166" s="80">
        <v>3</v>
      </c>
      <c r="R166" s="80">
        <v>1</v>
      </c>
      <c r="S166" s="80" t="s">
        <v>61</v>
      </c>
      <c r="T166" s="5" t="s">
        <v>86</v>
      </c>
      <c r="U166" s="9"/>
      <c r="W166" s="87">
        <f t="shared" si="100"/>
        <v>80.7</v>
      </c>
      <c r="X166" s="88">
        <f t="shared" si="100"/>
        <v>24</v>
      </c>
      <c r="Y166" s="93">
        <f t="shared" si="101"/>
        <v>76</v>
      </c>
      <c r="Z166" s="91">
        <f t="shared" si="101"/>
        <v>12500</v>
      </c>
      <c r="AA166" s="91">
        <f t="shared" si="102"/>
        <v>12300</v>
      </c>
      <c r="AB166" s="91">
        <f t="shared" si="95"/>
        <v>200</v>
      </c>
      <c r="AC166" s="4">
        <f t="shared" si="95"/>
        <v>0.98399999999999999</v>
      </c>
      <c r="AD166" s="92">
        <f t="shared" si="95"/>
        <v>520.83333333333337</v>
      </c>
      <c r="AE166" s="80" t="str">
        <f t="shared" si="103"/>
        <v>계</v>
      </c>
      <c r="AF166" s="80" t="str">
        <f t="shared" si="104"/>
        <v>3/1</v>
      </c>
      <c r="AH166" s="20" t="str">
        <f t="shared" si="73"/>
        <v>미룡동 미룡주공2단지</v>
      </c>
      <c r="AI166" s="88">
        <f t="shared" si="69"/>
        <v>24</v>
      </c>
      <c r="AJ166" s="80" t="str">
        <f t="shared" si="105"/>
        <v>A-</v>
      </c>
      <c r="AK166" s="80" t="s">
        <v>14</v>
      </c>
      <c r="AL166" s="80" t="s">
        <v>63</v>
      </c>
      <c r="AM166" s="80" t="s">
        <v>64</v>
      </c>
      <c r="AN166" s="80" t="str">
        <f t="shared" si="106"/>
        <v>C</v>
      </c>
      <c r="AO166" s="80" t="str">
        <f t="shared" si="107"/>
        <v>O</v>
      </c>
      <c r="AP166" s="80" t="str">
        <f t="shared" si="108"/>
        <v>O</v>
      </c>
      <c r="AQ166" s="80" t="str">
        <f t="shared" si="109"/>
        <v>O</v>
      </c>
      <c r="AR166" s="80" t="str">
        <f t="shared" si="110"/>
        <v>O</v>
      </c>
      <c r="AS166" s="80" t="s">
        <v>2</v>
      </c>
      <c r="AT166" s="80" t="str">
        <f t="shared" si="111"/>
        <v>O</v>
      </c>
      <c r="AU166" s="80" t="str">
        <f t="shared" si="112"/>
        <v>O</v>
      </c>
      <c r="AV166" s="80" t="str">
        <f t="shared" si="113"/>
        <v>후보</v>
      </c>
    </row>
    <row r="167" spans="1:48" s="37" customFormat="1" ht="12" x14ac:dyDescent="0.3">
      <c r="A167" s="75" t="s">
        <v>1677</v>
      </c>
      <c r="B167" s="76" t="s">
        <v>1474</v>
      </c>
      <c r="C167" s="86">
        <v>874</v>
      </c>
      <c r="D167" s="87">
        <v>80.599999999999994</v>
      </c>
      <c r="E167" s="88">
        <v>24</v>
      </c>
      <c r="F167" s="87">
        <v>59.3</v>
      </c>
      <c r="G167" s="17">
        <v>18</v>
      </c>
      <c r="H167" s="89">
        <v>15</v>
      </c>
      <c r="I167" s="90">
        <v>11000</v>
      </c>
      <c r="J167" s="90" t="s">
        <v>84</v>
      </c>
      <c r="K167" s="90">
        <v>11000</v>
      </c>
      <c r="L167" s="90" t="s">
        <v>69</v>
      </c>
      <c r="M167" s="91">
        <f t="shared" si="96"/>
        <v>0</v>
      </c>
      <c r="N167" s="4">
        <f t="shared" si="97"/>
        <v>1</v>
      </c>
      <c r="O167" s="92">
        <f t="shared" si="98"/>
        <v>458.33333333333331</v>
      </c>
      <c r="P167" s="92">
        <f t="shared" si="99"/>
        <v>458.33333333333331</v>
      </c>
      <c r="Q167" s="80">
        <v>3</v>
      </c>
      <c r="R167" s="80">
        <v>1</v>
      </c>
      <c r="S167" s="80" t="s">
        <v>61</v>
      </c>
      <c r="T167" s="5" t="s">
        <v>87</v>
      </c>
      <c r="U167" s="9"/>
      <c r="W167" s="87">
        <f t="shared" si="100"/>
        <v>80.599999999999994</v>
      </c>
      <c r="X167" s="88">
        <f t="shared" si="100"/>
        <v>24</v>
      </c>
      <c r="Y167" s="93">
        <f t="shared" si="101"/>
        <v>15</v>
      </c>
      <c r="Z167" s="91">
        <f t="shared" si="101"/>
        <v>11000</v>
      </c>
      <c r="AA167" s="91">
        <f t="shared" si="102"/>
        <v>11000</v>
      </c>
      <c r="AB167" s="91">
        <f t="shared" si="95"/>
        <v>0</v>
      </c>
      <c r="AC167" s="4">
        <f t="shared" si="95"/>
        <v>1</v>
      </c>
      <c r="AD167" s="92">
        <f t="shared" si="95"/>
        <v>458.33333333333331</v>
      </c>
      <c r="AE167" s="80" t="str">
        <f t="shared" si="103"/>
        <v>계</v>
      </c>
      <c r="AF167" s="80" t="str">
        <f t="shared" si="104"/>
        <v>3/1</v>
      </c>
      <c r="AH167" s="20" t="str">
        <f t="shared" si="73"/>
        <v>미룡동 미룡주공2단지</v>
      </c>
      <c r="AI167" s="88">
        <f t="shared" si="69"/>
        <v>24</v>
      </c>
      <c r="AJ167" s="80" t="str">
        <f t="shared" si="105"/>
        <v>A-</v>
      </c>
      <c r="AK167" s="80" t="s">
        <v>14</v>
      </c>
      <c r="AL167" s="80" t="s">
        <v>63</v>
      </c>
      <c r="AM167" s="80" t="s">
        <v>64</v>
      </c>
      <c r="AN167" s="80" t="str">
        <f t="shared" si="106"/>
        <v>C</v>
      </c>
      <c r="AO167" s="80" t="str">
        <f t="shared" si="107"/>
        <v>O</v>
      </c>
      <c r="AP167" s="80" t="str">
        <f t="shared" si="108"/>
        <v>O</v>
      </c>
      <c r="AQ167" s="80" t="str">
        <f t="shared" si="109"/>
        <v>O</v>
      </c>
      <c r="AR167" s="80" t="str">
        <f t="shared" si="110"/>
        <v>O</v>
      </c>
      <c r="AS167" s="80" t="s">
        <v>2</v>
      </c>
      <c r="AT167" s="80" t="str">
        <f t="shared" si="111"/>
        <v>O</v>
      </c>
      <c r="AU167" s="80" t="str">
        <f t="shared" si="112"/>
        <v>O</v>
      </c>
      <c r="AV167" s="80" t="str">
        <f t="shared" si="113"/>
        <v>후보</v>
      </c>
    </row>
    <row r="168" spans="1:48" s="37" customFormat="1" ht="12" x14ac:dyDescent="0.3">
      <c r="A168" s="75" t="s">
        <v>1675</v>
      </c>
      <c r="B168" s="76" t="s">
        <v>1678</v>
      </c>
      <c r="C168" s="86">
        <v>874</v>
      </c>
      <c r="D168" s="87">
        <v>114.6</v>
      </c>
      <c r="E168" s="88">
        <v>35</v>
      </c>
      <c r="F168" s="87">
        <v>84.3</v>
      </c>
      <c r="G168" s="17">
        <v>26</v>
      </c>
      <c r="H168" s="89">
        <v>224</v>
      </c>
      <c r="I168" s="90"/>
      <c r="J168" s="90"/>
      <c r="K168" s="90"/>
      <c r="L168" s="90"/>
      <c r="M168" s="91">
        <f t="shared" si="96"/>
        <v>0</v>
      </c>
      <c r="N168" s="4" t="str">
        <f t="shared" si="97"/>
        <v/>
      </c>
      <c r="O168" s="92">
        <f t="shared" si="98"/>
        <v>0</v>
      </c>
      <c r="P168" s="92">
        <f t="shared" si="99"/>
        <v>0</v>
      </c>
      <c r="Q168" s="80">
        <v>3</v>
      </c>
      <c r="R168" s="80">
        <v>1</v>
      </c>
      <c r="S168" s="80" t="s">
        <v>61</v>
      </c>
      <c r="T168" s="5">
        <v>114</v>
      </c>
      <c r="U168" s="9"/>
      <c r="W168" s="87">
        <f t="shared" si="100"/>
        <v>114.6</v>
      </c>
      <c r="X168" s="88">
        <f t="shared" si="100"/>
        <v>35</v>
      </c>
      <c r="Y168" s="93">
        <f t="shared" si="101"/>
        <v>224</v>
      </c>
      <c r="Z168" s="91">
        <f t="shared" si="101"/>
        <v>0</v>
      </c>
      <c r="AA168" s="91">
        <f t="shared" si="102"/>
        <v>0</v>
      </c>
      <c r="AB168" s="91">
        <f t="shared" ref="AB168:AD183" si="114">M168</f>
        <v>0</v>
      </c>
      <c r="AC168" s="4" t="str">
        <f t="shared" si="114"/>
        <v/>
      </c>
      <c r="AD168" s="92">
        <f t="shared" si="114"/>
        <v>0</v>
      </c>
      <c r="AE168" s="80" t="str">
        <f t="shared" si="103"/>
        <v>계</v>
      </c>
      <c r="AF168" s="80" t="str">
        <f t="shared" si="104"/>
        <v>3/1</v>
      </c>
      <c r="AH168" s="20" t="str">
        <f t="shared" si="73"/>
        <v>미룡동 미룡주공2단지</v>
      </c>
      <c r="AI168" s="88">
        <f t="shared" si="69"/>
        <v>35</v>
      </c>
      <c r="AJ168" s="80" t="str">
        <f t="shared" si="105"/>
        <v>A-</v>
      </c>
      <c r="AK168" s="80" t="s">
        <v>14</v>
      </c>
      <c r="AL168" s="80" t="s">
        <v>63</v>
      </c>
      <c r="AM168" s="80" t="s">
        <v>64</v>
      </c>
      <c r="AN168" s="80" t="str">
        <f t="shared" si="106"/>
        <v>C</v>
      </c>
      <c r="AO168" s="80" t="str">
        <f t="shared" si="107"/>
        <v/>
      </c>
      <c r="AP168" s="80" t="str">
        <f t="shared" si="108"/>
        <v/>
      </c>
      <c r="AQ168" s="80" t="str">
        <f t="shared" si="109"/>
        <v>O</v>
      </c>
      <c r="AR168" s="80" t="str">
        <f t="shared" si="110"/>
        <v>O</v>
      </c>
      <c r="AS168" s="80" t="s">
        <v>2</v>
      </c>
      <c r="AT168" s="80" t="str">
        <f t="shared" si="111"/>
        <v>O</v>
      </c>
      <c r="AU168" s="80" t="str">
        <f t="shared" si="112"/>
        <v>O</v>
      </c>
      <c r="AV168" s="80" t="str">
        <f t="shared" si="113"/>
        <v/>
      </c>
    </row>
    <row r="169" spans="1:48" s="37" customFormat="1" ht="12" x14ac:dyDescent="0.3">
      <c r="A169" s="75" t="s">
        <v>1679</v>
      </c>
      <c r="B169" s="76" t="s">
        <v>1680</v>
      </c>
      <c r="C169" s="86">
        <v>351</v>
      </c>
      <c r="D169" s="87">
        <v>80.599999999999994</v>
      </c>
      <c r="E169" s="88">
        <v>24</v>
      </c>
      <c r="F169" s="87">
        <v>59.9</v>
      </c>
      <c r="G169" s="17">
        <v>18</v>
      </c>
      <c r="H169" s="89">
        <v>149</v>
      </c>
      <c r="I169" s="90"/>
      <c r="J169" s="90"/>
      <c r="K169" s="90"/>
      <c r="L169" s="90"/>
      <c r="M169" s="91">
        <f>I169-K169</f>
        <v>0</v>
      </c>
      <c r="N169" s="4" t="str">
        <f>IF(ISERROR(K169/I169),"",K169/I169)</f>
        <v/>
      </c>
      <c r="O169" s="92">
        <f>I169/E169</f>
        <v>0</v>
      </c>
      <c r="P169" s="92">
        <f>K169/E169</f>
        <v>0</v>
      </c>
      <c r="Q169" s="80">
        <v>3</v>
      </c>
      <c r="R169" s="80">
        <v>2</v>
      </c>
      <c r="S169" s="80" t="s">
        <v>61</v>
      </c>
      <c r="T169" s="5">
        <v>80</v>
      </c>
      <c r="U169" s="9"/>
      <c r="W169" s="87">
        <f>D169</f>
        <v>80.599999999999994</v>
      </c>
      <c r="X169" s="88">
        <f>E169</f>
        <v>24</v>
      </c>
      <c r="Y169" s="93">
        <f>H169</f>
        <v>149</v>
      </c>
      <c r="Z169" s="91">
        <f>I169</f>
        <v>0</v>
      </c>
      <c r="AA169" s="91">
        <f>K169</f>
        <v>0</v>
      </c>
      <c r="AB169" s="91">
        <f t="shared" si="114"/>
        <v>0</v>
      </c>
      <c r="AC169" s="4" t="str">
        <f t="shared" si="114"/>
        <v/>
      </c>
      <c r="AD169" s="92">
        <f t="shared" si="114"/>
        <v>0</v>
      </c>
      <c r="AE169" s="80" t="str">
        <f>S169</f>
        <v>계</v>
      </c>
      <c r="AF169" s="80" t="str">
        <f>Q169&amp;"/"&amp;R169</f>
        <v>3/2</v>
      </c>
      <c r="AH169" s="20" t="str">
        <f t="shared" si="73"/>
        <v>미장동 파인빌2차</v>
      </c>
      <c r="AI169" s="88">
        <f t="shared" si="69"/>
        <v>24</v>
      </c>
      <c r="AJ169" s="80" t="str">
        <f>IF(AI169="","",$AJ$2)</f>
        <v>A-</v>
      </c>
      <c r="AK169" s="80" t="s">
        <v>14</v>
      </c>
      <c r="AL169" s="80" t="s">
        <v>63</v>
      </c>
      <c r="AM169" s="80" t="s">
        <v>64</v>
      </c>
      <c r="AN169" s="80" t="str">
        <f>IF(AI169="","",$AN$2)</f>
        <v>C</v>
      </c>
      <c r="AO169" s="80" t="str">
        <f>IF(N169="","",IF(N169&gt;=$AO$1/100,"O","X"))</f>
        <v/>
      </c>
      <c r="AP169" s="80" t="str">
        <f>IF(I169="","",IF(I169&lt;=$AP$1,"O","X"))</f>
        <v/>
      </c>
      <c r="AQ169" s="80" t="str">
        <f>IF(O169="","",IF(O169&lt;=$AQ$1,"O","X"))</f>
        <v>O</v>
      </c>
      <c r="AR169" s="80" t="str">
        <f>IF(M169="","",IF(M169&lt;=$AR$1,"O","X"))</f>
        <v>O</v>
      </c>
      <c r="AS169" s="80" t="s">
        <v>2</v>
      </c>
      <c r="AT169" s="80" t="str">
        <f>IF(OR(F169="",AI169=""),"",IF(AND((F169&lt;=85),(AI169&gt;=15)),"O","X"))</f>
        <v>O</v>
      </c>
      <c r="AU169" s="80" t="str">
        <f>IF(C169="","",IF(C169&gt;=$AU$1,"O","X"))</f>
        <v>O</v>
      </c>
      <c r="AV169" s="80" t="str">
        <f>IF(AO169="","",IF(AND(AO169="O",AP169="O",AR169="O",AT169="O",AU169="O"),"후보","X"))</f>
        <v/>
      </c>
    </row>
    <row r="170" spans="1:48" s="37" customFormat="1" ht="12" x14ac:dyDescent="0.3">
      <c r="A170" s="75" t="s">
        <v>1681</v>
      </c>
      <c r="B170" s="76" t="s">
        <v>1525</v>
      </c>
      <c r="C170" s="86">
        <v>351</v>
      </c>
      <c r="D170" s="87">
        <v>119.9</v>
      </c>
      <c r="E170" s="88">
        <v>36</v>
      </c>
      <c r="F170" s="87">
        <v>85</v>
      </c>
      <c r="G170" s="17">
        <v>26</v>
      </c>
      <c r="H170" s="89">
        <v>202</v>
      </c>
      <c r="I170" s="90">
        <v>21500</v>
      </c>
      <c r="J170" s="90" t="s">
        <v>72</v>
      </c>
      <c r="K170" s="90">
        <v>19000</v>
      </c>
      <c r="L170" s="90" t="s">
        <v>84</v>
      </c>
      <c r="M170" s="91">
        <f>I170-K170</f>
        <v>2500</v>
      </c>
      <c r="N170" s="4">
        <f>IF(ISERROR(K170/I170),"",K170/I170)</f>
        <v>0.88372093023255816</v>
      </c>
      <c r="O170" s="92">
        <f>I170/E170</f>
        <v>597.22222222222217</v>
      </c>
      <c r="P170" s="92">
        <f>K170/E170</f>
        <v>527.77777777777783</v>
      </c>
      <c r="Q170" s="80">
        <v>3</v>
      </c>
      <c r="R170" s="80">
        <v>2</v>
      </c>
      <c r="S170" s="80" t="s">
        <v>76</v>
      </c>
      <c r="T170" s="5">
        <v>119</v>
      </c>
      <c r="U170" s="9"/>
      <c r="W170" s="87">
        <f>D170</f>
        <v>119.9</v>
      </c>
      <c r="X170" s="88">
        <f>E170</f>
        <v>36</v>
      </c>
      <c r="Y170" s="93">
        <f>H170</f>
        <v>202</v>
      </c>
      <c r="Z170" s="91">
        <f>I170</f>
        <v>21500</v>
      </c>
      <c r="AA170" s="91">
        <f>K170</f>
        <v>19000</v>
      </c>
      <c r="AB170" s="91">
        <f t="shared" si="114"/>
        <v>2500</v>
      </c>
      <c r="AC170" s="4">
        <f t="shared" si="114"/>
        <v>0.88372093023255816</v>
      </c>
      <c r="AD170" s="92">
        <f t="shared" si="114"/>
        <v>597.22222222222217</v>
      </c>
      <c r="AE170" s="80" t="str">
        <f>S170</f>
        <v>복</v>
      </c>
      <c r="AF170" s="80" t="str">
        <f>Q170&amp;"/"&amp;R170</f>
        <v>3/2</v>
      </c>
      <c r="AH170" s="20" t="str">
        <f t="shared" si="73"/>
        <v>미장동 파인빌2차</v>
      </c>
      <c r="AI170" s="88">
        <f t="shared" si="69"/>
        <v>36</v>
      </c>
      <c r="AJ170" s="80" t="str">
        <f>IF(AI170="","",$AJ$2)</f>
        <v>A-</v>
      </c>
      <c r="AK170" s="80" t="s">
        <v>14</v>
      </c>
      <c r="AL170" s="80" t="s">
        <v>63</v>
      </c>
      <c r="AM170" s="80" t="s">
        <v>64</v>
      </c>
      <c r="AN170" s="80" t="str">
        <f>IF(AI170="","",$AN$2)</f>
        <v>C</v>
      </c>
      <c r="AO170" s="80" t="str">
        <f>IF(N170="","",IF(N170&gt;=$AO$1/100,"O","X"))</f>
        <v>O</v>
      </c>
      <c r="AP170" s="80" t="str">
        <f>IF(I170="","",IF(I170&lt;=$AP$1,"O","X"))</f>
        <v>O</v>
      </c>
      <c r="AQ170" s="80" t="str">
        <f>IF(O170="","",IF(O170&lt;=$AQ$1,"O","X"))</f>
        <v>O</v>
      </c>
      <c r="AR170" s="80" t="str">
        <f>IF(M170="","",IF(M170&lt;=$AR$1,"O","X"))</f>
        <v>O</v>
      </c>
      <c r="AS170" s="80" t="s">
        <v>2</v>
      </c>
      <c r="AT170" s="80" t="str">
        <f>IF(OR(F170="",AI170=""),"",IF(AND((F170&lt;=85),(AI170&gt;=15)),"O","X"))</f>
        <v>O</v>
      </c>
      <c r="AU170" s="80" t="str">
        <f>IF(C170="","",IF(C170&gt;=$AU$1,"O","X"))</f>
        <v>O</v>
      </c>
      <c r="AV170" s="80" t="str">
        <f>IF(AO170="","",IF(AND(AO170="O",AP170="O",AR170="O",AT170="O",AU170="O"),"후보","X"))</f>
        <v>후보</v>
      </c>
    </row>
    <row r="171" spans="1:48" s="37" customFormat="1" ht="12" x14ac:dyDescent="0.3">
      <c r="A171" s="75" t="s">
        <v>1682</v>
      </c>
      <c r="B171" s="76" t="s">
        <v>1480</v>
      </c>
      <c r="C171" s="86">
        <v>499</v>
      </c>
      <c r="D171" s="87">
        <v>80.099999999999994</v>
      </c>
      <c r="E171" s="88">
        <v>24</v>
      </c>
      <c r="F171" s="87">
        <v>60</v>
      </c>
      <c r="G171" s="17">
        <v>18</v>
      </c>
      <c r="H171" s="89">
        <v>139</v>
      </c>
      <c r="I171" s="90">
        <v>15000</v>
      </c>
      <c r="J171" s="90" t="s">
        <v>68</v>
      </c>
      <c r="K171" s="90">
        <v>15000</v>
      </c>
      <c r="L171" s="90" t="s">
        <v>74</v>
      </c>
      <c r="M171" s="91">
        <f>I171-K171</f>
        <v>0</v>
      </c>
      <c r="N171" s="4">
        <f>IF(ISERROR(K171/I171),"",K171/I171)</f>
        <v>1</v>
      </c>
      <c r="O171" s="92">
        <f>I171/E171</f>
        <v>625</v>
      </c>
      <c r="P171" s="92">
        <f>K171/E171</f>
        <v>625</v>
      </c>
      <c r="Q171" s="80">
        <v>3</v>
      </c>
      <c r="R171" s="80">
        <v>1</v>
      </c>
      <c r="S171" s="80" t="s">
        <v>61</v>
      </c>
      <c r="T171" s="5">
        <v>80</v>
      </c>
      <c r="U171" s="9"/>
      <c r="W171" s="87">
        <f>D171</f>
        <v>80.099999999999994</v>
      </c>
      <c r="X171" s="88">
        <f>E171</f>
        <v>24</v>
      </c>
      <c r="Y171" s="93">
        <f>H171</f>
        <v>139</v>
      </c>
      <c r="Z171" s="91">
        <f>I171</f>
        <v>15000</v>
      </c>
      <c r="AA171" s="91">
        <f>K171</f>
        <v>15000</v>
      </c>
      <c r="AB171" s="91">
        <f t="shared" si="114"/>
        <v>0</v>
      </c>
      <c r="AC171" s="4">
        <f t="shared" si="114"/>
        <v>1</v>
      </c>
      <c r="AD171" s="92">
        <f t="shared" si="114"/>
        <v>625</v>
      </c>
      <c r="AE171" s="80" t="str">
        <f>S171</f>
        <v>계</v>
      </c>
      <c r="AF171" s="80" t="str">
        <f>Q171&amp;"/"&amp;R171</f>
        <v>3/1</v>
      </c>
      <c r="AH171" s="20" t="str">
        <f t="shared" si="73"/>
        <v>미장동 파인빌1차</v>
      </c>
      <c r="AI171" s="88">
        <f t="shared" si="69"/>
        <v>24</v>
      </c>
      <c r="AJ171" s="80" t="str">
        <f>IF(AI171="","",$AJ$2)</f>
        <v>A-</v>
      </c>
      <c r="AK171" s="80" t="s">
        <v>14</v>
      </c>
      <c r="AL171" s="80" t="s">
        <v>63</v>
      </c>
      <c r="AM171" s="80" t="s">
        <v>64</v>
      </c>
      <c r="AN171" s="80" t="str">
        <f>IF(AI171="","",$AN$2)</f>
        <v>C</v>
      </c>
      <c r="AO171" s="80" t="str">
        <f>IF(N171="","",IF(N171&gt;=$AO$1/100,"O","X"))</f>
        <v>O</v>
      </c>
      <c r="AP171" s="80" t="str">
        <f>IF(I171="","",IF(I171&lt;=$AP$1,"O","X"))</f>
        <v>O</v>
      </c>
      <c r="AQ171" s="80" t="str">
        <f>IF(O171="","",IF(O171&lt;=$AQ$1,"O","X"))</f>
        <v>O</v>
      </c>
      <c r="AR171" s="80" t="str">
        <f>IF(M171="","",IF(M171&lt;=$AR$1,"O","X"))</f>
        <v>O</v>
      </c>
      <c r="AS171" s="80" t="s">
        <v>2</v>
      </c>
      <c r="AT171" s="80" t="str">
        <f>IF(OR(F171="",AI171=""),"",IF(AND((F171&lt;=85),(AI171&gt;=15)),"O","X"))</f>
        <v>O</v>
      </c>
      <c r="AU171" s="80" t="str">
        <f>IF(C171="","",IF(C171&gt;=$AU$1,"O","X"))</f>
        <v>O</v>
      </c>
      <c r="AV171" s="80" t="str">
        <f>IF(AO171="","",IF(AND(AO171="O",AP171="O",AR171="O",AT171="O",AU171="O"),"후보","X"))</f>
        <v>후보</v>
      </c>
    </row>
    <row r="172" spans="1:48" s="37" customFormat="1" ht="12" x14ac:dyDescent="0.3">
      <c r="A172" s="75" t="s">
        <v>1682</v>
      </c>
      <c r="B172" s="76" t="s">
        <v>1480</v>
      </c>
      <c r="C172" s="86">
        <v>499</v>
      </c>
      <c r="D172" s="87">
        <v>110.9</v>
      </c>
      <c r="E172" s="88">
        <v>34</v>
      </c>
      <c r="F172" s="87">
        <v>85</v>
      </c>
      <c r="G172" s="17">
        <v>26</v>
      </c>
      <c r="H172" s="89">
        <v>360</v>
      </c>
      <c r="I172" s="90"/>
      <c r="J172" s="90"/>
      <c r="K172" s="90"/>
      <c r="L172" s="90"/>
      <c r="M172" s="91">
        <f>I172-K172</f>
        <v>0</v>
      </c>
      <c r="N172" s="4" t="str">
        <f>IF(ISERROR(K172/I172),"",K172/I172)</f>
        <v/>
      </c>
      <c r="O172" s="92">
        <f>I172/E172</f>
        <v>0</v>
      </c>
      <c r="P172" s="92">
        <f>K172/E172</f>
        <v>0</v>
      </c>
      <c r="Q172" s="80">
        <v>3</v>
      </c>
      <c r="R172" s="80">
        <v>2</v>
      </c>
      <c r="S172" s="80" t="s">
        <v>61</v>
      </c>
      <c r="T172" s="5">
        <v>110</v>
      </c>
      <c r="U172" s="9"/>
      <c r="W172" s="87">
        <f>D172</f>
        <v>110.9</v>
      </c>
      <c r="X172" s="88">
        <f>E172</f>
        <v>34</v>
      </c>
      <c r="Y172" s="93">
        <f>H172</f>
        <v>360</v>
      </c>
      <c r="Z172" s="91">
        <f>I172</f>
        <v>0</v>
      </c>
      <c r="AA172" s="91">
        <f>K172</f>
        <v>0</v>
      </c>
      <c r="AB172" s="91">
        <f t="shared" si="114"/>
        <v>0</v>
      </c>
      <c r="AC172" s="4" t="str">
        <f t="shared" si="114"/>
        <v/>
      </c>
      <c r="AD172" s="92">
        <f t="shared" si="114"/>
        <v>0</v>
      </c>
      <c r="AE172" s="80" t="str">
        <f>S172</f>
        <v>계</v>
      </c>
      <c r="AF172" s="80" t="str">
        <f>Q172&amp;"/"&amp;R172</f>
        <v>3/2</v>
      </c>
      <c r="AH172" s="20" t="str">
        <f t="shared" si="73"/>
        <v>미장동 파인빌1차</v>
      </c>
      <c r="AI172" s="88">
        <f t="shared" si="69"/>
        <v>34</v>
      </c>
      <c r="AJ172" s="80" t="str">
        <f>IF(AI172="","",$AJ$2)</f>
        <v>A-</v>
      </c>
      <c r="AK172" s="80" t="s">
        <v>14</v>
      </c>
      <c r="AL172" s="80" t="s">
        <v>63</v>
      </c>
      <c r="AM172" s="80" t="s">
        <v>64</v>
      </c>
      <c r="AN172" s="80" t="str">
        <f>IF(AI172="","",$AN$2)</f>
        <v>C</v>
      </c>
      <c r="AO172" s="80" t="str">
        <f>IF(N172="","",IF(N172&gt;=$AO$1/100,"O","X"))</f>
        <v/>
      </c>
      <c r="AP172" s="80" t="str">
        <f>IF(I172="","",IF(I172&lt;=$AP$1,"O","X"))</f>
        <v/>
      </c>
      <c r="AQ172" s="80" t="str">
        <f>IF(O172="","",IF(O172&lt;=$AQ$1,"O","X"))</f>
        <v>O</v>
      </c>
      <c r="AR172" s="80" t="str">
        <f>IF(M172="","",IF(M172&lt;=$AR$1,"O","X"))</f>
        <v>O</v>
      </c>
      <c r="AS172" s="80" t="s">
        <v>2</v>
      </c>
      <c r="AT172" s="80" t="str">
        <f>IF(OR(F172="",AI172=""),"",IF(AND((F172&lt;=85),(AI172&gt;=15)),"O","X"))</f>
        <v>O</v>
      </c>
      <c r="AU172" s="80" t="str">
        <f>IF(C172="","",IF(C172&gt;=$AU$1,"O","X"))</f>
        <v>O</v>
      </c>
      <c r="AV172" s="80" t="str">
        <f>IF(AO172="","",IF(AND(AO172="O",AP172="O",AR172="O",AT172="O",AU172="O"),"후보","X"))</f>
        <v/>
      </c>
    </row>
    <row r="173" spans="1:48" s="37" customFormat="1" ht="12" x14ac:dyDescent="0.3">
      <c r="A173" s="75" t="s">
        <v>1482</v>
      </c>
      <c r="B173" s="76" t="s">
        <v>1683</v>
      </c>
      <c r="C173" s="86">
        <v>540</v>
      </c>
      <c r="D173" s="87">
        <v>99.8</v>
      </c>
      <c r="E173" s="88">
        <v>30</v>
      </c>
      <c r="F173" s="87">
        <v>75</v>
      </c>
      <c r="G173" s="17">
        <v>23</v>
      </c>
      <c r="H173" s="89">
        <v>72</v>
      </c>
      <c r="I173" s="90">
        <v>37300</v>
      </c>
      <c r="J173" s="90" t="s">
        <v>68</v>
      </c>
      <c r="K173" s="90">
        <v>32000</v>
      </c>
      <c r="L173" s="90" t="s">
        <v>81</v>
      </c>
      <c r="M173" s="91">
        <f t="shared" ref="M173:M185" si="115">I173-K173</f>
        <v>5300</v>
      </c>
      <c r="N173" s="4">
        <f t="shared" ref="N173:N185" si="116">IF(ISERROR(K173/I173),"",K173/I173)</f>
        <v>0.85790884718498661</v>
      </c>
      <c r="O173" s="92">
        <f t="shared" ref="O173:O185" si="117">I173/E173</f>
        <v>1243.3333333333333</v>
      </c>
      <c r="P173" s="92">
        <f t="shared" ref="P173:P185" si="118">K173/E173</f>
        <v>1066.6666666666667</v>
      </c>
      <c r="Q173" s="80">
        <v>3</v>
      </c>
      <c r="R173" s="80">
        <v>2</v>
      </c>
      <c r="S173" s="80" t="s">
        <v>61</v>
      </c>
      <c r="T173" s="5" t="s">
        <v>89</v>
      </c>
      <c r="U173" s="9"/>
      <c r="W173" s="87">
        <f t="shared" ref="W173:X188" si="119">D173</f>
        <v>99.8</v>
      </c>
      <c r="X173" s="88">
        <f t="shared" si="119"/>
        <v>30</v>
      </c>
      <c r="Y173" s="93">
        <f t="shared" ref="Y173:Z188" si="120">H173</f>
        <v>72</v>
      </c>
      <c r="Z173" s="91">
        <f t="shared" si="120"/>
        <v>37300</v>
      </c>
      <c r="AA173" s="91">
        <f t="shared" ref="AA173:AA185" si="121">K173</f>
        <v>32000</v>
      </c>
      <c r="AB173" s="91">
        <f t="shared" si="114"/>
        <v>5300</v>
      </c>
      <c r="AC173" s="4">
        <f t="shared" si="114"/>
        <v>0.85790884718498661</v>
      </c>
      <c r="AD173" s="92">
        <f t="shared" si="114"/>
        <v>1243.3333333333333</v>
      </c>
      <c r="AE173" s="80" t="str">
        <f t="shared" ref="AE173:AE185" si="122">S173</f>
        <v>계</v>
      </c>
      <c r="AF173" s="80" t="str">
        <f t="shared" ref="AF173:AF185" si="123">Q173&amp;"/"&amp;R173</f>
        <v>3/2</v>
      </c>
      <c r="AH173" s="20" t="str">
        <f t="shared" si="73"/>
        <v>미장동 군산미장2차아이파크</v>
      </c>
      <c r="AI173" s="88">
        <f t="shared" si="69"/>
        <v>30</v>
      </c>
      <c r="AJ173" s="80" t="str">
        <f t="shared" ref="AJ173:AJ185" si="124">IF(AI173="","",$AJ$2)</f>
        <v>A-</v>
      </c>
      <c r="AK173" s="80" t="s">
        <v>14</v>
      </c>
      <c r="AL173" s="80" t="s">
        <v>63</v>
      </c>
      <c r="AM173" s="80" t="s">
        <v>64</v>
      </c>
      <c r="AN173" s="80" t="str">
        <f t="shared" ref="AN173:AN185" si="125">IF(AI173="","",$AN$2)</f>
        <v>C</v>
      </c>
      <c r="AO173" s="80" t="str">
        <f t="shared" ref="AO173:AO185" si="126">IF(N173="","",IF(N173&gt;=$AO$1/100,"O","X"))</f>
        <v>O</v>
      </c>
      <c r="AP173" s="80" t="str">
        <f t="shared" ref="AP173:AP185" si="127">IF(I173="","",IF(I173&lt;=$AP$1,"O","X"))</f>
        <v>O</v>
      </c>
      <c r="AQ173" s="80" t="str">
        <f t="shared" ref="AQ173:AQ185" si="128">IF(O173="","",IF(O173&lt;=$AQ$1,"O","X"))</f>
        <v>X</v>
      </c>
      <c r="AR173" s="80" t="str">
        <f t="shared" ref="AR173:AR185" si="129">IF(M173="","",IF(M173&lt;=$AR$1,"O","X"))</f>
        <v>X</v>
      </c>
      <c r="AS173" s="80" t="s">
        <v>2</v>
      </c>
      <c r="AT173" s="80" t="str">
        <f t="shared" ref="AT173:AT185" si="130">IF(OR(F173="",AI173=""),"",IF(AND((F173&lt;=85),(AI173&gt;=15)),"O","X"))</f>
        <v>O</v>
      </c>
      <c r="AU173" s="80" t="str">
        <f t="shared" ref="AU173:AU185" si="131">IF(C173="","",IF(C173&gt;=$AU$1,"O","X"))</f>
        <v>O</v>
      </c>
      <c r="AV173" s="80" t="str">
        <f t="shared" ref="AV173:AV185" si="132">IF(AO173="","",IF(AND(AO173="O",AP173="O",AR173="O",AT173="O",AU173="O"),"후보","X"))</f>
        <v>X</v>
      </c>
    </row>
    <row r="174" spans="1:48" s="37" customFormat="1" ht="12" x14ac:dyDescent="0.3">
      <c r="A174" s="75" t="s">
        <v>1684</v>
      </c>
      <c r="B174" s="76" t="s">
        <v>1685</v>
      </c>
      <c r="C174" s="86">
        <v>540</v>
      </c>
      <c r="D174" s="87">
        <v>100</v>
      </c>
      <c r="E174" s="88">
        <v>30</v>
      </c>
      <c r="F174" s="87">
        <v>75</v>
      </c>
      <c r="G174" s="17">
        <v>23</v>
      </c>
      <c r="H174" s="89">
        <v>49</v>
      </c>
      <c r="I174" s="90">
        <v>38000</v>
      </c>
      <c r="J174" s="90" t="s">
        <v>91</v>
      </c>
      <c r="K174" s="90"/>
      <c r="L174" s="90"/>
      <c r="M174" s="91">
        <f t="shared" si="115"/>
        <v>38000</v>
      </c>
      <c r="N174" s="4">
        <f t="shared" si="116"/>
        <v>0</v>
      </c>
      <c r="O174" s="92">
        <f t="shared" si="117"/>
        <v>1266.6666666666667</v>
      </c>
      <c r="P174" s="92">
        <f t="shared" si="118"/>
        <v>0</v>
      </c>
      <c r="Q174" s="80">
        <v>3</v>
      </c>
      <c r="R174" s="80">
        <v>2</v>
      </c>
      <c r="S174" s="80" t="s">
        <v>61</v>
      </c>
      <c r="T174" s="5" t="s">
        <v>760</v>
      </c>
      <c r="U174" s="9"/>
      <c r="W174" s="87">
        <f t="shared" si="119"/>
        <v>100</v>
      </c>
      <c r="X174" s="88">
        <f t="shared" si="119"/>
        <v>30</v>
      </c>
      <c r="Y174" s="93">
        <f t="shared" si="120"/>
        <v>49</v>
      </c>
      <c r="Z174" s="91">
        <f t="shared" si="120"/>
        <v>38000</v>
      </c>
      <c r="AA174" s="91">
        <f t="shared" si="121"/>
        <v>0</v>
      </c>
      <c r="AB174" s="91">
        <f t="shared" si="114"/>
        <v>38000</v>
      </c>
      <c r="AC174" s="4">
        <f t="shared" si="114"/>
        <v>0</v>
      </c>
      <c r="AD174" s="92">
        <f t="shared" si="114"/>
        <v>1266.6666666666667</v>
      </c>
      <c r="AE174" s="80" t="str">
        <f t="shared" si="122"/>
        <v>계</v>
      </c>
      <c r="AF174" s="80" t="str">
        <f t="shared" si="123"/>
        <v>3/2</v>
      </c>
      <c r="AH174" s="20" t="str">
        <f t="shared" si="73"/>
        <v>미장동 군산미장2차아이파크</v>
      </c>
      <c r="AI174" s="88">
        <f t="shared" si="69"/>
        <v>30</v>
      </c>
      <c r="AJ174" s="80" t="str">
        <f t="shared" si="124"/>
        <v>A-</v>
      </c>
      <c r="AK174" s="80" t="s">
        <v>14</v>
      </c>
      <c r="AL174" s="80" t="s">
        <v>63</v>
      </c>
      <c r="AM174" s="80" t="s">
        <v>64</v>
      </c>
      <c r="AN174" s="80" t="str">
        <f t="shared" si="125"/>
        <v>C</v>
      </c>
      <c r="AO174" s="80" t="str">
        <f t="shared" si="126"/>
        <v>X</v>
      </c>
      <c r="AP174" s="80" t="str">
        <f t="shared" si="127"/>
        <v>O</v>
      </c>
      <c r="AQ174" s="80" t="str">
        <f t="shared" si="128"/>
        <v>X</v>
      </c>
      <c r="AR174" s="80" t="str">
        <f t="shared" si="129"/>
        <v>X</v>
      </c>
      <c r="AS174" s="80" t="s">
        <v>2</v>
      </c>
      <c r="AT174" s="80" t="str">
        <f t="shared" si="130"/>
        <v>O</v>
      </c>
      <c r="AU174" s="80" t="str">
        <f t="shared" si="131"/>
        <v>O</v>
      </c>
      <c r="AV174" s="80" t="str">
        <f t="shared" si="132"/>
        <v>X</v>
      </c>
    </row>
    <row r="175" spans="1:48" s="37" customFormat="1" ht="12" x14ac:dyDescent="0.3">
      <c r="A175" s="75" t="s">
        <v>1482</v>
      </c>
      <c r="B175" s="76" t="s">
        <v>1483</v>
      </c>
      <c r="C175" s="86">
        <v>540</v>
      </c>
      <c r="D175" s="87">
        <v>100.5</v>
      </c>
      <c r="E175" s="88">
        <v>30</v>
      </c>
      <c r="F175" s="87">
        <v>75</v>
      </c>
      <c r="G175" s="17">
        <v>23</v>
      </c>
      <c r="H175" s="89">
        <v>188</v>
      </c>
      <c r="I175" s="90">
        <v>38000</v>
      </c>
      <c r="J175" s="90" t="s">
        <v>111</v>
      </c>
      <c r="K175" s="90"/>
      <c r="L175" s="90"/>
      <c r="M175" s="91">
        <f t="shared" si="115"/>
        <v>38000</v>
      </c>
      <c r="N175" s="4">
        <f t="shared" si="116"/>
        <v>0</v>
      </c>
      <c r="O175" s="92">
        <f t="shared" si="117"/>
        <v>1266.6666666666667</v>
      </c>
      <c r="P175" s="92">
        <f t="shared" si="118"/>
        <v>0</v>
      </c>
      <c r="Q175" s="80">
        <v>3</v>
      </c>
      <c r="R175" s="80">
        <v>2</v>
      </c>
      <c r="S175" s="80" t="s">
        <v>61</v>
      </c>
      <c r="T175" s="5" t="s">
        <v>115</v>
      </c>
      <c r="U175" s="9"/>
      <c r="W175" s="87">
        <f t="shared" si="119"/>
        <v>100.5</v>
      </c>
      <c r="X175" s="88">
        <f t="shared" si="119"/>
        <v>30</v>
      </c>
      <c r="Y175" s="93">
        <f t="shared" si="120"/>
        <v>188</v>
      </c>
      <c r="Z175" s="91">
        <f t="shared" si="120"/>
        <v>38000</v>
      </c>
      <c r="AA175" s="91">
        <f t="shared" si="121"/>
        <v>0</v>
      </c>
      <c r="AB175" s="91">
        <f t="shared" si="114"/>
        <v>38000</v>
      </c>
      <c r="AC175" s="4">
        <f t="shared" si="114"/>
        <v>0</v>
      </c>
      <c r="AD175" s="92">
        <f t="shared" si="114"/>
        <v>1266.6666666666667</v>
      </c>
      <c r="AE175" s="80" t="str">
        <f t="shared" si="122"/>
        <v>계</v>
      </c>
      <c r="AF175" s="80" t="str">
        <f t="shared" si="123"/>
        <v>3/2</v>
      </c>
      <c r="AH175" s="20" t="str">
        <f t="shared" si="73"/>
        <v>미장동 군산미장2차아이파크</v>
      </c>
      <c r="AI175" s="88">
        <f t="shared" si="69"/>
        <v>30</v>
      </c>
      <c r="AJ175" s="80" t="str">
        <f t="shared" si="124"/>
        <v>A-</v>
      </c>
      <c r="AK175" s="80" t="s">
        <v>14</v>
      </c>
      <c r="AL175" s="80" t="s">
        <v>63</v>
      </c>
      <c r="AM175" s="80" t="s">
        <v>64</v>
      </c>
      <c r="AN175" s="80" t="str">
        <f t="shared" si="125"/>
        <v>C</v>
      </c>
      <c r="AO175" s="80" t="str">
        <f t="shared" si="126"/>
        <v>X</v>
      </c>
      <c r="AP175" s="80" t="str">
        <f t="shared" si="127"/>
        <v>O</v>
      </c>
      <c r="AQ175" s="80" t="str">
        <f t="shared" si="128"/>
        <v>X</v>
      </c>
      <c r="AR175" s="80" t="str">
        <f t="shared" si="129"/>
        <v>X</v>
      </c>
      <c r="AS175" s="80" t="s">
        <v>2</v>
      </c>
      <c r="AT175" s="80" t="str">
        <f t="shared" si="130"/>
        <v>O</v>
      </c>
      <c r="AU175" s="80" t="str">
        <f t="shared" si="131"/>
        <v>O</v>
      </c>
      <c r="AV175" s="80" t="str">
        <f t="shared" si="132"/>
        <v>X</v>
      </c>
    </row>
    <row r="176" spans="1:48" s="37" customFormat="1" ht="12" x14ac:dyDescent="0.3">
      <c r="A176" s="75" t="s">
        <v>1686</v>
      </c>
      <c r="B176" s="76" t="s">
        <v>1683</v>
      </c>
      <c r="C176" s="86">
        <v>540</v>
      </c>
      <c r="D176" s="87">
        <v>100</v>
      </c>
      <c r="E176" s="88">
        <v>30</v>
      </c>
      <c r="F176" s="87">
        <v>75</v>
      </c>
      <c r="G176" s="17">
        <v>23</v>
      </c>
      <c r="H176" s="89">
        <v>50</v>
      </c>
      <c r="I176" s="90">
        <v>38000</v>
      </c>
      <c r="J176" s="90" t="s">
        <v>91</v>
      </c>
      <c r="K176" s="90"/>
      <c r="L176" s="90"/>
      <c r="M176" s="91">
        <f t="shared" si="115"/>
        <v>38000</v>
      </c>
      <c r="N176" s="4">
        <f t="shared" si="116"/>
        <v>0</v>
      </c>
      <c r="O176" s="92">
        <f t="shared" si="117"/>
        <v>1266.6666666666667</v>
      </c>
      <c r="P176" s="92">
        <f t="shared" si="118"/>
        <v>0</v>
      </c>
      <c r="Q176" s="80">
        <v>3</v>
      </c>
      <c r="R176" s="80">
        <v>2</v>
      </c>
      <c r="S176" s="80" t="s">
        <v>61</v>
      </c>
      <c r="T176" s="5" t="s">
        <v>761</v>
      </c>
      <c r="U176" s="9"/>
      <c r="W176" s="87">
        <f t="shared" si="119"/>
        <v>100</v>
      </c>
      <c r="X176" s="88">
        <f t="shared" si="119"/>
        <v>30</v>
      </c>
      <c r="Y176" s="93">
        <f t="shared" si="120"/>
        <v>50</v>
      </c>
      <c r="Z176" s="91">
        <f t="shared" si="120"/>
        <v>38000</v>
      </c>
      <c r="AA176" s="91">
        <f t="shared" si="121"/>
        <v>0</v>
      </c>
      <c r="AB176" s="91">
        <f t="shared" si="114"/>
        <v>38000</v>
      </c>
      <c r="AC176" s="4">
        <f t="shared" si="114"/>
        <v>0</v>
      </c>
      <c r="AD176" s="92">
        <f t="shared" si="114"/>
        <v>1266.6666666666667</v>
      </c>
      <c r="AE176" s="80" t="str">
        <f t="shared" si="122"/>
        <v>계</v>
      </c>
      <c r="AF176" s="80" t="str">
        <f t="shared" si="123"/>
        <v>3/2</v>
      </c>
      <c r="AH176" s="20" t="str">
        <f t="shared" si="73"/>
        <v>미장동 군산미장2차아이파크</v>
      </c>
      <c r="AI176" s="88">
        <f t="shared" si="69"/>
        <v>30</v>
      </c>
      <c r="AJ176" s="80" t="str">
        <f t="shared" si="124"/>
        <v>A-</v>
      </c>
      <c r="AK176" s="80" t="s">
        <v>14</v>
      </c>
      <c r="AL176" s="80" t="s">
        <v>63</v>
      </c>
      <c r="AM176" s="80" t="s">
        <v>64</v>
      </c>
      <c r="AN176" s="80" t="str">
        <f t="shared" si="125"/>
        <v>C</v>
      </c>
      <c r="AO176" s="80" t="str">
        <f t="shared" si="126"/>
        <v>X</v>
      </c>
      <c r="AP176" s="80" t="str">
        <f t="shared" si="127"/>
        <v>O</v>
      </c>
      <c r="AQ176" s="80" t="str">
        <f t="shared" si="128"/>
        <v>X</v>
      </c>
      <c r="AR176" s="80" t="str">
        <f t="shared" si="129"/>
        <v>X</v>
      </c>
      <c r="AS176" s="80" t="s">
        <v>2</v>
      </c>
      <c r="AT176" s="80" t="str">
        <f t="shared" si="130"/>
        <v>O</v>
      </c>
      <c r="AU176" s="80" t="str">
        <f t="shared" si="131"/>
        <v>O</v>
      </c>
      <c r="AV176" s="80" t="str">
        <f t="shared" si="132"/>
        <v>X</v>
      </c>
    </row>
    <row r="177" spans="1:48" s="37" customFormat="1" ht="12" x14ac:dyDescent="0.3">
      <c r="A177" s="75" t="s">
        <v>1687</v>
      </c>
      <c r="B177" s="76" t="s">
        <v>1685</v>
      </c>
      <c r="C177" s="86">
        <v>540</v>
      </c>
      <c r="D177" s="87">
        <v>100.8</v>
      </c>
      <c r="E177" s="88">
        <v>30</v>
      </c>
      <c r="F177" s="87">
        <v>75</v>
      </c>
      <c r="G177" s="17">
        <v>23</v>
      </c>
      <c r="H177" s="89">
        <v>15</v>
      </c>
      <c r="I177" s="90">
        <v>38700</v>
      </c>
      <c r="J177" s="90" t="s">
        <v>111</v>
      </c>
      <c r="K177" s="90"/>
      <c r="L177" s="90"/>
      <c r="M177" s="91">
        <f t="shared" si="115"/>
        <v>38700</v>
      </c>
      <c r="N177" s="4">
        <f t="shared" si="116"/>
        <v>0</v>
      </c>
      <c r="O177" s="92">
        <f t="shared" si="117"/>
        <v>1290</v>
      </c>
      <c r="P177" s="92">
        <f t="shared" si="118"/>
        <v>0</v>
      </c>
      <c r="Q177" s="80">
        <v>3</v>
      </c>
      <c r="R177" s="80">
        <v>2</v>
      </c>
      <c r="S177" s="80" t="s">
        <v>61</v>
      </c>
      <c r="T177" s="5" t="s">
        <v>116</v>
      </c>
      <c r="U177" s="9"/>
      <c r="W177" s="87">
        <f t="shared" si="119"/>
        <v>100.8</v>
      </c>
      <c r="X177" s="88">
        <f t="shared" si="119"/>
        <v>30</v>
      </c>
      <c r="Y177" s="93">
        <f t="shared" si="120"/>
        <v>15</v>
      </c>
      <c r="Z177" s="91">
        <f t="shared" si="120"/>
        <v>38700</v>
      </c>
      <c r="AA177" s="91">
        <f t="shared" si="121"/>
        <v>0</v>
      </c>
      <c r="AB177" s="91">
        <f t="shared" si="114"/>
        <v>38700</v>
      </c>
      <c r="AC177" s="4">
        <f t="shared" si="114"/>
        <v>0</v>
      </c>
      <c r="AD177" s="92">
        <f t="shared" si="114"/>
        <v>1290</v>
      </c>
      <c r="AE177" s="80" t="str">
        <f t="shared" si="122"/>
        <v>계</v>
      </c>
      <c r="AF177" s="80" t="str">
        <f t="shared" si="123"/>
        <v>3/2</v>
      </c>
      <c r="AH177" s="20" t="str">
        <f t="shared" si="73"/>
        <v>미장동 군산미장2차아이파크</v>
      </c>
      <c r="AI177" s="88">
        <f t="shared" si="69"/>
        <v>30</v>
      </c>
      <c r="AJ177" s="80" t="str">
        <f t="shared" si="124"/>
        <v>A-</v>
      </c>
      <c r="AK177" s="80" t="s">
        <v>14</v>
      </c>
      <c r="AL177" s="80" t="s">
        <v>63</v>
      </c>
      <c r="AM177" s="80" t="s">
        <v>64</v>
      </c>
      <c r="AN177" s="80" t="str">
        <f t="shared" si="125"/>
        <v>C</v>
      </c>
      <c r="AO177" s="80" t="str">
        <f t="shared" si="126"/>
        <v>X</v>
      </c>
      <c r="AP177" s="80" t="str">
        <f t="shared" si="127"/>
        <v>O</v>
      </c>
      <c r="AQ177" s="80" t="str">
        <f t="shared" si="128"/>
        <v>X</v>
      </c>
      <c r="AR177" s="80" t="str">
        <f t="shared" si="129"/>
        <v>X</v>
      </c>
      <c r="AS177" s="80" t="s">
        <v>2</v>
      </c>
      <c r="AT177" s="80" t="str">
        <f t="shared" si="130"/>
        <v>O</v>
      </c>
      <c r="AU177" s="80" t="str">
        <f t="shared" si="131"/>
        <v>O</v>
      </c>
      <c r="AV177" s="80" t="str">
        <f t="shared" si="132"/>
        <v>X</v>
      </c>
    </row>
    <row r="178" spans="1:48" s="37" customFormat="1" ht="12" x14ac:dyDescent="0.3">
      <c r="A178" s="75" t="s">
        <v>1482</v>
      </c>
      <c r="B178" s="76" t="s">
        <v>1688</v>
      </c>
      <c r="C178" s="86">
        <v>540</v>
      </c>
      <c r="D178" s="87">
        <v>130.4</v>
      </c>
      <c r="E178" s="88">
        <v>39</v>
      </c>
      <c r="F178" s="87">
        <v>101.8</v>
      </c>
      <c r="G178" s="17">
        <v>31</v>
      </c>
      <c r="H178" s="89">
        <v>166</v>
      </c>
      <c r="I178" s="90">
        <v>52000</v>
      </c>
      <c r="J178" s="90" t="s">
        <v>66</v>
      </c>
      <c r="K178" s="90">
        <v>39000</v>
      </c>
      <c r="L178" s="90" t="s">
        <v>111</v>
      </c>
      <c r="M178" s="91">
        <f t="shared" si="115"/>
        <v>13000</v>
      </c>
      <c r="N178" s="4">
        <f t="shared" si="116"/>
        <v>0.75</v>
      </c>
      <c r="O178" s="92">
        <f t="shared" si="117"/>
        <v>1333.3333333333333</v>
      </c>
      <c r="P178" s="92">
        <f t="shared" si="118"/>
        <v>1000</v>
      </c>
      <c r="Q178" s="80">
        <v>3</v>
      </c>
      <c r="R178" s="80">
        <v>2</v>
      </c>
      <c r="S178" s="80" t="s">
        <v>61</v>
      </c>
      <c r="T178" s="5">
        <v>130</v>
      </c>
      <c r="U178" s="9"/>
      <c r="W178" s="87">
        <f t="shared" si="119"/>
        <v>130.4</v>
      </c>
      <c r="X178" s="88">
        <f t="shared" si="119"/>
        <v>39</v>
      </c>
      <c r="Y178" s="93">
        <f t="shared" si="120"/>
        <v>166</v>
      </c>
      <c r="Z178" s="91">
        <f t="shared" si="120"/>
        <v>52000</v>
      </c>
      <c r="AA178" s="91">
        <f t="shared" si="121"/>
        <v>39000</v>
      </c>
      <c r="AB178" s="91">
        <f t="shared" si="114"/>
        <v>13000</v>
      </c>
      <c r="AC178" s="4">
        <f t="shared" si="114"/>
        <v>0.75</v>
      </c>
      <c r="AD178" s="92">
        <f t="shared" si="114"/>
        <v>1333.3333333333333</v>
      </c>
      <c r="AE178" s="80" t="str">
        <f t="shared" si="122"/>
        <v>계</v>
      </c>
      <c r="AF178" s="80" t="str">
        <f t="shared" si="123"/>
        <v>3/2</v>
      </c>
      <c r="AH178" s="20" t="str">
        <f t="shared" si="73"/>
        <v>미장동 군산미장2차아이파크</v>
      </c>
      <c r="AI178" s="88">
        <f t="shared" si="69"/>
        <v>39</v>
      </c>
      <c r="AJ178" s="80" t="str">
        <f t="shared" si="124"/>
        <v>A-</v>
      </c>
      <c r="AK178" s="80" t="s">
        <v>14</v>
      </c>
      <c r="AL178" s="80" t="s">
        <v>63</v>
      </c>
      <c r="AM178" s="80" t="s">
        <v>64</v>
      </c>
      <c r="AN178" s="80" t="str">
        <f t="shared" si="125"/>
        <v>C</v>
      </c>
      <c r="AO178" s="80" t="str">
        <f t="shared" si="126"/>
        <v>X</v>
      </c>
      <c r="AP178" s="80" t="str">
        <f t="shared" si="127"/>
        <v>X</v>
      </c>
      <c r="AQ178" s="80" t="str">
        <f t="shared" si="128"/>
        <v>X</v>
      </c>
      <c r="AR178" s="80" t="str">
        <f t="shared" si="129"/>
        <v>X</v>
      </c>
      <c r="AS178" s="80" t="s">
        <v>2</v>
      </c>
      <c r="AT178" s="80" t="str">
        <f t="shared" si="130"/>
        <v>X</v>
      </c>
      <c r="AU178" s="80" t="str">
        <f t="shared" si="131"/>
        <v>O</v>
      </c>
      <c r="AV178" s="80" t="str">
        <f t="shared" si="132"/>
        <v>X</v>
      </c>
    </row>
    <row r="179" spans="1:48" s="37" customFormat="1" ht="12" x14ac:dyDescent="0.3">
      <c r="A179" s="75" t="s">
        <v>1689</v>
      </c>
      <c r="B179" s="76" t="s">
        <v>1485</v>
      </c>
      <c r="C179" s="86">
        <v>1078</v>
      </c>
      <c r="D179" s="87">
        <v>80.3</v>
      </c>
      <c r="E179" s="88">
        <v>24</v>
      </c>
      <c r="F179" s="87">
        <v>60</v>
      </c>
      <c r="G179" s="17">
        <v>18</v>
      </c>
      <c r="H179" s="89">
        <v>141</v>
      </c>
      <c r="I179" s="90">
        <v>26000</v>
      </c>
      <c r="J179" s="90" t="s">
        <v>60</v>
      </c>
      <c r="K179" s="90"/>
      <c r="L179" s="90"/>
      <c r="M179" s="91">
        <f t="shared" si="115"/>
        <v>26000</v>
      </c>
      <c r="N179" s="4">
        <f t="shared" si="116"/>
        <v>0</v>
      </c>
      <c r="O179" s="92">
        <f t="shared" si="117"/>
        <v>1083.3333333333333</v>
      </c>
      <c r="P179" s="92">
        <f t="shared" si="118"/>
        <v>0</v>
      </c>
      <c r="Q179" s="80">
        <v>3</v>
      </c>
      <c r="R179" s="80">
        <v>2</v>
      </c>
      <c r="S179" s="80" t="s">
        <v>61</v>
      </c>
      <c r="T179" s="5">
        <v>80</v>
      </c>
      <c r="U179" s="9"/>
      <c r="W179" s="87">
        <f t="shared" si="119"/>
        <v>80.3</v>
      </c>
      <c r="X179" s="88">
        <f t="shared" si="119"/>
        <v>24</v>
      </c>
      <c r="Y179" s="93">
        <f t="shared" si="120"/>
        <v>141</v>
      </c>
      <c r="Z179" s="91">
        <f t="shared" si="120"/>
        <v>26000</v>
      </c>
      <c r="AA179" s="91">
        <f t="shared" si="121"/>
        <v>0</v>
      </c>
      <c r="AB179" s="91">
        <f t="shared" si="114"/>
        <v>26000</v>
      </c>
      <c r="AC179" s="4">
        <f t="shared" si="114"/>
        <v>0</v>
      </c>
      <c r="AD179" s="92">
        <f t="shared" si="114"/>
        <v>1083.3333333333333</v>
      </c>
      <c r="AE179" s="80" t="str">
        <f t="shared" si="122"/>
        <v>계</v>
      </c>
      <c r="AF179" s="80" t="str">
        <f t="shared" si="123"/>
        <v>3/2</v>
      </c>
      <c r="AH179" s="20" t="str">
        <f t="shared" si="73"/>
        <v>미장동 군산미장아이파크</v>
      </c>
      <c r="AI179" s="88">
        <f t="shared" si="69"/>
        <v>24</v>
      </c>
      <c r="AJ179" s="80" t="str">
        <f t="shared" si="124"/>
        <v>A-</v>
      </c>
      <c r="AK179" s="80" t="s">
        <v>14</v>
      </c>
      <c r="AL179" s="80" t="s">
        <v>63</v>
      </c>
      <c r="AM179" s="80" t="s">
        <v>64</v>
      </c>
      <c r="AN179" s="80" t="str">
        <f t="shared" si="125"/>
        <v>C</v>
      </c>
      <c r="AO179" s="80" t="str">
        <f t="shared" si="126"/>
        <v>X</v>
      </c>
      <c r="AP179" s="80" t="str">
        <f t="shared" si="127"/>
        <v>O</v>
      </c>
      <c r="AQ179" s="80" t="str">
        <f t="shared" si="128"/>
        <v>O</v>
      </c>
      <c r="AR179" s="80" t="str">
        <f t="shared" si="129"/>
        <v>X</v>
      </c>
      <c r="AS179" s="80" t="s">
        <v>2</v>
      </c>
      <c r="AT179" s="80" t="str">
        <f t="shared" si="130"/>
        <v>O</v>
      </c>
      <c r="AU179" s="80" t="str">
        <f t="shared" si="131"/>
        <v>O</v>
      </c>
      <c r="AV179" s="80" t="str">
        <f t="shared" si="132"/>
        <v>X</v>
      </c>
    </row>
    <row r="180" spans="1:48" s="37" customFormat="1" ht="12" x14ac:dyDescent="0.3">
      <c r="A180" s="75" t="s">
        <v>1690</v>
      </c>
      <c r="B180" s="76" t="s">
        <v>1691</v>
      </c>
      <c r="C180" s="86">
        <v>1078</v>
      </c>
      <c r="D180" s="87">
        <v>111.3</v>
      </c>
      <c r="E180" s="88">
        <v>34</v>
      </c>
      <c r="F180" s="87">
        <v>85</v>
      </c>
      <c r="G180" s="17">
        <v>26</v>
      </c>
      <c r="H180" s="89">
        <v>435</v>
      </c>
      <c r="I180" s="90">
        <v>35500</v>
      </c>
      <c r="J180" s="90" t="s">
        <v>70</v>
      </c>
      <c r="K180" s="90">
        <v>28000</v>
      </c>
      <c r="L180" s="90" t="s">
        <v>69</v>
      </c>
      <c r="M180" s="91">
        <f t="shared" si="115"/>
        <v>7500</v>
      </c>
      <c r="N180" s="4">
        <f t="shared" si="116"/>
        <v>0.78873239436619713</v>
      </c>
      <c r="O180" s="92">
        <f t="shared" si="117"/>
        <v>1044.1176470588234</v>
      </c>
      <c r="P180" s="92">
        <f t="shared" si="118"/>
        <v>823.52941176470586</v>
      </c>
      <c r="Q180" s="80">
        <v>3</v>
      </c>
      <c r="R180" s="80">
        <v>2</v>
      </c>
      <c r="S180" s="80" t="s">
        <v>61</v>
      </c>
      <c r="T180" s="5" t="s">
        <v>92</v>
      </c>
      <c r="U180" s="9"/>
      <c r="W180" s="87">
        <f t="shared" si="119"/>
        <v>111.3</v>
      </c>
      <c r="X180" s="88">
        <f t="shared" si="119"/>
        <v>34</v>
      </c>
      <c r="Y180" s="93">
        <f t="shared" si="120"/>
        <v>435</v>
      </c>
      <c r="Z180" s="91">
        <f t="shared" si="120"/>
        <v>35500</v>
      </c>
      <c r="AA180" s="91">
        <f t="shared" si="121"/>
        <v>28000</v>
      </c>
      <c r="AB180" s="91">
        <f t="shared" si="114"/>
        <v>7500</v>
      </c>
      <c r="AC180" s="4">
        <f t="shared" si="114"/>
        <v>0.78873239436619713</v>
      </c>
      <c r="AD180" s="92">
        <f t="shared" si="114"/>
        <v>1044.1176470588234</v>
      </c>
      <c r="AE180" s="80" t="str">
        <f t="shared" si="122"/>
        <v>계</v>
      </c>
      <c r="AF180" s="80" t="str">
        <f t="shared" si="123"/>
        <v>3/2</v>
      </c>
      <c r="AH180" s="20" t="str">
        <f t="shared" si="73"/>
        <v>미장동 군산미장아이파크</v>
      </c>
      <c r="AI180" s="88">
        <f t="shared" si="69"/>
        <v>34</v>
      </c>
      <c r="AJ180" s="80" t="str">
        <f t="shared" si="124"/>
        <v>A-</v>
      </c>
      <c r="AK180" s="80" t="s">
        <v>14</v>
      </c>
      <c r="AL180" s="80" t="s">
        <v>63</v>
      </c>
      <c r="AM180" s="80" t="s">
        <v>64</v>
      </c>
      <c r="AN180" s="80" t="str">
        <f t="shared" si="125"/>
        <v>C</v>
      </c>
      <c r="AO180" s="80" t="str">
        <f t="shared" si="126"/>
        <v>X</v>
      </c>
      <c r="AP180" s="80" t="str">
        <f t="shared" si="127"/>
        <v>O</v>
      </c>
      <c r="AQ180" s="80" t="str">
        <f t="shared" si="128"/>
        <v>O</v>
      </c>
      <c r="AR180" s="80" t="str">
        <f t="shared" si="129"/>
        <v>X</v>
      </c>
      <c r="AS180" s="80" t="s">
        <v>2</v>
      </c>
      <c r="AT180" s="80" t="str">
        <f t="shared" si="130"/>
        <v>O</v>
      </c>
      <c r="AU180" s="80" t="str">
        <f t="shared" si="131"/>
        <v>O</v>
      </c>
      <c r="AV180" s="80" t="str">
        <f t="shared" si="132"/>
        <v>X</v>
      </c>
    </row>
    <row r="181" spans="1:48" s="37" customFormat="1" ht="12" x14ac:dyDescent="0.3">
      <c r="A181" s="75" t="s">
        <v>1692</v>
      </c>
      <c r="B181" s="76" t="s">
        <v>1485</v>
      </c>
      <c r="C181" s="86">
        <v>1078</v>
      </c>
      <c r="D181" s="87">
        <v>111.3</v>
      </c>
      <c r="E181" s="88">
        <v>34</v>
      </c>
      <c r="F181" s="87">
        <v>85</v>
      </c>
      <c r="G181" s="17">
        <v>26</v>
      </c>
      <c r="H181" s="89">
        <v>40</v>
      </c>
      <c r="I181" s="90">
        <v>35500</v>
      </c>
      <c r="J181" s="90" t="s">
        <v>70</v>
      </c>
      <c r="K181" s="90">
        <v>28000</v>
      </c>
      <c r="L181" s="90" t="s">
        <v>69</v>
      </c>
      <c r="M181" s="91">
        <f t="shared" si="115"/>
        <v>7500</v>
      </c>
      <c r="N181" s="4">
        <f t="shared" si="116"/>
        <v>0.78873239436619713</v>
      </c>
      <c r="O181" s="92">
        <f t="shared" si="117"/>
        <v>1044.1176470588234</v>
      </c>
      <c r="P181" s="92">
        <f t="shared" si="118"/>
        <v>823.52941176470586</v>
      </c>
      <c r="Q181" s="80">
        <v>3</v>
      </c>
      <c r="R181" s="80">
        <v>2</v>
      </c>
      <c r="S181" s="80" t="s">
        <v>61</v>
      </c>
      <c r="T181" s="5" t="s">
        <v>767</v>
      </c>
      <c r="U181" s="9"/>
      <c r="W181" s="87">
        <f t="shared" si="119"/>
        <v>111.3</v>
      </c>
      <c r="X181" s="88">
        <f t="shared" si="119"/>
        <v>34</v>
      </c>
      <c r="Y181" s="93">
        <f t="shared" si="120"/>
        <v>40</v>
      </c>
      <c r="Z181" s="91">
        <f t="shared" si="120"/>
        <v>35500</v>
      </c>
      <c r="AA181" s="91">
        <f t="shared" si="121"/>
        <v>28000</v>
      </c>
      <c r="AB181" s="91">
        <f t="shared" si="114"/>
        <v>7500</v>
      </c>
      <c r="AC181" s="4">
        <f t="shared" si="114"/>
        <v>0.78873239436619713</v>
      </c>
      <c r="AD181" s="92">
        <f t="shared" si="114"/>
        <v>1044.1176470588234</v>
      </c>
      <c r="AE181" s="80" t="str">
        <f t="shared" si="122"/>
        <v>계</v>
      </c>
      <c r="AF181" s="80" t="str">
        <f t="shared" si="123"/>
        <v>3/2</v>
      </c>
      <c r="AH181" s="20" t="str">
        <f t="shared" si="73"/>
        <v>미장동 군산미장아이파크</v>
      </c>
      <c r="AI181" s="88">
        <f t="shared" si="69"/>
        <v>34</v>
      </c>
      <c r="AJ181" s="80" t="str">
        <f t="shared" si="124"/>
        <v>A-</v>
      </c>
      <c r="AK181" s="80" t="s">
        <v>14</v>
      </c>
      <c r="AL181" s="80" t="s">
        <v>63</v>
      </c>
      <c r="AM181" s="80" t="s">
        <v>64</v>
      </c>
      <c r="AN181" s="80" t="str">
        <f t="shared" si="125"/>
        <v>C</v>
      </c>
      <c r="AO181" s="80" t="str">
        <f t="shared" si="126"/>
        <v>X</v>
      </c>
      <c r="AP181" s="80" t="str">
        <f t="shared" si="127"/>
        <v>O</v>
      </c>
      <c r="AQ181" s="80" t="str">
        <f t="shared" si="128"/>
        <v>O</v>
      </c>
      <c r="AR181" s="80" t="str">
        <f t="shared" si="129"/>
        <v>X</v>
      </c>
      <c r="AS181" s="80" t="s">
        <v>2</v>
      </c>
      <c r="AT181" s="80" t="str">
        <f t="shared" si="130"/>
        <v>O</v>
      </c>
      <c r="AU181" s="80" t="str">
        <f t="shared" si="131"/>
        <v>O</v>
      </c>
      <c r="AV181" s="80" t="str">
        <f t="shared" si="132"/>
        <v>X</v>
      </c>
    </row>
    <row r="182" spans="1:48" s="37" customFormat="1" ht="12" x14ac:dyDescent="0.3">
      <c r="A182" s="75" t="s">
        <v>1693</v>
      </c>
      <c r="B182" s="76" t="s">
        <v>1485</v>
      </c>
      <c r="C182" s="86">
        <v>1078</v>
      </c>
      <c r="D182" s="87">
        <v>113</v>
      </c>
      <c r="E182" s="88">
        <v>34</v>
      </c>
      <c r="F182" s="87">
        <v>85</v>
      </c>
      <c r="G182" s="17">
        <v>26</v>
      </c>
      <c r="H182" s="89">
        <v>200</v>
      </c>
      <c r="I182" s="90">
        <v>37000</v>
      </c>
      <c r="J182" s="90" t="s">
        <v>88</v>
      </c>
      <c r="K182" s="90">
        <v>30000</v>
      </c>
      <c r="L182" s="90" t="s">
        <v>68</v>
      </c>
      <c r="M182" s="91">
        <f t="shared" si="115"/>
        <v>7000</v>
      </c>
      <c r="N182" s="4">
        <f t="shared" si="116"/>
        <v>0.81081081081081086</v>
      </c>
      <c r="O182" s="92">
        <f t="shared" si="117"/>
        <v>1088.2352941176471</v>
      </c>
      <c r="P182" s="92">
        <f t="shared" si="118"/>
        <v>882.35294117647061</v>
      </c>
      <c r="Q182" s="80">
        <v>3</v>
      </c>
      <c r="R182" s="80">
        <v>2</v>
      </c>
      <c r="S182" s="80" t="s">
        <v>61</v>
      </c>
      <c r="T182" s="5" t="s">
        <v>126</v>
      </c>
      <c r="U182" s="9"/>
      <c r="W182" s="87">
        <f t="shared" si="119"/>
        <v>113</v>
      </c>
      <c r="X182" s="88">
        <f t="shared" si="119"/>
        <v>34</v>
      </c>
      <c r="Y182" s="93">
        <f t="shared" si="120"/>
        <v>200</v>
      </c>
      <c r="Z182" s="91">
        <f t="shared" si="120"/>
        <v>37000</v>
      </c>
      <c r="AA182" s="91">
        <f t="shared" si="121"/>
        <v>30000</v>
      </c>
      <c r="AB182" s="91">
        <f t="shared" si="114"/>
        <v>7000</v>
      </c>
      <c r="AC182" s="4">
        <f t="shared" si="114"/>
        <v>0.81081081081081086</v>
      </c>
      <c r="AD182" s="92">
        <f t="shared" si="114"/>
        <v>1088.2352941176471</v>
      </c>
      <c r="AE182" s="80" t="str">
        <f t="shared" si="122"/>
        <v>계</v>
      </c>
      <c r="AF182" s="80" t="str">
        <f t="shared" si="123"/>
        <v>3/2</v>
      </c>
      <c r="AH182" s="20" t="str">
        <f t="shared" si="73"/>
        <v>미장동 군산미장아이파크</v>
      </c>
      <c r="AI182" s="88">
        <f t="shared" si="69"/>
        <v>34</v>
      </c>
      <c r="AJ182" s="80" t="str">
        <f t="shared" si="124"/>
        <v>A-</v>
      </c>
      <c r="AK182" s="80" t="s">
        <v>14</v>
      </c>
      <c r="AL182" s="80" t="s">
        <v>63</v>
      </c>
      <c r="AM182" s="80" t="s">
        <v>64</v>
      </c>
      <c r="AN182" s="80" t="str">
        <f t="shared" si="125"/>
        <v>C</v>
      </c>
      <c r="AO182" s="80" t="str">
        <f t="shared" si="126"/>
        <v>O</v>
      </c>
      <c r="AP182" s="80" t="str">
        <f t="shared" si="127"/>
        <v>O</v>
      </c>
      <c r="AQ182" s="80" t="str">
        <f t="shared" si="128"/>
        <v>O</v>
      </c>
      <c r="AR182" s="80" t="str">
        <f t="shared" si="129"/>
        <v>X</v>
      </c>
      <c r="AS182" s="80" t="s">
        <v>2</v>
      </c>
      <c r="AT182" s="80" t="str">
        <f t="shared" si="130"/>
        <v>O</v>
      </c>
      <c r="AU182" s="80" t="str">
        <f t="shared" si="131"/>
        <v>O</v>
      </c>
      <c r="AV182" s="80" t="str">
        <f t="shared" si="132"/>
        <v>X</v>
      </c>
    </row>
    <row r="183" spans="1:48" s="37" customFormat="1" ht="12" x14ac:dyDescent="0.3">
      <c r="A183" s="75" t="s">
        <v>1689</v>
      </c>
      <c r="B183" s="76" t="s">
        <v>1485</v>
      </c>
      <c r="C183" s="86">
        <v>1078</v>
      </c>
      <c r="D183" s="87">
        <v>112.2</v>
      </c>
      <c r="E183" s="88">
        <v>34</v>
      </c>
      <c r="F183" s="87">
        <v>85</v>
      </c>
      <c r="G183" s="17">
        <v>26</v>
      </c>
      <c r="H183" s="89">
        <v>134</v>
      </c>
      <c r="I183" s="90">
        <v>37800</v>
      </c>
      <c r="J183" s="90" t="s">
        <v>88</v>
      </c>
      <c r="K183" s="90">
        <v>30000</v>
      </c>
      <c r="L183" s="90" t="s">
        <v>91</v>
      </c>
      <c r="M183" s="91">
        <f t="shared" si="115"/>
        <v>7800</v>
      </c>
      <c r="N183" s="4">
        <f t="shared" si="116"/>
        <v>0.79365079365079361</v>
      </c>
      <c r="O183" s="92">
        <f t="shared" si="117"/>
        <v>1111.7647058823529</v>
      </c>
      <c r="P183" s="92">
        <f t="shared" si="118"/>
        <v>882.35294117647061</v>
      </c>
      <c r="Q183" s="80">
        <v>3</v>
      </c>
      <c r="R183" s="80">
        <v>2</v>
      </c>
      <c r="S183" s="80" t="s">
        <v>61</v>
      </c>
      <c r="T183" s="5" t="s">
        <v>768</v>
      </c>
      <c r="U183" s="9"/>
      <c r="W183" s="87">
        <f t="shared" si="119"/>
        <v>112.2</v>
      </c>
      <c r="X183" s="88">
        <f t="shared" si="119"/>
        <v>34</v>
      </c>
      <c r="Y183" s="93">
        <f t="shared" si="120"/>
        <v>134</v>
      </c>
      <c r="Z183" s="91">
        <f t="shared" si="120"/>
        <v>37800</v>
      </c>
      <c r="AA183" s="91">
        <f t="shared" si="121"/>
        <v>30000</v>
      </c>
      <c r="AB183" s="91">
        <f t="shared" si="114"/>
        <v>7800</v>
      </c>
      <c r="AC183" s="4">
        <f t="shared" si="114"/>
        <v>0.79365079365079361</v>
      </c>
      <c r="AD183" s="92">
        <f t="shared" si="114"/>
        <v>1111.7647058823529</v>
      </c>
      <c r="AE183" s="80" t="str">
        <f t="shared" si="122"/>
        <v>계</v>
      </c>
      <c r="AF183" s="80" t="str">
        <f t="shared" si="123"/>
        <v>3/2</v>
      </c>
      <c r="AH183" s="20" t="str">
        <f t="shared" si="73"/>
        <v>미장동 군산미장아이파크</v>
      </c>
      <c r="AI183" s="88">
        <f t="shared" si="69"/>
        <v>34</v>
      </c>
      <c r="AJ183" s="80" t="str">
        <f t="shared" si="124"/>
        <v>A-</v>
      </c>
      <c r="AK183" s="80" t="s">
        <v>14</v>
      </c>
      <c r="AL183" s="80" t="s">
        <v>63</v>
      </c>
      <c r="AM183" s="80" t="s">
        <v>64</v>
      </c>
      <c r="AN183" s="80" t="str">
        <f t="shared" si="125"/>
        <v>C</v>
      </c>
      <c r="AO183" s="80" t="str">
        <f t="shared" si="126"/>
        <v>X</v>
      </c>
      <c r="AP183" s="80" t="str">
        <f t="shared" si="127"/>
        <v>O</v>
      </c>
      <c r="AQ183" s="80" t="str">
        <f t="shared" si="128"/>
        <v>O</v>
      </c>
      <c r="AR183" s="80" t="str">
        <f t="shared" si="129"/>
        <v>X</v>
      </c>
      <c r="AS183" s="80" t="s">
        <v>2</v>
      </c>
      <c r="AT183" s="80" t="str">
        <f t="shared" si="130"/>
        <v>O</v>
      </c>
      <c r="AU183" s="80" t="str">
        <f t="shared" si="131"/>
        <v>O</v>
      </c>
      <c r="AV183" s="80" t="str">
        <f t="shared" si="132"/>
        <v>X</v>
      </c>
    </row>
    <row r="184" spans="1:48" s="37" customFormat="1" ht="12" x14ac:dyDescent="0.3">
      <c r="A184" s="75" t="s">
        <v>1484</v>
      </c>
      <c r="B184" s="76" t="s">
        <v>1485</v>
      </c>
      <c r="C184" s="86">
        <v>1078</v>
      </c>
      <c r="D184" s="87">
        <v>112.6</v>
      </c>
      <c r="E184" s="88">
        <v>34</v>
      </c>
      <c r="F184" s="87">
        <v>85</v>
      </c>
      <c r="G184" s="17">
        <v>26</v>
      </c>
      <c r="H184" s="89">
        <v>54</v>
      </c>
      <c r="I184" s="90">
        <v>37500</v>
      </c>
      <c r="J184" s="90" t="s">
        <v>81</v>
      </c>
      <c r="K184" s="90"/>
      <c r="L184" s="90"/>
      <c r="M184" s="91">
        <f t="shared" si="115"/>
        <v>37500</v>
      </c>
      <c r="N184" s="4">
        <f t="shared" si="116"/>
        <v>0</v>
      </c>
      <c r="O184" s="92">
        <f t="shared" si="117"/>
        <v>1102.9411764705883</v>
      </c>
      <c r="P184" s="92">
        <f t="shared" si="118"/>
        <v>0</v>
      </c>
      <c r="Q184" s="80">
        <v>3</v>
      </c>
      <c r="R184" s="80">
        <v>2</v>
      </c>
      <c r="S184" s="80" t="s">
        <v>61</v>
      </c>
      <c r="T184" s="5" t="s">
        <v>506</v>
      </c>
      <c r="U184" s="9"/>
      <c r="W184" s="87">
        <f t="shared" si="119"/>
        <v>112.6</v>
      </c>
      <c r="X184" s="88">
        <f t="shared" si="119"/>
        <v>34</v>
      </c>
      <c r="Y184" s="93">
        <f t="shared" si="120"/>
        <v>54</v>
      </c>
      <c r="Z184" s="91">
        <f t="shared" si="120"/>
        <v>37500</v>
      </c>
      <c r="AA184" s="91">
        <f t="shared" si="121"/>
        <v>0</v>
      </c>
      <c r="AB184" s="91">
        <f t="shared" ref="AB184:AD199" si="133">M184</f>
        <v>37500</v>
      </c>
      <c r="AC184" s="4">
        <f t="shared" si="133"/>
        <v>0</v>
      </c>
      <c r="AD184" s="92">
        <f t="shared" si="133"/>
        <v>1102.9411764705883</v>
      </c>
      <c r="AE184" s="80" t="str">
        <f t="shared" si="122"/>
        <v>계</v>
      </c>
      <c r="AF184" s="80" t="str">
        <f t="shared" si="123"/>
        <v>3/2</v>
      </c>
      <c r="AH184" s="20" t="str">
        <f t="shared" si="73"/>
        <v>미장동 군산미장아이파크</v>
      </c>
      <c r="AI184" s="88">
        <f t="shared" si="69"/>
        <v>34</v>
      </c>
      <c r="AJ184" s="80" t="str">
        <f t="shared" si="124"/>
        <v>A-</v>
      </c>
      <c r="AK184" s="80" t="s">
        <v>14</v>
      </c>
      <c r="AL184" s="80" t="s">
        <v>63</v>
      </c>
      <c r="AM184" s="80" t="s">
        <v>64</v>
      </c>
      <c r="AN184" s="80" t="str">
        <f t="shared" si="125"/>
        <v>C</v>
      </c>
      <c r="AO184" s="80" t="str">
        <f t="shared" si="126"/>
        <v>X</v>
      </c>
      <c r="AP184" s="80" t="str">
        <f t="shared" si="127"/>
        <v>O</v>
      </c>
      <c r="AQ184" s="80" t="str">
        <f t="shared" si="128"/>
        <v>O</v>
      </c>
      <c r="AR184" s="80" t="str">
        <f t="shared" si="129"/>
        <v>X</v>
      </c>
      <c r="AS184" s="80" t="s">
        <v>2</v>
      </c>
      <c r="AT184" s="80" t="str">
        <f t="shared" si="130"/>
        <v>O</v>
      </c>
      <c r="AU184" s="80" t="str">
        <f t="shared" si="131"/>
        <v>O</v>
      </c>
      <c r="AV184" s="80" t="str">
        <f t="shared" si="132"/>
        <v>X</v>
      </c>
    </row>
    <row r="185" spans="1:48" s="37" customFormat="1" ht="12" x14ac:dyDescent="0.3">
      <c r="A185" s="75" t="s">
        <v>1484</v>
      </c>
      <c r="B185" s="76" t="s">
        <v>1694</v>
      </c>
      <c r="C185" s="86">
        <v>1078</v>
      </c>
      <c r="D185" s="87">
        <v>131.69999999999999</v>
      </c>
      <c r="E185" s="88">
        <v>40</v>
      </c>
      <c r="F185" s="87">
        <v>100.4</v>
      </c>
      <c r="G185" s="17">
        <v>30</v>
      </c>
      <c r="H185" s="89">
        <v>74</v>
      </c>
      <c r="I185" s="90"/>
      <c r="J185" s="90"/>
      <c r="K185" s="90">
        <v>35000</v>
      </c>
      <c r="L185" s="90" t="s">
        <v>72</v>
      </c>
      <c r="M185" s="91">
        <f t="shared" si="115"/>
        <v>-35000</v>
      </c>
      <c r="N185" s="4" t="str">
        <f t="shared" si="116"/>
        <v/>
      </c>
      <c r="O185" s="92">
        <f t="shared" si="117"/>
        <v>0</v>
      </c>
      <c r="P185" s="92">
        <f t="shared" si="118"/>
        <v>875</v>
      </c>
      <c r="Q185" s="80">
        <v>4</v>
      </c>
      <c r="R185" s="80">
        <v>2</v>
      </c>
      <c r="S185" s="80" t="s">
        <v>61</v>
      </c>
      <c r="T185" s="5">
        <v>131</v>
      </c>
      <c r="U185" s="9"/>
      <c r="W185" s="87">
        <f t="shared" si="119"/>
        <v>131.69999999999999</v>
      </c>
      <c r="X185" s="88">
        <f t="shared" si="119"/>
        <v>40</v>
      </c>
      <c r="Y185" s="93">
        <f t="shared" si="120"/>
        <v>74</v>
      </c>
      <c r="Z185" s="91">
        <f t="shared" si="120"/>
        <v>0</v>
      </c>
      <c r="AA185" s="91">
        <f t="shared" si="121"/>
        <v>35000</v>
      </c>
      <c r="AB185" s="91">
        <f t="shared" si="133"/>
        <v>-35000</v>
      </c>
      <c r="AC185" s="4" t="str">
        <f t="shared" si="133"/>
        <v/>
      </c>
      <c r="AD185" s="92">
        <f t="shared" si="133"/>
        <v>0</v>
      </c>
      <c r="AE185" s="80" t="str">
        <f t="shared" si="122"/>
        <v>계</v>
      </c>
      <c r="AF185" s="80" t="str">
        <f t="shared" si="123"/>
        <v>4/2</v>
      </c>
      <c r="AH185" s="20" t="str">
        <f t="shared" si="73"/>
        <v>미장동 군산미장아이파크</v>
      </c>
      <c r="AI185" s="88">
        <f t="shared" si="69"/>
        <v>40</v>
      </c>
      <c r="AJ185" s="80" t="str">
        <f t="shared" si="124"/>
        <v>A-</v>
      </c>
      <c r="AK185" s="80" t="s">
        <v>14</v>
      </c>
      <c r="AL185" s="80" t="s">
        <v>63</v>
      </c>
      <c r="AM185" s="80" t="s">
        <v>64</v>
      </c>
      <c r="AN185" s="80" t="str">
        <f t="shared" si="125"/>
        <v>C</v>
      </c>
      <c r="AO185" s="80" t="str">
        <f t="shared" si="126"/>
        <v/>
      </c>
      <c r="AP185" s="80" t="str">
        <f t="shared" si="127"/>
        <v/>
      </c>
      <c r="AQ185" s="80" t="str">
        <f t="shared" si="128"/>
        <v>O</v>
      </c>
      <c r="AR185" s="80" t="str">
        <f t="shared" si="129"/>
        <v>O</v>
      </c>
      <c r="AS185" s="80" t="s">
        <v>2</v>
      </c>
      <c r="AT185" s="80" t="str">
        <f t="shared" si="130"/>
        <v>X</v>
      </c>
      <c r="AU185" s="80" t="str">
        <f t="shared" si="131"/>
        <v>O</v>
      </c>
      <c r="AV185" s="80" t="str">
        <f t="shared" si="132"/>
        <v/>
      </c>
    </row>
    <row r="186" spans="1:48" s="37" customFormat="1" ht="12" x14ac:dyDescent="0.3">
      <c r="A186" s="75" t="s">
        <v>1695</v>
      </c>
      <c r="B186" s="76" t="s">
        <v>1487</v>
      </c>
      <c r="C186" s="86">
        <v>354</v>
      </c>
      <c r="D186" s="87">
        <v>160.80000000000001</v>
      </c>
      <c r="E186" s="88">
        <v>49</v>
      </c>
      <c r="F186" s="87">
        <v>129.19999999999999</v>
      </c>
      <c r="G186" s="17">
        <v>39</v>
      </c>
      <c r="H186" s="89">
        <v>174</v>
      </c>
      <c r="I186" s="90">
        <v>34000</v>
      </c>
      <c r="J186" s="90" t="s">
        <v>68</v>
      </c>
      <c r="K186" s="90"/>
      <c r="L186" s="90"/>
      <c r="M186" s="91">
        <f>I186-K186</f>
        <v>34000</v>
      </c>
      <c r="N186" s="4">
        <f>IF(ISERROR(K186/I186),"",K186/I186)</f>
        <v>0</v>
      </c>
      <c r="O186" s="92">
        <f>I186/E186</f>
        <v>693.87755102040819</v>
      </c>
      <c r="P186" s="92">
        <f>K186/E186</f>
        <v>0</v>
      </c>
      <c r="Q186" s="80">
        <v>4</v>
      </c>
      <c r="R186" s="80">
        <v>2</v>
      </c>
      <c r="S186" s="80" t="s">
        <v>61</v>
      </c>
      <c r="T186" s="5">
        <v>160</v>
      </c>
      <c r="U186" s="9"/>
      <c r="W186" s="87">
        <f t="shared" si="119"/>
        <v>160.80000000000001</v>
      </c>
      <c r="X186" s="88">
        <f t="shared" si="119"/>
        <v>49</v>
      </c>
      <c r="Y186" s="93">
        <f t="shared" si="120"/>
        <v>174</v>
      </c>
      <c r="Z186" s="91">
        <f t="shared" si="120"/>
        <v>34000</v>
      </c>
      <c r="AA186" s="91">
        <f>K186</f>
        <v>0</v>
      </c>
      <c r="AB186" s="91">
        <f t="shared" si="133"/>
        <v>34000</v>
      </c>
      <c r="AC186" s="4">
        <f t="shared" si="133"/>
        <v>0</v>
      </c>
      <c r="AD186" s="92">
        <f t="shared" si="133"/>
        <v>693.87755102040819</v>
      </c>
      <c r="AE186" s="80" t="str">
        <f>S186</f>
        <v>계</v>
      </c>
      <c r="AF186" s="80" t="str">
        <f>Q186&amp;"/"&amp;R186</f>
        <v>4/2</v>
      </c>
      <c r="AH186" s="20" t="str">
        <f t="shared" si="73"/>
        <v>미장동 미장코아루</v>
      </c>
      <c r="AI186" s="88">
        <f t="shared" si="69"/>
        <v>49</v>
      </c>
      <c r="AJ186" s="80" t="str">
        <f>IF(AI186="","",$AJ$2)</f>
        <v>A-</v>
      </c>
      <c r="AK186" s="80" t="s">
        <v>14</v>
      </c>
      <c r="AL186" s="80" t="s">
        <v>63</v>
      </c>
      <c r="AM186" s="80" t="s">
        <v>64</v>
      </c>
      <c r="AN186" s="80" t="str">
        <f>IF(AI186="","",$AN$2)</f>
        <v>C</v>
      </c>
      <c r="AO186" s="80" t="str">
        <f>IF(N186="","",IF(N186&gt;=$AO$1/100,"O","X"))</f>
        <v>X</v>
      </c>
      <c r="AP186" s="80" t="str">
        <f>IF(I186="","",IF(I186&lt;=$AP$1,"O","X"))</f>
        <v>O</v>
      </c>
      <c r="AQ186" s="80" t="str">
        <f>IF(O186="","",IF(O186&lt;=$AQ$1,"O","X"))</f>
        <v>O</v>
      </c>
      <c r="AR186" s="80" t="str">
        <f>IF(M186="","",IF(M186&lt;=$AR$1,"O","X"))</f>
        <v>X</v>
      </c>
      <c r="AS186" s="80" t="s">
        <v>2</v>
      </c>
      <c r="AT186" s="80" t="str">
        <f>IF(OR(F186="",AI186=""),"",IF(AND((F186&lt;=85),(AI186&gt;=15)),"O","X"))</f>
        <v>X</v>
      </c>
      <c r="AU186" s="80" t="str">
        <f>IF(C186="","",IF(C186&gt;=$AU$1,"O","X"))</f>
        <v>O</v>
      </c>
      <c r="AV186" s="80" t="str">
        <f>IF(AO186="","",IF(AND(AO186="O",AP186="O",AR186="O",AT186="O",AU186="O"),"후보","X"))</f>
        <v>X</v>
      </c>
    </row>
    <row r="187" spans="1:48" s="37" customFormat="1" ht="12" x14ac:dyDescent="0.3">
      <c r="A187" s="75" t="s">
        <v>1486</v>
      </c>
      <c r="B187" s="76" t="s">
        <v>1487</v>
      </c>
      <c r="C187" s="86">
        <v>354</v>
      </c>
      <c r="D187" s="87">
        <v>185.7</v>
      </c>
      <c r="E187" s="88">
        <v>56</v>
      </c>
      <c r="F187" s="87">
        <v>152.69999999999999</v>
      </c>
      <c r="G187" s="17">
        <v>46</v>
      </c>
      <c r="H187" s="89">
        <v>120</v>
      </c>
      <c r="I187" s="90">
        <v>45000</v>
      </c>
      <c r="J187" s="90" t="s">
        <v>66</v>
      </c>
      <c r="K187" s="90"/>
      <c r="L187" s="90"/>
      <c r="M187" s="91">
        <f>I187-K187</f>
        <v>45000</v>
      </c>
      <c r="N187" s="4">
        <f>IF(ISERROR(K187/I187),"",K187/I187)</f>
        <v>0</v>
      </c>
      <c r="O187" s="92">
        <f>I187/E187</f>
        <v>803.57142857142856</v>
      </c>
      <c r="P187" s="92">
        <f>K187/E187</f>
        <v>0</v>
      </c>
      <c r="Q187" s="80">
        <v>4</v>
      </c>
      <c r="R187" s="80">
        <v>2</v>
      </c>
      <c r="S187" s="80" t="s">
        <v>61</v>
      </c>
      <c r="T187" s="5">
        <v>185</v>
      </c>
      <c r="U187" s="9"/>
      <c r="W187" s="87">
        <f t="shared" si="119"/>
        <v>185.7</v>
      </c>
      <c r="X187" s="88">
        <f t="shared" si="119"/>
        <v>56</v>
      </c>
      <c r="Y187" s="93">
        <f t="shared" si="120"/>
        <v>120</v>
      </c>
      <c r="Z187" s="91">
        <f t="shared" si="120"/>
        <v>45000</v>
      </c>
      <c r="AA187" s="91">
        <f>K187</f>
        <v>0</v>
      </c>
      <c r="AB187" s="91">
        <f t="shared" si="133"/>
        <v>45000</v>
      </c>
      <c r="AC187" s="4">
        <f t="shared" si="133"/>
        <v>0</v>
      </c>
      <c r="AD187" s="92">
        <f t="shared" si="133"/>
        <v>803.57142857142856</v>
      </c>
      <c r="AE187" s="80" t="str">
        <f>S187</f>
        <v>계</v>
      </c>
      <c r="AF187" s="80" t="str">
        <f>Q187&amp;"/"&amp;R187</f>
        <v>4/2</v>
      </c>
      <c r="AH187" s="20" t="str">
        <f t="shared" si="73"/>
        <v>미장동 미장코아루</v>
      </c>
      <c r="AI187" s="88">
        <f t="shared" si="69"/>
        <v>56</v>
      </c>
      <c r="AJ187" s="80" t="str">
        <f>IF(AI187="","",$AJ$2)</f>
        <v>A-</v>
      </c>
      <c r="AK187" s="80" t="s">
        <v>14</v>
      </c>
      <c r="AL187" s="80" t="s">
        <v>63</v>
      </c>
      <c r="AM187" s="80" t="s">
        <v>64</v>
      </c>
      <c r="AN187" s="80" t="str">
        <f>IF(AI187="","",$AN$2)</f>
        <v>C</v>
      </c>
      <c r="AO187" s="80" t="str">
        <f>IF(N187="","",IF(N187&gt;=$AO$1/100,"O","X"))</f>
        <v>X</v>
      </c>
      <c r="AP187" s="80" t="str">
        <f>IF(I187="","",IF(I187&lt;=$AP$1,"O","X"))</f>
        <v>O</v>
      </c>
      <c r="AQ187" s="80" t="str">
        <f>IF(O187="","",IF(O187&lt;=$AQ$1,"O","X"))</f>
        <v>O</v>
      </c>
      <c r="AR187" s="80" t="str">
        <f>IF(M187="","",IF(M187&lt;=$AR$1,"O","X"))</f>
        <v>X</v>
      </c>
      <c r="AS187" s="80" t="s">
        <v>2</v>
      </c>
      <c r="AT187" s="80" t="str">
        <f>IF(OR(F187="",AI187=""),"",IF(AND((F187&lt;=85),(AI187&gt;=15)),"O","X"))</f>
        <v>X</v>
      </c>
      <c r="AU187" s="80" t="str">
        <f>IF(C187="","",IF(C187&gt;=$AU$1,"O","X"))</f>
        <v>O</v>
      </c>
      <c r="AV187" s="80" t="str">
        <f>IF(AO187="","",IF(AND(AO187="O",AP187="O",AR187="O",AT187="O",AU187="O"),"후보","X"))</f>
        <v>X</v>
      </c>
    </row>
    <row r="188" spans="1:48" s="37" customFormat="1" ht="12" x14ac:dyDescent="0.3">
      <c r="A188" s="75" t="s">
        <v>1486</v>
      </c>
      <c r="B188" s="76" t="s">
        <v>1487</v>
      </c>
      <c r="C188" s="86">
        <v>354</v>
      </c>
      <c r="D188" s="87">
        <v>215.8</v>
      </c>
      <c r="E188" s="88">
        <v>65</v>
      </c>
      <c r="F188" s="87">
        <v>181.1</v>
      </c>
      <c r="G188" s="17">
        <v>55</v>
      </c>
      <c r="H188" s="89">
        <v>60</v>
      </c>
      <c r="I188" s="90">
        <v>57000</v>
      </c>
      <c r="J188" s="90" t="s">
        <v>60</v>
      </c>
      <c r="K188" s="90">
        <v>45000</v>
      </c>
      <c r="L188" s="90" t="s">
        <v>70</v>
      </c>
      <c r="M188" s="91">
        <f>I188-K188</f>
        <v>12000</v>
      </c>
      <c r="N188" s="4">
        <f>IF(ISERROR(K188/I188),"",K188/I188)</f>
        <v>0.78947368421052633</v>
      </c>
      <c r="O188" s="92">
        <f>I188/E188</f>
        <v>876.92307692307691</v>
      </c>
      <c r="P188" s="92">
        <f>K188/E188</f>
        <v>692.30769230769226</v>
      </c>
      <c r="Q188" s="80">
        <v>5</v>
      </c>
      <c r="R188" s="80">
        <v>2</v>
      </c>
      <c r="S188" s="80" t="s">
        <v>61</v>
      </c>
      <c r="T188" s="5">
        <v>215</v>
      </c>
      <c r="U188" s="9"/>
      <c r="W188" s="87">
        <f t="shared" si="119"/>
        <v>215.8</v>
      </c>
      <c r="X188" s="88">
        <f t="shared" si="119"/>
        <v>65</v>
      </c>
      <c r="Y188" s="93">
        <f t="shared" si="120"/>
        <v>60</v>
      </c>
      <c r="Z188" s="91">
        <f t="shared" si="120"/>
        <v>57000</v>
      </c>
      <c r="AA188" s="91">
        <f>K188</f>
        <v>45000</v>
      </c>
      <c r="AB188" s="91">
        <f t="shared" si="133"/>
        <v>12000</v>
      </c>
      <c r="AC188" s="4">
        <f t="shared" si="133"/>
        <v>0.78947368421052633</v>
      </c>
      <c r="AD188" s="92">
        <f t="shared" si="133"/>
        <v>876.92307692307691</v>
      </c>
      <c r="AE188" s="80" t="str">
        <f>S188</f>
        <v>계</v>
      </c>
      <c r="AF188" s="80" t="str">
        <f>Q188&amp;"/"&amp;R188</f>
        <v>5/2</v>
      </c>
      <c r="AH188" s="20" t="str">
        <f t="shared" si="73"/>
        <v>미장동 미장코아루</v>
      </c>
      <c r="AI188" s="88">
        <f t="shared" si="69"/>
        <v>65</v>
      </c>
      <c r="AJ188" s="80" t="str">
        <f>IF(AI188="","",$AJ$2)</f>
        <v>A-</v>
      </c>
      <c r="AK188" s="80" t="s">
        <v>14</v>
      </c>
      <c r="AL188" s="80" t="s">
        <v>63</v>
      </c>
      <c r="AM188" s="80" t="s">
        <v>64</v>
      </c>
      <c r="AN188" s="80" t="str">
        <f>IF(AI188="","",$AN$2)</f>
        <v>C</v>
      </c>
      <c r="AO188" s="80" t="str">
        <f>IF(N188="","",IF(N188&gt;=$AO$1/100,"O","X"))</f>
        <v>X</v>
      </c>
      <c r="AP188" s="80" t="str">
        <f>IF(I188="","",IF(I188&lt;=$AP$1,"O","X"))</f>
        <v>X</v>
      </c>
      <c r="AQ188" s="80" t="str">
        <f>IF(O188="","",IF(O188&lt;=$AQ$1,"O","X"))</f>
        <v>O</v>
      </c>
      <c r="AR188" s="80" t="str">
        <f>IF(M188="","",IF(M188&lt;=$AR$1,"O","X"))</f>
        <v>X</v>
      </c>
      <c r="AS188" s="80" t="s">
        <v>2</v>
      </c>
      <c r="AT188" s="80" t="str">
        <f>IF(OR(F188="",AI188=""),"",IF(AND((F188&lt;=85),(AI188&gt;=15)),"O","X"))</f>
        <v>X</v>
      </c>
      <c r="AU188" s="80" t="str">
        <f>IF(C188="","",IF(C188&gt;=$AU$1,"O","X"))</f>
        <v>O</v>
      </c>
      <c r="AV188" s="80" t="str">
        <f>IF(AO188="","",IF(AND(AO188="O",AP188="O",AR188="O",AT188="O",AU188="O"),"후보","X"))</f>
        <v>X</v>
      </c>
    </row>
    <row r="189" spans="1:48" s="37" customFormat="1" ht="12" x14ac:dyDescent="0.3">
      <c r="A189" s="75" t="s">
        <v>1488</v>
      </c>
      <c r="B189" s="76" t="s">
        <v>1696</v>
      </c>
      <c r="C189" s="86">
        <v>654</v>
      </c>
      <c r="D189" s="87">
        <v>113</v>
      </c>
      <c r="E189" s="88">
        <v>34</v>
      </c>
      <c r="F189" s="87">
        <v>84.4</v>
      </c>
      <c r="G189" s="17">
        <v>26</v>
      </c>
      <c r="H189" s="89">
        <v>205</v>
      </c>
      <c r="I189" s="90">
        <v>30000</v>
      </c>
      <c r="J189" s="90" t="s">
        <v>66</v>
      </c>
      <c r="K189" s="90">
        <v>23000</v>
      </c>
      <c r="L189" s="90" t="s">
        <v>70</v>
      </c>
      <c r="M189" s="91">
        <f t="shared" ref="M189:M205" si="134">I189-K189</f>
        <v>7000</v>
      </c>
      <c r="N189" s="4">
        <f t="shared" ref="N189:N205" si="135">IF(ISERROR(K189/I189),"",K189/I189)</f>
        <v>0.76666666666666672</v>
      </c>
      <c r="O189" s="92">
        <f t="shared" ref="O189:O205" si="136">I189/E189</f>
        <v>882.35294117647061</v>
      </c>
      <c r="P189" s="92">
        <f t="shared" ref="P189:P205" si="137">K189/E189</f>
        <v>676.47058823529414</v>
      </c>
      <c r="Q189" s="80">
        <v>3</v>
      </c>
      <c r="R189" s="80">
        <v>2</v>
      </c>
      <c r="S189" s="80" t="s">
        <v>61</v>
      </c>
      <c r="T189" s="5" t="s">
        <v>108</v>
      </c>
      <c r="U189" s="9"/>
      <c r="W189" s="87">
        <f t="shared" ref="W189:X204" si="138">D189</f>
        <v>113</v>
      </c>
      <c r="X189" s="88">
        <f t="shared" si="138"/>
        <v>34</v>
      </c>
      <c r="Y189" s="93">
        <f t="shared" ref="Y189:Z204" si="139">H189</f>
        <v>205</v>
      </c>
      <c r="Z189" s="91">
        <f t="shared" si="139"/>
        <v>30000</v>
      </c>
      <c r="AA189" s="91">
        <f t="shared" ref="AA189:AA205" si="140">K189</f>
        <v>23000</v>
      </c>
      <c r="AB189" s="91">
        <f t="shared" si="133"/>
        <v>7000</v>
      </c>
      <c r="AC189" s="4">
        <f t="shared" si="133"/>
        <v>0.76666666666666672</v>
      </c>
      <c r="AD189" s="92">
        <f t="shared" si="133"/>
        <v>882.35294117647061</v>
      </c>
      <c r="AE189" s="80" t="str">
        <f t="shared" ref="AE189:AE205" si="141">S189</f>
        <v>계</v>
      </c>
      <c r="AF189" s="80" t="str">
        <f t="shared" ref="AF189:AF205" si="142">Q189&amp;"/"&amp;R189</f>
        <v>3/2</v>
      </c>
      <c r="AH189" s="20" t="str">
        <f t="shared" si="73"/>
        <v>미장동 수송공원삼성쉐르빌</v>
      </c>
      <c r="AI189" s="88">
        <f t="shared" si="69"/>
        <v>34</v>
      </c>
      <c r="AJ189" s="80" t="str">
        <f t="shared" ref="AJ189:AJ205" si="143">IF(AI189="","",$AJ$2)</f>
        <v>A-</v>
      </c>
      <c r="AK189" s="80" t="s">
        <v>14</v>
      </c>
      <c r="AL189" s="80" t="s">
        <v>63</v>
      </c>
      <c r="AM189" s="80" t="s">
        <v>64</v>
      </c>
      <c r="AN189" s="80" t="str">
        <f t="shared" ref="AN189:AN205" si="144">IF(AI189="","",$AN$2)</f>
        <v>C</v>
      </c>
      <c r="AO189" s="80" t="str">
        <f t="shared" ref="AO189:AO205" si="145">IF(N189="","",IF(N189&gt;=$AO$1/100,"O","X"))</f>
        <v>X</v>
      </c>
      <c r="AP189" s="80" t="str">
        <f t="shared" ref="AP189:AP205" si="146">IF(I189="","",IF(I189&lt;=$AP$1,"O","X"))</f>
        <v>O</v>
      </c>
      <c r="AQ189" s="80" t="str">
        <f t="shared" ref="AQ189:AQ205" si="147">IF(O189="","",IF(O189&lt;=$AQ$1,"O","X"))</f>
        <v>O</v>
      </c>
      <c r="AR189" s="80" t="str">
        <f t="shared" ref="AR189:AR205" si="148">IF(M189="","",IF(M189&lt;=$AR$1,"O","X"))</f>
        <v>X</v>
      </c>
      <c r="AS189" s="80" t="s">
        <v>2</v>
      </c>
      <c r="AT189" s="80" t="str">
        <f t="shared" ref="AT189:AT205" si="149">IF(OR(F189="",AI189=""),"",IF(AND((F189&lt;=85),(AI189&gt;=15)),"O","X"))</f>
        <v>O</v>
      </c>
      <c r="AU189" s="80" t="str">
        <f t="shared" ref="AU189:AU205" si="150">IF(C189="","",IF(C189&gt;=$AU$1,"O","X"))</f>
        <v>O</v>
      </c>
      <c r="AV189" s="80" t="str">
        <f t="shared" ref="AV189:AV205" si="151">IF(AO189="","",IF(AND(AO189="O",AP189="O",AR189="O",AT189="O",AU189="O"),"후보","X"))</f>
        <v>X</v>
      </c>
    </row>
    <row r="190" spans="1:48" s="37" customFormat="1" ht="12" x14ac:dyDescent="0.3">
      <c r="A190" s="75" t="s">
        <v>1697</v>
      </c>
      <c r="B190" s="76" t="s">
        <v>1489</v>
      </c>
      <c r="C190" s="86">
        <v>654</v>
      </c>
      <c r="D190" s="87">
        <v>115.3</v>
      </c>
      <c r="E190" s="88">
        <v>35</v>
      </c>
      <c r="F190" s="87">
        <v>84.9</v>
      </c>
      <c r="G190" s="17">
        <v>26</v>
      </c>
      <c r="H190" s="89">
        <v>60</v>
      </c>
      <c r="I190" s="90">
        <v>27500</v>
      </c>
      <c r="J190" s="90" t="s">
        <v>71</v>
      </c>
      <c r="K190" s="90"/>
      <c r="L190" s="90"/>
      <c r="M190" s="91">
        <f t="shared" si="134"/>
        <v>27500</v>
      </c>
      <c r="N190" s="4">
        <f t="shared" si="135"/>
        <v>0</v>
      </c>
      <c r="O190" s="92">
        <f t="shared" si="136"/>
        <v>785.71428571428567</v>
      </c>
      <c r="P190" s="92">
        <f t="shared" si="137"/>
        <v>0</v>
      </c>
      <c r="Q190" s="80">
        <v>3</v>
      </c>
      <c r="R190" s="80">
        <v>2</v>
      </c>
      <c r="S190" s="80" t="s">
        <v>61</v>
      </c>
      <c r="T190" s="5" t="s">
        <v>94</v>
      </c>
      <c r="U190" s="9"/>
      <c r="W190" s="87">
        <f t="shared" si="138"/>
        <v>115.3</v>
      </c>
      <c r="X190" s="88">
        <f t="shared" si="138"/>
        <v>35</v>
      </c>
      <c r="Y190" s="93">
        <f t="shared" si="139"/>
        <v>60</v>
      </c>
      <c r="Z190" s="91">
        <f t="shared" si="139"/>
        <v>27500</v>
      </c>
      <c r="AA190" s="91">
        <f t="shared" si="140"/>
        <v>0</v>
      </c>
      <c r="AB190" s="91">
        <f t="shared" si="133"/>
        <v>27500</v>
      </c>
      <c r="AC190" s="4">
        <f t="shared" si="133"/>
        <v>0</v>
      </c>
      <c r="AD190" s="92">
        <f t="shared" si="133"/>
        <v>785.71428571428567</v>
      </c>
      <c r="AE190" s="80" t="str">
        <f t="shared" si="141"/>
        <v>계</v>
      </c>
      <c r="AF190" s="80" t="str">
        <f t="shared" si="142"/>
        <v>3/2</v>
      </c>
      <c r="AH190" s="20" t="str">
        <f t="shared" si="73"/>
        <v>미장동 수송공원삼성쉐르빌</v>
      </c>
      <c r="AI190" s="88">
        <f t="shared" si="69"/>
        <v>35</v>
      </c>
      <c r="AJ190" s="80" t="str">
        <f t="shared" si="143"/>
        <v>A-</v>
      </c>
      <c r="AK190" s="80" t="s">
        <v>14</v>
      </c>
      <c r="AL190" s="80" t="s">
        <v>63</v>
      </c>
      <c r="AM190" s="80" t="s">
        <v>64</v>
      </c>
      <c r="AN190" s="80" t="str">
        <f t="shared" si="144"/>
        <v>C</v>
      </c>
      <c r="AO190" s="80" t="str">
        <f t="shared" si="145"/>
        <v>X</v>
      </c>
      <c r="AP190" s="80" t="str">
        <f t="shared" si="146"/>
        <v>O</v>
      </c>
      <c r="AQ190" s="80" t="str">
        <f t="shared" si="147"/>
        <v>O</v>
      </c>
      <c r="AR190" s="80" t="str">
        <f t="shared" si="148"/>
        <v>X</v>
      </c>
      <c r="AS190" s="80" t="s">
        <v>2</v>
      </c>
      <c r="AT190" s="80" t="str">
        <f t="shared" si="149"/>
        <v>O</v>
      </c>
      <c r="AU190" s="80" t="str">
        <f t="shared" si="150"/>
        <v>O</v>
      </c>
      <c r="AV190" s="80" t="str">
        <f t="shared" si="151"/>
        <v>X</v>
      </c>
    </row>
    <row r="191" spans="1:48" s="37" customFormat="1" ht="12" x14ac:dyDescent="0.3">
      <c r="A191" s="75" t="s">
        <v>1488</v>
      </c>
      <c r="B191" s="76" t="s">
        <v>1698</v>
      </c>
      <c r="C191" s="86">
        <v>654</v>
      </c>
      <c r="D191" s="87">
        <v>135.30000000000001</v>
      </c>
      <c r="E191" s="88">
        <v>41</v>
      </c>
      <c r="F191" s="87">
        <v>103.8</v>
      </c>
      <c r="G191" s="17">
        <v>31</v>
      </c>
      <c r="H191" s="89">
        <v>163</v>
      </c>
      <c r="I191" s="90">
        <v>35500</v>
      </c>
      <c r="J191" s="90" t="s">
        <v>84</v>
      </c>
      <c r="K191" s="90">
        <v>31000</v>
      </c>
      <c r="L191" s="90" t="s">
        <v>84</v>
      </c>
      <c r="M191" s="91">
        <f t="shared" si="134"/>
        <v>4500</v>
      </c>
      <c r="N191" s="4">
        <f t="shared" si="135"/>
        <v>0.87323943661971826</v>
      </c>
      <c r="O191" s="92">
        <f t="shared" si="136"/>
        <v>865.85365853658539</v>
      </c>
      <c r="P191" s="92">
        <f t="shared" si="137"/>
        <v>756.09756097560978</v>
      </c>
      <c r="Q191" s="80">
        <v>3</v>
      </c>
      <c r="R191" s="80">
        <v>2</v>
      </c>
      <c r="S191" s="80" t="s">
        <v>61</v>
      </c>
      <c r="T191" s="5" t="s">
        <v>117</v>
      </c>
      <c r="U191" s="9"/>
      <c r="W191" s="87">
        <f t="shared" si="138"/>
        <v>135.30000000000001</v>
      </c>
      <c r="X191" s="88">
        <f t="shared" si="138"/>
        <v>41</v>
      </c>
      <c r="Y191" s="93">
        <f t="shared" si="139"/>
        <v>163</v>
      </c>
      <c r="Z191" s="91">
        <f t="shared" si="139"/>
        <v>35500</v>
      </c>
      <c r="AA191" s="91">
        <f t="shared" si="140"/>
        <v>31000</v>
      </c>
      <c r="AB191" s="91">
        <f t="shared" si="133"/>
        <v>4500</v>
      </c>
      <c r="AC191" s="4">
        <f t="shared" si="133"/>
        <v>0.87323943661971826</v>
      </c>
      <c r="AD191" s="92">
        <f t="shared" si="133"/>
        <v>865.85365853658539</v>
      </c>
      <c r="AE191" s="80" t="str">
        <f t="shared" si="141"/>
        <v>계</v>
      </c>
      <c r="AF191" s="80" t="str">
        <f t="shared" si="142"/>
        <v>3/2</v>
      </c>
      <c r="AH191" s="20" t="str">
        <f t="shared" si="73"/>
        <v>미장동 수송공원삼성쉐르빌</v>
      </c>
      <c r="AI191" s="88">
        <f t="shared" si="69"/>
        <v>41</v>
      </c>
      <c r="AJ191" s="80" t="str">
        <f t="shared" si="143"/>
        <v>A-</v>
      </c>
      <c r="AK191" s="80" t="s">
        <v>14</v>
      </c>
      <c r="AL191" s="80" t="s">
        <v>63</v>
      </c>
      <c r="AM191" s="80" t="s">
        <v>64</v>
      </c>
      <c r="AN191" s="80" t="str">
        <f t="shared" si="144"/>
        <v>C</v>
      </c>
      <c r="AO191" s="80" t="str">
        <f t="shared" si="145"/>
        <v>O</v>
      </c>
      <c r="AP191" s="80" t="str">
        <f t="shared" si="146"/>
        <v>O</v>
      </c>
      <c r="AQ191" s="80" t="str">
        <f t="shared" si="147"/>
        <v>O</v>
      </c>
      <c r="AR191" s="80" t="str">
        <f t="shared" si="148"/>
        <v>O</v>
      </c>
      <c r="AS191" s="80" t="s">
        <v>2</v>
      </c>
      <c r="AT191" s="80" t="str">
        <f t="shared" si="149"/>
        <v>X</v>
      </c>
      <c r="AU191" s="80" t="str">
        <f t="shared" si="150"/>
        <v>O</v>
      </c>
      <c r="AV191" s="80" t="str">
        <f t="shared" si="151"/>
        <v>X</v>
      </c>
    </row>
    <row r="192" spans="1:48" s="37" customFormat="1" ht="12" x14ac:dyDescent="0.3">
      <c r="A192" s="75" t="s">
        <v>1699</v>
      </c>
      <c r="B192" s="76" t="s">
        <v>1700</v>
      </c>
      <c r="C192" s="86">
        <v>654</v>
      </c>
      <c r="D192" s="87">
        <v>135.19999999999999</v>
      </c>
      <c r="E192" s="88">
        <v>41</v>
      </c>
      <c r="F192" s="87">
        <v>104.2</v>
      </c>
      <c r="G192" s="17">
        <v>32</v>
      </c>
      <c r="H192" s="89">
        <v>113</v>
      </c>
      <c r="I192" s="90">
        <v>35000</v>
      </c>
      <c r="J192" s="90" t="s">
        <v>71</v>
      </c>
      <c r="K192" s="90">
        <v>32000</v>
      </c>
      <c r="L192" s="90" t="s">
        <v>84</v>
      </c>
      <c r="M192" s="91">
        <f t="shared" si="134"/>
        <v>3000</v>
      </c>
      <c r="N192" s="4">
        <f t="shared" si="135"/>
        <v>0.91428571428571426</v>
      </c>
      <c r="O192" s="92">
        <f t="shared" si="136"/>
        <v>853.65853658536582</v>
      </c>
      <c r="P192" s="92">
        <f t="shared" si="137"/>
        <v>780.48780487804879</v>
      </c>
      <c r="Q192" s="80">
        <v>3</v>
      </c>
      <c r="R192" s="80">
        <v>2</v>
      </c>
      <c r="S192" s="80" t="s">
        <v>61</v>
      </c>
      <c r="T192" s="5" t="s">
        <v>785</v>
      </c>
      <c r="U192" s="9"/>
      <c r="W192" s="87">
        <f t="shared" si="138"/>
        <v>135.19999999999999</v>
      </c>
      <c r="X192" s="88">
        <f t="shared" si="138"/>
        <v>41</v>
      </c>
      <c r="Y192" s="93">
        <f t="shared" si="139"/>
        <v>113</v>
      </c>
      <c r="Z192" s="91">
        <f t="shared" si="139"/>
        <v>35000</v>
      </c>
      <c r="AA192" s="91">
        <f t="shared" si="140"/>
        <v>32000</v>
      </c>
      <c r="AB192" s="91">
        <f t="shared" si="133"/>
        <v>3000</v>
      </c>
      <c r="AC192" s="4">
        <f t="shared" si="133"/>
        <v>0.91428571428571426</v>
      </c>
      <c r="AD192" s="92">
        <f t="shared" si="133"/>
        <v>853.65853658536582</v>
      </c>
      <c r="AE192" s="80" t="str">
        <f t="shared" si="141"/>
        <v>계</v>
      </c>
      <c r="AF192" s="80" t="str">
        <f t="shared" si="142"/>
        <v>3/2</v>
      </c>
      <c r="AH192" s="20" t="str">
        <f t="shared" si="73"/>
        <v>미장동 수송공원삼성쉐르빌</v>
      </c>
      <c r="AI192" s="88">
        <f t="shared" si="69"/>
        <v>41</v>
      </c>
      <c r="AJ192" s="80" t="str">
        <f t="shared" si="143"/>
        <v>A-</v>
      </c>
      <c r="AK192" s="80" t="s">
        <v>14</v>
      </c>
      <c r="AL192" s="80" t="s">
        <v>63</v>
      </c>
      <c r="AM192" s="80" t="s">
        <v>64</v>
      </c>
      <c r="AN192" s="80" t="str">
        <f t="shared" si="144"/>
        <v>C</v>
      </c>
      <c r="AO192" s="80" t="str">
        <f t="shared" si="145"/>
        <v>O</v>
      </c>
      <c r="AP192" s="80" t="str">
        <f t="shared" si="146"/>
        <v>O</v>
      </c>
      <c r="AQ192" s="80" t="str">
        <f t="shared" si="147"/>
        <v>O</v>
      </c>
      <c r="AR192" s="80" t="str">
        <f t="shared" si="148"/>
        <v>O</v>
      </c>
      <c r="AS192" s="80" t="s">
        <v>2</v>
      </c>
      <c r="AT192" s="80" t="str">
        <f t="shared" si="149"/>
        <v>X</v>
      </c>
      <c r="AU192" s="80" t="str">
        <f t="shared" si="150"/>
        <v>O</v>
      </c>
      <c r="AV192" s="80" t="str">
        <f t="shared" si="151"/>
        <v>X</v>
      </c>
    </row>
    <row r="193" spans="1:48" s="37" customFormat="1" ht="12" x14ac:dyDescent="0.3">
      <c r="A193" s="75" t="s">
        <v>1701</v>
      </c>
      <c r="B193" s="76" t="s">
        <v>1489</v>
      </c>
      <c r="C193" s="86">
        <v>654</v>
      </c>
      <c r="D193" s="87">
        <v>152</v>
      </c>
      <c r="E193" s="88">
        <v>46</v>
      </c>
      <c r="F193" s="87">
        <v>121.3</v>
      </c>
      <c r="G193" s="17">
        <v>37</v>
      </c>
      <c r="H193" s="89">
        <v>52</v>
      </c>
      <c r="I193" s="90">
        <v>38500</v>
      </c>
      <c r="J193" s="90" t="s">
        <v>60</v>
      </c>
      <c r="K193" s="90"/>
      <c r="L193" s="90"/>
      <c r="M193" s="91">
        <f t="shared" si="134"/>
        <v>38500</v>
      </c>
      <c r="N193" s="4">
        <f t="shared" si="135"/>
        <v>0</v>
      </c>
      <c r="O193" s="92">
        <f t="shared" si="136"/>
        <v>836.95652173913038</v>
      </c>
      <c r="P193" s="92">
        <f t="shared" si="137"/>
        <v>0</v>
      </c>
      <c r="Q193" s="80">
        <v>4</v>
      </c>
      <c r="R193" s="80">
        <v>2</v>
      </c>
      <c r="S193" s="80" t="s">
        <v>61</v>
      </c>
      <c r="T193" s="5">
        <v>151</v>
      </c>
      <c r="U193" s="9"/>
      <c r="W193" s="87">
        <f t="shared" si="138"/>
        <v>152</v>
      </c>
      <c r="X193" s="88">
        <f t="shared" si="138"/>
        <v>46</v>
      </c>
      <c r="Y193" s="93">
        <f t="shared" si="139"/>
        <v>52</v>
      </c>
      <c r="Z193" s="91">
        <f t="shared" si="139"/>
        <v>38500</v>
      </c>
      <c r="AA193" s="91">
        <f t="shared" si="140"/>
        <v>0</v>
      </c>
      <c r="AB193" s="91">
        <f t="shared" si="133"/>
        <v>38500</v>
      </c>
      <c r="AC193" s="4">
        <f t="shared" si="133"/>
        <v>0</v>
      </c>
      <c r="AD193" s="92">
        <f t="shared" si="133"/>
        <v>836.95652173913038</v>
      </c>
      <c r="AE193" s="80" t="str">
        <f t="shared" si="141"/>
        <v>계</v>
      </c>
      <c r="AF193" s="80" t="str">
        <f t="shared" si="142"/>
        <v>4/2</v>
      </c>
      <c r="AH193" s="20" t="str">
        <f t="shared" si="73"/>
        <v>미장동 수송공원삼성쉐르빌</v>
      </c>
      <c r="AI193" s="88">
        <f t="shared" si="69"/>
        <v>46</v>
      </c>
      <c r="AJ193" s="80" t="str">
        <f t="shared" si="143"/>
        <v>A-</v>
      </c>
      <c r="AK193" s="80" t="s">
        <v>14</v>
      </c>
      <c r="AL193" s="80" t="s">
        <v>63</v>
      </c>
      <c r="AM193" s="80" t="s">
        <v>64</v>
      </c>
      <c r="AN193" s="80" t="str">
        <f t="shared" si="144"/>
        <v>C</v>
      </c>
      <c r="AO193" s="80" t="str">
        <f t="shared" si="145"/>
        <v>X</v>
      </c>
      <c r="AP193" s="80" t="str">
        <f t="shared" si="146"/>
        <v>O</v>
      </c>
      <c r="AQ193" s="80" t="str">
        <f t="shared" si="147"/>
        <v>O</v>
      </c>
      <c r="AR193" s="80" t="str">
        <f t="shared" si="148"/>
        <v>X</v>
      </c>
      <c r="AS193" s="80" t="s">
        <v>2</v>
      </c>
      <c r="AT193" s="80" t="str">
        <f t="shared" si="149"/>
        <v>X</v>
      </c>
      <c r="AU193" s="80" t="str">
        <f t="shared" si="150"/>
        <v>O</v>
      </c>
      <c r="AV193" s="80" t="str">
        <f t="shared" si="151"/>
        <v>X</v>
      </c>
    </row>
    <row r="194" spans="1:48" s="37" customFormat="1" ht="12" x14ac:dyDescent="0.3">
      <c r="A194" s="75" t="s">
        <v>1701</v>
      </c>
      <c r="B194" s="76" t="s">
        <v>1702</v>
      </c>
      <c r="C194" s="86">
        <v>654</v>
      </c>
      <c r="D194" s="87">
        <v>181.8</v>
      </c>
      <c r="E194" s="88">
        <v>55</v>
      </c>
      <c r="F194" s="87">
        <v>149.9</v>
      </c>
      <c r="G194" s="17">
        <v>45</v>
      </c>
      <c r="H194" s="89">
        <v>57</v>
      </c>
      <c r="I194" s="90">
        <v>45000</v>
      </c>
      <c r="J194" s="90" t="s">
        <v>60</v>
      </c>
      <c r="K194" s="90"/>
      <c r="L194" s="90"/>
      <c r="M194" s="91">
        <f t="shared" si="134"/>
        <v>45000</v>
      </c>
      <c r="N194" s="4">
        <f t="shared" si="135"/>
        <v>0</v>
      </c>
      <c r="O194" s="92">
        <f t="shared" si="136"/>
        <v>818.18181818181813</v>
      </c>
      <c r="P194" s="92">
        <f t="shared" si="137"/>
        <v>0</v>
      </c>
      <c r="Q194" s="80">
        <v>4</v>
      </c>
      <c r="R194" s="80">
        <v>2</v>
      </c>
      <c r="S194" s="80" t="s">
        <v>61</v>
      </c>
      <c r="T194" s="5">
        <v>181</v>
      </c>
      <c r="U194" s="9"/>
      <c r="W194" s="87">
        <f t="shared" si="138"/>
        <v>181.8</v>
      </c>
      <c r="X194" s="88">
        <f t="shared" si="138"/>
        <v>55</v>
      </c>
      <c r="Y194" s="93">
        <f t="shared" si="139"/>
        <v>57</v>
      </c>
      <c r="Z194" s="91">
        <f t="shared" si="139"/>
        <v>45000</v>
      </c>
      <c r="AA194" s="91">
        <f t="shared" si="140"/>
        <v>0</v>
      </c>
      <c r="AB194" s="91">
        <f t="shared" si="133"/>
        <v>45000</v>
      </c>
      <c r="AC194" s="4">
        <f t="shared" si="133"/>
        <v>0</v>
      </c>
      <c r="AD194" s="92">
        <f t="shared" si="133"/>
        <v>818.18181818181813</v>
      </c>
      <c r="AE194" s="80" t="str">
        <f t="shared" si="141"/>
        <v>계</v>
      </c>
      <c r="AF194" s="80" t="str">
        <f t="shared" si="142"/>
        <v>4/2</v>
      </c>
      <c r="AH194" s="20" t="str">
        <f t="shared" si="73"/>
        <v>미장동 수송공원삼성쉐르빌</v>
      </c>
      <c r="AI194" s="88">
        <f t="shared" si="69"/>
        <v>55</v>
      </c>
      <c r="AJ194" s="80" t="str">
        <f t="shared" si="143"/>
        <v>A-</v>
      </c>
      <c r="AK194" s="80" t="s">
        <v>14</v>
      </c>
      <c r="AL194" s="80" t="s">
        <v>63</v>
      </c>
      <c r="AM194" s="80" t="s">
        <v>64</v>
      </c>
      <c r="AN194" s="80" t="str">
        <f t="shared" si="144"/>
        <v>C</v>
      </c>
      <c r="AO194" s="80" t="str">
        <f t="shared" si="145"/>
        <v>X</v>
      </c>
      <c r="AP194" s="80" t="str">
        <f t="shared" si="146"/>
        <v>O</v>
      </c>
      <c r="AQ194" s="80" t="str">
        <f t="shared" si="147"/>
        <v>O</v>
      </c>
      <c r="AR194" s="80" t="str">
        <f t="shared" si="148"/>
        <v>X</v>
      </c>
      <c r="AS194" s="80" t="s">
        <v>2</v>
      </c>
      <c r="AT194" s="80" t="str">
        <f t="shared" si="149"/>
        <v>X</v>
      </c>
      <c r="AU194" s="80" t="str">
        <f t="shared" si="150"/>
        <v>O</v>
      </c>
      <c r="AV194" s="80" t="str">
        <f t="shared" si="151"/>
        <v>X</v>
      </c>
    </row>
    <row r="195" spans="1:48" s="37" customFormat="1" ht="12" x14ac:dyDescent="0.3">
      <c r="A195" s="75" t="s">
        <v>1488</v>
      </c>
      <c r="B195" s="76" t="s">
        <v>1489</v>
      </c>
      <c r="C195" s="86">
        <v>654</v>
      </c>
      <c r="D195" s="87">
        <v>209.2</v>
      </c>
      <c r="E195" s="88">
        <v>63</v>
      </c>
      <c r="F195" s="87">
        <v>160.1</v>
      </c>
      <c r="G195" s="17">
        <v>48</v>
      </c>
      <c r="H195" s="89">
        <v>4</v>
      </c>
      <c r="I195" s="90"/>
      <c r="J195" s="90"/>
      <c r="K195" s="90"/>
      <c r="L195" s="90"/>
      <c r="M195" s="91">
        <f t="shared" si="134"/>
        <v>0</v>
      </c>
      <c r="N195" s="4" t="str">
        <f t="shared" si="135"/>
        <v/>
      </c>
      <c r="O195" s="92">
        <f t="shared" si="136"/>
        <v>0</v>
      </c>
      <c r="P195" s="92">
        <f t="shared" si="137"/>
        <v>0</v>
      </c>
      <c r="Q195" s="80">
        <v>5</v>
      </c>
      <c r="R195" s="80">
        <v>2</v>
      </c>
      <c r="S195" s="80" t="s">
        <v>61</v>
      </c>
      <c r="T195" s="5">
        <v>209</v>
      </c>
      <c r="U195" s="9"/>
      <c r="W195" s="87">
        <f t="shared" si="138"/>
        <v>209.2</v>
      </c>
      <c r="X195" s="88">
        <f t="shared" si="138"/>
        <v>63</v>
      </c>
      <c r="Y195" s="93">
        <f t="shared" si="139"/>
        <v>4</v>
      </c>
      <c r="Z195" s="91">
        <f t="shared" si="139"/>
        <v>0</v>
      </c>
      <c r="AA195" s="91">
        <f t="shared" si="140"/>
        <v>0</v>
      </c>
      <c r="AB195" s="91">
        <f t="shared" si="133"/>
        <v>0</v>
      </c>
      <c r="AC195" s="4" t="str">
        <f t="shared" si="133"/>
        <v/>
      </c>
      <c r="AD195" s="92">
        <f t="shared" si="133"/>
        <v>0</v>
      </c>
      <c r="AE195" s="80" t="str">
        <f t="shared" si="141"/>
        <v>계</v>
      </c>
      <c r="AF195" s="80" t="str">
        <f t="shared" si="142"/>
        <v>5/2</v>
      </c>
      <c r="AH195" s="20" t="str">
        <f t="shared" si="73"/>
        <v>미장동 수송공원삼성쉐르빌</v>
      </c>
      <c r="AI195" s="88">
        <f t="shared" si="69"/>
        <v>63</v>
      </c>
      <c r="AJ195" s="80" t="str">
        <f t="shared" si="143"/>
        <v>A-</v>
      </c>
      <c r="AK195" s="80" t="s">
        <v>14</v>
      </c>
      <c r="AL195" s="80" t="s">
        <v>63</v>
      </c>
      <c r="AM195" s="80" t="s">
        <v>64</v>
      </c>
      <c r="AN195" s="80" t="str">
        <f t="shared" si="144"/>
        <v>C</v>
      </c>
      <c r="AO195" s="80" t="str">
        <f t="shared" si="145"/>
        <v/>
      </c>
      <c r="AP195" s="80" t="str">
        <f t="shared" si="146"/>
        <v/>
      </c>
      <c r="AQ195" s="80" t="str">
        <f t="shared" si="147"/>
        <v>O</v>
      </c>
      <c r="AR195" s="80" t="str">
        <f t="shared" si="148"/>
        <v>O</v>
      </c>
      <c r="AS195" s="80" t="s">
        <v>2</v>
      </c>
      <c r="AT195" s="80" t="str">
        <f t="shared" si="149"/>
        <v>X</v>
      </c>
      <c r="AU195" s="80" t="str">
        <f t="shared" si="150"/>
        <v>O</v>
      </c>
      <c r="AV195" s="80" t="str">
        <f t="shared" si="151"/>
        <v/>
      </c>
    </row>
    <row r="196" spans="1:48" s="37" customFormat="1" ht="12" x14ac:dyDescent="0.3">
      <c r="A196" s="75" t="s">
        <v>1490</v>
      </c>
      <c r="B196" s="76" t="s">
        <v>1491</v>
      </c>
      <c r="C196" s="86">
        <v>805</v>
      </c>
      <c r="D196" s="87">
        <v>80.3</v>
      </c>
      <c r="E196" s="88">
        <v>24</v>
      </c>
      <c r="F196" s="87">
        <v>59.9</v>
      </c>
      <c r="G196" s="17">
        <v>18</v>
      </c>
      <c r="H196" s="89">
        <v>78</v>
      </c>
      <c r="I196" s="90">
        <v>28500</v>
      </c>
      <c r="J196" s="90" t="s">
        <v>77</v>
      </c>
      <c r="K196" s="90"/>
      <c r="L196" s="90"/>
      <c r="M196" s="91">
        <f t="shared" si="134"/>
        <v>28500</v>
      </c>
      <c r="N196" s="4">
        <f t="shared" si="135"/>
        <v>0</v>
      </c>
      <c r="O196" s="92">
        <f t="shared" si="136"/>
        <v>1187.5</v>
      </c>
      <c r="P196" s="92">
        <f t="shared" si="137"/>
        <v>0</v>
      </c>
      <c r="Q196" s="80">
        <v>3</v>
      </c>
      <c r="R196" s="80">
        <v>1</v>
      </c>
      <c r="S196" s="80" t="s">
        <v>61</v>
      </c>
      <c r="T196" s="5">
        <v>80</v>
      </c>
      <c r="U196" s="9"/>
      <c r="W196" s="87">
        <f t="shared" si="138"/>
        <v>80.3</v>
      </c>
      <c r="X196" s="88">
        <f t="shared" si="138"/>
        <v>24</v>
      </c>
      <c r="Y196" s="93">
        <f t="shared" si="139"/>
        <v>78</v>
      </c>
      <c r="Z196" s="91">
        <f t="shared" si="139"/>
        <v>28500</v>
      </c>
      <c r="AA196" s="91">
        <f t="shared" si="140"/>
        <v>0</v>
      </c>
      <c r="AB196" s="91">
        <f t="shared" si="133"/>
        <v>28500</v>
      </c>
      <c r="AC196" s="4">
        <f t="shared" si="133"/>
        <v>0</v>
      </c>
      <c r="AD196" s="92">
        <f t="shared" si="133"/>
        <v>1187.5</v>
      </c>
      <c r="AE196" s="80" t="str">
        <f t="shared" si="141"/>
        <v>계</v>
      </c>
      <c r="AF196" s="80" t="str">
        <f t="shared" si="142"/>
        <v>3/1</v>
      </c>
      <c r="AH196" s="20" t="str">
        <f t="shared" si="73"/>
        <v>미장동 미장대원칸타빌</v>
      </c>
      <c r="AI196" s="88">
        <f t="shared" ref="AI196:AI259" si="152">IF(E196="","",E196)</f>
        <v>24</v>
      </c>
      <c r="AJ196" s="80" t="str">
        <f t="shared" si="143"/>
        <v>A-</v>
      </c>
      <c r="AK196" s="80" t="s">
        <v>14</v>
      </c>
      <c r="AL196" s="80" t="s">
        <v>63</v>
      </c>
      <c r="AM196" s="80" t="s">
        <v>64</v>
      </c>
      <c r="AN196" s="80" t="str">
        <f t="shared" si="144"/>
        <v>C</v>
      </c>
      <c r="AO196" s="80" t="str">
        <f t="shared" si="145"/>
        <v>X</v>
      </c>
      <c r="AP196" s="80" t="str">
        <f t="shared" si="146"/>
        <v>O</v>
      </c>
      <c r="AQ196" s="80" t="str">
        <f t="shared" si="147"/>
        <v>O</v>
      </c>
      <c r="AR196" s="80" t="str">
        <f t="shared" si="148"/>
        <v>X</v>
      </c>
      <c r="AS196" s="80" t="s">
        <v>2</v>
      </c>
      <c r="AT196" s="80" t="str">
        <f t="shared" si="149"/>
        <v>O</v>
      </c>
      <c r="AU196" s="80" t="str">
        <f t="shared" si="150"/>
        <v>O</v>
      </c>
      <c r="AV196" s="80" t="str">
        <f t="shared" si="151"/>
        <v>X</v>
      </c>
    </row>
    <row r="197" spans="1:48" s="37" customFormat="1" ht="12" x14ac:dyDescent="0.3">
      <c r="A197" s="75" t="s">
        <v>1703</v>
      </c>
      <c r="B197" s="76" t="s">
        <v>1491</v>
      </c>
      <c r="C197" s="86">
        <v>805</v>
      </c>
      <c r="D197" s="87">
        <v>87.9</v>
      </c>
      <c r="E197" s="88">
        <v>27</v>
      </c>
      <c r="F197" s="87">
        <v>65.900000000000006</v>
      </c>
      <c r="G197" s="17">
        <v>20</v>
      </c>
      <c r="H197" s="89">
        <v>47</v>
      </c>
      <c r="I197" s="90">
        <v>29000</v>
      </c>
      <c r="J197" s="90" t="s">
        <v>124</v>
      </c>
      <c r="K197" s="90"/>
      <c r="L197" s="90"/>
      <c r="M197" s="91">
        <f t="shared" si="134"/>
        <v>29000</v>
      </c>
      <c r="N197" s="4">
        <f t="shared" si="135"/>
        <v>0</v>
      </c>
      <c r="O197" s="92">
        <f t="shared" si="136"/>
        <v>1074.0740740740741</v>
      </c>
      <c r="P197" s="92">
        <f t="shared" si="137"/>
        <v>0</v>
      </c>
      <c r="Q197" s="80">
        <v>3</v>
      </c>
      <c r="R197" s="80">
        <v>2</v>
      </c>
      <c r="S197" s="80" t="s">
        <v>61</v>
      </c>
      <c r="T197" s="5" t="s">
        <v>125</v>
      </c>
      <c r="U197" s="9"/>
      <c r="W197" s="87">
        <f t="shared" si="138"/>
        <v>87.9</v>
      </c>
      <c r="X197" s="88">
        <f t="shared" si="138"/>
        <v>27</v>
      </c>
      <c r="Y197" s="93">
        <f t="shared" si="139"/>
        <v>47</v>
      </c>
      <c r="Z197" s="91">
        <f t="shared" si="139"/>
        <v>29000</v>
      </c>
      <c r="AA197" s="91">
        <f t="shared" si="140"/>
        <v>0</v>
      </c>
      <c r="AB197" s="91">
        <f t="shared" si="133"/>
        <v>29000</v>
      </c>
      <c r="AC197" s="4">
        <f t="shared" si="133"/>
        <v>0</v>
      </c>
      <c r="AD197" s="92">
        <f t="shared" si="133"/>
        <v>1074.0740740740741</v>
      </c>
      <c r="AE197" s="80" t="str">
        <f t="shared" si="141"/>
        <v>계</v>
      </c>
      <c r="AF197" s="80" t="str">
        <f t="shared" si="142"/>
        <v>3/2</v>
      </c>
      <c r="AH197" s="20" t="str">
        <f t="shared" si="73"/>
        <v>미장동 미장대원칸타빌</v>
      </c>
      <c r="AI197" s="88">
        <f t="shared" si="152"/>
        <v>27</v>
      </c>
      <c r="AJ197" s="80" t="str">
        <f t="shared" si="143"/>
        <v>A-</v>
      </c>
      <c r="AK197" s="80" t="s">
        <v>14</v>
      </c>
      <c r="AL197" s="80" t="s">
        <v>63</v>
      </c>
      <c r="AM197" s="80" t="s">
        <v>64</v>
      </c>
      <c r="AN197" s="80" t="str">
        <f t="shared" si="144"/>
        <v>C</v>
      </c>
      <c r="AO197" s="80" t="str">
        <f t="shared" si="145"/>
        <v>X</v>
      </c>
      <c r="AP197" s="80" t="str">
        <f t="shared" si="146"/>
        <v>O</v>
      </c>
      <c r="AQ197" s="80" t="str">
        <f t="shared" si="147"/>
        <v>O</v>
      </c>
      <c r="AR197" s="80" t="str">
        <f t="shared" si="148"/>
        <v>X</v>
      </c>
      <c r="AS197" s="80" t="s">
        <v>2</v>
      </c>
      <c r="AT197" s="80" t="str">
        <f t="shared" si="149"/>
        <v>O</v>
      </c>
      <c r="AU197" s="80" t="str">
        <f t="shared" si="150"/>
        <v>O</v>
      </c>
      <c r="AV197" s="80" t="str">
        <f t="shared" si="151"/>
        <v>X</v>
      </c>
    </row>
    <row r="198" spans="1:48" s="37" customFormat="1" ht="12" x14ac:dyDescent="0.3">
      <c r="A198" s="75" t="s">
        <v>1704</v>
      </c>
      <c r="B198" s="76" t="s">
        <v>1491</v>
      </c>
      <c r="C198" s="86">
        <v>805</v>
      </c>
      <c r="D198" s="87">
        <v>88.7</v>
      </c>
      <c r="E198" s="88">
        <v>27</v>
      </c>
      <c r="F198" s="87">
        <v>65.900000000000006</v>
      </c>
      <c r="G198" s="17">
        <v>20</v>
      </c>
      <c r="H198" s="89">
        <v>44</v>
      </c>
      <c r="I198" s="90">
        <v>29000</v>
      </c>
      <c r="J198" s="90" t="s">
        <v>80</v>
      </c>
      <c r="K198" s="90">
        <v>22000</v>
      </c>
      <c r="L198" s="90" t="s">
        <v>80</v>
      </c>
      <c r="M198" s="91">
        <f t="shared" si="134"/>
        <v>7000</v>
      </c>
      <c r="N198" s="4">
        <f t="shared" si="135"/>
        <v>0.75862068965517238</v>
      </c>
      <c r="O198" s="92">
        <f t="shared" si="136"/>
        <v>1074.0740740740741</v>
      </c>
      <c r="P198" s="92">
        <f t="shared" si="137"/>
        <v>814.81481481481478</v>
      </c>
      <c r="Q198" s="80">
        <v>3</v>
      </c>
      <c r="R198" s="80">
        <v>2</v>
      </c>
      <c r="S198" s="80" t="s">
        <v>61</v>
      </c>
      <c r="T198" s="5" t="s">
        <v>791</v>
      </c>
      <c r="U198" s="9"/>
      <c r="W198" s="87">
        <f t="shared" si="138"/>
        <v>88.7</v>
      </c>
      <c r="X198" s="88">
        <f t="shared" si="138"/>
        <v>27</v>
      </c>
      <c r="Y198" s="93">
        <f t="shared" si="139"/>
        <v>44</v>
      </c>
      <c r="Z198" s="91">
        <f t="shared" si="139"/>
        <v>29000</v>
      </c>
      <c r="AA198" s="91">
        <f t="shared" si="140"/>
        <v>22000</v>
      </c>
      <c r="AB198" s="91">
        <f t="shared" si="133"/>
        <v>7000</v>
      </c>
      <c r="AC198" s="4">
        <f t="shared" si="133"/>
        <v>0.75862068965517238</v>
      </c>
      <c r="AD198" s="92">
        <f t="shared" si="133"/>
        <v>1074.0740740740741</v>
      </c>
      <c r="AE198" s="80" t="str">
        <f t="shared" si="141"/>
        <v>계</v>
      </c>
      <c r="AF198" s="80" t="str">
        <f t="shared" si="142"/>
        <v>3/2</v>
      </c>
      <c r="AH198" s="20" t="str">
        <f t="shared" si="73"/>
        <v>미장동 미장대원칸타빌</v>
      </c>
      <c r="AI198" s="88">
        <f t="shared" si="152"/>
        <v>27</v>
      </c>
      <c r="AJ198" s="80" t="str">
        <f t="shared" si="143"/>
        <v>A-</v>
      </c>
      <c r="AK198" s="80" t="s">
        <v>14</v>
      </c>
      <c r="AL198" s="80" t="s">
        <v>63</v>
      </c>
      <c r="AM198" s="80" t="s">
        <v>64</v>
      </c>
      <c r="AN198" s="80" t="str">
        <f t="shared" si="144"/>
        <v>C</v>
      </c>
      <c r="AO198" s="80" t="str">
        <f t="shared" si="145"/>
        <v>X</v>
      </c>
      <c r="AP198" s="80" t="str">
        <f t="shared" si="146"/>
        <v>O</v>
      </c>
      <c r="AQ198" s="80" t="str">
        <f t="shared" si="147"/>
        <v>O</v>
      </c>
      <c r="AR198" s="80" t="str">
        <f t="shared" si="148"/>
        <v>X</v>
      </c>
      <c r="AS198" s="80" t="s">
        <v>2</v>
      </c>
      <c r="AT198" s="80" t="str">
        <f t="shared" si="149"/>
        <v>O</v>
      </c>
      <c r="AU198" s="80" t="str">
        <f t="shared" si="150"/>
        <v>O</v>
      </c>
      <c r="AV198" s="80" t="str">
        <f t="shared" si="151"/>
        <v>X</v>
      </c>
    </row>
    <row r="199" spans="1:48" s="37" customFormat="1" ht="12" x14ac:dyDescent="0.3">
      <c r="A199" s="75" t="s">
        <v>1490</v>
      </c>
      <c r="B199" s="76" t="s">
        <v>1491</v>
      </c>
      <c r="C199" s="86">
        <v>805</v>
      </c>
      <c r="D199" s="87">
        <v>100</v>
      </c>
      <c r="E199" s="88">
        <v>30</v>
      </c>
      <c r="F199" s="87">
        <v>74.900000000000006</v>
      </c>
      <c r="G199" s="17">
        <v>23</v>
      </c>
      <c r="H199" s="89">
        <v>186</v>
      </c>
      <c r="I199" s="90">
        <v>32000</v>
      </c>
      <c r="J199" s="90" t="s">
        <v>68</v>
      </c>
      <c r="K199" s="90">
        <v>28000</v>
      </c>
      <c r="L199" s="90" t="s">
        <v>120</v>
      </c>
      <c r="M199" s="91">
        <f t="shared" si="134"/>
        <v>4000</v>
      </c>
      <c r="N199" s="4">
        <f t="shared" si="135"/>
        <v>0.875</v>
      </c>
      <c r="O199" s="92">
        <f t="shared" si="136"/>
        <v>1066.6666666666667</v>
      </c>
      <c r="P199" s="92">
        <f t="shared" si="137"/>
        <v>933.33333333333337</v>
      </c>
      <c r="Q199" s="80">
        <v>3</v>
      </c>
      <c r="R199" s="80">
        <v>2</v>
      </c>
      <c r="S199" s="80" t="s">
        <v>61</v>
      </c>
      <c r="T199" s="5" t="s">
        <v>118</v>
      </c>
      <c r="U199" s="9"/>
      <c r="W199" s="87">
        <f t="shared" si="138"/>
        <v>100</v>
      </c>
      <c r="X199" s="88">
        <f t="shared" si="138"/>
        <v>30</v>
      </c>
      <c r="Y199" s="93">
        <f t="shared" si="139"/>
        <v>186</v>
      </c>
      <c r="Z199" s="91">
        <f t="shared" si="139"/>
        <v>32000</v>
      </c>
      <c r="AA199" s="91">
        <f t="shared" si="140"/>
        <v>28000</v>
      </c>
      <c r="AB199" s="91">
        <f t="shared" si="133"/>
        <v>4000</v>
      </c>
      <c r="AC199" s="4">
        <f t="shared" si="133"/>
        <v>0.875</v>
      </c>
      <c r="AD199" s="92">
        <f t="shared" si="133"/>
        <v>1066.6666666666667</v>
      </c>
      <c r="AE199" s="80" t="str">
        <f t="shared" si="141"/>
        <v>계</v>
      </c>
      <c r="AF199" s="80" t="str">
        <f t="shared" si="142"/>
        <v>3/2</v>
      </c>
      <c r="AH199" s="20" t="str">
        <f t="shared" ref="AH199:AH228" si="153">IF(A199="","",A199)</f>
        <v>미장동 미장대원칸타빌</v>
      </c>
      <c r="AI199" s="88">
        <f t="shared" si="152"/>
        <v>30</v>
      </c>
      <c r="AJ199" s="80" t="str">
        <f t="shared" si="143"/>
        <v>A-</v>
      </c>
      <c r="AK199" s="80" t="s">
        <v>14</v>
      </c>
      <c r="AL199" s="80" t="s">
        <v>63</v>
      </c>
      <c r="AM199" s="80" t="s">
        <v>64</v>
      </c>
      <c r="AN199" s="80" t="str">
        <f t="shared" si="144"/>
        <v>C</v>
      </c>
      <c r="AO199" s="80" t="str">
        <f t="shared" si="145"/>
        <v>O</v>
      </c>
      <c r="AP199" s="80" t="str">
        <f t="shared" si="146"/>
        <v>O</v>
      </c>
      <c r="AQ199" s="80" t="str">
        <f t="shared" si="147"/>
        <v>O</v>
      </c>
      <c r="AR199" s="80" t="str">
        <f t="shared" si="148"/>
        <v>O</v>
      </c>
      <c r="AS199" s="80" t="s">
        <v>2</v>
      </c>
      <c r="AT199" s="80" t="str">
        <f t="shared" si="149"/>
        <v>O</v>
      </c>
      <c r="AU199" s="80" t="str">
        <f t="shared" si="150"/>
        <v>O</v>
      </c>
      <c r="AV199" s="80" t="str">
        <f t="shared" si="151"/>
        <v>후보</v>
      </c>
    </row>
    <row r="200" spans="1:48" s="37" customFormat="1" ht="12" x14ac:dyDescent="0.3">
      <c r="A200" s="75" t="s">
        <v>1490</v>
      </c>
      <c r="B200" s="76" t="s">
        <v>1491</v>
      </c>
      <c r="C200" s="86">
        <v>805</v>
      </c>
      <c r="D200" s="87">
        <v>99.7</v>
      </c>
      <c r="E200" s="88">
        <v>30</v>
      </c>
      <c r="F200" s="87">
        <v>74.900000000000006</v>
      </c>
      <c r="G200" s="17">
        <v>23</v>
      </c>
      <c r="H200" s="89">
        <v>18</v>
      </c>
      <c r="I200" s="90"/>
      <c r="J200" s="90"/>
      <c r="K200" s="90"/>
      <c r="L200" s="90"/>
      <c r="M200" s="91">
        <f t="shared" si="134"/>
        <v>0</v>
      </c>
      <c r="N200" s="4" t="str">
        <f t="shared" si="135"/>
        <v/>
      </c>
      <c r="O200" s="92">
        <f t="shared" si="136"/>
        <v>0</v>
      </c>
      <c r="P200" s="92">
        <f t="shared" si="137"/>
        <v>0</v>
      </c>
      <c r="Q200" s="80">
        <v>3</v>
      </c>
      <c r="R200" s="80">
        <v>2</v>
      </c>
      <c r="S200" s="80" t="s">
        <v>61</v>
      </c>
      <c r="T200" s="5" t="s">
        <v>760</v>
      </c>
      <c r="U200" s="9"/>
      <c r="W200" s="87">
        <f t="shared" si="138"/>
        <v>99.7</v>
      </c>
      <c r="X200" s="88">
        <f t="shared" si="138"/>
        <v>30</v>
      </c>
      <c r="Y200" s="93">
        <f t="shared" si="139"/>
        <v>18</v>
      </c>
      <c r="Z200" s="91">
        <f t="shared" si="139"/>
        <v>0</v>
      </c>
      <c r="AA200" s="91">
        <f t="shared" si="140"/>
        <v>0</v>
      </c>
      <c r="AB200" s="91">
        <f t="shared" ref="AB200:AD213" si="154">M200</f>
        <v>0</v>
      </c>
      <c r="AC200" s="4" t="str">
        <f t="shared" si="154"/>
        <v/>
      </c>
      <c r="AD200" s="92">
        <f t="shared" si="154"/>
        <v>0</v>
      </c>
      <c r="AE200" s="80" t="str">
        <f t="shared" si="141"/>
        <v>계</v>
      </c>
      <c r="AF200" s="80" t="str">
        <f t="shared" si="142"/>
        <v>3/2</v>
      </c>
      <c r="AH200" s="20" t="str">
        <f t="shared" si="153"/>
        <v>미장동 미장대원칸타빌</v>
      </c>
      <c r="AI200" s="88">
        <f t="shared" si="152"/>
        <v>30</v>
      </c>
      <c r="AJ200" s="80" t="str">
        <f t="shared" si="143"/>
        <v>A-</v>
      </c>
      <c r="AK200" s="80" t="s">
        <v>14</v>
      </c>
      <c r="AL200" s="80" t="s">
        <v>63</v>
      </c>
      <c r="AM200" s="80" t="s">
        <v>64</v>
      </c>
      <c r="AN200" s="80" t="str">
        <f t="shared" si="144"/>
        <v>C</v>
      </c>
      <c r="AO200" s="80" t="str">
        <f t="shared" si="145"/>
        <v/>
      </c>
      <c r="AP200" s="80" t="str">
        <f t="shared" si="146"/>
        <v/>
      </c>
      <c r="AQ200" s="80" t="str">
        <f t="shared" si="147"/>
        <v>O</v>
      </c>
      <c r="AR200" s="80" t="str">
        <f t="shared" si="148"/>
        <v>O</v>
      </c>
      <c r="AS200" s="80" t="s">
        <v>2</v>
      </c>
      <c r="AT200" s="80" t="str">
        <f t="shared" si="149"/>
        <v>O</v>
      </c>
      <c r="AU200" s="80" t="str">
        <f t="shared" si="150"/>
        <v>O</v>
      </c>
      <c r="AV200" s="80" t="str">
        <f t="shared" si="151"/>
        <v/>
      </c>
    </row>
    <row r="201" spans="1:48" s="37" customFormat="1" ht="12" x14ac:dyDescent="0.3">
      <c r="A201" s="75" t="s">
        <v>1705</v>
      </c>
      <c r="B201" s="76" t="s">
        <v>1491</v>
      </c>
      <c r="C201" s="86">
        <v>805</v>
      </c>
      <c r="D201" s="87">
        <v>100.4</v>
      </c>
      <c r="E201" s="88">
        <v>30</v>
      </c>
      <c r="F201" s="87">
        <v>74.900000000000006</v>
      </c>
      <c r="G201" s="17">
        <v>23</v>
      </c>
      <c r="H201" s="89">
        <v>44</v>
      </c>
      <c r="I201" s="90">
        <v>33000</v>
      </c>
      <c r="J201" s="90" t="s">
        <v>80</v>
      </c>
      <c r="K201" s="90"/>
      <c r="L201" s="90"/>
      <c r="M201" s="91">
        <f t="shared" si="134"/>
        <v>33000</v>
      </c>
      <c r="N201" s="4">
        <f t="shared" si="135"/>
        <v>0</v>
      </c>
      <c r="O201" s="92">
        <f t="shared" si="136"/>
        <v>1100</v>
      </c>
      <c r="P201" s="92">
        <f t="shared" si="137"/>
        <v>0</v>
      </c>
      <c r="Q201" s="80">
        <v>3</v>
      </c>
      <c r="R201" s="80">
        <v>2</v>
      </c>
      <c r="S201" s="80" t="s">
        <v>61</v>
      </c>
      <c r="T201" s="5" t="s">
        <v>792</v>
      </c>
      <c r="U201" s="9"/>
      <c r="W201" s="87">
        <f t="shared" si="138"/>
        <v>100.4</v>
      </c>
      <c r="X201" s="88">
        <f t="shared" si="138"/>
        <v>30</v>
      </c>
      <c r="Y201" s="93">
        <f t="shared" si="139"/>
        <v>44</v>
      </c>
      <c r="Z201" s="91">
        <f t="shared" si="139"/>
        <v>33000</v>
      </c>
      <c r="AA201" s="91">
        <f t="shared" si="140"/>
        <v>0</v>
      </c>
      <c r="AB201" s="91">
        <f t="shared" si="154"/>
        <v>33000</v>
      </c>
      <c r="AC201" s="4">
        <f t="shared" si="154"/>
        <v>0</v>
      </c>
      <c r="AD201" s="92">
        <f t="shared" si="154"/>
        <v>1100</v>
      </c>
      <c r="AE201" s="80" t="str">
        <f t="shared" si="141"/>
        <v>계</v>
      </c>
      <c r="AF201" s="80" t="str">
        <f t="shared" si="142"/>
        <v>3/2</v>
      </c>
      <c r="AH201" s="20" t="str">
        <f t="shared" si="153"/>
        <v>미장동 미장대원칸타빌</v>
      </c>
      <c r="AI201" s="88">
        <f t="shared" si="152"/>
        <v>30</v>
      </c>
      <c r="AJ201" s="80" t="str">
        <f t="shared" si="143"/>
        <v>A-</v>
      </c>
      <c r="AK201" s="80" t="s">
        <v>14</v>
      </c>
      <c r="AL201" s="80" t="s">
        <v>63</v>
      </c>
      <c r="AM201" s="80" t="s">
        <v>64</v>
      </c>
      <c r="AN201" s="80" t="str">
        <f t="shared" si="144"/>
        <v>C</v>
      </c>
      <c r="AO201" s="80" t="str">
        <f t="shared" si="145"/>
        <v>X</v>
      </c>
      <c r="AP201" s="80" t="str">
        <f t="shared" si="146"/>
        <v>O</v>
      </c>
      <c r="AQ201" s="80" t="str">
        <f t="shared" si="147"/>
        <v>O</v>
      </c>
      <c r="AR201" s="80" t="str">
        <f t="shared" si="148"/>
        <v>X</v>
      </c>
      <c r="AS201" s="80" t="s">
        <v>2</v>
      </c>
      <c r="AT201" s="80" t="str">
        <f t="shared" si="149"/>
        <v>O</v>
      </c>
      <c r="AU201" s="80" t="str">
        <f t="shared" si="150"/>
        <v>O</v>
      </c>
      <c r="AV201" s="80" t="str">
        <f t="shared" si="151"/>
        <v>X</v>
      </c>
    </row>
    <row r="202" spans="1:48" s="37" customFormat="1" ht="12" x14ac:dyDescent="0.3">
      <c r="A202" s="75" t="s">
        <v>1490</v>
      </c>
      <c r="B202" s="76" t="s">
        <v>1491</v>
      </c>
      <c r="C202" s="86">
        <v>805</v>
      </c>
      <c r="D202" s="87">
        <v>100.1</v>
      </c>
      <c r="E202" s="88">
        <v>30</v>
      </c>
      <c r="F202" s="87">
        <v>75</v>
      </c>
      <c r="G202" s="17">
        <v>23</v>
      </c>
      <c r="H202" s="89">
        <v>40</v>
      </c>
      <c r="I202" s="90">
        <v>35500</v>
      </c>
      <c r="J202" s="90" t="s">
        <v>1280</v>
      </c>
      <c r="K202" s="90">
        <v>27000</v>
      </c>
      <c r="L202" s="90" t="s">
        <v>111</v>
      </c>
      <c r="M202" s="91">
        <f t="shared" si="134"/>
        <v>8500</v>
      </c>
      <c r="N202" s="4">
        <f t="shared" si="135"/>
        <v>0.76056338028169013</v>
      </c>
      <c r="O202" s="92">
        <f t="shared" si="136"/>
        <v>1183.3333333333333</v>
      </c>
      <c r="P202" s="92">
        <f t="shared" si="137"/>
        <v>900</v>
      </c>
      <c r="Q202" s="80">
        <v>3</v>
      </c>
      <c r="R202" s="80">
        <v>2</v>
      </c>
      <c r="S202" s="80" t="s">
        <v>61</v>
      </c>
      <c r="T202" s="5" t="s">
        <v>116</v>
      </c>
      <c r="U202" s="9"/>
      <c r="W202" s="87">
        <f t="shared" si="138"/>
        <v>100.1</v>
      </c>
      <c r="X202" s="88">
        <f t="shared" si="138"/>
        <v>30</v>
      </c>
      <c r="Y202" s="93">
        <f t="shared" si="139"/>
        <v>40</v>
      </c>
      <c r="Z202" s="91">
        <f t="shared" si="139"/>
        <v>35500</v>
      </c>
      <c r="AA202" s="91">
        <f t="shared" si="140"/>
        <v>27000</v>
      </c>
      <c r="AB202" s="91">
        <f t="shared" si="154"/>
        <v>8500</v>
      </c>
      <c r="AC202" s="4">
        <f t="shared" si="154"/>
        <v>0.76056338028169013</v>
      </c>
      <c r="AD202" s="92">
        <f t="shared" si="154"/>
        <v>1183.3333333333333</v>
      </c>
      <c r="AE202" s="80" t="str">
        <f t="shared" si="141"/>
        <v>계</v>
      </c>
      <c r="AF202" s="80" t="str">
        <f t="shared" si="142"/>
        <v>3/2</v>
      </c>
      <c r="AH202" s="20" t="str">
        <f t="shared" si="153"/>
        <v>미장동 미장대원칸타빌</v>
      </c>
      <c r="AI202" s="88">
        <f t="shared" si="152"/>
        <v>30</v>
      </c>
      <c r="AJ202" s="80" t="str">
        <f t="shared" si="143"/>
        <v>A-</v>
      </c>
      <c r="AK202" s="80" t="s">
        <v>14</v>
      </c>
      <c r="AL202" s="80" t="s">
        <v>63</v>
      </c>
      <c r="AM202" s="80" t="s">
        <v>64</v>
      </c>
      <c r="AN202" s="80" t="str">
        <f t="shared" si="144"/>
        <v>C</v>
      </c>
      <c r="AO202" s="80" t="str">
        <f t="shared" si="145"/>
        <v>X</v>
      </c>
      <c r="AP202" s="80" t="str">
        <f t="shared" si="146"/>
        <v>O</v>
      </c>
      <c r="AQ202" s="80" t="str">
        <f t="shared" si="147"/>
        <v>O</v>
      </c>
      <c r="AR202" s="80" t="str">
        <f t="shared" si="148"/>
        <v>X</v>
      </c>
      <c r="AS202" s="80" t="s">
        <v>2</v>
      </c>
      <c r="AT202" s="80" t="str">
        <f t="shared" si="149"/>
        <v>O</v>
      </c>
      <c r="AU202" s="80" t="str">
        <f t="shared" si="150"/>
        <v>O</v>
      </c>
      <c r="AV202" s="80" t="str">
        <f t="shared" si="151"/>
        <v>X</v>
      </c>
    </row>
    <row r="203" spans="1:48" s="37" customFormat="1" ht="12" x14ac:dyDescent="0.3">
      <c r="A203" s="75" t="s">
        <v>1490</v>
      </c>
      <c r="B203" s="76" t="s">
        <v>1491</v>
      </c>
      <c r="C203" s="86">
        <v>805</v>
      </c>
      <c r="D203" s="87">
        <v>112.4</v>
      </c>
      <c r="E203" s="88">
        <v>34</v>
      </c>
      <c r="F203" s="87">
        <v>84.9</v>
      </c>
      <c r="G203" s="17">
        <v>26</v>
      </c>
      <c r="H203" s="89">
        <v>274</v>
      </c>
      <c r="I203" s="90">
        <v>36800</v>
      </c>
      <c r="J203" s="90" t="s">
        <v>68</v>
      </c>
      <c r="K203" s="90">
        <v>30000</v>
      </c>
      <c r="L203" s="90" t="s">
        <v>71</v>
      </c>
      <c r="M203" s="91">
        <f t="shared" si="134"/>
        <v>6800</v>
      </c>
      <c r="N203" s="4">
        <f t="shared" si="135"/>
        <v>0.81521739130434778</v>
      </c>
      <c r="O203" s="92">
        <f t="shared" si="136"/>
        <v>1082.3529411764705</v>
      </c>
      <c r="P203" s="92">
        <f t="shared" si="137"/>
        <v>882.35294117647061</v>
      </c>
      <c r="Q203" s="80">
        <v>4</v>
      </c>
      <c r="R203" s="80">
        <v>2</v>
      </c>
      <c r="S203" s="80" t="s">
        <v>61</v>
      </c>
      <c r="T203" s="5">
        <v>112</v>
      </c>
      <c r="U203" s="9"/>
      <c r="W203" s="87">
        <f t="shared" si="138"/>
        <v>112.4</v>
      </c>
      <c r="X203" s="88">
        <f t="shared" si="138"/>
        <v>34</v>
      </c>
      <c r="Y203" s="93">
        <f t="shared" si="139"/>
        <v>274</v>
      </c>
      <c r="Z203" s="91">
        <f t="shared" si="139"/>
        <v>36800</v>
      </c>
      <c r="AA203" s="91">
        <f t="shared" si="140"/>
        <v>30000</v>
      </c>
      <c r="AB203" s="91">
        <f t="shared" si="154"/>
        <v>6800</v>
      </c>
      <c r="AC203" s="4">
        <f t="shared" si="154"/>
        <v>0.81521739130434778</v>
      </c>
      <c r="AD203" s="92">
        <f t="shared" si="154"/>
        <v>1082.3529411764705</v>
      </c>
      <c r="AE203" s="80" t="str">
        <f t="shared" si="141"/>
        <v>계</v>
      </c>
      <c r="AF203" s="80" t="str">
        <f t="shared" si="142"/>
        <v>4/2</v>
      </c>
      <c r="AH203" s="20" t="str">
        <f t="shared" si="153"/>
        <v>미장동 미장대원칸타빌</v>
      </c>
      <c r="AI203" s="88">
        <f t="shared" si="152"/>
        <v>34</v>
      </c>
      <c r="AJ203" s="80" t="str">
        <f t="shared" si="143"/>
        <v>A-</v>
      </c>
      <c r="AK203" s="80" t="s">
        <v>14</v>
      </c>
      <c r="AL203" s="80" t="s">
        <v>63</v>
      </c>
      <c r="AM203" s="80" t="s">
        <v>64</v>
      </c>
      <c r="AN203" s="80" t="str">
        <f t="shared" si="144"/>
        <v>C</v>
      </c>
      <c r="AO203" s="80" t="str">
        <f t="shared" si="145"/>
        <v>O</v>
      </c>
      <c r="AP203" s="80" t="str">
        <f t="shared" si="146"/>
        <v>O</v>
      </c>
      <c r="AQ203" s="80" t="str">
        <f t="shared" si="147"/>
        <v>O</v>
      </c>
      <c r="AR203" s="80" t="str">
        <f t="shared" si="148"/>
        <v>X</v>
      </c>
      <c r="AS203" s="80" t="s">
        <v>2</v>
      </c>
      <c r="AT203" s="80" t="str">
        <f t="shared" si="149"/>
        <v>O</v>
      </c>
      <c r="AU203" s="80" t="str">
        <f t="shared" si="150"/>
        <v>O</v>
      </c>
      <c r="AV203" s="80" t="str">
        <f t="shared" si="151"/>
        <v>X</v>
      </c>
    </row>
    <row r="204" spans="1:48" s="37" customFormat="1" ht="12" x14ac:dyDescent="0.3">
      <c r="A204" s="75" t="s">
        <v>1490</v>
      </c>
      <c r="B204" s="76" t="s">
        <v>1491</v>
      </c>
      <c r="C204" s="86">
        <v>805</v>
      </c>
      <c r="D204" s="87">
        <v>134.69999999999999</v>
      </c>
      <c r="E204" s="88">
        <v>41</v>
      </c>
      <c r="F204" s="87">
        <v>101.8</v>
      </c>
      <c r="G204" s="17">
        <v>31</v>
      </c>
      <c r="H204" s="89">
        <v>70</v>
      </c>
      <c r="I204" s="90">
        <v>51000</v>
      </c>
      <c r="J204" s="90" t="s">
        <v>84</v>
      </c>
      <c r="K204" s="90"/>
      <c r="L204" s="90"/>
      <c r="M204" s="91">
        <f t="shared" si="134"/>
        <v>51000</v>
      </c>
      <c r="N204" s="4">
        <f t="shared" si="135"/>
        <v>0</v>
      </c>
      <c r="O204" s="92">
        <f t="shared" si="136"/>
        <v>1243.9024390243903</v>
      </c>
      <c r="P204" s="92">
        <f t="shared" si="137"/>
        <v>0</v>
      </c>
      <c r="Q204" s="80">
        <v>4</v>
      </c>
      <c r="R204" s="80">
        <v>2</v>
      </c>
      <c r="S204" s="80" t="s">
        <v>61</v>
      </c>
      <c r="T204" s="5">
        <v>134</v>
      </c>
      <c r="U204" s="9"/>
      <c r="W204" s="87">
        <f t="shared" si="138"/>
        <v>134.69999999999999</v>
      </c>
      <c r="X204" s="88">
        <f t="shared" si="138"/>
        <v>41</v>
      </c>
      <c r="Y204" s="93">
        <f t="shared" si="139"/>
        <v>70</v>
      </c>
      <c r="Z204" s="91">
        <f t="shared" si="139"/>
        <v>51000</v>
      </c>
      <c r="AA204" s="91">
        <f t="shared" si="140"/>
        <v>0</v>
      </c>
      <c r="AB204" s="91">
        <f t="shared" si="154"/>
        <v>51000</v>
      </c>
      <c r="AC204" s="4">
        <f t="shared" si="154"/>
        <v>0</v>
      </c>
      <c r="AD204" s="92">
        <f t="shared" si="154"/>
        <v>1243.9024390243903</v>
      </c>
      <c r="AE204" s="80" t="str">
        <f t="shared" si="141"/>
        <v>계</v>
      </c>
      <c r="AF204" s="80" t="str">
        <f t="shared" si="142"/>
        <v>4/2</v>
      </c>
      <c r="AH204" s="20" t="str">
        <f t="shared" si="153"/>
        <v>미장동 미장대원칸타빌</v>
      </c>
      <c r="AI204" s="88">
        <f t="shared" si="152"/>
        <v>41</v>
      </c>
      <c r="AJ204" s="80" t="str">
        <f t="shared" si="143"/>
        <v>A-</v>
      </c>
      <c r="AK204" s="80" t="s">
        <v>14</v>
      </c>
      <c r="AL204" s="80" t="s">
        <v>63</v>
      </c>
      <c r="AM204" s="80" t="s">
        <v>64</v>
      </c>
      <c r="AN204" s="80" t="str">
        <f t="shared" si="144"/>
        <v>C</v>
      </c>
      <c r="AO204" s="80" t="str">
        <f t="shared" si="145"/>
        <v>X</v>
      </c>
      <c r="AP204" s="80" t="str">
        <f t="shared" si="146"/>
        <v>X</v>
      </c>
      <c r="AQ204" s="80" t="str">
        <f t="shared" si="147"/>
        <v>X</v>
      </c>
      <c r="AR204" s="80" t="str">
        <f t="shared" si="148"/>
        <v>X</v>
      </c>
      <c r="AS204" s="80" t="s">
        <v>2</v>
      </c>
      <c r="AT204" s="80" t="str">
        <f t="shared" si="149"/>
        <v>X</v>
      </c>
      <c r="AU204" s="80" t="str">
        <f t="shared" si="150"/>
        <v>O</v>
      </c>
      <c r="AV204" s="80" t="str">
        <f t="shared" si="151"/>
        <v>X</v>
      </c>
    </row>
    <row r="205" spans="1:48" s="37" customFormat="1" ht="12" x14ac:dyDescent="0.3">
      <c r="A205" s="75" t="s">
        <v>1490</v>
      </c>
      <c r="B205" s="76" t="s">
        <v>1491</v>
      </c>
      <c r="C205" s="86">
        <v>805</v>
      </c>
      <c r="D205" s="87">
        <v>174.2</v>
      </c>
      <c r="E205" s="88">
        <v>53</v>
      </c>
      <c r="F205" s="87">
        <v>128.69999999999999</v>
      </c>
      <c r="G205" s="17">
        <v>39</v>
      </c>
      <c r="H205" s="89">
        <v>4</v>
      </c>
      <c r="I205" s="90">
        <v>90000</v>
      </c>
      <c r="J205" s="90" t="s">
        <v>154</v>
      </c>
      <c r="K205" s="90">
        <v>50000</v>
      </c>
      <c r="L205" s="90" t="s">
        <v>154</v>
      </c>
      <c r="M205" s="91">
        <f t="shared" si="134"/>
        <v>40000</v>
      </c>
      <c r="N205" s="4">
        <f t="shared" si="135"/>
        <v>0.55555555555555558</v>
      </c>
      <c r="O205" s="92">
        <f t="shared" si="136"/>
        <v>1698.1132075471698</v>
      </c>
      <c r="P205" s="92">
        <f t="shared" si="137"/>
        <v>943.39622641509436</v>
      </c>
      <c r="Q205" s="80">
        <v>4</v>
      </c>
      <c r="R205" s="80">
        <v>2</v>
      </c>
      <c r="S205" s="80" t="s">
        <v>61</v>
      </c>
      <c r="T205" s="5">
        <v>174</v>
      </c>
      <c r="U205" s="9"/>
      <c r="W205" s="87">
        <f t="shared" ref="W205:X205" si="155">D205</f>
        <v>174.2</v>
      </c>
      <c r="X205" s="88">
        <f t="shared" si="155"/>
        <v>53</v>
      </c>
      <c r="Y205" s="93">
        <f t="shared" ref="Y205:Z205" si="156">H205</f>
        <v>4</v>
      </c>
      <c r="Z205" s="91">
        <f t="shared" si="156"/>
        <v>90000</v>
      </c>
      <c r="AA205" s="91">
        <f t="shared" si="140"/>
        <v>50000</v>
      </c>
      <c r="AB205" s="91">
        <f t="shared" si="154"/>
        <v>40000</v>
      </c>
      <c r="AC205" s="4">
        <f t="shared" si="154"/>
        <v>0.55555555555555558</v>
      </c>
      <c r="AD205" s="92">
        <f t="shared" si="154"/>
        <v>1698.1132075471698</v>
      </c>
      <c r="AE205" s="80" t="str">
        <f t="shared" si="141"/>
        <v>계</v>
      </c>
      <c r="AF205" s="80" t="str">
        <f t="shared" si="142"/>
        <v>4/2</v>
      </c>
      <c r="AH205" s="20" t="str">
        <f t="shared" si="153"/>
        <v>미장동 미장대원칸타빌</v>
      </c>
      <c r="AI205" s="88">
        <f t="shared" si="152"/>
        <v>53</v>
      </c>
      <c r="AJ205" s="80" t="str">
        <f t="shared" si="143"/>
        <v>A-</v>
      </c>
      <c r="AK205" s="80" t="s">
        <v>14</v>
      </c>
      <c r="AL205" s="80" t="s">
        <v>63</v>
      </c>
      <c r="AM205" s="80" t="s">
        <v>64</v>
      </c>
      <c r="AN205" s="80" t="str">
        <f t="shared" si="144"/>
        <v>C</v>
      </c>
      <c r="AO205" s="80" t="str">
        <f t="shared" si="145"/>
        <v>X</v>
      </c>
      <c r="AP205" s="80" t="str">
        <f t="shared" si="146"/>
        <v>X</v>
      </c>
      <c r="AQ205" s="80" t="str">
        <f t="shared" si="147"/>
        <v>X</v>
      </c>
      <c r="AR205" s="80" t="str">
        <f t="shared" si="148"/>
        <v>X</v>
      </c>
      <c r="AS205" s="80" t="s">
        <v>2</v>
      </c>
      <c r="AT205" s="80" t="str">
        <f t="shared" si="149"/>
        <v>X</v>
      </c>
      <c r="AU205" s="80" t="str">
        <f t="shared" si="150"/>
        <v>O</v>
      </c>
      <c r="AV205" s="80" t="str">
        <f t="shared" si="151"/>
        <v>X</v>
      </c>
    </row>
    <row r="206" spans="1:48" s="37" customFormat="1" ht="12" x14ac:dyDescent="0.3">
      <c r="A206" s="75" t="s">
        <v>1492</v>
      </c>
      <c r="B206" s="76" t="s">
        <v>1493</v>
      </c>
      <c r="C206" s="86">
        <v>358</v>
      </c>
      <c r="D206" s="87">
        <v>76.2</v>
      </c>
      <c r="E206" s="88">
        <v>23</v>
      </c>
      <c r="F206" s="87">
        <v>59.6</v>
      </c>
      <c r="G206" s="17">
        <v>18</v>
      </c>
      <c r="H206" s="89">
        <v>150</v>
      </c>
      <c r="I206" s="90"/>
      <c r="J206" s="90"/>
      <c r="K206" s="90"/>
      <c r="L206" s="90"/>
      <c r="M206" s="91">
        <f>I206-K206</f>
        <v>0</v>
      </c>
      <c r="N206" s="4" t="str">
        <f>IF(ISERROR(K206/I206),"",K206/I206)</f>
        <v/>
      </c>
      <c r="O206" s="92">
        <f>I206/E206</f>
        <v>0</v>
      </c>
      <c r="P206" s="92">
        <f>K206/E206</f>
        <v>0</v>
      </c>
      <c r="Q206" s="80">
        <v>3</v>
      </c>
      <c r="R206" s="80">
        <v>1</v>
      </c>
      <c r="S206" s="80" t="s">
        <v>61</v>
      </c>
      <c r="T206" s="5">
        <v>76</v>
      </c>
      <c r="U206" s="9"/>
      <c r="W206" s="87">
        <f>D206</f>
        <v>76.2</v>
      </c>
      <c r="X206" s="88">
        <f>E206</f>
        <v>23</v>
      </c>
      <c r="Y206" s="93">
        <f>H206</f>
        <v>150</v>
      </c>
      <c r="Z206" s="91">
        <f>I206</f>
        <v>0</v>
      </c>
      <c r="AA206" s="91">
        <f>K206</f>
        <v>0</v>
      </c>
      <c r="AB206" s="91">
        <f t="shared" si="154"/>
        <v>0</v>
      </c>
      <c r="AC206" s="4" t="str">
        <f t="shared" si="154"/>
        <v/>
      </c>
      <c r="AD206" s="92">
        <f t="shared" si="154"/>
        <v>0</v>
      </c>
      <c r="AE206" s="80" t="str">
        <f>S206</f>
        <v>계</v>
      </c>
      <c r="AF206" s="80" t="str">
        <f>Q206&amp;"/"&amp;R206</f>
        <v>3/1</v>
      </c>
      <c r="AH206" s="20" t="str">
        <f t="shared" si="153"/>
        <v>사정동 금호타운2단지</v>
      </c>
      <c r="AI206" s="88">
        <f t="shared" si="152"/>
        <v>23</v>
      </c>
      <c r="AJ206" s="80" t="str">
        <f>IF(AI206="","",$AJ$2)</f>
        <v>A-</v>
      </c>
      <c r="AK206" s="80" t="s">
        <v>14</v>
      </c>
      <c r="AL206" s="80" t="s">
        <v>63</v>
      </c>
      <c r="AM206" s="80" t="s">
        <v>64</v>
      </c>
      <c r="AN206" s="80" t="str">
        <f>IF(AI206="","",$AN$2)</f>
        <v>C</v>
      </c>
      <c r="AO206" s="80" t="str">
        <f>IF(N206="","",IF(N206&gt;=$AO$1/100,"O","X"))</f>
        <v/>
      </c>
      <c r="AP206" s="80" t="str">
        <f>IF(I206="","",IF(I206&lt;=$AP$1,"O","X"))</f>
        <v/>
      </c>
      <c r="AQ206" s="80" t="str">
        <f>IF(O206="","",IF(O206&lt;=$AQ$1,"O","X"))</f>
        <v>O</v>
      </c>
      <c r="AR206" s="80" t="str">
        <f>IF(M206="","",IF(M206&lt;=$AR$1,"O","X"))</f>
        <v>O</v>
      </c>
      <c r="AS206" s="80" t="s">
        <v>2</v>
      </c>
      <c r="AT206" s="80" t="str">
        <f>IF(OR(F206="",AI206=""),"",IF(AND((F206&lt;=85),(AI206&gt;=15)),"O","X"))</f>
        <v>O</v>
      </c>
      <c r="AU206" s="80" t="str">
        <f>IF(C206="","",IF(C206&gt;=$AU$1,"O","X"))</f>
        <v>O</v>
      </c>
      <c r="AV206" s="80" t="str">
        <f>IF(AO206="","",IF(AND(AO206="O",AP206="O",AR206="O",AT206="O",AU206="O"),"후보","X"))</f>
        <v/>
      </c>
    </row>
    <row r="207" spans="1:48" s="37" customFormat="1" ht="12" x14ac:dyDescent="0.3">
      <c r="A207" s="75" t="s">
        <v>1492</v>
      </c>
      <c r="B207" s="76" t="s">
        <v>1493</v>
      </c>
      <c r="C207" s="86">
        <v>358</v>
      </c>
      <c r="D207" s="87">
        <v>103</v>
      </c>
      <c r="E207" s="88">
        <v>31</v>
      </c>
      <c r="F207" s="87">
        <v>84.6</v>
      </c>
      <c r="G207" s="17">
        <v>26</v>
      </c>
      <c r="H207" s="89">
        <v>208</v>
      </c>
      <c r="I207" s="90"/>
      <c r="J207" s="90"/>
      <c r="K207" s="90"/>
      <c r="L207" s="90"/>
      <c r="M207" s="91">
        <f>I207-K207</f>
        <v>0</v>
      </c>
      <c r="N207" s="4" t="str">
        <f>IF(ISERROR(K207/I207),"",K207/I207)</f>
        <v/>
      </c>
      <c r="O207" s="92">
        <f>I207/E207</f>
        <v>0</v>
      </c>
      <c r="P207" s="92">
        <f>K207/E207</f>
        <v>0</v>
      </c>
      <c r="Q207" s="80">
        <v>3</v>
      </c>
      <c r="R207" s="80">
        <v>2</v>
      </c>
      <c r="S207" s="80" t="s">
        <v>61</v>
      </c>
      <c r="T207" s="5">
        <v>102</v>
      </c>
      <c r="U207" s="9"/>
      <c r="W207" s="87">
        <f>D207</f>
        <v>103</v>
      </c>
      <c r="X207" s="88">
        <f>E207</f>
        <v>31</v>
      </c>
      <c r="Y207" s="93">
        <f>H207</f>
        <v>208</v>
      </c>
      <c r="Z207" s="91">
        <f>I207</f>
        <v>0</v>
      </c>
      <c r="AA207" s="91">
        <f>K207</f>
        <v>0</v>
      </c>
      <c r="AB207" s="91">
        <f t="shared" si="154"/>
        <v>0</v>
      </c>
      <c r="AC207" s="4" t="str">
        <f t="shared" si="154"/>
        <v/>
      </c>
      <c r="AD207" s="92">
        <f t="shared" si="154"/>
        <v>0</v>
      </c>
      <c r="AE207" s="80" t="str">
        <f>S207</f>
        <v>계</v>
      </c>
      <c r="AF207" s="80" t="str">
        <f>Q207&amp;"/"&amp;R207</f>
        <v>3/2</v>
      </c>
      <c r="AH207" s="20" t="str">
        <f t="shared" si="153"/>
        <v>사정동 금호타운2단지</v>
      </c>
      <c r="AI207" s="88">
        <f t="shared" si="152"/>
        <v>31</v>
      </c>
      <c r="AJ207" s="80" t="str">
        <f>IF(AI207="","",$AJ$2)</f>
        <v>A-</v>
      </c>
      <c r="AK207" s="80" t="s">
        <v>14</v>
      </c>
      <c r="AL207" s="80" t="s">
        <v>63</v>
      </c>
      <c r="AM207" s="80" t="s">
        <v>64</v>
      </c>
      <c r="AN207" s="80" t="str">
        <f>IF(AI207="","",$AN$2)</f>
        <v>C</v>
      </c>
      <c r="AO207" s="80" t="str">
        <f>IF(N207="","",IF(N207&gt;=$AO$1/100,"O","X"))</f>
        <v/>
      </c>
      <c r="AP207" s="80" t="str">
        <f>IF(I207="","",IF(I207&lt;=$AP$1,"O","X"))</f>
        <v/>
      </c>
      <c r="AQ207" s="80" t="str">
        <f>IF(O207="","",IF(O207&lt;=$AQ$1,"O","X"))</f>
        <v>O</v>
      </c>
      <c r="AR207" s="80" t="str">
        <f>IF(M207="","",IF(M207&lt;=$AR$1,"O","X"))</f>
        <v>O</v>
      </c>
      <c r="AS207" s="80" t="s">
        <v>2</v>
      </c>
      <c r="AT207" s="80" t="str">
        <f>IF(OR(F207="",AI207=""),"",IF(AND((F207&lt;=85),(AI207&gt;=15)),"O","X"))</f>
        <v>O</v>
      </c>
      <c r="AU207" s="80" t="str">
        <f>IF(C207="","",IF(C207&gt;=$AU$1,"O","X"))</f>
        <v>O</v>
      </c>
      <c r="AV207" s="80" t="str">
        <f>IF(AO207="","",IF(AND(AO207="O",AP207="O",AR207="O",AT207="O",AU207="O"),"후보","X"))</f>
        <v/>
      </c>
    </row>
    <row r="208" spans="1:48" s="37" customFormat="1" ht="12" x14ac:dyDescent="0.3">
      <c r="A208" s="75" t="s">
        <v>1494</v>
      </c>
      <c r="B208" s="76" t="s">
        <v>1495</v>
      </c>
      <c r="C208" s="86">
        <v>342</v>
      </c>
      <c r="D208" s="87">
        <v>89.4</v>
      </c>
      <c r="E208" s="88">
        <v>27</v>
      </c>
      <c r="F208" s="87">
        <v>73.099999999999994</v>
      </c>
      <c r="G208" s="17">
        <v>22</v>
      </c>
      <c r="H208" s="89">
        <v>138</v>
      </c>
      <c r="I208" s="90"/>
      <c r="J208" s="90"/>
      <c r="K208" s="90"/>
      <c r="L208" s="90"/>
      <c r="M208" s="91">
        <f>I208-K208</f>
        <v>0</v>
      </c>
      <c r="N208" s="4" t="str">
        <f>IF(ISERROR(K208/I208),"",K208/I208)</f>
        <v/>
      </c>
      <c r="O208" s="92">
        <f>I208/E208</f>
        <v>0</v>
      </c>
      <c r="P208" s="92">
        <f>K208/E208</f>
        <v>0</v>
      </c>
      <c r="Q208" s="80">
        <v>3</v>
      </c>
      <c r="R208" s="80">
        <v>2</v>
      </c>
      <c r="S208" s="80" t="s">
        <v>61</v>
      </c>
      <c r="T208" s="5">
        <v>89</v>
      </c>
      <c r="U208" s="9"/>
      <c r="W208" s="87">
        <f>D208</f>
        <v>89.4</v>
      </c>
      <c r="X208" s="88">
        <f>E208</f>
        <v>27</v>
      </c>
      <c r="Y208" s="93">
        <f>H208</f>
        <v>138</v>
      </c>
      <c r="Z208" s="91">
        <f>I208</f>
        <v>0</v>
      </c>
      <c r="AA208" s="91">
        <f>K208</f>
        <v>0</v>
      </c>
      <c r="AB208" s="91">
        <f t="shared" si="154"/>
        <v>0</v>
      </c>
      <c r="AC208" s="4" t="str">
        <f t="shared" si="154"/>
        <v/>
      </c>
      <c r="AD208" s="92">
        <f t="shared" si="154"/>
        <v>0</v>
      </c>
      <c r="AE208" s="80" t="str">
        <f>S208</f>
        <v>계</v>
      </c>
      <c r="AF208" s="80" t="str">
        <f>Q208&amp;"/"&amp;R208</f>
        <v>3/2</v>
      </c>
      <c r="AH208" s="20" t="str">
        <f t="shared" si="153"/>
        <v>사정동 금호타운1단지</v>
      </c>
      <c r="AI208" s="88">
        <f t="shared" si="152"/>
        <v>27</v>
      </c>
      <c r="AJ208" s="80" t="str">
        <f>IF(AI208="","",$AJ$2)</f>
        <v>A-</v>
      </c>
      <c r="AK208" s="80" t="s">
        <v>14</v>
      </c>
      <c r="AL208" s="80" t="s">
        <v>63</v>
      </c>
      <c r="AM208" s="80" t="s">
        <v>64</v>
      </c>
      <c r="AN208" s="80" t="str">
        <f>IF(AI208="","",$AN$2)</f>
        <v>C</v>
      </c>
      <c r="AO208" s="80" t="str">
        <f>IF(N208="","",IF(N208&gt;=$AO$1/100,"O","X"))</f>
        <v/>
      </c>
      <c r="AP208" s="80" t="str">
        <f>IF(I208="","",IF(I208&lt;=$AP$1,"O","X"))</f>
        <v/>
      </c>
      <c r="AQ208" s="80" t="str">
        <f>IF(O208="","",IF(O208&lt;=$AQ$1,"O","X"))</f>
        <v>O</v>
      </c>
      <c r="AR208" s="80" t="str">
        <f>IF(M208="","",IF(M208&lt;=$AR$1,"O","X"))</f>
        <v>O</v>
      </c>
      <c r="AS208" s="80" t="s">
        <v>2</v>
      </c>
      <c r="AT208" s="80" t="str">
        <f>IF(OR(F208="",AI208=""),"",IF(AND((F208&lt;=85),(AI208&gt;=15)),"O","X"))</f>
        <v>O</v>
      </c>
      <c r="AU208" s="80" t="str">
        <f>IF(C208="","",IF(C208&gt;=$AU$1,"O","X"))</f>
        <v>O</v>
      </c>
      <c r="AV208" s="80" t="str">
        <f>IF(AO208="","",IF(AND(AO208="O",AP208="O",AR208="O",AT208="O",AU208="O"),"후보","X"))</f>
        <v/>
      </c>
    </row>
    <row r="209" spans="1:48" s="37" customFormat="1" ht="12" x14ac:dyDescent="0.3">
      <c r="A209" s="75" t="s">
        <v>1494</v>
      </c>
      <c r="B209" s="76" t="s">
        <v>1495</v>
      </c>
      <c r="C209" s="86">
        <v>342</v>
      </c>
      <c r="D209" s="87">
        <v>102</v>
      </c>
      <c r="E209" s="88">
        <v>31</v>
      </c>
      <c r="F209" s="87">
        <v>84.8</v>
      </c>
      <c r="G209" s="17">
        <v>26</v>
      </c>
      <c r="H209" s="89">
        <v>204</v>
      </c>
      <c r="I209" s="90"/>
      <c r="J209" s="90"/>
      <c r="K209" s="90"/>
      <c r="L209" s="90"/>
      <c r="M209" s="91">
        <f>I209-K209</f>
        <v>0</v>
      </c>
      <c r="N209" s="4" t="str">
        <f>IF(ISERROR(K209/I209),"",K209/I209)</f>
        <v/>
      </c>
      <c r="O209" s="92">
        <f>I209/E209</f>
        <v>0</v>
      </c>
      <c r="P209" s="92">
        <f>K209/E209</f>
        <v>0</v>
      </c>
      <c r="Q209" s="80">
        <v>3</v>
      </c>
      <c r="R209" s="80">
        <v>2</v>
      </c>
      <c r="S209" s="80" t="s">
        <v>61</v>
      </c>
      <c r="T209" s="5">
        <v>102</v>
      </c>
      <c r="U209" s="9"/>
      <c r="W209" s="87">
        <f>D209</f>
        <v>102</v>
      </c>
      <c r="X209" s="88">
        <f>E209</f>
        <v>31</v>
      </c>
      <c r="Y209" s="93">
        <f>H209</f>
        <v>204</v>
      </c>
      <c r="Z209" s="91">
        <f>I209</f>
        <v>0</v>
      </c>
      <c r="AA209" s="91">
        <f>K209</f>
        <v>0</v>
      </c>
      <c r="AB209" s="91">
        <f t="shared" si="154"/>
        <v>0</v>
      </c>
      <c r="AC209" s="4" t="str">
        <f t="shared" si="154"/>
        <v/>
      </c>
      <c r="AD209" s="92">
        <f t="shared" si="154"/>
        <v>0</v>
      </c>
      <c r="AE209" s="80" t="str">
        <f>S209</f>
        <v>계</v>
      </c>
      <c r="AF209" s="80" t="str">
        <f>Q209&amp;"/"&amp;R209</f>
        <v>3/2</v>
      </c>
      <c r="AH209" s="20" t="str">
        <f t="shared" si="153"/>
        <v>사정동 금호타운1단지</v>
      </c>
      <c r="AI209" s="88">
        <f t="shared" si="152"/>
        <v>31</v>
      </c>
      <c r="AJ209" s="80" t="str">
        <f>IF(AI209="","",$AJ$2)</f>
        <v>A-</v>
      </c>
      <c r="AK209" s="80" t="s">
        <v>14</v>
      </c>
      <c r="AL209" s="80" t="s">
        <v>63</v>
      </c>
      <c r="AM209" s="80" t="s">
        <v>64</v>
      </c>
      <c r="AN209" s="80" t="str">
        <f>IF(AI209="","",$AN$2)</f>
        <v>C</v>
      </c>
      <c r="AO209" s="80" t="str">
        <f>IF(N209="","",IF(N209&gt;=$AO$1/100,"O","X"))</f>
        <v/>
      </c>
      <c r="AP209" s="80" t="str">
        <f>IF(I209="","",IF(I209&lt;=$AP$1,"O","X"))</f>
        <v/>
      </c>
      <c r="AQ209" s="80" t="str">
        <f>IF(O209="","",IF(O209&lt;=$AQ$1,"O","X"))</f>
        <v>O</v>
      </c>
      <c r="AR209" s="80" t="str">
        <f>IF(M209="","",IF(M209&lt;=$AR$1,"O","X"))</f>
        <v>O</v>
      </c>
      <c r="AS209" s="80" t="s">
        <v>2</v>
      </c>
      <c r="AT209" s="80" t="str">
        <f>IF(OR(F209="",AI209=""),"",IF(AND((F209&lt;=85),(AI209&gt;=15)),"O","X"))</f>
        <v>O</v>
      </c>
      <c r="AU209" s="80" t="str">
        <f>IF(C209="","",IF(C209&gt;=$AU$1,"O","X"))</f>
        <v>O</v>
      </c>
      <c r="AV209" s="80" t="str">
        <f>IF(AO209="","",IF(AND(AO209="O",AP209="O",AR209="O",AT209="O",AU209="O"),"후보","X"))</f>
        <v/>
      </c>
    </row>
    <row r="210" spans="1:48" s="37" customFormat="1" ht="12" x14ac:dyDescent="0.3">
      <c r="A210" s="75" t="s">
        <v>1496</v>
      </c>
      <c r="B210" s="76" t="s">
        <v>1497</v>
      </c>
      <c r="C210" s="86">
        <v>280</v>
      </c>
      <c r="D210" s="87">
        <v>43.9</v>
      </c>
      <c r="E210" s="88">
        <v>13</v>
      </c>
      <c r="F210" s="87">
        <v>34.4</v>
      </c>
      <c r="G210" s="17">
        <v>10</v>
      </c>
      <c r="H210" s="89">
        <v>40</v>
      </c>
      <c r="I210" s="90"/>
      <c r="J210" s="90"/>
      <c r="K210" s="90"/>
      <c r="L210" s="90"/>
      <c r="M210" s="91">
        <f>I210-K210</f>
        <v>0</v>
      </c>
      <c r="N210" s="4" t="str">
        <f>IF(ISERROR(K210/I210),"",K210/I210)</f>
        <v/>
      </c>
      <c r="O210" s="92">
        <f>I210/E210</f>
        <v>0</v>
      </c>
      <c r="P210" s="92">
        <f>K210/E210</f>
        <v>0</v>
      </c>
      <c r="Q210" s="80">
        <v>2</v>
      </c>
      <c r="R210" s="80">
        <v>1</v>
      </c>
      <c r="S210" s="80" t="s">
        <v>61</v>
      </c>
      <c r="T210" s="5" t="s">
        <v>813</v>
      </c>
      <c r="U210" s="9"/>
      <c r="W210" s="87">
        <f t="shared" ref="W210:X213" si="157">D210</f>
        <v>43.9</v>
      </c>
      <c r="X210" s="88">
        <f t="shared" si="157"/>
        <v>13</v>
      </c>
      <c r="Y210" s="93">
        <f t="shared" ref="Y210:Z213" si="158">H210</f>
        <v>40</v>
      </c>
      <c r="Z210" s="91">
        <f t="shared" si="158"/>
        <v>0</v>
      </c>
      <c r="AA210" s="91">
        <f>K210</f>
        <v>0</v>
      </c>
      <c r="AB210" s="91">
        <f t="shared" si="154"/>
        <v>0</v>
      </c>
      <c r="AC210" s="4" t="str">
        <f t="shared" si="154"/>
        <v/>
      </c>
      <c r="AD210" s="92">
        <f t="shared" si="154"/>
        <v>0</v>
      </c>
      <c r="AE210" s="80" t="str">
        <f>S210</f>
        <v>계</v>
      </c>
      <c r="AF210" s="80" t="str">
        <f>Q210&amp;"/"&amp;R210</f>
        <v>2/1</v>
      </c>
      <c r="AH210" s="20" t="str">
        <f t="shared" si="153"/>
        <v>산북동 시영1단지</v>
      </c>
      <c r="AI210" s="88">
        <f t="shared" si="152"/>
        <v>13</v>
      </c>
      <c r="AJ210" s="80" t="str">
        <f>IF(AI210="","",$AJ$2)</f>
        <v>A-</v>
      </c>
      <c r="AK210" s="80" t="s">
        <v>14</v>
      </c>
      <c r="AL210" s="80" t="s">
        <v>63</v>
      </c>
      <c r="AM210" s="80" t="s">
        <v>64</v>
      </c>
      <c r="AN210" s="80" t="str">
        <f>IF(AI210="","",$AN$2)</f>
        <v>C</v>
      </c>
      <c r="AO210" s="80" t="str">
        <f>IF(N210="","",IF(N210&gt;=$AO$1/100,"O","X"))</f>
        <v/>
      </c>
      <c r="AP210" s="80" t="str">
        <f>IF(I210="","",IF(I210&lt;=$AP$1,"O","X"))</f>
        <v/>
      </c>
      <c r="AQ210" s="80" t="str">
        <f>IF(O210="","",IF(O210&lt;=$AQ$1,"O","X"))</f>
        <v>O</v>
      </c>
      <c r="AR210" s="80" t="str">
        <f>IF(M210="","",IF(M210&lt;=$AR$1,"O","X"))</f>
        <v>O</v>
      </c>
      <c r="AS210" s="80" t="s">
        <v>2</v>
      </c>
      <c r="AT210" s="80" t="str">
        <f>IF(OR(F210="",AI210=""),"",IF(AND((F210&lt;=85),(AI210&gt;=15)),"O","X"))</f>
        <v>X</v>
      </c>
      <c r="AU210" s="80" t="str">
        <f>IF(C210="","",IF(C210&gt;=$AU$1,"O","X"))</f>
        <v>X</v>
      </c>
      <c r="AV210" s="80" t="str">
        <f>IF(AO210="","",IF(AND(AO210="O",AP210="O",AR210="O",AT210="O",AU210="O"),"후보","X"))</f>
        <v/>
      </c>
    </row>
    <row r="211" spans="1:48" s="37" customFormat="1" ht="12" x14ac:dyDescent="0.3">
      <c r="A211" s="75" t="s">
        <v>1496</v>
      </c>
      <c r="B211" s="76" t="s">
        <v>1497</v>
      </c>
      <c r="C211" s="86">
        <v>280</v>
      </c>
      <c r="D211" s="87">
        <v>44.1</v>
      </c>
      <c r="E211" s="88">
        <v>13</v>
      </c>
      <c r="F211" s="87">
        <v>34.700000000000003</v>
      </c>
      <c r="G211" s="17">
        <v>10</v>
      </c>
      <c r="H211" s="89">
        <v>40</v>
      </c>
      <c r="I211" s="90"/>
      <c r="J211" s="90"/>
      <c r="K211" s="90"/>
      <c r="L211" s="90"/>
      <c r="M211" s="91">
        <f>I211-K211</f>
        <v>0</v>
      </c>
      <c r="N211" s="4" t="str">
        <f>IF(ISERROR(K211/I211),"",K211/I211)</f>
        <v/>
      </c>
      <c r="O211" s="92">
        <f>I211/E211</f>
        <v>0</v>
      </c>
      <c r="P211" s="92">
        <f>K211/E211</f>
        <v>0</v>
      </c>
      <c r="Q211" s="80">
        <v>2</v>
      </c>
      <c r="R211" s="80">
        <v>1</v>
      </c>
      <c r="S211" s="80" t="s">
        <v>61</v>
      </c>
      <c r="T211" s="5" t="s">
        <v>145</v>
      </c>
      <c r="U211" s="9"/>
      <c r="W211" s="87">
        <f t="shared" si="157"/>
        <v>44.1</v>
      </c>
      <c r="X211" s="88">
        <f t="shared" si="157"/>
        <v>13</v>
      </c>
      <c r="Y211" s="93">
        <f t="shared" si="158"/>
        <v>40</v>
      </c>
      <c r="Z211" s="91">
        <f t="shared" si="158"/>
        <v>0</v>
      </c>
      <c r="AA211" s="91">
        <f>K211</f>
        <v>0</v>
      </c>
      <c r="AB211" s="91">
        <f t="shared" si="154"/>
        <v>0</v>
      </c>
      <c r="AC211" s="4" t="str">
        <f t="shared" si="154"/>
        <v/>
      </c>
      <c r="AD211" s="92">
        <f t="shared" si="154"/>
        <v>0</v>
      </c>
      <c r="AE211" s="80" t="str">
        <f>S211</f>
        <v>계</v>
      </c>
      <c r="AF211" s="80" t="str">
        <f>Q211&amp;"/"&amp;R211</f>
        <v>2/1</v>
      </c>
      <c r="AH211" s="20" t="str">
        <f t="shared" si="153"/>
        <v>산북동 시영1단지</v>
      </c>
      <c r="AI211" s="88">
        <f t="shared" si="152"/>
        <v>13</v>
      </c>
      <c r="AJ211" s="80" t="str">
        <f>IF(AI211="","",$AJ$2)</f>
        <v>A-</v>
      </c>
      <c r="AK211" s="80" t="s">
        <v>14</v>
      </c>
      <c r="AL211" s="80" t="s">
        <v>63</v>
      </c>
      <c r="AM211" s="80" t="s">
        <v>64</v>
      </c>
      <c r="AN211" s="80" t="str">
        <f>IF(AI211="","",$AN$2)</f>
        <v>C</v>
      </c>
      <c r="AO211" s="80" t="str">
        <f>IF(N211="","",IF(N211&gt;=$AO$1/100,"O","X"))</f>
        <v/>
      </c>
      <c r="AP211" s="80" t="str">
        <f>IF(I211="","",IF(I211&lt;=$AP$1,"O","X"))</f>
        <v/>
      </c>
      <c r="AQ211" s="80" t="str">
        <f>IF(O211="","",IF(O211&lt;=$AQ$1,"O","X"))</f>
        <v>O</v>
      </c>
      <c r="AR211" s="80" t="str">
        <f>IF(M211="","",IF(M211&lt;=$AR$1,"O","X"))</f>
        <v>O</v>
      </c>
      <c r="AS211" s="80" t="s">
        <v>2</v>
      </c>
      <c r="AT211" s="80" t="str">
        <f>IF(OR(F211="",AI211=""),"",IF(AND((F211&lt;=85),(AI211&gt;=15)),"O","X"))</f>
        <v>X</v>
      </c>
      <c r="AU211" s="80" t="str">
        <f>IF(C211="","",IF(C211&gt;=$AU$1,"O","X"))</f>
        <v>X</v>
      </c>
      <c r="AV211" s="80" t="str">
        <f>IF(AO211="","",IF(AND(AO211="O",AP211="O",AR211="O",AT211="O",AU211="O"),"후보","X"))</f>
        <v/>
      </c>
    </row>
    <row r="212" spans="1:48" s="37" customFormat="1" ht="12" x14ac:dyDescent="0.3">
      <c r="A212" s="75" t="s">
        <v>1706</v>
      </c>
      <c r="B212" s="76" t="s">
        <v>1707</v>
      </c>
      <c r="C212" s="86">
        <v>280</v>
      </c>
      <c r="D212" s="87">
        <v>53.4</v>
      </c>
      <c r="E212" s="88">
        <v>16</v>
      </c>
      <c r="F212" s="87">
        <v>43.5</v>
      </c>
      <c r="G212" s="17">
        <v>13</v>
      </c>
      <c r="H212" s="89">
        <v>150</v>
      </c>
      <c r="I212" s="90"/>
      <c r="J212" s="90"/>
      <c r="K212" s="90"/>
      <c r="L212" s="90"/>
      <c r="M212" s="91">
        <f>I212-K212</f>
        <v>0</v>
      </c>
      <c r="N212" s="4" t="str">
        <f>IF(ISERROR(K212/I212),"",K212/I212)</f>
        <v/>
      </c>
      <c r="O212" s="92">
        <f>I212/E212</f>
        <v>0</v>
      </c>
      <c r="P212" s="92">
        <f>K212/E212</f>
        <v>0</v>
      </c>
      <c r="Q212" s="80">
        <v>3</v>
      </c>
      <c r="R212" s="80">
        <v>1</v>
      </c>
      <c r="S212" s="80" t="s">
        <v>61</v>
      </c>
      <c r="T212" s="5" t="s">
        <v>129</v>
      </c>
      <c r="U212" s="9"/>
      <c r="W212" s="87">
        <f t="shared" si="157"/>
        <v>53.4</v>
      </c>
      <c r="X212" s="88">
        <f t="shared" si="157"/>
        <v>16</v>
      </c>
      <c r="Y212" s="93">
        <f t="shared" si="158"/>
        <v>150</v>
      </c>
      <c r="Z212" s="91">
        <f t="shared" si="158"/>
        <v>0</v>
      </c>
      <c r="AA212" s="91">
        <f>K212</f>
        <v>0</v>
      </c>
      <c r="AB212" s="91">
        <f t="shared" si="154"/>
        <v>0</v>
      </c>
      <c r="AC212" s="4" t="str">
        <f t="shared" si="154"/>
        <v/>
      </c>
      <c r="AD212" s="92">
        <f t="shared" si="154"/>
        <v>0</v>
      </c>
      <c r="AE212" s="80" t="str">
        <f>S212</f>
        <v>계</v>
      </c>
      <c r="AF212" s="80" t="str">
        <f>Q212&amp;"/"&amp;R212</f>
        <v>3/1</v>
      </c>
      <c r="AH212" s="20" t="str">
        <f t="shared" si="153"/>
        <v>산북동 시영1단지</v>
      </c>
      <c r="AI212" s="88">
        <f t="shared" si="152"/>
        <v>16</v>
      </c>
      <c r="AJ212" s="80" t="str">
        <f>IF(AI212="","",$AJ$2)</f>
        <v>A-</v>
      </c>
      <c r="AK212" s="80" t="s">
        <v>14</v>
      </c>
      <c r="AL212" s="80" t="s">
        <v>63</v>
      </c>
      <c r="AM212" s="80" t="s">
        <v>64</v>
      </c>
      <c r="AN212" s="80" t="str">
        <f>IF(AI212="","",$AN$2)</f>
        <v>C</v>
      </c>
      <c r="AO212" s="80" t="str">
        <f>IF(N212="","",IF(N212&gt;=$AO$1/100,"O","X"))</f>
        <v/>
      </c>
      <c r="AP212" s="80" t="str">
        <f>IF(I212="","",IF(I212&lt;=$AP$1,"O","X"))</f>
        <v/>
      </c>
      <c r="AQ212" s="80" t="str">
        <f>IF(O212="","",IF(O212&lt;=$AQ$1,"O","X"))</f>
        <v>O</v>
      </c>
      <c r="AR212" s="80" t="str">
        <f>IF(M212="","",IF(M212&lt;=$AR$1,"O","X"))</f>
        <v>O</v>
      </c>
      <c r="AS212" s="80" t="s">
        <v>2</v>
      </c>
      <c r="AT212" s="80" t="str">
        <f>IF(OR(F212="",AI212=""),"",IF(AND((F212&lt;=85),(AI212&gt;=15)),"O","X"))</f>
        <v>O</v>
      </c>
      <c r="AU212" s="80" t="str">
        <f>IF(C212="","",IF(C212&gt;=$AU$1,"O","X"))</f>
        <v>X</v>
      </c>
      <c r="AV212" s="80" t="str">
        <f>IF(AO212="","",IF(AND(AO212="O",AP212="O",AR212="O",AT212="O",AU212="O"),"후보","X"))</f>
        <v/>
      </c>
    </row>
    <row r="213" spans="1:48" s="37" customFormat="1" ht="12" x14ac:dyDescent="0.3">
      <c r="A213" s="75" t="s">
        <v>1496</v>
      </c>
      <c r="B213" s="76" t="s">
        <v>1497</v>
      </c>
      <c r="C213" s="86">
        <v>280</v>
      </c>
      <c r="D213" s="87">
        <v>54</v>
      </c>
      <c r="E213" s="88">
        <v>16</v>
      </c>
      <c r="F213" s="87">
        <v>44.1</v>
      </c>
      <c r="G213" s="17">
        <v>13</v>
      </c>
      <c r="H213" s="89">
        <v>50</v>
      </c>
      <c r="I213" s="90"/>
      <c r="J213" s="90"/>
      <c r="K213" s="90"/>
      <c r="L213" s="90"/>
      <c r="M213" s="91">
        <f>I213-K213</f>
        <v>0</v>
      </c>
      <c r="N213" s="4" t="str">
        <f>IF(ISERROR(K213/I213),"",K213/I213)</f>
        <v/>
      </c>
      <c r="O213" s="92">
        <f>I213/E213</f>
        <v>0</v>
      </c>
      <c r="P213" s="92">
        <f>K213/E213</f>
        <v>0</v>
      </c>
      <c r="Q213" s="80">
        <v>3</v>
      </c>
      <c r="R213" s="80">
        <v>1</v>
      </c>
      <c r="S213" s="80" t="s">
        <v>61</v>
      </c>
      <c r="T213" s="5" t="s">
        <v>128</v>
      </c>
      <c r="U213" s="9"/>
      <c r="W213" s="87">
        <f t="shared" si="157"/>
        <v>54</v>
      </c>
      <c r="X213" s="88">
        <f t="shared" si="157"/>
        <v>16</v>
      </c>
      <c r="Y213" s="93">
        <f t="shared" si="158"/>
        <v>50</v>
      </c>
      <c r="Z213" s="91">
        <f t="shared" si="158"/>
        <v>0</v>
      </c>
      <c r="AA213" s="91">
        <f>K213</f>
        <v>0</v>
      </c>
      <c r="AB213" s="91">
        <f t="shared" si="154"/>
        <v>0</v>
      </c>
      <c r="AC213" s="4" t="str">
        <f t="shared" si="154"/>
        <v/>
      </c>
      <c r="AD213" s="92">
        <f t="shared" si="154"/>
        <v>0</v>
      </c>
      <c r="AE213" s="80" t="str">
        <f>S213</f>
        <v>계</v>
      </c>
      <c r="AF213" s="80" t="str">
        <f>Q213&amp;"/"&amp;R213</f>
        <v>3/1</v>
      </c>
      <c r="AH213" s="20" t="str">
        <f t="shared" si="153"/>
        <v>산북동 시영1단지</v>
      </c>
      <c r="AI213" s="88">
        <f t="shared" si="152"/>
        <v>16</v>
      </c>
      <c r="AJ213" s="80" t="str">
        <f>IF(AI213="","",$AJ$2)</f>
        <v>A-</v>
      </c>
      <c r="AK213" s="80" t="s">
        <v>14</v>
      </c>
      <c r="AL213" s="80" t="s">
        <v>63</v>
      </c>
      <c r="AM213" s="80" t="s">
        <v>64</v>
      </c>
      <c r="AN213" s="80" t="str">
        <f>IF(AI213="","",$AN$2)</f>
        <v>C</v>
      </c>
      <c r="AO213" s="80" t="str">
        <f>IF(N213="","",IF(N213&gt;=$AO$1/100,"O","X"))</f>
        <v/>
      </c>
      <c r="AP213" s="80" t="str">
        <f>IF(I213="","",IF(I213&lt;=$AP$1,"O","X"))</f>
        <v/>
      </c>
      <c r="AQ213" s="80" t="str">
        <f>IF(O213="","",IF(O213&lt;=$AQ$1,"O","X"))</f>
        <v>O</v>
      </c>
      <c r="AR213" s="80" t="str">
        <f>IF(M213="","",IF(M213&lt;=$AR$1,"O","X"))</f>
        <v>O</v>
      </c>
      <c r="AS213" s="80" t="s">
        <v>2</v>
      </c>
      <c r="AT213" s="80" t="str">
        <f>IF(OR(F213="",AI213=""),"",IF(AND((F213&lt;=85),(AI213&gt;=15)),"O","X"))</f>
        <v>O</v>
      </c>
      <c r="AU213" s="80" t="str">
        <f>IF(C213="","",IF(C213&gt;=$AU$1,"O","X"))</f>
        <v>X</v>
      </c>
      <c r="AV213" s="80" t="str">
        <f>IF(AO213="","",IF(AND(AO213="O",AP213="O",AR213="O",AT213="O",AU213="O"),"후보","X"))</f>
        <v/>
      </c>
    </row>
    <row r="214" spans="1:48" s="37" customFormat="1" ht="12" x14ac:dyDescent="0.3">
      <c r="A214" s="75" t="s">
        <v>1498</v>
      </c>
      <c r="B214" s="76" t="s">
        <v>1708</v>
      </c>
      <c r="C214" s="86">
        <v>225</v>
      </c>
      <c r="D214" s="87">
        <v>56.1</v>
      </c>
      <c r="E214" s="88">
        <v>17</v>
      </c>
      <c r="F214" s="87">
        <v>40</v>
      </c>
      <c r="G214" s="17">
        <v>12</v>
      </c>
      <c r="H214" s="89">
        <v>225</v>
      </c>
      <c r="I214" s="90"/>
      <c r="J214" s="90"/>
      <c r="K214" s="90"/>
      <c r="L214" s="90"/>
      <c r="M214" s="91">
        <f>I214-K214</f>
        <v>0</v>
      </c>
      <c r="N214" s="4" t="str">
        <f>IF(ISERROR(K214/I214),"",K214/I214)</f>
        <v/>
      </c>
      <c r="O214" s="92">
        <f>I214/E214</f>
        <v>0</v>
      </c>
      <c r="P214" s="92">
        <f>K214/E214</f>
        <v>0</v>
      </c>
      <c r="Q214" s="80">
        <v>2</v>
      </c>
      <c r="R214" s="80">
        <v>1</v>
      </c>
      <c r="S214" s="80" t="s">
        <v>76</v>
      </c>
      <c r="T214" s="5">
        <v>56</v>
      </c>
      <c r="U214" s="9"/>
      <c r="W214" s="87">
        <f>D214</f>
        <v>56.1</v>
      </c>
      <c r="X214" s="88">
        <f>E214</f>
        <v>17</v>
      </c>
      <c r="Y214" s="93">
        <f>H214</f>
        <v>225</v>
      </c>
      <c r="Z214" s="91">
        <f>I214</f>
        <v>0</v>
      </c>
      <c r="AA214" s="91">
        <f>K214</f>
        <v>0</v>
      </c>
      <c r="AB214" s="91">
        <f>M214</f>
        <v>0</v>
      </c>
      <c r="AC214" s="4" t="str">
        <f>N214</f>
        <v/>
      </c>
      <c r="AD214" s="92">
        <f>O214</f>
        <v>0</v>
      </c>
      <c r="AE214" s="80" t="str">
        <f>S214</f>
        <v>복</v>
      </c>
      <c r="AF214" s="80" t="str">
        <f>Q214&amp;"/"&amp;R214</f>
        <v>2/1</v>
      </c>
      <c r="AH214" s="20" t="str">
        <f t="shared" si="153"/>
        <v>산북동 산북대명1차</v>
      </c>
      <c r="AI214" s="88">
        <f t="shared" si="152"/>
        <v>17</v>
      </c>
      <c r="AJ214" s="80" t="str">
        <f>IF(AI214="","",$AJ$2)</f>
        <v>A-</v>
      </c>
      <c r="AK214" s="80" t="s">
        <v>14</v>
      </c>
      <c r="AL214" s="80" t="s">
        <v>63</v>
      </c>
      <c r="AM214" s="80" t="s">
        <v>64</v>
      </c>
      <c r="AN214" s="80" t="str">
        <f>IF(AI214="","",$AN$2)</f>
        <v>C</v>
      </c>
      <c r="AO214" s="80" t="str">
        <f>IF(N214="","",IF(N214&gt;=$AO$1/100,"O","X"))</f>
        <v/>
      </c>
      <c r="AP214" s="80" t="str">
        <f>IF(I214="","",IF(I214&lt;=$AP$1,"O","X"))</f>
        <v/>
      </c>
      <c r="AQ214" s="80" t="str">
        <f>IF(O214="","",IF(O214&lt;=$AQ$1,"O","X"))</f>
        <v>O</v>
      </c>
      <c r="AR214" s="80" t="str">
        <f>IF(M214="","",IF(M214&lt;=$AR$1,"O","X"))</f>
        <v>O</v>
      </c>
      <c r="AS214" s="80" t="s">
        <v>2</v>
      </c>
      <c r="AT214" s="80" t="str">
        <f>IF(OR(F214="",AI214=""),"",IF(AND((F214&lt;=85),(AI214&gt;=15)),"O","X"))</f>
        <v>O</v>
      </c>
      <c r="AU214" s="80" t="str">
        <f>IF(C214="","",IF(C214&gt;=$AU$1,"O","X"))</f>
        <v>X</v>
      </c>
      <c r="AV214" s="80" t="str">
        <f>IF(AO214="","",IF(AND(AO214="O",AP214="O",AR214="O",AT214="O",AU214="O"),"후보","X"))</f>
        <v/>
      </c>
    </row>
    <row r="215" spans="1:48" s="37" customFormat="1" ht="12" x14ac:dyDescent="0.3">
      <c r="A215" s="75" t="s">
        <v>1499</v>
      </c>
      <c r="B215" s="76" t="s">
        <v>1500</v>
      </c>
      <c r="C215" s="86">
        <v>200</v>
      </c>
      <c r="D215" s="87">
        <v>44.5</v>
      </c>
      <c r="E215" s="88">
        <v>13</v>
      </c>
      <c r="F215" s="87">
        <v>35.4</v>
      </c>
      <c r="G215" s="17">
        <v>11</v>
      </c>
      <c r="H215" s="89">
        <v>100</v>
      </c>
      <c r="I215" s="90"/>
      <c r="J215" s="90"/>
      <c r="K215" s="90"/>
      <c r="L215" s="90"/>
      <c r="M215" s="91">
        <f>I215-K215</f>
        <v>0</v>
      </c>
      <c r="N215" s="4" t="str">
        <f>IF(ISERROR(K215/I215),"",K215/I215)</f>
        <v/>
      </c>
      <c r="O215" s="92">
        <f>I215/E215</f>
        <v>0</v>
      </c>
      <c r="P215" s="92">
        <f>K215/E215</f>
        <v>0</v>
      </c>
      <c r="Q215" s="80">
        <v>2</v>
      </c>
      <c r="R215" s="80">
        <v>1</v>
      </c>
      <c r="S215" s="80" t="s">
        <v>61</v>
      </c>
      <c r="T215" s="5">
        <v>44</v>
      </c>
      <c r="U215" s="9"/>
      <c r="W215" s="87">
        <f>D215</f>
        <v>44.5</v>
      </c>
      <c r="X215" s="88">
        <f>E215</f>
        <v>13</v>
      </c>
      <c r="Y215" s="93">
        <f>H215</f>
        <v>100</v>
      </c>
      <c r="Z215" s="91">
        <f>I215</f>
        <v>0</v>
      </c>
      <c r="AA215" s="91">
        <f>K215</f>
        <v>0</v>
      </c>
      <c r="AB215" s="91">
        <f t="shared" ref="AB215:AD222" si="159">M215</f>
        <v>0</v>
      </c>
      <c r="AC215" s="4" t="str">
        <f t="shared" si="159"/>
        <v/>
      </c>
      <c r="AD215" s="92">
        <f t="shared" si="159"/>
        <v>0</v>
      </c>
      <c r="AE215" s="80" t="str">
        <f>S215</f>
        <v>계</v>
      </c>
      <c r="AF215" s="80" t="str">
        <f>Q215&amp;"/"&amp;R215</f>
        <v>2/1</v>
      </c>
      <c r="AH215" s="20" t="str">
        <f t="shared" si="153"/>
        <v>산북동 시영2단지</v>
      </c>
      <c r="AI215" s="88">
        <f t="shared" si="152"/>
        <v>13</v>
      </c>
      <c r="AJ215" s="80" t="str">
        <f>IF(AI215="","",$AJ$2)</f>
        <v>A-</v>
      </c>
      <c r="AK215" s="80" t="s">
        <v>14</v>
      </c>
      <c r="AL215" s="80" t="s">
        <v>63</v>
      </c>
      <c r="AM215" s="80" t="s">
        <v>64</v>
      </c>
      <c r="AN215" s="80" t="str">
        <f>IF(AI215="","",$AN$2)</f>
        <v>C</v>
      </c>
      <c r="AO215" s="80" t="str">
        <f>IF(N215="","",IF(N215&gt;=$AO$1/100,"O","X"))</f>
        <v/>
      </c>
      <c r="AP215" s="80" t="str">
        <f>IF(I215="","",IF(I215&lt;=$AP$1,"O","X"))</f>
        <v/>
      </c>
      <c r="AQ215" s="80" t="str">
        <f>IF(O215="","",IF(O215&lt;=$AQ$1,"O","X"))</f>
        <v>O</v>
      </c>
      <c r="AR215" s="80" t="str">
        <f>IF(M215="","",IF(M215&lt;=$AR$1,"O","X"))</f>
        <v>O</v>
      </c>
      <c r="AS215" s="80" t="s">
        <v>2</v>
      </c>
      <c r="AT215" s="80" t="str">
        <f>IF(OR(F215="",AI215=""),"",IF(AND((F215&lt;=85),(AI215&gt;=15)),"O","X"))</f>
        <v>X</v>
      </c>
      <c r="AU215" s="80" t="str">
        <f>IF(C215="","",IF(C215&gt;=$AU$1,"O","X"))</f>
        <v>X</v>
      </c>
      <c r="AV215" s="80" t="str">
        <f>IF(AO215="","",IF(AND(AO215="O",AP215="O",AR215="O",AT215="O",AU215="O"),"후보","X"))</f>
        <v/>
      </c>
    </row>
    <row r="216" spans="1:48" s="37" customFormat="1" ht="12" x14ac:dyDescent="0.3">
      <c r="A216" s="75" t="s">
        <v>1499</v>
      </c>
      <c r="B216" s="76" t="s">
        <v>1500</v>
      </c>
      <c r="C216" s="86">
        <v>200</v>
      </c>
      <c r="D216" s="87">
        <v>59.9</v>
      </c>
      <c r="E216" s="88">
        <v>18</v>
      </c>
      <c r="F216" s="87">
        <v>48.5</v>
      </c>
      <c r="G216" s="17">
        <v>15</v>
      </c>
      <c r="H216" s="89">
        <v>100</v>
      </c>
      <c r="I216" s="90"/>
      <c r="J216" s="90"/>
      <c r="K216" s="90"/>
      <c r="L216" s="90"/>
      <c r="M216" s="91">
        <f>I216-K216</f>
        <v>0</v>
      </c>
      <c r="N216" s="4" t="str">
        <f>IF(ISERROR(K216/I216),"",K216/I216)</f>
        <v/>
      </c>
      <c r="O216" s="92">
        <f>I216/E216</f>
        <v>0</v>
      </c>
      <c r="P216" s="92">
        <f>K216/E216</f>
        <v>0</v>
      </c>
      <c r="Q216" s="80">
        <v>3</v>
      </c>
      <c r="R216" s="80">
        <v>1</v>
      </c>
      <c r="S216" s="80" t="s">
        <v>61</v>
      </c>
      <c r="T216" s="5">
        <v>59</v>
      </c>
      <c r="U216" s="9"/>
      <c r="W216" s="87">
        <f>D216</f>
        <v>59.9</v>
      </c>
      <c r="X216" s="88">
        <f>E216</f>
        <v>18</v>
      </c>
      <c r="Y216" s="93">
        <f>H216</f>
        <v>100</v>
      </c>
      <c r="Z216" s="91">
        <f>I216</f>
        <v>0</v>
      </c>
      <c r="AA216" s="91">
        <f>K216</f>
        <v>0</v>
      </c>
      <c r="AB216" s="91">
        <f t="shared" si="159"/>
        <v>0</v>
      </c>
      <c r="AC216" s="4" t="str">
        <f t="shared" si="159"/>
        <v/>
      </c>
      <c r="AD216" s="92">
        <f t="shared" si="159"/>
        <v>0</v>
      </c>
      <c r="AE216" s="80" t="str">
        <f>S216</f>
        <v>계</v>
      </c>
      <c r="AF216" s="80" t="str">
        <f>Q216&amp;"/"&amp;R216</f>
        <v>3/1</v>
      </c>
      <c r="AH216" s="20" t="str">
        <f t="shared" si="153"/>
        <v>산북동 시영2단지</v>
      </c>
      <c r="AI216" s="88">
        <f t="shared" si="152"/>
        <v>18</v>
      </c>
      <c r="AJ216" s="80" t="str">
        <f>IF(AI216="","",$AJ$2)</f>
        <v>A-</v>
      </c>
      <c r="AK216" s="80" t="s">
        <v>14</v>
      </c>
      <c r="AL216" s="80" t="s">
        <v>63</v>
      </c>
      <c r="AM216" s="80" t="s">
        <v>64</v>
      </c>
      <c r="AN216" s="80" t="str">
        <f>IF(AI216="","",$AN$2)</f>
        <v>C</v>
      </c>
      <c r="AO216" s="80" t="str">
        <f>IF(N216="","",IF(N216&gt;=$AO$1/100,"O","X"))</f>
        <v/>
      </c>
      <c r="AP216" s="80" t="str">
        <f>IF(I216="","",IF(I216&lt;=$AP$1,"O","X"))</f>
        <v/>
      </c>
      <c r="AQ216" s="80" t="str">
        <f>IF(O216="","",IF(O216&lt;=$AQ$1,"O","X"))</f>
        <v>O</v>
      </c>
      <c r="AR216" s="80" t="str">
        <f>IF(M216="","",IF(M216&lt;=$AR$1,"O","X"))</f>
        <v>O</v>
      </c>
      <c r="AS216" s="80" t="s">
        <v>2</v>
      </c>
      <c r="AT216" s="80" t="str">
        <f>IF(OR(F216="",AI216=""),"",IF(AND((F216&lt;=85),(AI216&gt;=15)),"O","X"))</f>
        <v>O</v>
      </c>
      <c r="AU216" s="80" t="str">
        <f>IF(C216="","",IF(C216&gt;=$AU$1,"O","X"))</f>
        <v>X</v>
      </c>
      <c r="AV216" s="80" t="str">
        <f>IF(AO216="","",IF(AND(AO216="O",AP216="O",AR216="O",AT216="O",AU216="O"),"후보","X"))</f>
        <v/>
      </c>
    </row>
    <row r="217" spans="1:48" s="37" customFormat="1" ht="12" x14ac:dyDescent="0.3">
      <c r="A217" s="75" t="s">
        <v>1709</v>
      </c>
      <c r="B217" s="76" t="s">
        <v>1710</v>
      </c>
      <c r="C217" s="86">
        <v>380</v>
      </c>
      <c r="D217" s="87">
        <v>75.900000000000006</v>
      </c>
      <c r="E217" s="88">
        <v>23</v>
      </c>
      <c r="F217" s="87">
        <v>59.4</v>
      </c>
      <c r="G217" s="17">
        <v>18</v>
      </c>
      <c r="H217" s="89">
        <v>254</v>
      </c>
      <c r="I217" s="90">
        <v>8000</v>
      </c>
      <c r="J217" s="90" t="s">
        <v>72</v>
      </c>
      <c r="K217" s="90">
        <v>8000</v>
      </c>
      <c r="L217" s="90" t="s">
        <v>84</v>
      </c>
      <c r="M217" s="91">
        <f>I217-K217</f>
        <v>0</v>
      </c>
      <c r="N217" s="4">
        <f>IF(ISERROR(K217/I217),"",K217/I217)</f>
        <v>1</v>
      </c>
      <c r="O217" s="92">
        <f>I217/E217</f>
        <v>347.82608695652175</v>
      </c>
      <c r="P217" s="92">
        <f>K217/E217</f>
        <v>347.82608695652175</v>
      </c>
      <c r="Q217" s="80">
        <v>3</v>
      </c>
      <c r="R217" s="80">
        <v>1</v>
      </c>
      <c r="S217" s="80" t="s">
        <v>61</v>
      </c>
      <c r="T217" s="5">
        <v>75</v>
      </c>
      <c r="U217" s="9"/>
      <c r="W217" s="87">
        <f>D217</f>
        <v>75.900000000000006</v>
      </c>
      <c r="X217" s="88">
        <f>E217</f>
        <v>23</v>
      </c>
      <c r="Y217" s="93">
        <f>H217</f>
        <v>254</v>
      </c>
      <c r="Z217" s="91">
        <f>I217</f>
        <v>8000</v>
      </c>
      <c r="AA217" s="91">
        <f>K217</f>
        <v>8000</v>
      </c>
      <c r="AB217" s="91">
        <f t="shared" si="159"/>
        <v>0</v>
      </c>
      <c r="AC217" s="4">
        <f t="shared" si="159"/>
        <v>1</v>
      </c>
      <c r="AD217" s="92">
        <f t="shared" si="159"/>
        <v>347.82608695652175</v>
      </c>
      <c r="AE217" s="80" t="str">
        <f>S217</f>
        <v>계</v>
      </c>
      <c r="AF217" s="80" t="str">
        <f>Q217&amp;"/"&amp;R217</f>
        <v>3/1</v>
      </c>
      <c r="AH217" s="20" t="str">
        <f t="shared" si="153"/>
        <v>산북동 코오롱</v>
      </c>
      <c r="AI217" s="88">
        <f t="shared" si="152"/>
        <v>23</v>
      </c>
      <c r="AJ217" s="80" t="str">
        <f>IF(AI217="","",$AJ$2)</f>
        <v>A-</v>
      </c>
      <c r="AK217" s="80" t="s">
        <v>14</v>
      </c>
      <c r="AL217" s="80" t="s">
        <v>63</v>
      </c>
      <c r="AM217" s="80" t="s">
        <v>64</v>
      </c>
      <c r="AN217" s="80" t="str">
        <f>IF(AI217="","",$AN$2)</f>
        <v>C</v>
      </c>
      <c r="AO217" s="80" t="str">
        <f>IF(N217="","",IF(N217&gt;=$AO$1/100,"O","X"))</f>
        <v>O</v>
      </c>
      <c r="AP217" s="80" t="str">
        <f>IF(I217="","",IF(I217&lt;=$AP$1,"O","X"))</f>
        <v>O</v>
      </c>
      <c r="AQ217" s="80" t="str">
        <f>IF(O217="","",IF(O217&lt;=$AQ$1,"O","X"))</f>
        <v>O</v>
      </c>
      <c r="AR217" s="80" t="str">
        <f>IF(M217="","",IF(M217&lt;=$AR$1,"O","X"))</f>
        <v>O</v>
      </c>
      <c r="AS217" s="80" t="s">
        <v>2</v>
      </c>
      <c r="AT217" s="80" t="str">
        <f>IF(OR(F217="",AI217=""),"",IF(AND((F217&lt;=85),(AI217&gt;=15)),"O","X"))</f>
        <v>O</v>
      </c>
      <c r="AU217" s="80" t="str">
        <f>IF(C217="","",IF(C217&gt;=$AU$1,"O","X"))</f>
        <v>O</v>
      </c>
      <c r="AV217" s="80" t="str">
        <f>IF(AO217="","",IF(AND(AO217="O",AP217="O",AR217="O",AT217="O",AU217="O"),"후보","X"))</f>
        <v>후보</v>
      </c>
    </row>
    <row r="218" spans="1:48" s="37" customFormat="1" ht="12" x14ac:dyDescent="0.3">
      <c r="A218" s="75" t="s">
        <v>1709</v>
      </c>
      <c r="B218" s="76" t="s">
        <v>1502</v>
      </c>
      <c r="C218" s="86">
        <v>380</v>
      </c>
      <c r="D218" s="87">
        <v>102.9</v>
      </c>
      <c r="E218" s="88">
        <v>31</v>
      </c>
      <c r="F218" s="87">
        <v>84.5</v>
      </c>
      <c r="G218" s="17">
        <v>26</v>
      </c>
      <c r="H218" s="89">
        <v>126</v>
      </c>
      <c r="I218" s="90"/>
      <c r="J218" s="90"/>
      <c r="K218" s="90"/>
      <c r="L218" s="90"/>
      <c r="M218" s="91">
        <f>I218-K218</f>
        <v>0</v>
      </c>
      <c r="N218" s="4" t="str">
        <f>IF(ISERROR(K218/I218),"",K218/I218)</f>
        <v/>
      </c>
      <c r="O218" s="92">
        <f>I218/E218</f>
        <v>0</v>
      </c>
      <c r="P218" s="92">
        <f>K218/E218</f>
        <v>0</v>
      </c>
      <c r="Q218" s="80">
        <v>3</v>
      </c>
      <c r="R218" s="80">
        <v>2</v>
      </c>
      <c r="S218" s="80" t="s">
        <v>61</v>
      </c>
      <c r="T218" s="5">
        <v>102</v>
      </c>
      <c r="U218" s="9"/>
      <c r="W218" s="87">
        <f>D218</f>
        <v>102.9</v>
      </c>
      <c r="X218" s="88">
        <f>E218</f>
        <v>31</v>
      </c>
      <c r="Y218" s="93">
        <f>H218</f>
        <v>126</v>
      </c>
      <c r="Z218" s="91">
        <f>I218</f>
        <v>0</v>
      </c>
      <c r="AA218" s="91">
        <f>K218</f>
        <v>0</v>
      </c>
      <c r="AB218" s="91">
        <f t="shared" si="159"/>
        <v>0</v>
      </c>
      <c r="AC218" s="4" t="str">
        <f t="shared" si="159"/>
        <v/>
      </c>
      <c r="AD218" s="92">
        <f t="shared" si="159"/>
        <v>0</v>
      </c>
      <c r="AE218" s="80" t="str">
        <f>S218</f>
        <v>계</v>
      </c>
      <c r="AF218" s="80" t="str">
        <f>Q218&amp;"/"&amp;R218</f>
        <v>3/2</v>
      </c>
      <c r="AH218" s="20" t="str">
        <f t="shared" si="153"/>
        <v>산북동 코오롱</v>
      </c>
      <c r="AI218" s="88">
        <f t="shared" si="152"/>
        <v>31</v>
      </c>
      <c r="AJ218" s="80" t="str">
        <f>IF(AI218="","",$AJ$2)</f>
        <v>A-</v>
      </c>
      <c r="AK218" s="80" t="s">
        <v>14</v>
      </c>
      <c r="AL218" s="80" t="s">
        <v>63</v>
      </c>
      <c r="AM218" s="80" t="s">
        <v>64</v>
      </c>
      <c r="AN218" s="80" t="str">
        <f>IF(AI218="","",$AN$2)</f>
        <v>C</v>
      </c>
      <c r="AO218" s="80" t="str">
        <f>IF(N218="","",IF(N218&gt;=$AO$1/100,"O","X"))</f>
        <v/>
      </c>
      <c r="AP218" s="80" t="str">
        <f>IF(I218="","",IF(I218&lt;=$AP$1,"O","X"))</f>
        <v/>
      </c>
      <c r="AQ218" s="80" t="str">
        <f>IF(O218="","",IF(O218&lt;=$AQ$1,"O","X"))</f>
        <v>O</v>
      </c>
      <c r="AR218" s="80" t="str">
        <f>IF(M218="","",IF(M218&lt;=$AR$1,"O","X"))</f>
        <v>O</v>
      </c>
      <c r="AS218" s="80" t="s">
        <v>2</v>
      </c>
      <c r="AT218" s="80" t="str">
        <f>IF(OR(F218="",AI218=""),"",IF(AND((F218&lt;=85),(AI218&gt;=15)),"O","X"))</f>
        <v>O</v>
      </c>
      <c r="AU218" s="80" t="str">
        <f>IF(C218="","",IF(C218&gt;=$AU$1,"O","X"))</f>
        <v>O</v>
      </c>
      <c r="AV218" s="80" t="str">
        <f>IF(AO218="","",IF(AND(AO218="O",AP218="O",AR218="O",AT218="O",AU218="O"),"후보","X"))</f>
        <v/>
      </c>
    </row>
    <row r="219" spans="1:48" s="37" customFormat="1" ht="12" x14ac:dyDescent="0.3">
      <c r="A219" s="75" t="s">
        <v>1503</v>
      </c>
      <c r="B219" s="76" t="s">
        <v>1504</v>
      </c>
      <c r="C219" s="86">
        <v>750</v>
      </c>
      <c r="D219" s="87">
        <v>49.9</v>
      </c>
      <c r="E219" s="88">
        <v>15</v>
      </c>
      <c r="F219" s="87">
        <v>39.700000000000003</v>
      </c>
      <c r="G219" s="17">
        <v>12</v>
      </c>
      <c r="H219" s="89">
        <v>110</v>
      </c>
      <c r="I219" s="90">
        <v>7400</v>
      </c>
      <c r="J219" s="90" t="s">
        <v>68</v>
      </c>
      <c r="K219" s="90"/>
      <c r="L219" s="90"/>
      <c r="M219" s="91">
        <f>I219-K219</f>
        <v>7400</v>
      </c>
      <c r="N219" s="4">
        <f>IF(ISERROR(K219/I219),"",K219/I219)</f>
        <v>0</v>
      </c>
      <c r="O219" s="92">
        <f>I219/E219</f>
        <v>493.33333333333331</v>
      </c>
      <c r="P219" s="92">
        <f>K219/E219</f>
        <v>0</v>
      </c>
      <c r="Q219" s="80">
        <v>2</v>
      </c>
      <c r="R219" s="80">
        <v>1</v>
      </c>
      <c r="S219" s="80" t="s">
        <v>61</v>
      </c>
      <c r="T219" s="5" t="s">
        <v>848</v>
      </c>
      <c r="U219" s="9"/>
      <c r="W219" s="87">
        <f t="shared" ref="W219:X222" si="160">D219</f>
        <v>49.9</v>
      </c>
      <c r="X219" s="88">
        <f t="shared" si="160"/>
        <v>15</v>
      </c>
      <c r="Y219" s="93">
        <f t="shared" ref="Y219:Z222" si="161">H219</f>
        <v>110</v>
      </c>
      <c r="Z219" s="91">
        <f t="shared" si="161"/>
        <v>7400</v>
      </c>
      <c r="AA219" s="91">
        <f>K219</f>
        <v>0</v>
      </c>
      <c r="AB219" s="91">
        <f t="shared" si="159"/>
        <v>7400</v>
      </c>
      <c r="AC219" s="4">
        <f t="shared" si="159"/>
        <v>0</v>
      </c>
      <c r="AD219" s="92">
        <f t="shared" si="159"/>
        <v>493.33333333333331</v>
      </c>
      <c r="AE219" s="80" t="str">
        <f>S219</f>
        <v>계</v>
      </c>
      <c r="AF219" s="80" t="str">
        <f>Q219&amp;"/"&amp;R219</f>
        <v>2/1</v>
      </c>
      <c r="AH219" s="20" t="str">
        <f t="shared" si="153"/>
        <v>산북동 산북주공</v>
      </c>
      <c r="AI219" s="88">
        <f t="shared" si="152"/>
        <v>15</v>
      </c>
      <c r="AJ219" s="80" t="str">
        <f>IF(AI219="","",$AJ$2)</f>
        <v>A-</v>
      </c>
      <c r="AK219" s="80" t="s">
        <v>14</v>
      </c>
      <c r="AL219" s="80" t="s">
        <v>63</v>
      </c>
      <c r="AM219" s="80" t="s">
        <v>64</v>
      </c>
      <c r="AN219" s="80" t="str">
        <f>IF(AI219="","",$AN$2)</f>
        <v>C</v>
      </c>
      <c r="AO219" s="80" t="str">
        <f>IF(N219="","",IF(N219&gt;=$AO$1/100,"O","X"))</f>
        <v>X</v>
      </c>
      <c r="AP219" s="80" t="str">
        <f>IF(I219="","",IF(I219&lt;=$AP$1,"O","X"))</f>
        <v>O</v>
      </c>
      <c r="AQ219" s="80" t="str">
        <f>IF(O219="","",IF(O219&lt;=$AQ$1,"O","X"))</f>
        <v>O</v>
      </c>
      <c r="AR219" s="80" t="str">
        <f>IF(M219="","",IF(M219&lt;=$AR$1,"O","X"))</f>
        <v>X</v>
      </c>
      <c r="AS219" s="80" t="s">
        <v>2</v>
      </c>
      <c r="AT219" s="80" t="str">
        <f>IF(OR(F219="",AI219=""),"",IF(AND((F219&lt;=85),(AI219&gt;=15)),"O","X"))</f>
        <v>O</v>
      </c>
      <c r="AU219" s="80" t="str">
        <f>IF(C219="","",IF(C219&gt;=$AU$1,"O","X"))</f>
        <v>O</v>
      </c>
      <c r="AV219" s="80" t="str">
        <f>IF(AO219="","",IF(AND(AO219="O",AP219="O",AR219="O",AT219="O",AU219="O"),"후보","X"))</f>
        <v>X</v>
      </c>
    </row>
    <row r="220" spans="1:48" s="37" customFormat="1" ht="12" x14ac:dyDescent="0.3">
      <c r="A220" s="75" t="s">
        <v>1503</v>
      </c>
      <c r="B220" s="76" t="s">
        <v>1504</v>
      </c>
      <c r="C220" s="86">
        <v>750</v>
      </c>
      <c r="D220" s="87">
        <v>49.5</v>
      </c>
      <c r="E220" s="88">
        <v>15</v>
      </c>
      <c r="F220" s="87">
        <v>39.299999999999997</v>
      </c>
      <c r="G220" s="17">
        <v>12</v>
      </c>
      <c r="H220" s="89">
        <v>110</v>
      </c>
      <c r="I220" s="90"/>
      <c r="J220" s="90"/>
      <c r="K220" s="90"/>
      <c r="L220" s="90"/>
      <c r="M220" s="91">
        <f>I220-K220</f>
        <v>0</v>
      </c>
      <c r="N220" s="4" t="str">
        <f>IF(ISERROR(K220/I220),"",K220/I220)</f>
        <v/>
      </c>
      <c r="O220" s="92">
        <f>I220/E220</f>
        <v>0</v>
      </c>
      <c r="P220" s="92">
        <f>K220/E220</f>
        <v>0</v>
      </c>
      <c r="Q220" s="80">
        <v>2</v>
      </c>
      <c r="R220" s="80">
        <v>1</v>
      </c>
      <c r="S220" s="80" t="s">
        <v>61</v>
      </c>
      <c r="T220" s="5" t="s">
        <v>146</v>
      </c>
      <c r="U220" s="9"/>
      <c r="W220" s="87">
        <f t="shared" si="160"/>
        <v>49.5</v>
      </c>
      <c r="X220" s="88">
        <f t="shared" si="160"/>
        <v>15</v>
      </c>
      <c r="Y220" s="93">
        <f t="shared" si="161"/>
        <v>110</v>
      </c>
      <c r="Z220" s="91">
        <f t="shared" si="161"/>
        <v>0</v>
      </c>
      <c r="AA220" s="91">
        <f>K220</f>
        <v>0</v>
      </c>
      <c r="AB220" s="91">
        <f t="shared" si="159"/>
        <v>0</v>
      </c>
      <c r="AC220" s="4" t="str">
        <f t="shared" si="159"/>
        <v/>
      </c>
      <c r="AD220" s="92">
        <f t="shared" si="159"/>
        <v>0</v>
      </c>
      <c r="AE220" s="80" t="str">
        <f>S220</f>
        <v>계</v>
      </c>
      <c r="AF220" s="80" t="str">
        <f>Q220&amp;"/"&amp;R220</f>
        <v>2/1</v>
      </c>
      <c r="AH220" s="20" t="str">
        <f t="shared" si="153"/>
        <v>산북동 산북주공</v>
      </c>
      <c r="AI220" s="88">
        <f t="shared" si="152"/>
        <v>15</v>
      </c>
      <c r="AJ220" s="80" t="str">
        <f>IF(AI220="","",$AJ$2)</f>
        <v>A-</v>
      </c>
      <c r="AK220" s="80" t="s">
        <v>14</v>
      </c>
      <c r="AL220" s="80" t="s">
        <v>63</v>
      </c>
      <c r="AM220" s="80" t="s">
        <v>64</v>
      </c>
      <c r="AN220" s="80" t="str">
        <f>IF(AI220="","",$AN$2)</f>
        <v>C</v>
      </c>
      <c r="AO220" s="80" t="str">
        <f>IF(N220="","",IF(N220&gt;=$AO$1/100,"O","X"))</f>
        <v/>
      </c>
      <c r="AP220" s="80" t="str">
        <f>IF(I220="","",IF(I220&lt;=$AP$1,"O","X"))</f>
        <v/>
      </c>
      <c r="AQ220" s="80" t="str">
        <f>IF(O220="","",IF(O220&lt;=$AQ$1,"O","X"))</f>
        <v>O</v>
      </c>
      <c r="AR220" s="80" t="str">
        <f>IF(M220="","",IF(M220&lt;=$AR$1,"O","X"))</f>
        <v>O</v>
      </c>
      <c r="AS220" s="80" t="s">
        <v>2</v>
      </c>
      <c r="AT220" s="80" t="str">
        <f>IF(OR(F220="",AI220=""),"",IF(AND((F220&lt;=85),(AI220&gt;=15)),"O","X"))</f>
        <v>O</v>
      </c>
      <c r="AU220" s="80" t="str">
        <f>IF(C220="","",IF(C220&gt;=$AU$1,"O","X"))</f>
        <v>O</v>
      </c>
      <c r="AV220" s="80" t="str">
        <f>IF(AO220="","",IF(AND(AO220="O",AP220="O",AR220="O",AT220="O",AU220="O"),"후보","X"))</f>
        <v/>
      </c>
    </row>
    <row r="221" spans="1:48" s="37" customFormat="1" ht="12" x14ac:dyDescent="0.3">
      <c r="A221" s="75" t="s">
        <v>1503</v>
      </c>
      <c r="B221" s="76" t="s">
        <v>1504</v>
      </c>
      <c r="C221" s="86">
        <v>750</v>
      </c>
      <c r="D221" s="87">
        <v>57.9</v>
      </c>
      <c r="E221" s="88">
        <v>18</v>
      </c>
      <c r="F221" s="87">
        <v>47</v>
      </c>
      <c r="G221" s="17">
        <v>14</v>
      </c>
      <c r="H221" s="89">
        <v>290</v>
      </c>
      <c r="I221" s="90">
        <v>8500</v>
      </c>
      <c r="J221" s="90" t="s">
        <v>68</v>
      </c>
      <c r="K221" s="90"/>
      <c r="L221" s="90"/>
      <c r="M221" s="91">
        <f>I221-K221</f>
        <v>8500</v>
      </c>
      <c r="N221" s="4">
        <f>IF(ISERROR(K221/I221),"",K221/I221)</f>
        <v>0</v>
      </c>
      <c r="O221" s="92">
        <f>I221/E221</f>
        <v>472.22222222222223</v>
      </c>
      <c r="P221" s="92">
        <f>K221/E221</f>
        <v>0</v>
      </c>
      <c r="Q221" s="80">
        <v>2</v>
      </c>
      <c r="R221" s="80">
        <v>1</v>
      </c>
      <c r="S221" s="80" t="s">
        <v>61</v>
      </c>
      <c r="T221" s="5">
        <v>57</v>
      </c>
      <c r="U221" s="9"/>
      <c r="W221" s="87">
        <f t="shared" si="160"/>
        <v>57.9</v>
      </c>
      <c r="X221" s="88">
        <f t="shared" si="160"/>
        <v>18</v>
      </c>
      <c r="Y221" s="93">
        <f t="shared" si="161"/>
        <v>290</v>
      </c>
      <c r="Z221" s="91">
        <f t="shared" si="161"/>
        <v>8500</v>
      </c>
      <c r="AA221" s="91">
        <f>K221</f>
        <v>0</v>
      </c>
      <c r="AB221" s="91">
        <f t="shared" si="159"/>
        <v>8500</v>
      </c>
      <c r="AC221" s="4">
        <f t="shared" si="159"/>
        <v>0</v>
      </c>
      <c r="AD221" s="92">
        <f t="shared" si="159"/>
        <v>472.22222222222223</v>
      </c>
      <c r="AE221" s="80" t="str">
        <f>S221</f>
        <v>계</v>
      </c>
      <c r="AF221" s="80" t="str">
        <f>Q221&amp;"/"&amp;R221</f>
        <v>2/1</v>
      </c>
      <c r="AH221" s="20" t="str">
        <f t="shared" si="153"/>
        <v>산북동 산북주공</v>
      </c>
      <c r="AI221" s="88">
        <f t="shared" si="152"/>
        <v>18</v>
      </c>
      <c r="AJ221" s="80" t="str">
        <f>IF(AI221="","",$AJ$2)</f>
        <v>A-</v>
      </c>
      <c r="AK221" s="80" t="s">
        <v>14</v>
      </c>
      <c r="AL221" s="80" t="s">
        <v>63</v>
      </c>
      <c r="AM221" s="80" t="s">
        <v>64</v>
      </c>
      <c r="AN221" s="80" t="str">
        <f>IF(AI221="","",$AN$2)</f>
        <v>C</v>
      </c>
      <c r="AO221" s="80" t="str">
        <f>IF(N221="","",IF(N221&gt;=$AO$1/100,"O","X"))</f>
        <v>X</v>
      </c>
      <c r="AP221" s="80" t="str">
        <f>IF(I221="","",IF(I221&lt;=$AP$1,"O","X"))</f>
        <v>O</v>
      </c>
      <c r="AQ221" s="80" t="str">
        <f>IF(O221="","",IF(O221&lt;=$AQ$1,"O","X"))</f>
        <v>O</v>
      </c>
      <c r="AR221" s="80" t="str">
        <f>IF(M221="","",IF(M221&lt;=$AR$1,"O","X"))</f>
        <v>X</v>
      </c>
      <c r="AS221" s="80" t="s">
        <v>2</v>
      </c>
      <c r="AT221" s="80" t="str">
        <f>IF(OR(F221="",AI221=""),"",IF(AND((F221&lt;=85),(AI221&gt;=15)),"O","X"))</f>
        <v>O</v>
      </c>
      <c r="AU221" s="80" t="str">
        <f>IF(C221="","",IF(C221&gt;=$AU$1,"O","X"))</f>
        <v>O</v>
      </c>
      <c r="AV221" s="80" t="str">
        <f>IF(AO221="","",IF(AND(AO221="O",AP221="O",AR221="O",AT221="O",AU221="O"),"후보","X"))</f>
        <v>X</v>
      </c>
    </row>
    <row r="222" spans="1:48" s="37" customFormat="1" ht="12" x14ac:dyDescent="0.3">
      <c r="A222" s="75" t="s">
        <v>1503</v>
      </c>
      <c r="B222" s="76" t="s">
        <v>1711</v>
      </c>
      <c r="C222" s="86">
        <v>750</v>
      </c>
      <c r="D222" s="87">
        <v>57.6</v>
      </c>
      <c r="E222" s="88">
        <v>17</v>
      </c>
      <c r="F222" s="87">
        <v>46.7</v>
      </c>
      <c r="G222" s="17">
        <v>14</v>
      </c>
      <c r="H222" s="89">
        <v>240</v>
      </c>
      <c r="I222" s="90">
        <v>8500</v>
      </c>
      <c r="J222" s="90" t="s">
        <v>68</v>
      </c>
      <c r="K222" s="90">
        <v>2500</v>
      </c>
      <c r="L222" s="90" t="s">
        <v>68</v>
      </c>
      <c r="M222" s="91">
        <f>I222-K222</f>
        <v>6000</v>
      </c>
      <c r="N222" s="4">
        <f>IF(ISERROR(K222/I222),"",K222/I222)</f>
        <v>0.29411764705882354</v>
      </c>
      <c r="O222" s="92">
        <f>I222/E222</f>
        <v>500</v>
      </c>
      <c r="P222" s="92">
        <f>K222/E222</f>
        <v>147.05882352941177</v>
      </c>
      <c r="Q222" s="80">
        <v>2</v>
      </c>
      <c r="R222" s="80">
        <v>1</v>
      </c>
      <c r="S222" s="80" t="s">
        <v>61</v>
      </c>
      <c r="T222" s="5">
        <v>57</v>
      </c>
      <c r="U222" s="9"/>
      <c r="W222" s="87">
        <f t="shared" si="160"/>
        <v>57.6</v>
      </c>
      <c r="X222" s="88">
        <f t="shared" si="160"/>
        <v>17</v>
      </c>
      <c r="Y222" s="93">
        <f t="shared" si="161"/>
        <v>240</v>
      </c>
      <c r="Z222" s="91">
        <f t="shared" si="161"/>
        <v>8500</v>
      </c>
      <c r="AA222" s="91">
        <f>K222</f>
        <v>2500</v>
      </c>
      <c r="AB222" s="91">
        <f t="shared" si="159"/>
        <v>6000</v>
      </c>
      <c r="AC222" s="4">
        <f t="shared" si="159"/>
        <v>0.29411764705882354</v>
      </c>
      <c r="AD222" s="92">
        <f t="shared" si="159"/>
        <v>500</v>
      </c>
      <c r="AE222" s="80" t="str">
        <f>S222</f>
        <v>계</v>
      </c>
      <c r="AF222" s="80" t="str">
        <f>Q222&amp;"/"&amp;R222</f>
        <v>2/1</v>
      </c>
      <c r="AH222" s="20" t="str">
        <f t="shared" si="153"/>
        <v>산북동 산북주공</v>
      </c>
      <c r="AI222" s="88">
        <f t="shared" si="152"/>
        <v>17</v>
      </c>
      <c r="AJ222" s="80" t="str">
        <f>IF(AI222="","",$AJ$2)</f>
        <v>A-</v>
      </c>
      <c r="AK222" s="80" t="s">
        <v>14</v>
      </c>
      <c r="AL222" s="80" t="s">
        <v>63</v>
      </c>
      <c r="AM222" s="80" t="s">
        <v>64</v>
      </c>
      <c r="AN222" s="80" t="str">
        <f>IF(AI222="","",$AN$2)</f>
        <v>C</v>
      </c>
      <c r="AO222" s="80" t="str">
        <f>IF(N222="","",IF(N222&gt;=$AO$1/100,"O","X"))</f>
        <v>X</v>
      </c>
      <c r="AP222" s="80" t="str">
        <f>IF(I222="","",IF(I222&lt;=$AP$1,"O","X"))</f>
        <v>O</v>
      </c>
      <c r="AQ222" s="80" t="str">
        <f>IF(O222="","",IF(O222&lt;=$AQ$1,"O","X"))</f>
        <v>O</v>
      </c>
      <c r="AR222" s="80" t="str">
        <f>IF(M222="","",IF(M222&lt;=$AR$1,"O","X"))</f>
        <v>X</v>
      </c>
      <c r="AS222" s="80" t="s">
        <v>2</v>
      </c>
      <c r="AT222" s="80" t="str">
        <f>IF(OR(F222="",AI222=""),"",IF(AND((F222&lt;=85),(AI222&gt;=15)),"O","X"))</f>
        <v>O</v>
      </c>
      <c r="AU222" s="80" t="str">
        <f>IF(C222="","",IF(C222&gt;=$AU$1,"O","X"))</f>
        <v>O</v>
      </c>
      <c r="AV222" s="80" t="str">
        <f>IF(AO222="","",IF(AND(AO222="O",AP222="O",AR222="O",AT222="O",AU222="O"),"후보","X"))</f>
        <v>X</v>
      </c>
    </row>
    <row r="223" spans="1:48" s="37" customFormat="1" ht="12" x14ac:dyDescent="0.3">
      <c r="A223" s="75" t="s">
        <v>1505</v>
      </c>
      <c r="B223" s="76" t="s">
        <v>1470</v>
      </c>
      <c r="C223" s="86">
        <v>220</v>
      </c>
      <c r="D223" s="87">
        <v>49</v>
      </c>
      <c r="E223" s="88">
        <v>15</v>
      </c>
      <c r="F223" s="87">
        <v>35.9</v>
      </c>
      <c r="G223" s="17">
        <v>11</v>
      </c>
      <c r="H223" s="89">
        <v>220</v>
      </c>
      <c r="I223" s="90"/>
      <c r="J223" s="90"/>
      <c r="K223" s="90"/>
      <c r="L223" s="90"/>
      <c r="M223" s="91">
        <f>I223-K223</f>
        <v>0</v>
      </c>
      <c r="N223" s="4" t="str">
        <f>IF(ISERROR(K223/I223),"",K223/I223)</f>
        <v/>
      </c>
      <c r="O223" s="92">
        <f>I223/E223</f>
        <v>0</v>
      </c>
      <c r="P223" s="92">
        <f>K223/E223</f>
        <v>0</v>
      </c>
      <c r="Q223" s="80">
        <v>1</v>
      </c>
      <c r="R223" s="80">
        <v>1</v>
      </c>
      <c r="S223" s="80" t="s">
        <v>61</v>
      </c>
      <c r="T223" s="5">
        <v>48</v>
      </c>
      <c r="U223" s="9"/>
      <c r="W223" s="87">
        <f>D223</f>
        <v>49</v>
      </c>
      <c r="X223" s="88">
        <f>E223</f>
        <v>15</v>
      </c>
      <c r="Y223" s="93">
        <f>H223</f>
        <v>220</v>
      </c>
      <c r="Z223" s="91">
        <f>I223</f>
        <v>0</v>
      </c>
      <c r="AA223" s="91">
        <f>K223</f>
        <v>0</v>
      </c>
      <c r="AB223" s="91">
        <f>M223</f>
        <v>0</v>
      </c>
      <c r="AC223" s="4" t="str">
        <f>N223</f>
        <v/>
      </c>
      <c r="AD223" s="92">
        <f>O223</f>
        <v>0</v>
      </c>
      <c r="AE223" s="80" t="str">
        <f>S223</f>
        <v>계</v>
      </c>
      <c r="AF223" s="80" t="str">
        <f>Q223&amp;"/"&amp;R223</f>
        <v>1/1</v>
      </c>
      <c r="AH223" s="20" t="str">
        <f t="shared" si="153"/>
        <v>산북동 산북하늘가201동</v>
      </c>
      <c r="AI223" s="88">
        <f t="shared" si="152"/>
        <v>15</v>
      </c>
      <c r="AJ223" s="80" t="str">
        <f>IF(AI223="","",$AJ$2)</f>
        <v>A-</v>
      </c>
      <c r="AK223" s="80" t="s">
        <v>14</v>
      </c>
      <c r="AL223" s="80" t="s">
        <v>63</v>
      </c>
      <c r="AM223" s="80" t="s">
        <v>64</v>
      </c>
      <c r="AN223" s="80" t="str">
        <f>IF(AI223="","",$AN$2)</f>
        <v>C</v>
      </c>
      <c r="AO223" s="80" t="str">
        <f>IF(N223="","",IF(N223&gt;=$AO$1/100,"O","X"))</f>
        <v/>
      </c>
      <c r="AP223" s="80" t="str">
        <f>IF(I223="","",IF(I223&lt;=$AP$1,"O","X"))</f>
        <v/>
      </c>
      <c r="AQ223" s="80" t="str">
        <f>IF(O223="","",IF(O223&lt;=$AQ$1,"O","X"))</f>
        <v>O</v>
      </c>
      <c r="AR223" s="80" t="str">
        <f>IF(M223="","",IF(M223&lt;=$AR$1,"O","X"))</f>
        <v>O</v>
      </c>
      <c r="AS223" s="80" t="s">
        <v>2</v>
      </c>
      <c r="AT223" s="80" t="str">
        <f>IF(OR(F223="",AI223=""),"",IF(AND((F223&lt;=85),(AI223&gt;=15)),"O","X"))</f>
        <v>O</v>
      </c>
      <c r="AU223" s="80" t="str">
        <f>IF(C223="","",IF(C223&gt;=$AU$1,"O","X"))</f>
        <v>X</v>
      </c>
      <c r="AV223" s="80" t="str">
        <f>IF(AO223="","",IF(AND(AO223="O",AP223="O",AR223="O",AT223="O",AU223="O"),"후보","X"))</f>
        <v/>
      </c>
    </row>
    <row r="224" spans="1:48" s="37" customFormat="1" ht="12" x14ac:dyDescent="0.3">
      <c r="A224" s="75" t="s">
        <v>1712</v>
      </c>
      <c r="B224" s="76" t="s">
        <v>1506</v>
      </c>
      <c r="C224" s="86">
        <v>221</v>
      </c>
      <c r="D224" s="87">
        <v>52</v>
      </c>
      <c r="E224" s="88">
        <v>16</v>
      </c>
      <c r="F224" s="87">
        <v>40</v>
      </c>
      <c r="G224" s="17">
        <v>12</v>
      </c>
      <c r="H224" s="89">
        <v>221</v>
      </c>
      <c r="I224" s="90"/>
      <c r="J224" s="90"/>
      <c r="K224" s="90"/>
      <c r="L224" s="90"/>
      <c r="M224" s="91">
        <f>I224-K224</f>
        <v>0</v>
      </c>
      <c r="N224" s="4" t="str">
        <f>IF(ISERROR(K224/I224),"",K224/I224)</f>
        <v/>
      </c>
      <c r="O224" s="92">
        <f>I224/E224</f>
        <v>0</v>
      </c>
      <c r="P224" s="92">
        <f>K224/E224</f>
        <v>0</v>
      </c>
      <c r="Q224" s="80">
        <v>2</v>
      </c>
      <c r="R224" s="80">
        <v>1</v>
      </c>
      <c r="S224" s="80" t="s">
        <v>76</v>
      </c>
      <c r="T224" s="5">
        <v>52</v>
      </c>
      <c r="U224" s="9"/>
      <c r="W224" s="87">
        <f>D224</f>
        <v>52</v>
      </c>
      <c r="X224" s="88">
        <f>E224</f>
        <v>16</v>
      </c>
      <c r="Y224" s="93">
        <f>H224</f>
        <v>221</v>
      </c>
      <c r="Z224" s="91">
        <f>I224</f>
        <v>0</v>
      </c>
      <c r="AA224" s="91">
        <f>K224</f>
        <v>0</v>
      </c>
      <c r="AB224" s="91">
        <f>M224</f>
        <v>0</v>
      </c>
      <c r="AC224" s="4" t="str">
        <f>N224</f>
        <v/>
      </c>
      <c r="AD224" s="92">
        <f>O224</f>
        <v>0</v>
      </c>
      <c r="AE224" s="80" t="str">
        <f>S224</f>
        <v>복</v>
      </c>
      <c r="AF224" s="80" t="str">
        <f>Q224&amp;"/"&amp;R224</f>
        <v>2/1</v>
      </c>
      <c r="AH224" s="20" t="str">
        <f t="shared" si="153"/>
        <v>산북동 하늘가1차</v>
      </c>
      <c r="AI224" s="88">
        <f t="shared" si="152"/>
        <v>16</v>
      </c>
      <c r="AJ224" s="80" t="str">
        <f>IF(AI224="","",$AJ$2)</f>
        <v>A-</v>
      </c>
      <c r="AK224" s="80" t="s">
        <v>14</v>
      </c>
      <c r="AL224" s="80" t="s">
        <v>63</v>
      </c>
      <c r="AM224" s="80" t="s">
        <v>64</v>
      </c>
      <c r="AN224" s="80" t="str">
        <f>IF(AI224="","",$AN$2)</f>
        <v>C</v>
      </c>
      <c r="AO224" s="80" t="str">
        <f>IF(N224="","",IF(N224&gt;=$AO$1/100,"O","X"))</f>
        <v/>
      </c>
      <c r="AP224" s="80" t="str">
        <f>IF(I224="","",IF(I224&lt;=$AP$1,"O","X"))</f>
        <v/>
      </c>
      <c r="AQ224" s="80" t="str">
        <f>IF(O224="","",IF(O224&lt;=$AQ$1,"O","X"))</f>
        <v>O</v>
      </c>
      <c r="AR224" s="80" t="str">
        <f>IF(M224="","",IF(M224&lt;=$AR$1,"O","X"))</f>
        <v>O</v>
      </c>
      <c r="AS224" s="80" t="s">
        <v>2</v>
      </c>
      <c r="AT224" s="80" t="str">
        <f>IF(OR(F224="",AI224=""),"",IF(AND((F224&lt;=85),(AI224&gt;=15)),"O","X"))</f>
        <v>O</v>
      </c>
      <c r="AU224" s="80" t="str">
        <f>IF(C224="","",IF(C224&gt;=$AU$1,"O","X"))</f>
        <v>X</v>
      </c>
      <c r="AV224" s="80" t="str">
        <f>IF(AO224="","",IF(AND(AO224="O",AP224="O",AR224="O",AT224="O",AU224="O"),"후보","X"))</f>
        <v/>
      </c>
    </row>
    <row r="225" spans="1:48" s="37" customFormat="1" ht="12" x14ac:dyDescent="0.3">
      <c r="A225" s="75" t="s">
        <v>1713</v>
      </c>
      <c r="B225" s="76" t="s">
        <v>1714</v>
      </c>
      <c r="C225" s="86">
        <v>404</v>
      </c>
      <c r="D225" s="87">
        <v>40.299999999999997</v>
      </c>
      <c r="E225" s="88">
        <v>12</v>
      </c>
      <c r="F225" s="87">
        <v>30.3</v>
      </c>
      <c r="G225" s="17">
        <v>9</v>
      </c>
      <c r="H225" s="89">
        <v>9</v>
      </c>
      <c r="I225" s="90"/>
      <c r="J225" s="90"/>
      <c r="K225" s="90"/>
      <c r="L225" s="90"/>
      <c r="M225" s="91">
        <f>I225-K225</f>
        <v>0</v>
      </c>
      <c r="N225" s="4" t="str">
        <f>IF(ISERROR(K225/I225),"",K225/I225)</f>
        <v/>
      </c>
      <c r="O225" s="92">
        <f>I225/E225</f>
        <v>0</v>
      </c>
      <c r="P225" s="92">
        <f>K225/E225</f>
        <v>0</v>
      </c>
      <c r="Q225" s="80">
        <v>1</v>
      </c>
      <c r="R225" s="80">
        <v>1</v>
      </c>
      <c r="S225" s="80" t="s">
        <v>61</v>
      </c>
      <c r="T225" s="5">
        <v>40</v>
      </c>
      <c r="U225" s="9"/>
      <c r="W225" s="87">
        <f>D225</f>
        <v>40.299999999999997</v>
      </c>
      <c r="X225" s="88">
        <f>E225</f>
        <v>12</v>
      </c>
      <c r="Y225" s="93">
        <f>H225</f>
        <v>9</v>
      </c>
      <c r="Z225" s="91">
        <f>I225</f>
        <v>0</v>
      </c>
      <c r="AA225" s="91">
        <f>K225</f>
        <v>0</v>
      </c>
      <c r="AB225" s="91">
        <f t="shared" ref="AB225:AD240" si="162">M225</f>
        <v>0</v>
      </c>
      <c r="AC225" s="4" t="str">
        <f t="shared" si="162"/>
        <v/>
      </c>
      <c r="AD225" s="92">
        <f t="shared" si="162"/>
        <v>0</v>
      </c>
      <c r="AE225" s="80" t="str">
        <f>S225</f>
        <v>계</v>
      </c>
      <c r="AF225" s="80" t="str">
        <f>Q225&amp;"/"&amp;R225</f>
        <v>1/1</v>
      </c>
      <c r="AH225" s="20" t="str">
        <f t="shared" si="153"/>
        <v>산북동 산북부향하나로4차</v>
      </c>
      <c r="AI225" s="88">
        <f t="shared" si="152"/>
        <v>12</v>
      </c>
      <c r="AJ225" s="80" t="str">
        <f>IF(AI225="","",$AJ$2)</f>
        <v>A-</v>
      </c>
      <c r="AK225" s="80" t="s">
        <v>14</v>
      </c>
      <c r="AL225" s="80" t="s">
        <v>63</v>
      </c>
      <c r="AM225" s="80" t="s">
        <v>64</v>
      </c>
      <c r="AN225" s="80" t="str">
        <f>IF(AI225="","",$AN$2)</f>
        <v>C</v>
      </c>
      <c r="AO225" s="80" t="str">
        <f>IF(N225="","",IF(N225&gt;=$AO$1/100,"O","X"))</f>
        <v/>
      </c>
      <c r="AP225" s="80" t="str">
        <f>IF(I225="","",IF(I225&lt;=$AP$1,"O","X"))</f>
        <v/>
      </c>
      <c r="AQ225" s="80" t="str">
        <f>IF(O225="","",IF(O225&lt;=$AQ$1,"O","X"))</f>
        <v>O</v>
      </c>
      <c r="AR225" s="80" t="str">
        <f>IF(M225="","",IF(M225&lt;=$AR$1,"O","X"))</f>
        <v>O</v>
      </c>
      <c r="AS225" s="80" t="s">
        <v>2</v>
      </c>
      <c r="AT225" s="80" t="str">
        <f>IF(OR(F225="",AI225=""),"",IF(AND((F225&lt;=85),(AI225&gt;=15)),"O","X"))</f>
        <v>X</v>
      </c>
      <c r="AU225" s="80" t="str">
        <f>IF(C225="","",IF(C225&gt;=$AU$1,"O","X"))</f>
        <v>O</v>
      </c>
      <c r="AV225" s="80" t="str">
        <f>IF(AO225="","",IF(AND(AO225="O",AP225="O",AR225="O",AT225="O",AU225="O"),"후보","X"))</f>
        <v/>
      </c>
    </row>
    <row r="226" spans="1:48" s="37" customFormat="1" ht="12" x14ac:dyDescent="0.3">
      <c r="A226" s="75" t="s">
        <v>1507</v>
      </c>
      <c r="B226" s="76" t="s">
        <v>1414</v>
      </c>
      <c r="C226" s="86">
        <v>404</v>
      </c>
      <c r="D226" s="87">
        <v>52.1</v>
      </c>
      <c r="E226" s="88">
        <v>16</v>
      </c>
      <c r="F226" s="87">
        <v>39.1</v>
      </c>
      <c r="G226" s="17">
        <v>12</v>
      </c>
      <c r="H226" s="89">
        <v>105</v>
      </c>
      <c r="I226" s="90">
        <v>1900</v>
      </c>
      <c r="J226" s="90" t="s">
        <v>81</v>
      </c>
      <c r="K226" s="90"/>
      <c r="L226" s="90"/>
      <c r="M226" s="91">
        <f>I226-K226</f>
        <v>1900</v>
      </c>
      <c r="N226" s="4">
        <f>IF(ISERROR(K226/I226),"",K226/I226)</f>
        <v>0</v>
      </c>
      <c r="O226" s="92">
        <f>I226/E226</f>
        <v>118.75</v>
      </c>
      <c r="P226" s="92">
        <f>K226/E226</f>
        <v>0</v>
      </c>
      <c r="Q226" s="80">
        <v>1</v>
      </c>
      <c r="R226" s="80">
        <v>1</v>
      </c>
      <c r="S226" s="80" t="s">
        <v>61</v>
      </c>
      <c r="T226" s="5">
        <v>52</v>
      </c>
      <c r="U226" s="9"/>
      <c r="W226" s="87">
        <f>D226</f>
        <v>52.1</v>
      </c>
      <c r="X226" s="88">
        <f>E226</f>
        <v>16</v>
      </c>
      <c r="Y226" s="93">
        <f>H226</f>
        <v>105</v>
      </c>
      <c r="Z226" s="91">
        <f>I226</f>
        <v>1900</v>
      </c>
      <c r="AA226" s="91">
        <f>K226</f>
        <v>0</v>
      </c>
      <c r="AB226" s="91">
        <f t="shared" si="162"/>
        <v>1900</v>
      </c>
      <c r="AC226" s="4">
        <f t="shared" si="162"/>
        <v>0</v>
      </c>
      <c r="AD226" s="92">
        <f t="shared" si="162"/>
        <v>118.75</v>
      </c>
      <c r="AE226" s="80" t="str">
        <f>S226</f>
        <v>계</v>
      </c>
      <c r="AF226" s="80" t="str">
        <f>Q226&amp;"/"&amp;R226</f>
        <v>1/1</v>
      </c>
      <c r="AH226" s="20" t="str">
        <f t="shared" si="153"/>
        <v>산북동 산북부향하나로4차</v>
      </c>
      <c r="AI226" s="88">
        <f t="shared" si="152"/>
        <v>16</v>
      </c>
      <c r="AJ226" s="80" t="str">
        <f>IF(AI226="","",$AJ$2)</f>
        <v>A-</v>
      </c>
      <c r="AK226" s="80" t="s">
        <v>14</v>
      </c>
      <c r="AL226" s="80" t="s">
        <v>63</v>
      </c>
      <c r="AM226" s="80" t="s">
        <v>64</v>
      </c>
      <c r="AN226" s="80" t="str">
        <f>IF(AI226="","",$AN$2)</f>
        <v>C</v>
      </c>
      <c r="AO226" s="80" t="str">
        <f>IF(N226="","",IF(N226&gt;=$AO$1/100,"O","X"))</f>
        <v>X</v>
      </c>
      <c r="AP226" s="80" t="str">
        <f>IF(I226="","",IF(I226&lt;=$AP$1,"O","X"))</f>
        <v>O</v>
      </c>
      <c r="AQ226" s="80" t="str">
        <f>IF(O226="","",IF(O226&lt;=$AQ$1,"O","X"))</f>
        <v>O</v>
      </c>
      <c r="AR226" s="80" t="str">
        <f>IF(M226="","",IF(M226&lt;=$AR$1,"O","X"))</f>
        <v>O</v>
      </c>
      <c r="AS226" s="80" t="s">
        <v>2</v>
      </c>
      <c r="AT226" s="80" t="str">
        <f>IF(OR(F226="",AI226=""),"",IF(AND((F226&lt;=85),(AI226&gt;=15)),"O","X"))</f>
        <v>O</v>
      </c>
      <c r="AU226" s="80" t="str">
        <f>IF(C226="","",IF(C226&gt;=$AU$1,"O","X"))</f>
        <v>O</v>
      </c>
      <c r="AV226" s="80" t="str">
        <f>IF(AO226="","",IF(AND(AO226="O",AP226="O",AR226="O",AT226="O",AU226="O"),"후보","X"))</f>
        <v>X</v>
      </c>
    </row>
    <row r="227" spans="1:48" s="37" customFormat="1" ht="12" x14ac:dyDescent="0.3">
      <c r="A227" s="75" t="s">
        <v>1508</v>
      </c>
      <c r="B227" s="76" t="s">
        <v>1509</v>
      </c>
      <c r="C227" s="86">
        <v>349</v>
      </c>
      <c r="D227" s="87">
        <v>35.6</v>
      </c>
      <c r="E227" s="88">
        <v>11</v>
      </c>
      <c r="F227" s="87">
        <v>27</v>
      </c>
      <c r="G227" s="17">
        <v>8</v>
      </c>
      <c r="H227" s="89">
        <v>54</v>
      </c>
      <c r="I227" s="90"/>
      <c r="J227" s="90"/>
      <c r="K227" s="90"/>
      <c r="L227" s="90"/>
      <c r="M227" s="91">
        <f>I227-K227</f>
        <v>0</v>
      </c>
      <c r="N227" s="4" t="str">
        <f>IF(ISERROR(K227/I227),"",K227/I227)</f>
        <v/>
      </c>
      <c r="O227" s="92">
        <f>I227/E227</f>
        <v>0</v>
      </c>
      <c r="P227" s="92">
        <f>K227/E227</f>
        <v>0</v>
      </c>
      <c r="Q227" s="80">
        <v>1</v>
      </c>
      <c r="R227" s="80">
        <v>1</v>
      </c>
      <c r="S227" s="80" t="s">
        <v>76</v>
      </c>
      <c r="T227" s="5">
        <v>35</v>
      </c>
      <c r="U227" s="9"/>
      <c r="W227" s="87">
        <f>D227</f>
        <v>35.6</v>
      </c>
      <c r="X227" s="88">
        <f>E227</f>
        <v>11</v>
      </c>
      <c r="Y227" s="93">
        <f>H227</f>
        <v>54</v>
      </c>
      <c r="Z227" s="91">
        <f>I227</f>
        <v>0</v>
      </c>
      <c r="AA227" s="91">
        <f>K227</f>
        <v>0</v>
      </c>
      <c r="AB227" s="91">
        <f t="shared" si="162"/>
        <v>0</v>
      </c>
      <c r="AC227" s="4" t="str">
        <f t="shared" si="162"/>
        <v/>
      </c>
      <c r="AD227" s="92">
        <f t="shared" si="162"/>
        <v>0</v>
      </c>
      <c r="AE227" s="80" t="str">
        <f>S227</f>
        <v>복</v>
      </c>
      <c r="AF227" s="80" t="str">
        <f>Q227&amp;"/"&amp;R227</f>
        <v>1/1</v>
      </c>
      <c r="AH227" s="20" t="str">
        <f t="shared" si="153"/>
        <v>산북동 부향하나로1차</v>
      </c>
      <c r="AI227" s="88">
        <f t="shared" si="152"/>
        <v>11</v>
      </c>
      <c r="AJ227" s="80" t="str">
        <f>IF(AI227="","",$AJ$2)</f>
        <v>A-</v>
      </c>
      <c r="AK227" s="80" t="s">
        <v>14</v>
      </c>
      <c r="AL227" s="80" t="s">
        <v>63</v>
      </c>
      <c r="AM227" s="80" t="s">
        <v>64</v>
      </c>
      <c r="AN227" s="80" t="str">
        <f>IF(AI227="","",$AN$2)</f>
        <v>C</v>
      </c>
      <c r="AO227" s="80" t="str">
        <f>IF(N227="","",IF(N227&gt;=$AO$1/100,"O","X"))</f>
        <v/>
      </c>
      <c r="AP227" s="80" t="str">
        <f>IF(I227="","",IF(I227&lt;=$AP$1,"O","X"))</f>
        <v/>
      </c>
      <c r="AQ227" s="80" t="str">
        <f>IF(O227="","",IF(O227&lt;=$AQ$1,"O","X"))</f>
        <v>O</v>
      </c>
      <c r="AR227" s="80" t="str">
        <f>IF(M227="","",IF(M227&lt;=$AR$1,"O","X"))</f>
        <v>O</v>
      </c>
      <c r="AS227" s="80" t="s">
        <v>2</v>
      </c>
      <c r="AT227" s="80" t="str">
        <f>IF(OR(F227="",AI227=""),"",IF(AND((F227&lt;=85),(AI227&gt;=15)),"O","X"))</f>
        <v>X</v>
      </c>
      <c r="AU227" s="80" t="str">
        <f>IF(C227="","",IF(C227&gt;=$AU$1,"O","X"))</f>
        <v>O</v>
      </c>
      <c r="AV227" s="80" t="str">
        <f>IF(AO227="","",IF(AND(AO227="O",AP227="O",AR227="O",AT227="O",AU227="O"),"후보","X"))</f>
        <v/>
      </c>
    </row>
    <row r="228" spans="1:48" s="37" customFormat="1" ht="12" x14ac:dyDescent="0.3">
      <c r="A228" s="75" t="s">
        <v>1715</v>
      </c>
      <c r="B228" s="76" t="s">
        <v>1509</v>
      </c>
      <c r="C228" s="86">
        <v>349</v>
      </c>
      <c r="D228" s="87">
        <v>51.5</v>
      </c>
      <c r="E228" s="88">
        <v>16</v>
      </c>
      <c r="F228" s="87">
        <v>39</v>
      </c>
      <c r="G228" s="17">
        <v>12</v>
      </c>
      <c r="H228" s="89">
        <v>295</v>
      </c>
      <c r="I228" s="90">
        <v>2100</v>
      </c>
      <c r="J228" s="90" t="s">
        <v>71</v>
      </c>
      <c r="K228" s="90"/>
      <c r="L228" s="90"/>
      <c r="M228" s="91">
        <f>I228-K228</f>
        <v>2100</v>
      </c>
      <c r="N228" s="4">
        <f>IF(ISERROR(K228/I228),"",K228/I228)</f>
        <v>0</v>
      </c>
      <c r="O228" s="92">
        <f>I228/E228</f>
        <v>131.25</v>
      </c>
      <c r="P228" s="92">
        <f>K228/E228</f>
        <v>0</v>
      </c>
      <c r="Q228" s="80">
        <v>2</v>
      </c>
      <c r="R228" s="80">
        <v>1</v>
      </c>
      <c r="S228" s="80" t="s">
        <v>76</v>
      </c>
      <c r="T228" s="5">
        <v>51</v>
      </c>
      <c r="U228" s="9"/>
      <c r="W228" s="87">
        <f>D228</f>
        <v>51.5</v>
      </c>
      <c r="X228" s="88">
        <f>E228</f>
        <v>16</v>
      </c>
      <c r="Y228" s="93">
        <f>H228</f>
        <v>295</v>
      </c>
      <c r="Z228" s="91">
        <f>I228</f>
        <v>2100</v>
      </c>
      <c r="AA228" s="91">
        <f>K228</f>
        <v>0</v>
      </c>
      <c r="AB228" s="91">
        <f t="shared" si="162"/>
        <v>2100</v>
      </c>
      <c r="AC228" s="4">
        <f t="shared" si="162"/>
        <v>0</v>
      </c>
      <c r="AD228" s="92">
        <f t="shared" si="162"/>
        <v>131.25</v>
      </c>
      <c r="AE228" s="80" t="str">
        <f>S228</f>
        <v>복</v>
      </c>
      <c r="AF228" s="80" t="str">
        <f>Q228&amp;"/"&amp;R228</f>
        <v>2/1</v>
      </c>
      <c r="AH228" s="20" t="str">
        <f t="shared" si="153"/>
        <v>산북동 부향하나로1차</v>
      </c>
      <c r="AI228" s="88">
        <f t="shared" si="152"/>
        <v>16</v>
      </c>
      <c r="AJ228" s="80" t="str">
        <f>IF(AI228="","",$AJ$2)</f>
        <v>A-</v>
      </c>
      <c r="AK228" s="80" t="s">
        <v>14</v>
      </c>
      <c r="AL228" s="80" t="s">
        <v>63</v>
      </c>
      <c r="AM228" s="80" t="s">
        <v>64</v>
      </c>
      <c r="AN228" s="80" t="str">
        <f>IF(AI228="","",$AN$2)</f>
        <v>C</v>
      </c>
      <c r="AO228" s="80" t="str">
        <f>IF(N228="","",IF(N228&gt;=$AO$1/100,"O","X"))</f>
        <v>X</v>
      </c>
      <c r="AP228" s="80" t="str">
        <f>IF(I228="","",IF(I228&lt;=$AP$1,"O","X"))</f>
        <v>O</v>
      </c>
      <c r="AQ228" s="80" t="str">
        <f>IF(O228="","",IF(O228&lt;=$AQ$1,"O","X"))</f>
        <v>O</v>
      </c>
      <c r="AR228" s="80" t="str">
        <f>IF(M228="","",IF(M228&lt;=$AR$1,"O","X"))</f>
        <v>O</v>
      </c>
      <c r="AS228" s="80" t="s">
        <v>2</v>
      </c>
      <c r="AT228" s="80" t="str">
        <f>IF(OR(F228="",AI228=""),"",IF(AND((F228&lt;=85),(AI228&gt;=15)),"O","X"))</f>
        <v>O</v>
      </c>
      <c r="AU228" s="80" t="str">
        <f>IF(C228="","",IF(C228&gt;=$AU$1,"O","X"))</f>
        <v>O</v>
      </c>
      <c r="AV228" s="80" t="str">
        <f>IF(AO228="","",IF(AND(AO228="O",AP228="O",AR228="O",AT228="O",AU228="O"),"후보","X"))</f>
        <v>X</v>
      </c>
    </row>
    <row r="229" spans="1:48" s="37" customFormat="1" ht="12" x14ac:dyDescent="0.3">
      <c r="A229" s="75" t="s">
        <v>1510</v>
      </c>
      <c r="B229" s="76" t="s">
        <v>1511</v>
      </c>
      <c r="C229" s="86">
        <v>381</v>
      </c>
      <c r="D229" s="87">
        <v>81.099999999999994</v>
      </c>
      <c r="E229" s="88">
        <v>25</v>
      </c>
      <c r="F229" s="87">
        <v>59.9</v>
      </c>
      <c r="G229" s="17">
        <v>18</v>
      </c>
      <c r="H229" s="89">
        <v>159</v>
      </c>
      <c r="I229" s="90">
        <v>8500</v>
      </c>
      <c r="J229" s="90" t="s">
        <v>66</v>
      </c>
      <c r="K229" s="90"/>
      <c r="L229" s="90"/>
      <c r="M229" s="91">
        <f>I229-K229</f>
        <v>8500</v>
      </c>
      <c r="N229" s="4">
        <f>IF(ISERROR(K229/I229),"",K229/I229)</f>
        <v>0</v>
      </c>
      <c r="O229" s="92">
        <f>I229/E229</f>
        <v>340</v>
      </c>
      <c r="P229" s="92">
        <f>K229/E229</f>
        <v>0</v>
      </c>
      <c r="Q229" s="80">
        <v>3</v>
      </c>
      <c r="R229" s="80">
        <v>1</v>
      </c>
      <c r="S229" s="80" t="s">
        <v>76</v>
      </c>
      <c r="T229" s="5">
        <v>81</v>
      </c>
      <c r="U229" s="9"/>
      <c r="W229" s="87">
        <f t="shared" ref="W229:X241" si="163">D229</f>
        <v>81.099999999999994</v>
      </c>
      <c r="X229" s="88">
        <f t="shared" si="163"/>
        <v>25</v>
      </c>
      <c r="Y229" s="93">
        <f t="shared" ref="Y229:Z241" si="164">H229</f>
        <v>159</v>
      </c>
      <c r="Z229" s="91">
        <f t="shared" si="164"/>
        <v>8500</v>
      </c>
      <c r="AA229" s="91">
        <f>K229</f>
        <v>0</v>
      </c>
      <c r="AB229" s="91">
        <f t="shared" si="162"/>
        <v>8500</v>
      </c>
      <c r="AC229" s="4">
        <f t="shared" si="162"/>
        <v>0</v>
      </c>
      <c r="AD229" s="92">
        <f t="shared" si="162"/>
        <v>340</v>
      </c>
      <c r="AE229" s="80" t="str">
        <f>S229</f>
        <v>복</v>
      </c>
      <c r="AF229" s="80" t="str">
        <f>Q229&amp;"/"&amp;R229</f>
        <v>3/1</v>
      </c>
      <c r="AH229" s="20" t="str">
        <f>IF(A229="","",A229)</f>
        <v>삼학동 군산삼학대우</v>
      </c>
      <c r="AI229" s="88">
        <f t="shared" si="152"/>
        <v>25</v>
      </c>
      <c r="AJ229" s="80" t="str">
        <f>IF(AI229="","",$AJ$2)</f>
        <v>A-</v>
      </c>
      <c r="AK229" s="80" t="s">
        <v>14</v>
      </c>
      <c r="AL229" s="80" t="s">
        <v>63</v>
      </c>
      <c r="AM229" s="80" t="s">
        <v>64</v>
      </c>
      <c r="AN229" s="80" t="str">
        <f>IF(AI229="","",$AN$2)</f>
        <v>C</v>
      </c>
      <c r="AO229" s="80" t="str">
        <f>IF(N229="","",IF(N229&gt;=$AO$1/100,"O","X"))</f>
        <v>X</v>
      </c>
      <c r="AP229" s="80" t="str">
        <f>IF(I229="","",IF(I229&lt;=$AP$1,"O","X"))</f>
        <v>O</v>
      </c>
      <c r="AQ229" s="80" t="str">
        <f>IF(O229="","",IF(O229&lt;=$AQ$1,"O","X"))</f>
        <v>O</v>
      </c>
      <c r="AR229" s="80" t="str">
        <f>IF(M229="","",IF(M229&lt;=$AR$1,"O","X"))</f>
        <v>X</v>
      </c>
      <c r="AS229" s="80" t="s">
        <v>2</v>
      </c>
      <c r="AT229" s="80" t="str">
        <f>IF(OR(F229="",AI229=""),"",IF(AND((F229&lt;=85),(AI229&gt;=15)),"O","X"))</f>
        <v>O</v>
      </c>
      <c r="AU229" s="80" t="str">
        <f>IF(C229="","",IF(C229&gt;=$AU$1,"O","X"))</f>
        <v>O</v>
      </c>
      <c r="AV229" s="80" t="str">
        <f>IF(AO229="","",IF(AND(AO229="O",AP229="O",AR229="O",AT229="O",AU229="O"),"후보","X"))</f>
        <v>X</v>
      </c>
    </row>
    <row r="230" spans="1:48" s="37" customFormat="1" ht="12" x14ac:dyDescent="0.3">
      <c r="A230" s="75" t="s">
        <v>1510</v>
      </c>
      <c r="B230" s="76" t="s">
        <v>1511</v>
      </c>
      <c r="C230" s="86">
        <v>381</v>
      </c>
      <c r="D230" s="87">
        <v>104.4</v>
      </c>
      <c r="E230" s="88">
        <v>32</v>
      </c>
      <c r="F230" s="87">
        <v>84.9</v>
      </c>
      <c r="G230" s="17">
        <v>26</v>
      </c>
      <c r="H230" s="89">
        <v>132</v>
      </c>
      <c r="I230" s="90">
        <v>16500</v>
      </c>
      <c r="J230" s="90" t="s">
        <v>84</v>
      </c>
      <c r="K230" s="90"/>
      <c r="L230" s="90"/>
      <c r="M230" s="91">
        <f>I230-K230</f>
        <v>16500</v>
      </c>
      <c r="N230" s="4">
        <f>IF(ISERROR(K230/I230),"",K230/I230)</f>
        <v>0</v>
      </c>
      <c r="O230" s="92">
        <f>I230/E230</f>
        <v>515.625</v>
      </c>
      <c r="P230" s="92">
        <f>K230/E230</f>
        <v>0</v>
      </c>
      <c r="Q230" s="80">
        <v>3</v>
      </c>
      <c r="R230" s="80">
        <v>2</v>
      </c>
      <c r="S230" s="80" t="s">
        <v>61</v>
      </c>
      <c r="T230" s="5">
        <v>104</v>
      </c>
      <c r="U230" s="9"/>
      <c r="W230" s="87">
        <f t="shared" si="163"/>
        <v>104.4</v>
      </c>
      <c r="X230" s="88">
        <f t="shared" si="163"/>
        <v>32</v>
      </c>
      <c r="Y230" s="93">
        <f t="shared" si="164"/>
        <v>132</v>
      </c>
      <c r="Z230" s="91">
        <f t="shared" si="164"/>
        <v>16500</v>
      </c>
      <c r="AA230" s="91">
        <f>K230</f>
        <v>0</v>
      </c>
      <c r="AB230" s="91">
        <f t="shared" si="162"/>
        <v>16500</v>
      </c>
      <c r="AC230" s="4">
        <f t="shared" si="162"/>
        <v>0</v>
      </c>
      <c r="AD230" s="92">
        <f t="shared" si="162"/>
        <v>515.625</v>
      </c>
      <c r="AE230" s="80" t="str">
        <f>S230</f>
        <v>계</v>
      </c>
      <c r="AF230" s="80" t="str">
        <f>Q230&amp;"/"&amp;R230</f>
        <v>3/2</v>
      </c>
      <c r="AH230" s="20" t="str">
        <f>IF(A230="","",A230)</f>
        <v>삼학동 군산삼학대우</v>
      </c>
      <c r="AI230" s="88">
        <f t="shared" si="152"/>
        <v>32</v>
      </c>
      <c r="AJ230" s="80" t="str">
        <f>IF(AI230="","",$AJ$2)</f>
        <v>A-</v>
      </c>
      <c r="AK230" s="80" t="s">
        <v>14</v>
      </c>
      <c r="AL230" s="80" t="s">
        <v>63</v>
      </c>
      <c r="AM230" s="80" t="s">
        <v>64</v>
      </c>
      <c r="AN230" s="80" t="str">
        <f>IF(AI230="","",$AN$2)</f>
        <v>C</v>
      </c>
      <c r="AO230" s="80" t="str">
        <f>IF(N230="","",IF(N230&gt;=$AO$1/100,"O","X"))</f>
        <v>X</v>
      </c>
      <c r="AP230" s="80" t="str">
        <f>IF(I230="","",IF(I230&lt;=$AP$1,"O","X"))</f>
        <v>O</v>
      </c>
      <c r="AQ230" s="80" t="str">
        <f>IF(O230="","",IF(O230&lt;=$AQ$1,"O","X"))</f>
        <v>O</v>
      </c>
      <c r="AR230" s="80" t="str">
        <f>IF(M230="","",IF(M230&lt;=$AR$1,"O","X"))</f>
        <v>X</v>
      </c>
      <c r="AS230" s="80" t="s">
        <v>2</v>
      </c>
      <c r="AT230" s="80" t="str">
        <f>IF(OR(F230="",AI230=""),"",IF(AND((F230&lt;=85),(AI230&gt;=15)),"O","X"))</f>
        <v>O</v>
      </c>
      <c r="AU230" s="80" t="str">
        <f>IF(C230="","",IF(C230&gt;=$AU$1,"O","X"))</f>
        <v>O</v>
      </c>
      <c r="AV230" s="80" t="str">
        <f>IF(AO230="","",IF(AND(AO230="O",AP230="O",AR230="O",AT230="O",AU230="O"),"후보","X"))</f>
        <v>X</v>
      </c>
    </row>
    <row r="231" spans="1:48" s="37" customFormat="1" ht="12" x14ac:dyDescent="0.3">
      <c r="A231" s="75" t="s">
        <v>1510</v>
      </c>
      <c r="B231" s="76" t="s">
        <v>1716</v>
      </c>
      <c r="C231" s="86">
        <v>381</v>
      </c>
      <c r="D231" s="87">
        <v>155.19999999999999</v>
      </c>
      <c r="E231" s="88">
        <v>47</v>
      </c>
      <c r="F231" s="87">
        <v>131.4</v>
      </c>
      <c r="G231" s="17">
        <v>40</v>
      </c>
      <c r="H231" s="89">
        <v>90</v>
      </c>
      <c r="I231" s="90">
        <v>16000</v>
      </c>
      <c r="J231" s="90" t="s">
        <v>81</v>
      </c>
      <c r="K231" s="90"/>
      <c r="L231" s="90"/>
      <c r="M231" s="91">
        <f>I231-K231</f>
        <v>16000</v>
      </c>
      <c r="N231" s="4">
        <f>IF(ISERROR(K231/I231),"",K231/I231)</f>
        <v>0</v>
      </c>
      <c r="O231" s="92">
        <f>I231/E231</f>
        <v>340.42553191489361</v>
      </c>
      <c r="P231" s="92">
        <f>K231/E231</f>
        <v>0</v>
      </c>
      <c r="Q231" s="80">
        <v>4</v>
      </c>
      <c r="R231" s="80">
        <v>2</v>
      </c>
      <c r="S231" s="80" t="s">
        <v>61</v>
      </c>
      <c r="T231" s="5">
        <v>155</v>
      </c>
      <c r="U231" s="9"/>
      <c r="W231" s="87">
        <f t="shared" si="163"/>
        <v>155.19999999999999</v>
      </c>
      <c r="X231" s="88">
        <f t="shared" si="163"/>
        <v>47</v>
      </c>
      <c r="Y231" s="93">
        <f t="shared" si="164"/>
        <v>90</v>
      </c>
      <c r="Z231" s="91">
        <f t="shared" si="164"/>
        <v>16000</v>
      </c>
      <c r="AA231" s="91">
        <f>K231</f>
        <v>0</v>
      </c>
      <c r="AB231" s="91">
        <f t="shared" si="162"/>
        <v>16000</v>
      </c>
      <c r="AC231" s="4">
        <f t="shared" si="162"/>
        <v>0</v>
      </c>
      <c r="AD231" s="92">
        <f t="shared" si="162"/>
        <v>340.42553191489361</v>
      </c>
      <c r="AE231" s="80" t="str">
        <f>S231</f>
        <v>계</v>
      </c>
      <c r="AF231" s="80" t="str">
        <f>Q231&amp;"/"&amp;R231</f>
        <v>4/2</v>
      </c>
      <c r="AH231" s="20" t="str">
        <f>IF(A231="","",A231)</f>
        <v>삼학동 군산삼학대우</v>
      </c>
      <c r="AI231" s="88">
        <f t="shared" si="152"/>
        <v>47</v>
      </c>
      <c r="AJ231" s="80" t="str">
        <f>IF(AI231="","",$AJ$2)</f>
        <v>A-</v>
      </c>
      <c r="AK231" s="80" t="s">
        <v>14</v>
      </c>
      <c r="AL231" s="80" t="s">
        <v>63</v>
      </c>
      <c r="AM231" s="80" t="s">
        <v>64</v>
      </c>
      <c r="AN231" s="80" t="str">
        <f>IF(AI231="","",$AN$2)</f>
        <v>C</v>
      </c>
      <c r="AO231" s="80" t="str">
        <f>IF(N231="","",IF(N231&gt;=$AO$1/100,"O","X"))</f>
        <v>X</v>
      </c>
      <c r="AP231" s="80" t="str">
        <f>IF(I231="","",IF(I231&lt;=$AP$1,"O","X"))</f>
        <v>O</v>
      </c>
      <c r="AQ231" s="80" t="str">
        <f>IF(O231="","",IF(O231&lt;=$AQ$1,"O","X"))</f>
        <v>O</v>
      </c>
      <c r="AR231" s="80" t="str">
        <f>IF(M231="","",IF(M231&lt;=$AR$1,"O","X"))</f>
        <v>X</v>
      </c>
      <c r="AS231" s="80" t="s">
        <v>2</v>
      </c>
      <c r="AT231" s="80" t="str">
        <f>IF(OR(F231="",AI231=""),"",IF(AND((F231&lt;=85),(AI231&gt;=15)),"O","X"))</f>
        <v>X</v>
      </c>
      <c r="AU231" s="80" t="str">
        <f>IF(C231="","",IF(C231&gt;=$AU$1,"O","X"))</f>
        <v>O</v>
      </c>
      <c r="AV231" s="80" t="str">
        <f>IF(AO231="","",IF(AND(AO231="O",AP231="O",AR231="O",AT231="O",AU231="O"),"후보","X"))</f>
        <v>X</v>
      </c>
    </row>
    <row r="232" spans="1:48" s="37" customFormat="1" ht="12" x14ac:dyDescent="0.3">
      <c r="A232" s="75" t="s">
        <v>1717</v>
      </c>
      <c r="B232" s="76" t="s">
        <v>1718</v>
      </c>
      <c r="C232" s="86">
        <v>226</v>
      </c>
      <c r="D232" s="87">
        <v>56.3</v>
      </c>
      <c r="E232" s="88">
        <v>17</v>
      </c>
      <c r="F232" s="87">
        <v>43.1</v>
      </c>
      <c r="G232" s="17">
        <v>13</v>
      </c>
      <c r="H232" s="89">
        <v>12</v>
      </c>
      <c r="I232" s="90"/>
      <c r="J232" s="90"/>
      <c r="K232" s="90"/>
      <c r="L232" s="90"/>
      <c r="M232" s="91">
        <f t="shared" ref="M232:M241" si="165">I232-K232</f>
        <v>0</v>
      </c>
      <c r="N232" s="4" t="str">
        <f t="shared" ref="N232:N241" si="166">IF(ISERROR(K232/I232),"",K232/I232)</f>
        <v/>
      </c>
      <c r="O232" s="92">
        <f t="shared" ref="O232:O241" si="167">I232/E232</f>
        <v>0</v>
      </c>
      <c r="P232" s="92">
        <f t="shared" ref="P232:P241" si="168">K232/E232</f>
        <v>0</v>
      </c>
      <c r="Q232" s="80">
        <v>2</v>
      </c>
      <c r="R232" s="80">
        <v>1</v>
      </c>
      <c r="S232" s="80" t="s">
        <v>61</v>
      </c>
      <c r="T232" s="5">
        <v>56</v>
      </c>
      <c r="U232" s="9"/>
      <c r="W232" s="87">
        <f t="shared" si="163"/>
        <v>56.3</v>
      </c>
      <c r="X232" s="88">
        <f t="shared" si="163"/>
        <v>17</v>
      </c>
      <c r="Y232" s="93">
        <f t="shared" si="164"/>
        <v>12</v>
      </c>
      <c r="Z232" s="91">
        <f t="shared" si="164"/>
        <v>0</v>
      </c>
      <c r="AA232" s="91">
        <f t="shared" ref="AA232:AA241" si="169">K232</f>
        <v>0</v>
      </c>
      <c r="AB232" s="91">
        <f t="shared" si="162"/>
        <v>0</v>
      </c>
      <c r="AC232" s="4" t="str">
        <f t="shared" si="162"/>
        <v/>
      </c>
      <c r="AD232" s="92">
        <f t="shared" si="162"/>
        <v>0</v>
      </c>
      <c r="AE232" s="80" t="str">
        <f t="shared" ref="AE232:AE241" si="170">S232</f>
        <v>계</v>
      </c>
      <c r="AF232" s="80" t="str">
        <f t="shared" ref="AF232:AF241" si="171">Q232&amp;"/"&amp;R232</f>
        <v>2/1</v>
      </c>
      <c r="AH232" s="20" t="str">
        <f t="shared" ref="AH232:AH295" si="172">IF(A232="","",A232)</f>
        <v>서흥남동 고려타운</v>
      </c>
      <c r="AI232" s="88">
        <f t="shared" si="152"/>
        <v>17</v>
      </c>
      <c r="AJ232" s="80" t="str">
        <f t="shared" ref="AJ232:AJ241" si="173">IF(AI232="","",$AJ$2)</f>
        <v>A-</v>
      </c>
      <c r="AK232" s="80" t="s">
        <v>14</v>
      </c>
      <c r="AL232" s="80" t="s">
        <v>63</v>
      </c>
      <c r="AM232" s="80" t="s">
        <v>64</v>
      </c>
      <c r="AN232" s="80" t="str">
        <f t="shared" ref="AN232:AN241" si="174">IF(AI232="","",$AN$2)</f>
        <v>C</v>
      </c>
      <c r="AO232" s="80" t="str">
        <f t="shared" ref="AO232:AO241" si="175">IF(N232="","",IF(N232&gt;=$AO$1/100,"O","X"))</f>
        <v/>
      </c>
      <c r="AP232" s="80" t="str">
        <f t="shared" ref="AP232:AP241" si="176">IF(I232="","",IF(I232&lt;=$AP$1,"O","X"))</f>
        <v/>
      </c>
      <c r="AQ232" s="80" t="str">
        <f t="shared" ref="AQ232:AQ241" si="177">IF(O232="","",IF(O232&lt;=$AQ$1,"O","X"))</f>
        <v>O</v>
      </c>
      <c r="AR232" s="80" t="str">
        <f t="shared" ref="AR232:AR241" si="178">IF(M232="","",IF(M232&lt;=$AR$1,"O","X"))</f>
        <v>O</v>
      </c>
      <c r="AS232" s="80" t="s">
        <v>2</v>
      </c>
      <c r="AT232" s="80" t="str">
        <f t="shared" ref="AT232:AT241" si="179">IF(OR(F232="",AI232=""),"",IF(AND((F232&lt;=85),(AI232&gt;=15)),"O","X"))</f>
        <v>O</v>
      </c>
      <c r="AU232" s="80" t="str">
        <f t="shared" ref="AU232:AU241" si="180">IF(C232="","",IF(C232&gt;=$AU$1,"O","X"))</f>
        <v>X</v>
      </c>
      <c r="AV232" s="80" t="str">
        <f t="shared" ref="AV232:AV241" si="181">IF(AO232="","",IF(AND(AO232="O",AP232="O",AR232="O",AT232="O",AU232="O"),"후보","X"))</f>
        <v/>
      </c>
    </row>
    <row r="233" spans="1:48" s="37" customFormat="1" ht="12" x14ac:dyDescent="0.3">
      <c r="A233" s="75" t="s">
        <v>1719</v>
      </c>
      <c r="B233" s="76" t="s">
        <v>1513</v>
      </c>
      <c r="C233" s="86">
        <v>226</v>
      </c>
      <c r="D233" s="87">
        <v>64.8</v>
      </c>
      <c r="E233" s="88">
        <v>20</v>
      </c>
      <c r="F233" s="87">
        <v>49</v>
      </c>
      <c r="G233" s="17">
        <v>15</v>
      </c>
      <c r="H233" s="89">
        <v>20</v>
      </c>
      <c r="I233" s="90"/>
      <c r="J233" s="90"/>
      <c r="K233" s="90"/>
      <c r="L233" s="90"/>
      <c r="M233" s="91">
        <f t="shared" si="165"/>
        <v>0</v>
      </c>
      <c r="N233" s="4" t="str">
        <f t="shared" si="166"/>
        <v/>
      </c>
      <c r="O233" s="92">
        <f t="shared" si="167"/>
        <v>0</v>
      </c>
      <c r="P233" s="92">
        <f t="shared" si="168"/>
        <v>0</v>
      </c>
      <c r="Q233" s="80">
        <v>2</v>
      </c>
      <c r="R233" s="80">
        <v>1</v>
      </c>
      <c r="S233" s="80" t="s">
        <v>61</v>
      </c>
      <c r="T233" s="5">
        <v>64</v>
      </c>
      <c r="U233" s="9"/>
      <c r="W233" s="87">
        <f t="shared" si="163"/>
        <v>64.8</v>
      </c>
      <c r="X233" s="88">
        <f t="shared" si="163"/>
        <v>20</v>
      </c>
      <c r="Y233" s="93">
        <f t="shared" si="164"/>
        <v>20</v>
      </c>
      <c r="Z233" s="91">
        <f t="shared" si="164"/>
        <v>0</v>
      </c>
      <c r="AA233" s="91">
        <f t="shared" si="169"/>
        <v>0</v>
      </c>
      <c r="AB233" s="91">
        <f t="shared" si="162"/>
        <v>0</v>
      </c>
      <c r="AC233" s="4" t="str">
        <f t="shared" si="162"/>
        <v/>
      </c>
      <c r="AD233" s="92">
        <f t="shared" si="162"/>
        <v>0</v>
      </c>
      <c r="AE233" s="80" t="str">
        <f t="shared" si="170"/>
        <v>계</v>
      </c>
      <c r="AF233" s="80" t="str">
        <f t="shared" si="171"/>
        <v>2/1</v>
      </c>
      <c r="AH233" s="20" t="str">
        <f t="shared" si="172"/>
        <v>서흥남동 고려타운</v>
      </c>
      <c r="AI233" s="88">
        <f t="shared" si="152"/>
        <v>20</v>
      </c>
      <c r="AJ233" s="80" t="str">
        <f t="shared" si="173"/>
        <v>A-</v>
      </c>
      <c r="AK233" s="80" t="s">
        <v>14</v>
      </c>
      <c r="AL233" s="80" t="s">
        <v>63</v>
      </c>
      <c r="AM233" s="80" t="s">
        <v>64</v>
      </c>
      <c r="AN233" s="80" t="str">
        <f t="shared" si="174"/>
        <v>C</v>
      </c>
      <c r="AO233" s="80" t="str">
        <f t="shared" si="175"/>
        <v/>
      </c>
      <c r="AP233" s="80" t="str">
        <f t="shared" si="176"/>
        <v/>
      </c>
      <c r="AQ233" s="80" t="str">
        <f t="shared" si="177"/>
        <v>O</v>
      </c>
      <c r="AR233" s="80" t="str">
        <f t="shared" si="178"/>
        <v>O</v>
      </c>
      <c r="AS233" s="80" t="s">
        <v>2</v>
      </c>
      <c r="AT233" s="80" t="str">
        <f t="shared" si="179"/>
        <v>O</v>
      </c>
      <c r="AU233" s="80" t="str">
        <f t="shared" si="180"/>
        <v>X</v>
      </c>
      <c r="AV233" s="80" t="str">
        <f t="shared" si="181"/>
        <v/>
      </c>
    </row>
    <row r="234" spans="1:48" s="37" customFormat="1" ht="12" x14ac:dyDescent="0.3">
      <c r="A234" s="75" t="s">
        <v>1720</v>
      </c>
      <c r="B234" s="76" t="s">
        <v>1718</v>
      </c>
      <c r="C234" s="86">
        <v>226</v>
      </c>
      <c r="D234" s="87">
        <v>74.599999999999994</v>
      </c>
      <c r="E234" s="88">
        <v>23</v>
      </c>
      <c r="F234" s="87">
        <v>58.8</v>
      </c>
      <c r="G234" s="17">
        <v>18</v>
      </c>
      <c r="H234" s="89">
        <v>18</v>
      </c>
      <c r="I234" s="90"/>
      <c r="J234" s="90"/>
      <c r="K234" s="90"/>
      <c r="L234" s="90"/>
      <c r="M234" s="91">
        <f t="shared" si="165"/>
        <v>0</v>
      </c>
      <c r="N234" s="4" t="str">
        <f t="shared" si="166"/>
        <v/>
      </c>
      <c r="O234" s="92">
        <f t="shared" si="167"/>
        <v>0</v>
      </c>
      <c r="P234" s="92">
        <f t="shared" si="168"/>
        <v>0</v>
      </c>
      <c r="Q234" s="80">
        <v>3</v>
      </c>
      <c r="R234" s="80">
        <v>2</v>
      </c>
      <c r="S234" s="80" t="s">
        <v>61</v>
      </c>
      <c r="T234" s="5" t="s">
        <v>228</v>
      </c>
      <c r="U234" s="9"/>
      <c r="W234" s="87">
        <f t="shared" si="163"/>
        <v>74.599999999999994</v>
      </c>
      <c r="X234" s="88">
        <f t="shared" si="163"/>
        <v>23</v>
      </c>
      <c r="Y234" s="93">
        <f t="shared" si="164"/>
        <v>18</v>
      </c>
      <c r="Z234" s="91">
        <f t="shared" si="164"/>
        <v>0</v>
      </c>
      <c r="AA234" s="91">
        <f t="shared" si="169"/>
        <v>0</v>
      </c>
      <c r="AB234" s="91">
        <f t="shared" si="162"/>
        <v>0</v>
      </c>
      <c r="AC234" s="4" t="str">
        <f t="shared" si="162"/>
        <v/>
      </c>
      <c r="AD234" s="92">
        <f t="shared" si="162"/>
        <v>0</v>
      </c>
      <c r="AE234" s="80" t="str">
        <f t="shared" si="170"/>
        <v>계</v>
      </c>
      <c r="AF234" s="80" t="str">
        <f t="shared" si="171"/>
        <v>3/2</v>
      </c>
      <c r="AH234" s="20" t="str">
        <f t="shared" si="172"/>
        <v>서흥남동 고려타운</v>
      </c>
      <c r="AI234" s="88">
        <f t="shared" si="152"/>
        <v>23</v>
      </c>
      <c r="AJ234" s="80" t="str">
        <f t="shared" si="173"/>
        <v>A-</v>
      </c>
      <c r="AK234" s="80" t="s">
        <v>14</v>
      </c>
      <c r="AL234" s="80" t="s">
        <v>63</v>
      </c>
      <c r="AM234" s="80" t="s">
        <v>64</v>
      </c>
      <c r="AN234" s="80" t="str">
        <f t="shared" si="174"/>
        <v>C</v>
      </c>
      <c r="AO234" s="80" t="str">
        <f t="shared" si="175"/>
        <v/>
      </c>
      <c r="AP234" s="80" t="str">
        <f t="shared" si="176"/>
        <v/>
      </c>
      <c r="AQ234" s="80" t="str">
        <f t="shared" si="177"/>
        <v>O</v>
      </c>
      <c r="AR234" s="80" t="str">
        <f t="shared" si="178"/>
        <v>O</v>
      </c>
      <c r="AS234" s="80" t="s">
        <v>2</v>
      </c>
      <c r="AT234" s="80" t="str">
        <f t="shared" si="179"/>
        <v>O</v>
      </c>
      <c r="AU234" s="80" t="str">
        <f t="shared" si="180"/>
        <v>X</v>
      </c>
      <c r="AV234" s="80" t="str">
        <f t="shared" si="181"/>
        <v/>
      </c>
    </row>
    <row r="235" spans="1:48" s="37" customFormat="1" ht="12" x14ac:dyDescent="0.3">
      <c r="A235" s="75" t="s">
        <v>1720</v>
      </c>
      <c r="B235" s="76" t="s">
        <v>1513</v>
      </c>
      <c r="C235" s="86">
        <v>226</v>
      </c>
      <c r="D235" s="87">
        <v>76.900000000000006</v>
      </c>
      <c r="E235" s="88">
        <v>23</v>
      </c>
      <c r="F235" s="87">
        <v>59.5</v>
      </c>
      <c r="G235" s="17">
        <v>18</v>
      </c>
      <c r="H235" s="89">
        <v>56</v>
      </c>
      <c r="I235" s="90"/>
      <c r="J235" s="90"/>
      <c r="K235" s="90"/>
      <c r="L235" s="90"/>
      <c r="M235" s="91">
        <f t="shared" si="165"/>
        <v>0</v>
      </c>
      <c r="N235" s="4" t="str">
        <f t="shared" si="166"/>
        <v/>
      </c>
      <c r="O235" s="92">
        <f t="shared" si="167"/>
        <v>0</v>
      </c>
      <c r="P235" s="92">
        <f t="shared" si="168"/>
        <v>0</v>
      </c>
      <c r="Q235" s="80">
        <v>3</v>
      </c>
      <c r="R235" s="80">
        <v>2</v>
      </c>
      <c r="S235" s="80" t="s">
        <v>61</v>
      </c>
      <c r="T235" s="5" t="s">
        <v>938</v>
      </c>
      <c r="U235" s="9"/>
      <c r="W235" s="87">
        <f t="shared" si="163"/>
        <v>76.900000000000006</v>
      </c>
      <c r="X235" s="88">
        <f t="shared" si="163"/>
        <v>23</v>
      </c>
      <c r="Y235" s="93">
        <f t="shared" si="164"/>
        <v>56</v>
      </c>
      <c r="Z235" s="91">
        <f t="shared" si="164"/>
        <v>0</v>
      </c>
      <c r="AA235" s="91">
        <f t="shared" si="169"/>
        <v>0</v>
      </c>
      <c r="AB235" s="91">
        <f t="shared" si="162"/>
        <v>0</v>
      </c>
      <c r="AC235" s="4" t="str">
        <f t="shared" si="162"/>
        <v/>
      </c>
      <c r="AD235" s="92">
        <f t="shared" si="162"/>
        <v>0</v>
      </c>
      <c r="AE235" s="80" t="str">
        <f t="shared" si="170"/>
        <v>계</v>
      </c>
      <c r="AF235" s="80" t="str">
        <f t="shared" si="171"/>
        <v>3/2</v>
      </c>
      <c r="AH235" s="20" t="str">
        <f t="shared" si="172"/>
        <v>서흥남동 고려타운</v>
      </c>
      <c r="AI235" s="88">
        <f t="shared" si="152"/>
        <v>23</v>
      </c>
      <c r="AJ235" s="80" t="str">
        <f t="shared" si="173"/>
        <v>A-</v>
      </c>
      <c r="AK235" s="80" t="s">
        <v>14</v>
      </c>
      <c r="AL235" s="80" t="s">
        <v>63</v>
      </c>
      <c r="AM235" s="80" t="s">
        <v>64</v>
      </c>
      <c r="AN235" s="80" t="str">
        <f t="shared" si="174"/>
        <v>C</v>
      </c>
      <c r="AO235" s="80" t="str">
        <f t="shared" si="175"/>
        <v/>
      </c>
      <c r="AP235" s="80" t="str">
        <f t="shared" si="176"/>
        <v/>
      </c>
      <c r="AQ235" s="80" t="str">
        <f t="shared" si="177"/>
        <v>O</v>
      </c>
      <c r="AR235" s="80" t="str">
        <f t="shared" si="178"/>
        <v>O</v>
      </c>
      <c r="AS235" s="80" t="s">
        <v>2</v>
      </c>
      <c r="AT235" s="80" t="str">
        <f t="shared" si="179"/>
        <v>O</v>
      </c>
      <c r="AU235" s="80" t="str">
        <f t="shared" si="180"/>
        <v>X</v>
      </c>
      <c r="AV235" s="80" t="str">
        <f t="shared" si="181"/>
        <v/>
      </c>
    </row>
    <row r="236" spans="1:48" s="37" customFormat="1" ht="12" x14ac:dyDescent="0.3">
      <c r="A236" s="75" t="s">
        <v>1720</v>
      </c>
      <c r="B236" s="76" t="s">
        <v>1513</v>
      </c>
      <c r="C236" s="86">
        <v>226</v>
      </c>
      <c r="D236" s="87">
        <v>77.5</v>
      </c>
      <c r="E236" s="88">
        <v>23</v>
      </c>
      <c r="F236" s="87">
        <v>59.7</v>
      </c>
      <c r="G236" s="17">
        <v>18</v>
      </c>
      <c r="H236" s="89">
        <v>60</v>
      </c>
      <c r="I236" s="90"/>
      <c r="J236" s="90"/>
      <c r="K236" s="90"/>
      <c r="L236" s="90"/>
      <c r="M236" s="91">
        <f t="shared" si="165"/>
        <v>0</v>
      </c>
      <c r="N236" s="4" t="str">
        <f t="shared" si="166"/>
        <v/>
      </c>
      <c r="O236" s="92">
        <f t="shared" si="167"/>
        <v>0</v>
      </c>
      <c r="P236" s="92">
        <f t="shared" si="168"/>
        <v>0</v>
      </c>
      <c r="Q236" s="80">
        <v>3</v>
      </c>
      <c r="R236" s="80">
        <v>2</v>
      </c>
      <c r="S236" s="80" t="s">
        <v>61</v>
      </c>
      <c r="T236" s="5" t="s">
        <v>147</v>
      </c>
      <c r="U236" s="9"/>
      <c r="W236" s="87">
        <f t="shared" si="163"/>
        <v>77.5</v>
      </c>
      <c r="X236" s="88">
        <f t="shared" si="163"/>
        <v>23</v>
      </c>
      <c r="Y236" s="93">
        <f t="shared" si="164"/>
        <v>60</v>
      </c>
      <c r="Z236" s="91">
        <f t="shared" si="164"/>
        <v>0</v>
      </c>
      <c r="AA236" s="91">
        <f t="shared" si="169"/>
        <v>0</v>
      </c>
      <c r="AB236" s="91">
        <f t="shared" si="162"/>
        <v>0</v>
      </c>
      <c r="AC236" s="4" t="str">
        <f t="shared" si="162"/>
        <v/>
      </c>
      <c r="AD236" s="92">
        <f t="shared" si="162"/>
        <v>0</v>
      </c>
      <c r="AE236" s="80" t="str">
        <f t="shared" si="170"/>
        <v>계</v>
      </c>
      <c r="AF236" s="80" t="str">
        <f t="shared" si="171"/>
        <v>3/2</v>
      </c>
      <c r="AH236" s="20" t="str">
        <f t="shared" si="172"/>
        <v>서흥남동 고려타운</v>
      </c>
      <c r="AI236" s="88">
        <f t="shared" si="152"/>
        <v>23</v>
      </c>
      <c r="AJ236" s="80" t="str">
        <f t="shared" si="173"/>
        <v>A-</v>
      </c>
      <c r="AK236" s="80" t="s">
        <v>14</v>
      </c>
      <c r="AL236" s="80" t="s">
        <v>63</v>
      </c>
      <c r="AM236" s="80" t="s">
        <v>64</v>
      </c>
      <c r="AN236" s="80" t="str">
        <f t="shared" si="174"/>
        <v>C</v>
      </c>
      <c r="AO236" s="80" t="str">
        <f t="shared" si="175"/>
        <v/>
      </c>
      <c r="AP236" s="80" t="str">
        <f t="shared" si="176"/>
        <v/>
      </c>
      <c r="AQ236" s="80" t="str">
        <f t="shared" si="177"/>
        <v>O</v>
      </c>
      <c r="AR236" s="80" t="str">
        <f t="shared" si="178"/>
        <v>O</v>
      </c>
      <c r="AS236" s="80" t="s">
        <v>2</v>
      </c>
      <c r="AT236" s="80" t="str">
        <f t="shared" si="179"/>
        <v>O</v>
      </c>
      <c r="AU236" s="80" t="str">
        <f t="shared" si="180"/>
        <v>X</v>
      </c>
      <c r="AV236" s="80" t="str">
        <f t="shared" si="181"/>
        <v/>
      </c>
    </row>
    <row r="237" spans="1:48" s="37" customFormat="1" ht="12" x14ac:dyDescent="0.3">
      <c r="A237" s="75" t="s">
        <v>1512</v>
      </c>
      <c r="B237" s="76" t="s">
        <v>1721</v>
      </c>
      <c r="C237" s="86">
        <v>226</v>
      </c>
      <c r="D237" s="87">
        <v>77.5</v>
      </c>
      <c r="E237" s="88">
        <v>23</v>
      </c>
      <c r="F237" s="87">
        <v>59.5</v>
      </c>
      <c r="G237" s="17">
        <v>18</v>
      </c>
      <c r="H237" s="89">
        <v>20</v>
      </c>
      <c r="I237" s="90"/>
      <c r="J237" s="90"/>
      <c r="K237" s="90"/>
      <c r="L237" s="90"/>
      <c r="M237" s="91">
        <f t="shared" si="165"/>
        <v>0</v>
      </c>
      <c r="N237" s="4" t="str">
        <f t="shared" si="166"/>
        <v/>
      </c>
      <c r="O237" s="92">
        <f t="shared" si="167"/>
        <v>0</v>
      </c>
      <c r="P237" s="92">
        <f t="shared" si="168"/>
        <v>0</v>
      </c>
      <c r="Q237" s="80">
        <v>3</v>
      </c>
      <c r="R237" s="80">
        <v>2</v>
      </c>
      <c r="S237" s="80" t="s">
        <v>61</v>
      </c>
      <c r="T237" s="5" t="s">
        <v>939</v>
      </c>
      <c r="U237" s="9"/>
      <c r="W237" s="87">
        <f t="shared" si="163"/>
        <v>77.5</v>
      </c>
      <c r="X237" s="88">
        <f t="shared" si="163"/>
        <v>23</v>
      </c>
      <c r="Y237" s="93">
        <f t="shared" si="164"/>
        <v>20</v>
      </c>
      <c r="Z237" s="91">
        <f t="shared" si="164"/>
        <v>0</v>
      </c>
      <c r="AA237" s="91">
        <f t="shared" si="169"/>
        <v>0</v>
      </c>
      <c r="AB237" s="91">
        <f t="shared" si="162"/>
        <v>0</v>
      </c>
      <c r="AC237" s="4" t="str">
        <f t="shared" si="162"/>
        <v/>
      </c>
      <c r="AD237" s="92">
        <f t="shared" si="162"/>
        <v>0</v>
      </c>
      <c r="AE237" s="80" t="str">
        <f t="shared" si="170"/>
        <v>계</v>
      </c>
      <c r="AF237" s="80" t="str">
        <f t="shared" si="171"/>
        <v>3/2</v>
      </c>
      <c r="AH237" s="20" t="str">
        <f t="shared" si="172"/>
        <v>서흥남동 고려타운</v>
      </c>
      <c r="AI237" s="88">
        <f t="shared" si="152"/>
        <v>23</v>
      </c>
      <c r="AJ237" s="80" t="str">
        <f t="shared" si="173"/>
        <v>A-</v>
      </c>
      <c r="AK237" s="80" t="s">
        <v>14</v>
      </c>
      <c r="AL237" s="80" t="s">
        <v>63</v>
      </c>
      <c r="AM237" s="80" t="s">
        <v>64</v>
      </c>
      <c r="AN237" s="80" t="str">
        <f t="shared" si="174"/>
        <v>C</v>
      </c>
      <c r="AO237" s="80" t="str">
        <f t="shared" si="175"/>
        <v/>
      </c>
      <c r="AP237" s="80" t="str">
        <f t="shared" si="176"/>
        <v/>
      </c>
      <c r="AQ237" s="80" t="str">
        <f t="shared" si="177"/>
        <v>O</v>
      </c>
      <c r="AR237" s="80" t="str">
        <f t="shared" si="178"/>
        <v>O</v>
      </c>
      <c r="AS237" s="80" t="s">
        <v>2</v>
      </c>
      <c r="AT237" s="80" t="str">
        <f t="shared" si="179"/>
        <v>O</v>
      </c>
      <c r="AU237" s="80" t="str">
        <f t="shared" si="180"/>
        <v>X</v>
      </c>
      <c r="AV237" s="80" t="str">
        <f t="shared" si="181"/>
        <v/>
      </c>
    </row>
    <row r="238" spans="1:48" s="37" customFormat="1" ht="12" x14ac:dyDescent="0.3">
      <c r="A238" s="75" t="s">
        <v>1512</v>
      </c>
      <c r="B238" s="76" t="s">
        <v>1513</v>
      </c>
      <c r="C238" s="86">
        <v>226</v>
      </c>
      <c r="D238" s="87">
        <v>104.9</v>
      </c>
      <c r="E238" s="88">
        <v>32</v>
      </c>
      <c r="F238" s="87">
        <v>84.8</v>
      </c>
      <c r="G238" s="17">
        <v>26</v>
      </c>
      <c r="H238" s="89">
        <v>6</v>
      </c>
      <c r="I238" s="90"/>
      <c r="J238" s="90"/>
      <c r="K238" s="90"/>
      <c r="L238" s="90"/>
      <c r="M238" s="91">
        <f t="shared" si="165"/>
        <v>0</v>
      </c>
      <c r="N238" s="4" t="str">
        <f t="shared" si="166"/>
        <v/>
      </c>
      <c r="O238" s="92">
        <f t="shared" si="167"/>
        <v>0</v>
      </c>
      <c r="P238" s="92">
        <f t="shared" si="168"/>
        <v>0</v>
      </c>
      <c r="Q238" s="80">
        <v>3</v>
      </c>
      <c r="R238" s="80">
        <v>2</v>
      </c>
      <c r="S238" s="80" t="s">
        <v>61</v>
      </c>
      <c r="T238" s="5" t="s">
        <v>940</v>
      </c>
      <c r="U238" s="9"/>
      <c r="W238" s="87">
        <f t="shared" si="163"/>
        <v>104.9</v>
      </c>
      <c r="X238" s="88">
        <f t="shared" si="163"/>
        <v>32</v>
      </c>
      <c r="Y238" s="93">
        <f t="shared" si="164"/>
        <v>6</v>
      </c>
      <c r="Z238" s="91">
        <f t="shared" si="164"/>
        <v>0</v>
      </c>
      <c r="AA238" s="91">
        <f t="shared" si="169"/>
        <v>0</v>
      </c>
      <c r="AB238" s="91">
        <f t="shared" si="162"/>
        <v>0</v>
      </c>
      <c r="AC238" s="4" t="str">
        <f t="shared" si="162"/>
        <v/>
      </c>
      <c r="AD238" s="92">
        <f t="shared" si="162"/>
        <v>0</v>
      </c>
      <c r="AE238" s="80" t="str">
        <f t="shared" si="170"/>
        <v>계</v>
      </c>
      <c r="AF238" s="80" t="str">
        <f t="shared" si="171"/>
        <v>3/2</v>
      </c>
      <c r="AH238" s="20" t="str">
        <f t="shared" si="172"/>
        <v>서흥남동 고려타운</v>
      </c>
      <c r="AI238" s="88">
        <f t="shared" si="152"/>
        <v>32</v>
      </c>
      <c r="AJ238" s="80" t="str">
        <f t="shared" si="173"/>
        <v>A-</v>
      </c>
      <c r="AK238" s="80" t="s">
        <v>14</v>
      </c>
      <c r="AL238" s="80" t="s">
        <v>63</v>
      </c>
      <c r="AM238" s="80" t="s">
        <v>64</v>
      </c>
      <c r="AN238" s="80" t="str">
        <f t="shared" si="174"/>
        <v>C</v>
      </c>
      <c r="AO238" s="80" t="str">
        <f t="shared" si="175"/>
        <v/>
      </c>
      <c r="AP238" s="80" t="str">
        <f t="shared" si="176"/>
        <v/>
      </c>
      <c r="AQ238" s="80" t="str">
        <f t="shared" si="177"/>
        <v>O</v>
      </c>
      <c r="AR238" s="80" t="str">
        <f t="shared" si="178"/>
        <v>O</v>
      </c>
      <c r="AS238" s="80" t="s">
        <v>2</v>
      </c>
      <c r="AT238" s="80" t="str">
        <f t="shared" si="179"/>
        <v>O</v>
      </c>
      <c r="AU238" s="80" t="str">
        <f t="shared" si="180"/>
        <v>X</v>
      </c>
      <c r="AV238" s="80" t="str">
        <f t="shared" si="181"/>
        <v/>
      </c>
    </row>
    <row r="239" spans="1:48" s="37" customFormat="1" ht="12" x14ac:dyDescent="0.3">
      <c r="A239" s="75" t="s">
        <v>1512</v>
      </c>
      <c r="B239" s="76" t="s">
        <v>1513</v>
      </c>
      <c r="C239" s="86">
        <v>226</v>
      </c>
      <c r="D239" s="87">
        <v>105.4</v>
      </c>
      <c r="E239" s="88">
        <v>32</v>
      </c>
      <c r="F239" s="87">
        <v>84.6</v>
      </c>
      <c r="G239" s="17">
        <v>26</v>
      </c>
      <c r="H239" s="89">
        <v>24</v>
      </c>
      <c r="I239" s="90"/>
      <c r="J239" s="90"/>
      <c r="K239" s="90"/>
      <c r="L239" s="90"/>
      <c r="M239" s="91">
        <f t="shared" si="165"/>
        <v>0</v>
      </c>
      <c r="N239" s="4" t="str">
        <f t="shared" si="166"/>
        <v/>
      </c>
      <c r="O239" s="92">
        <f t="shared" si="167"/>
        <v>0</v>
      </c>
      <c r="P239" s="92">
        <f t="shared" si="168"/>
        <v>0</v>
      </c>
      <c r="Q239" s="80">
        <v>3</v>
      </c>
      <c r="R239" s="80">
        <v>2</v>
      </c>
      <c r="S239" s="80" t="s">
        <v>61</v>
      </c>
      <c r="T239" s="5" t="s">
        <v>941</v>
      </c>
      <c r="U239" s="9"/>
      <c r="W239" s="87">
        <f t="shared" si="163"/>
        <v>105.4</v>
      </c>
      <c r="X239" s="88">
        <f t="shared" si="163"/>
        <v>32</v>
      </c>
      <c r="Y239" s="93">
        <f t="shared" si="164"/>
        <v>24</v>
      </c>
      <c r="Z239" s="91">
        <f t="shared" si="164"/>
        <v>0</v>
      </c>
      <c r="AA239" s="91">
        <f t="shared" si="169"/>
        <v>0</v>
      </c>
      <c r="AB239" s="91">
        <f t="shared" si="162"/>
        <v>0</v>
      </c>
      <c r="AC239" s="4" t="str">
        <f t="shared" si="162"/>
        <v/>
      </c>
      <c r="AD239" s="92">
        <f t="shared" si="162"/>
        <v>0</v>
      </c>
      <c r="AE239" s="80" t="str">
        <f t="shared" si="170"/>
        <v>계</v>
      </c>
      <c r="AF239" s="80" t="str">
        <f t="shared" si="171"/>
        <v>3/2</v>
      </c>
      <c r="AH239" s="20" t="str">
        <f t="shared" si="172"/>
        <v>서흥남동 고려타운</v>
      </c>
      <c r="AI239" s="88">
        <f t="shared" si="152"/>
        <v>32</v>
      </c>
      <c r="AJ239" s="80" t="str">
        <f t="shared" si="173"/>
        <v>A-</v>
      </c>
      <c r="AK239" s="80" t="s">
        <v>14</v>
      </c>
      <c r="AL239" s="80" t="s">
        <v>63</v>
      </c>
      <c r="AM239" s="80" t="s">
        <v>64</v>
      </c>
      <c r="AN239" s="80" t="str">
        <f t="shared" si="174"/>
        <v>C</v>
      </c>
      <c r="AO239" s="80" t="str">
        <f t="shared" si="175"/>
        <v/>
      </c>
      <c r="AP239" s="80" t="str">
        <f t="shared" si="176"/>
        <v/>
      </c>
      <c r="AQ239" s="80" t="str">
        <f t="shared" si="177"/>
        <v>O</v>
      </c>
      <c r="AR239" s="80" t="str">
        <f t="shared" si="178"/>
        <v>O</v>
      </c>
      <c r="AS239" s="80" t="s">
        <v>2</v>
      </c>
      <c r="AT239" s="80" t="str">
        <f t="shared" si="179"/>
        <v>O</v>
      </c>
      <c r="AU239" s="80" t="str">
        <f t="shared" si="180"/>
        <v>X</v>
      </c>
      <c r="AV239" s="80" t="str">
        <f t="shared" si="181"/>
        <v/>
      </c>
    </row>
    <row r="240" spans="1:48" s="37" customFormat="1" ht="12" x14ac:dyDescent="0.3">
      <c r="A240" s="75" t="s">
        <v>1512</v>
      </c>
      <c r="B240" s="76" t="s">
        <v>1513</v>
      </c>
      <c r="C240" s="86">
        <v>226</v>
      </c>
      <c r="D240" s="87">
        <v>110</v>
      </c>
      <c r="E240" s="88">
        <v>33</v>
      </c>
      <c r="F240" s="87">
        <v>80.599999999999994</v>
      </c>
      <c r="G240" s="17">
        <v>24</v>
      </c>
      <c r="H240" s="89">
        <v>5</v>
      </c>
      <c r="I240" s="90"/>
      <c r="J240" s="90"/>
      <c r="K240" s="90"/>
      <c r="L240" s="90"/>
      <c r="M240" s="91">
        <f t="shared" si="165"/>
        <v>0</v>
      </c>
      <c r="N240" s="4" t="str">
        <f t="shared" si="166"/>
        <v/>
      </c>
      <c r="O240" s="92">
        <f t="shared" si="167"/>
        <v>0</v>
      </c>
      <c r="P240" s="92">
        <f t="shared" si="168"/>
        <v>0</v>
      </c>
      <c r="Q240" s="80">
        <v>3</v>
      </c>
      <c r="R240" s="80">
        <v>2</v>
      </c>
      <c r="S240" s="80" t="s">
        <v>76</v>
      </c>
      <c r="T240" s="5">
        <v>109</v>
      </c>
      <c r="U240" s="9"/>
      <c r="W240" s="87">
        <f t="shared" si="163"/>
        <v>110</v>
      </c>
      <c r="X240" s="88">
        <f t="shared" si="163"/>
        <v>33</v>
      </c>
      <c r="Y240" s="93">
        <f t="shared" si="164"/>
        <v>5</v>
      </c>
      <c r="Z240" s="91">
        <f t="shared" si="164"/>
        <v>0</v>
      </c>
      <c r="AA240" s="91">
        <f t="shared" si="169"/>
        <v>0</v>
      </c>
      <c r="AB240" s="91">
        <f t="shared" si="162"/>
        <v>0</v>
      </c>
      <c r="AC240" s="4" t="str">
        <f t="shared" si="162"/>
        <v/>
      </c>
      <c r="AD240" s="92">
        <f t="shared" si="162"/>
        <v>0</v>
      </c>
      <c r="AE240" s="80" t="str">
        <f t="shared" si="170"/>
        <v>복</v>
      </c>
      <c r="AF240" s="80" t="str">
        <f t="shared" si="171"/>
        <v>3/2</v>
      </c>
      <c r="AH240" s="20" t="str">
        <f t="shared" si="172"/>
        <v>서흥남동 고려타운</v>
      </c>
      <c r="AI240" s="88">
        <f t="shared" si="152"/>
        <v>33</v>
      </c>
      <c r="AJ240" s="80" t="str">
        <f t="shared" si="173"/>
        <v>A-</v>
      </c>
      <c r="AK240" s="80" t="s">
        <v>14</v>
      </c>
      <c r="AL240" s="80" t="s">
        <v>63</v>
      </c>
      <c r="AM240" s="80" t="s">
        <v>64</v>
      </c>
      <c r="AN240" s="80" t="str">
        <f t="shared" si="174"/>
        <v>C</v>
      </c>
      <c r="AO240" s="80" t="str">
        <f t="shared" si="175"/>
        <v/>
      </c>
      <c r="AP240" s="80" t="str">
        <f t="shared" si="176"/>
        <v/>
      </c>
      <c r="AQ240" s="80" t="str">
        <f t="shared" si="177"/>
        <v>O</v>
      </c>
      <c r="AR240" s="80" t="str">
        <f t="shared" si="178"/>
        <v>O</v>
      </c>
      <c r="AS240" s="80" t="s">
        <v>2</v>
      </c>
      <c r="AT240" s="80" t="str">
        <f t="shared" si="179"/>
        <v>O</v>
      </c>
      <c r="AU240" s="80" t="str">
        <f t="shared" si="180"/>
        <v>X</v>
      </c>
      <c r="AV240" s="80" t="str">
        <f t="shared" si="181"/>
        <v/>
      </c>
    </row>
    <row r="241" spans="1:48" s="37" customFormat="1" ht="12" x14ac:dyDescent="0.3">
      <c r="A241" s="75" t="s">
        <v>1719</v>
      </c>
      <c r="B241" s="76" t="s">
        <v>1513</v>
      </c>
      <c r="C241" s="86">
        <v>226</v>
      </c>
      <c r="D241" s="87">
        <v>110.8</v>
      </c>
      <c r="E241" s="88">
        <v>34</v>
      </c>
      <c r="F241" s="87">
        <v>81.3</v>
      </c>
      <c r="G241" s="17">
        <v>25</v>
      </c>
      <c r="H241" s="89">
        <v>5</v>
      </c>
      <c r="I241" s="90"/>
      <c r="J241" s="90"/>
      <c r="K241" s="90"/>
      <c r="L241" s="90"/>
      <c r="M241" s="91">
        <f t="shared" si="165"/>
        <v>0</v>
      </c>
      <c r="N241" s="4" t="str">
        <f t="shared" si="166"/>
        <v/>
      </c>
      <c r="O241" s="92">
        <f t="shared" si="167"/>
        <v>0</v>
      </c>
      <c r="P241" s="92">
        <f t="shared" si="168"/>
        <v>0</v>
      </c>
      <c r="Q241" s="80">
        <v>3</v>
      </c>
      <c r="R241" s="80">
        <v>2</v>
      </c>
      <c r="S241" s="80" t="s">
        <v>76</v>
      </c>
      <c r="T241" s="5">
        <v>110</v>
      </c>
      <c r="U241" s="9"/>
      <c r="W241" s="87">
        <f t="shared" si="163"/>
        <v>110.8</v>
      </c>
      <c r="X241" s="88">
        <f t="shared" si="163"/>
        <v>34</v>
      </c>
      <c r="Y241" s="93">
        <f t="shared" si="164"/>
        <v>5</v>
      </c>
      <c r="Z241" s="91">
        <f t="shared" si="164"/>
        <v>0</v>
      </c>
      <c r="AA241" s="91">
        <f t="shared" si="169"/>
        <v>0</v>
      </c>
      <c r="AB241" s="91">
        <f t="shared" ref="AB241:AD243" si="182">M241</f>
        <v>0</v>
      </c>
      <c r="AC241" s="4" t="str">
        <f t="shared" si="182"/>
        <v/>
      </c>
      <c r="AD241" s="92">
        <f t="shared" si="182"/>
        <v>0</v>
      </c>
      <c r="AE241" s="80" t="str">
        <f t="shared" si="170"/>
        <v>복</v>
      </c>
      <c r="AF241" s="80" t="str">
        <f t="shared" si="171"/>
        <v>3/2</v>
      </c>
      <c r="AH241" s="20" t="str">
        <f t="shared" si="172"/>
        <v>서흥남동 고려타운</v>
      </c>
      <c r="AI241" s="88">
        <f t="shared" si="152"/>
        <v>34</v>
      </c>
      <c r="AJ241" s="80" t="str">
        <f t="shared" si="173"/>
        <v>A-</v>
      </c>
      <c r="AK241" s="80" t="s">
        <v>14</v>
      </c>
      <c r="AL241" s="80" t="s">
        <v>63</v>
      </c>
      <c r="AM241" s="80" t="s">
        <v>64</v>
      </c>
      <c r="AN241" s="80" t="str">
        <f t="shared" si="174"/>
        <v>C</v>
      </c>
      <c r="AO241" s="80" t="str">
        <f t="shared" si="175"/>
        <v/>
      </c>
      <c r="AP241" s="80" t="str">
        <f t="shared" si="176"/>
        <v/>
      </c>
      <c r="AQ241" s="80" t="str">
        <f t="shared" si="177"/>
        <v>O</v>
      </c>
      <c r="AR241" s="80" t="str">
        <f t="shared" si="178"/>
        <v>O</v>
      </c>
      <c r="AS241" s="80" t="s">
        <v>2</v>
      </c>
      <c r="AT241" s="80" t="str">
        <f t="shared" si="179"/>
        <v>O</v>
      </c>
      <c r="AU241" s="80" t="str">
        <f t="shared" si="180"/>
        <v>X</v>
      </c>
      <c r="AV241" s="80" t="str">
        <f t="shared" si="181"/>
        <v/>
      </c>
    </row>
    <row r="242" spans="1:48" s="37" customFormat="1" ht="12" x14ac:dyDescent="0.3">
      <c r="A242" s="75" t="s">
        <v>1514</v>
      </c>
      <c r="B242" s="76" t="s">
        <v>1722</v>
      </c>
      <c r="C242" s="86">
        <v>675</v>
      </c>
      <c r="D242" s="87">
        <v>75</v>
      </c>
      <c r="E242" s="88">
        <v>23</v>
      </c>
      <c r="F242" s="87">
        <v>59.7</v>
      </c>
      <c r="G242" s="17">
        <v>18</v>
      </c>
      <c r="H242" s="89">
        <v>270</v>
      </c>
      <c r="I242" s="90">
        <v>9000</v>
      </c>
      <c r="J242" s="90" t="s">
        <v>74</v>
      </c>
      <c r="K242" s="90"/>
      <c r="L242" s="90"/>
      <c r="M242" s="91">
        <f>I242-K242</f>
        <v>9000</v>
      </c>
      <c r="N242" s="4">
        <f>IF(ISERROR(K242/I242),"",K242/I242)</f>
        <v>0</v>
      </c>
      <c r="O242" s="92">
        <f>I242/E242</f>
        <v>391.30434782608694</v>
      </c>
      <c r="P242" s="92">
        <f>K242/E242</f>
        <v>0</v>
      </c>
      <c r="Q242" s="80">
        <v>3</v>
      </c>
      <c r="R242" s="80">
        <v>1</v>
      </c>
      <c r="S242" s="80" t="s">
        <v>61</v>
      </c>
      <c r="T242" s="5">
        <v>75</v>
      </c>
      <c r="U242" s="9"/>
      <c r="W242" s="87">
        <f>D242</f>
        <v>75</v>
      </c>
      <c r="X242" s="88">
        <f>E242</f>
        <v>23</v>
      </c>
      <c r="Y242" s="93">
        <f>H242</f>
        <v>270</v>
      </c>
      <c r="Z242" s="91">
        <f>I242</f>
        <v>9000</v>
      </c>
      <c r="AA242" s="91">
        <f>K242</f>
        <v>0</v>
      </c>
      <c r="AB242" s="91">
        <f t="shared" si="182"/>
        <v>9000</v>
      </c>
      <c r="AC242" s="4">
        <f t="shared" si="182"/>
        <v>0</v>
      </c>
      <c r="AD242" s="92">
        <f t="shared" si="182"/>
        <v>391.30434782608694</v>
      </c>
      <c r="AE242" s="80" t="str">
        <f>S242</f>
        <v>계</v>
      </c>
      <c r="AF242" s="80" t="str">
        <f>Q242&amp;"/"&amp;R242</f>
        <v>3/1</v>
      </c>
      <c r="AH242" s="20" t="str">
        <f t="shared" si="172"/>
        <v>소룡동 군산성원</v>
      </c>
      <c r="AI242" s="88">
        <f t="shared" si="152"/>
        <v>23</v>
      </c>
      <c r="AJ242" s="80" t="str">
        <f>IF(AI242="","",$AJ$2)</f>
        <v>A-</v>
      </c>
      <c r="AK242" s="80" t="s">
        <v>14</v>
      </c>
      <c r="AL242" s="80" t="s">
        <v>63</v>
      </c>
      <c r="AM242" s="80" t="s">
        <v>64</v>
      </c>
      <c r="AN242" s="80" t="str">
        <f>IF(AI242="","",$AN$2)</f>
        <v>C</v>
      </c>
      <c r="AO242" s="80" t="str">
        <f>IF(N242="","",IF(N242&gt;=$AO$1/100,"O","X"))</f>
        <v>X</v>
      </c>
      <c r="AP242" s="80" t="str">
        <f>IF(I242="","",IF(I242&lt;=$AP$1,"O","X"))</f>
        <v>O</v>
      </c>
      <c r="AQ242" s="80" t="str">
        <f>IF(O242="","",IF(O242&lt;=$AQ$1,"O","X"))</f>
        <v>O</v>
      </c>
      <c r="AR242" s="80" t="str">
        <f>IF(M242="","",IF(M242&lt;=$AR$1,"O","X"))</f>
        <v>X</v>
      </c>
      <c r="AS242" s="80" t="s">
        <v>2</v>
      </c>
      <c r="AT242" s="80" t="str">
        <f>IF(OR(F242="",AI242=""),"",IF(AND((F242&lt;=85),(AI242&gt;=15)),"O","X"))</f>
        <v>O</v>
      </c>
      <c r="AU242" s="80" t="str">
        <f>IF(C242="","",IF(C242&gt;=$AU$1,"O","X"))</f>
        <v>O</v>
      </c>
      <c r="AV242" s="80" t="str">
        <f>IF(AO242="","",IF(AND(AO242="O",AP242="O",AR242="O",AT242="O",AU242="O"),"후보","X"))</f>
        <v>X</v>
      </c>
    </row>
    <row r="243" spans="1:48" s="37" customFormat="1" ht="12" x14ac:dyDescent="0.3">
      <c r="A243" s="75" t="s">
        <v>1514</v>
      </c>
      <c r="B243" s="76" t="s">
        <v>1515</v>
      </c>
      <c r="C243" s="86">
        <v>675</v>
      </c>
      <c r="D243" s="87">
        <v>106.8</v>
      </c>
      <c r="E243" s="88">
        <v>32</v>
      </c>
      <c r="F243" s="87">
        <v>85</v>
      </c>
      <c r="G243" s="17">
        <v>26</v>
      </c>
      <c r="H243" s="89">
        <v>405</v>
      </c>
      <c r="I243" s="90">
        <v>11500</v>
      </c>
      <c r="J243" s="90" t="s">
        <v>74</v>
      </c>
      <c r="K243" s="90">
        <v>9000</v>
      </c>
      <c r="L243" s="90" t="s">
        <v>74</v>
      </c>
      <c r="M243" s="91">
        <f>I243-K243</f>
        <v>2500</v>
      </c>
      <c r="N243" s="4">
        <f>IF(ISERROR(K243/I243),"",K243/I243)</f>
        <v>0.78260869565217395</v>
      </c>
      <c r="O243" s="92">
        <f>I243/E243</f>
        <v>359.375</v>
      </c>
      <c r="P243" s="92">
        <f>K243/E243</f>
        <v>281.25</v>
      </c>
      <c r="Q243" s="80">
        <v>3</v>
      </c>
      <c r="R243" s="80">
        <v>2</v>
      </c>
      <c r="S243" s="80" t="s">
        <v>61</v>
      </c>
      <c r="T243" s="5">
        <v>106</v>
      </c>
      <c r="U243" s="9"/>
      <c r="W243" s="87">
        <f>D243</f>
        <v>106.8</v>
      </c>
      <c r="X243" s="88">
        <f>E243</f>
        <v>32</v>
      </c>
      <c r="Y243" s="93">
        <f>H243</f>
        <v>405</v>
      </c>
      <c r="Z243" s="91">
        <f>I243</f>
        <v>11500</v>
      </c>
      <c r="AA243" s="91">
        <f>K243</f>
        <v>9000</v>
      </c>
      <c r="AB243" s="91">
        <f t="shared" si="182"/>
        <v>2500</v>
      </c>
      <c r="AC243" s="4">
        <f t="shared" si="182"/>
        <v>0.78260869565217395</v>
      </c>
      <c r="AD243" s="92">
        <f t="shared" si="182"/>
        <v>359.375</v>
      </c>
      <c r="AE243" s="80" t="str">
        <f>S243</f>
        <v>계</v>
      </c>
      <c r="AF243" s="80" t="str">
        <f>Q243&amp;"/"&amp;R243</f>
        <v>3/2</v>
      </c>
      <c r="AH243" s="20" t="str">
        <f t="shared" si="172"/>
        <v>소룡동 군산성원</v>
      </c>
      <c r="AI243" s="88">
        <f t="shared" si="152"/>
        <v>32</v>
      </c>
      <c r="AJ243" s="80" t="str">
        <f>IF(AI243="","",$AJ$2)</f>
        <v>A-</v>
      </c>
      <c r="AK243" s="80" t="s">
        <v>14</v>
      </c>
      <c r="AL243" s="80" t="s">
        <v>63</v>
      </c>
      <c r="AM243" s="80" t="s">
        <v>64</v>
      </c>
      <c r="AN243" s="80" t="str">
        <f>IF(AI243="","",$AN$2)</f>
        <v>C</v>
      </c>
      <c r="AO243" s="80" t="str">
        <f>IF(N243="","",IF(N243&gt;=$AO$1/100,"O","X"))</f>
        <v>X</v>
      </c>
      <c r="AP243" s="80" t="str">
        <f>IF(I243="","",IF(I243&lt;=$AP$1,"O","X"))</f>
        <v>O</v>
      </c>
      <c r="AQ243" s="80" t="str">
        <f>IF(O243="","",IF(O243&lt;=$AQ$1,"O","X"))</f>
        <v>O</v>
      </c>
      <c r="AR243" s="80" t="str">
        <f>IF(M243="","",IF(M243&lt;=$AR$1,"O","X"))</f>
        <v>O</v>
      </c>
      <c r="AS243" s="80" t="s">
        <v>2</v>
      </c>
      <c r="AT243" s="80" t="str">
        <f>IF(OR(F243="",AI243=""),"",IF(AND((F243&lt;=85),(AI243&gt;=15)),"O","X"))</f>
        <v>O</v>
      </c>
      <c r="AU243" s="80" t="str">
        <f>IF(C243="","",IF(C243&gt;=$AU$1,"O","X"))</f>
        <v>O</v>
      </c>
      <c r="AV243" s="80" t="str">
        <f>IF(AO243="","",IF(AND(AO243="O",AP243="O",AR243="O",AT243="O",AU243="O"),"후보","X"))</f>
        <v>X</v>
      </c>
    </row>
    <row r="244" spans="1:48" s="37" customFormat="1" ht="12" x14ac:dyDescent="0.3">
      <c r="A244" s="75" t="s">
        <v>1516</v>
      </c>
      <c r="B244" s="76" t="s">
        <v>1517</v>
      </c>
      <c r="C244" s="86">
        <v>294</v>
      </c>
      <c r="D244" s="87">
        <v>113.6</v>
      </c>
      <c r="E244" s="88">
        <v>34</v>
      </c>
      <c r="F244" s="87">
        <v>84.7</v>
      </c>
      <c r="G244" s="17">
        <v>26</v>
      </c>
      <c r="H244" s="89">
        <v>294</v>
      </c>
      <c r="I244" s="90"/>
      <c r="J244" s="90"/>
      <c r="K244" s="90"/>
      <c r="L244" s="90"/>
      <c r="M244" s="91">
        <f>I244-K244</f>
        <v>0</v>
      </c>
      <c r="N244" s="4" t="str">
        <f>IF(ISERROR(K244/I244),"",K244/I244)</f>
        <v/>
      </c>
      <c r="O244" s="92">
        <f>I244/E244</f>
        <v>0</v>
      </c>
      <c r="P244" s="92">
        <f>K244/E244</f>
        <v>0</v>
      </c>
      <c r="Q244" s="80">
        <v>3</v>
      </c>
      <c r="R244" s="80">
        <v>2</v>
      </c>
      <c r="S244" s="80" t="s">
        <v>61</v>
      </c>
      <c r="T244" s="5">
        <v>113</v>
      </c>
      <c r="U244" s="9"/>
      <c r="W244" s="87">
        <f>D244</f>
        <v>113.6</v>
      </c>
      <c r="X244" s="88">
        <f>E244</f>
        <v>34</v>
      </c>
      <c r="Y244" s="93">
        <f>H244</f>
        <v>294</v>
      </c>
      <c r="Z244" s="91">
        <f>I244</f>
        <v>0</v>
      </c>
      <c r="AA244" s="91">
        <f>K244</f>
        <v>0</v>
      </c>
      <c r="AB244" s="91">
        <f>M244</f>
        <v>0</v>
      </c>
      <c r="AC244" s="4" t="str">
        <f>N244</f>
        <v/>
      </c>
      <c r="AD244" s="92">
        <f>O244</f>
        <v>0</v>
      </c>
      <c r="AE244" s="80" t="str">
        <f>S244</f>
        <v>계</v>
      </c>
      <c r="AF244" s="80" t="str">
        <f>Q244&amp;"/"&amp;R244</f>
        <v>3/2</v>
      </c>
      <c r="AH244" s="20" t="str">
        <f t="shared" si="172"/>
        <v>소룡동 금강골드빌</v>
      </c>
      <c r="AI244" s="88">
        <f t="shared" si="152"/>
        <v>34</v>
      </c>
      <c r="AJ244" s="80" t="str">
        <f>IF(AI244="","",$AJ$2)</f>
        <v>A-</v>
      </c>
      <c r="AK244" s="80" t="s">
        <v>14</v>
      </c>
      <c r="AL244" s="80" t="s">
        <v>63</v>
      </c>
      <c r="AM244" s="80" t="s">
        <v>64</v>
      </c>
      <c r="AN244" s="80" t="str">
        <f>IF(AI244="","",$AN$2)</f>
        <v>C</v>
      </c>
      <c r="AO244" s="80" t="str">
        <f>IF(N244="","",IF(N244&gt;=$AO$1/100,"O","X"))</f>
        <v/>
      </c>
      <c r="AP244" s="80" t="str">
        <f>IF(I244="","",IF(I244&lt;=$AP$1,"O","X"))</f>
        <v/>
      </c>
      <c r="AQ244" s="80" t="str">
        <f>IF(O244="","",IF(O244&lt;=$AQ$1,"O","X"))</f>
        <v>O</v>
      </c>
      <c r="AR244" s="80" t="str">
        <f>IF(M244="","",IF(M244&lt;=$AR$1,"O","X"))</f>
        <v>O</v>
      </c>
      <c r="AS244" s="80" t="s">
        <v>2</v>
      </c>
      <c r="AT244" s="80" t="str">
        <f>IF(OR(F244="",AI244=""),"",IF(AND((F244&lt;=85),(AI244&gt;=15)),"O","X"))</f>
        <v>O</v>
      </c>
      <c r="AU244" s="80" t="str">
        <f>IF(C244="","",IF(C244&gt;=$AU$1,"O","X"))</f>
        <v>X</v>
      </c>
      <c r="AV244" s="80" t="str">
        <f>IF(AO244="","",IF(AND(AO244="O",AP244="O",AR244="O",AT244="O",AU244="O"),"후보","X"))</f>
        <v/>
      </c>
    </row>
    <row r="245" spans="1:48" s="37" customFormat="1" ht="12" x14ac:dyDescent="0.3">
      <c r="A245" s="75" t="s">
        <v>1518</v>
      </c>
      <c r="B245" s="76" t="s">
        <v>1426</v>
      </c>
      <c r="C245" s="86">
        <v>350</v>
      </c>
      <c r="D245" s="87">
        <v>77.8</v>
      </c>
      <c r="E245" s="88">
        <v>24</v>
      </c>
      <c r="F245" s="87">
        <v>59.4</v>
      </c>
      <c r="G245" s="17">
        <v>18</v>
      </c>
      <c r="H245" s="89">
        <v>174</v>
      </c>
      <c r="I245" s="90"/>
      <c r="J245" s="90"/>
      <c r="K245" s="90"/>
      <c r="L245" s="90"/>
      <c r="M245" s="91">
        <f t="shared" ref="M245:M250" si="183">I245-K245</f>
        <v>0</v>
      </c>
      <c r="N245" s="4" t="str">
        <f t="shared" ref="N245:N250" si="184">IF(ISERROR(K245/I245),"",K245/I245)</f>
        <v/>
      </c>
      <c r="O245" s="92">
        <f t="shared" ref="O245:O250" si="185">I245/E245</f>
        <v>0</v>
      </c>
      <c r="P245" s="92">
        <f t="shared" ref="P245:P250" si="186">K245/E245</f>
        <v>0</v>
      </c>
      <c r="Q245" s="80">
        <v>3</v>
      </c>
      <c r="R245" s="80">
        <v>1</v>
      </c>
      <c r="S245" s="80" t="s">
        <v>76</v>
      </c>
      <c r="T245" s="5" t="s">
        <v>83</v>
      </c>
      <c r="U245" s="9"/>
      <c r="W245" s="87">
        <f t="shared" ref="W245:X260" si="187">D245</f>
        <v>77.8</v>
      </c>
      <c r="X245" s="88">
        <f t="shared" si="187"/>
        <v>24</v>
      </c>
      <c r="Y245" s="93">
        <f t="shared" ref="Y245:Z260" si="188">H245</f>
        <v>174</v>
      </c>
      <c r="Z245" s="91">
        <f t="shared" si="188"/>
        <v>0</v>
      </c>
      <c r="AA245" s="91">
        <f t="shared" ref="AA245:AA250" si="189">K245</f>
        <v>0</v>
      </c>
      <c r="AB245" s="91">
        <f t="shared" ref="AB245:AD260" si="190">M245</f>
        <v>0</v>
      </c>
      <c r="AC245" s="4" t="str">
        <f t="shared" si="190"/>
        <v/>
      </c>
      <c r="AD245" s="92">
        <f t="shared" si="190"/>
        <v>0</v>
      </c>
      <c r="AE245" s="80" t="str">
        <f t="shared" ref="AE245:AE250" si="191">S245</f>
        <v>복</v>
      </c>
      <c r="AF245" s="80" t="str">
        <f t="shared" ref="AF245:AF250" si="192">Q245&amp;"/"&amp;R245</f>
        <v>3/1</v>
      </c>
      <c r="AH245" s="20" t="str">
        <f t="shared" si="172"/>
        <v>소룡동 그린서해맨션</v>
      </c>
      <c r="AI245" s="88">
        <f t="shared" si="152"/>
        <v>24</v>
      </c>
      <c r="AJ245" s="80" t="str">
        <f t="shared" ref="AJ245:AJ250" si="193">IF(AI245="","",$AJ$2)</f>
        <v>A-</v>
      </c>
      <c r="AK245" s="80" t="s">
        <v>14</v>
      </c>
      <c r="AL245" s="80" t="s">
        <v>63</v>
      </c>
      <c r="AM245" s="80" t="s">
        <v>64</v>
      </c>
      <c r="AN245" s="80" t="str">
        <f t="shared" ref="AN245:AN250" si="194">IF(AI245="","",$AN$2)</f>
        <v>C</v>
      </c>
      <c r="AO245" s="80" t="str">
        <f t="shared" ref="AO245:AO250" si="195">IF(N245="","",IF(N245&gt;=$AO$1/100,"O","X"))</f>
        <v/>
      </c>
      <c r="AP245" s="80" t="str">
        <f t="shared" ref="AP245:AP250" si="196">IF(I245="","",IF(I245&lt;=$AP$1,"O","X"))</f>
        <v/>
      </c>
      <c r="AQ245" s="80" t="str">
        <f t="shared" ref="AQ245:AQ250" si="197">IF(O245="","",IF(O245&lt;=$AQ$1,"O","X"))</f>
        <v>O</v>
      </c>
      <c r="AR245" s="80" t="str">
        <f t="shared" ref="AR245:AR250" si="198">IF(M245="","",IF(M245&lt;=$AR$1,"O","X"))</f>
        <v>O</v>
      </c>
      <c r="AS245" s="80" t="s">
        <v>2</v>
      </c>
      <c r="AT245" s="80" t="str">
        <f t="shared" ref="AT245:AT250" si="199">IF(OR(F245="",AI245=""),"",IF(AND((F245&lt;=85),(AI245&gt;=15)),"O","X"))</f>
        <v>O</v>
      </c>
      <c r="AU245" s="80" t="str">
        <f t="shared" ref="AU245:AU250" si="200">IF(C245="","",IF(C245&gt;=$AU$1,"O","X"))</f>
        <v>O</v>
      </c>
      <c r="AV245" s="80" t="str">
        <f t="shared" ref="AV245:AV250" si="201">IF(AO245="","",IF(AND(AO245="O",AP245="O",AR245="O",AT245="O",AU245="O"),"후보","X"))</f>
        <v/>
      </c>
    </row>
    <row r="246" spans="1:48" s="37" customFormat="1" ht="12" x14ac:dyDescent="0.3">
      <c r="A246" s="75" t="s">
        <v>1518</v>
      </c>
      <c r="B246" s="76" t="s">
        <v>1723</v>
      </c>
      <c r="C246" s="86">
        <v>350</v>
      </c>
      <c r="D246" s="87">
        <v>79.3</v>
      </c>
      <c r="E246" s="88">
        <v>24</v>
      </c>
      <c r="F246" s="87">
        <v>59.4</v>
      </c>
      <c r="G246" s="17">
        <v>18</v>
      </c>
      <c r="H246" s="89">
        <v>60</v>
      </c>
      <c r="I246" s="90"/>
      <c r="J246" s="90"/>
      <c r="K246" s="90"/>
      <c r="L246" s="90"/>
      <c r="M246" s="91">
        <f t="shared" si="183"/>
        <v>0</v>
      </c>
      <c r="N246" s="4" t="str">
        <f t="shared" si="184"/>
        <v/>
      </c>
      <c r="O246" s="92">
        <f t="shared" si="185"/>
        <v>0</v>
      </c>
      <c r="P246" s="92">
        <f t="shared" si="186"/>
        <v>0</v>
      </c>
      <c r="Q246" s="80">
        <v>3</v>
      </c>
      <c r="R246" s="80">
        <v>1</v>
      </c>
      <c r="S246" s="80" t="s">
        <v>76</v>
      </c>
      <c r="T246" s="5" t="s">
        <v>963</v>
      </c>
      <c r="U246" s="9"/>
      <c r="W246" s="87">
        <f t="shared" si="187"/>
        <v>79.3</v>
      </c>
      <c r="X246" s="88">
        <f t="shared" si="187"/>
        <v>24</v>
      </c>
      <c r="Y246" s="93">
        <f t="shared" si="188"/>
        <v>60</v>
      </c>
      <c r="Z246" s="91">
        <f t="shared" si="188"/>
        <v>0</v>
      </c>
      <c r="AA246" s="91">
        <f t="shared" si="189"/>
        <v>0</v>
      </c>
      <c r="AB246" s="91">
        <f t="shared" si="190"/>
        <v>0</v>
      </c>
      <c r="AC246" s="4" t="str">
        <f t="shared" si="190"/>
        <v/>
      </c>
      <c r="AD246" s="92">
        <f t="shared" si="190"/>
        <v>0</v>
      </c>
      <c r="AE246" s="80" t="str">
        <f t="shared" si="191"/>
        <v>복</v>
      </c>
      <c r="AF246" s="80" t="str">
        <f t="shared" si="192"/>
        <v>3/1</v>
      </c>
      <c r="AH246" s="20" t="str">
        <f t="shared" si="172"/>
        <v>소룡동 그린서해맨션</v>
      </c>
      <c r="AI246" s="88">
        <f t="shared" si="152"/>
        <v>24</v>
      </c>
      <c r="AJ246" s="80" t="str">
        <f t="shared" si="193"/>
        <v>A-</v>
      </c>
      <c r="AK246" s="80" t="s">
        <v>14</v>
      </c>
      <c r="AL246" s="80" t="s">
        <v>63</v>
      </c>
      <c r="AM246" s="80" t="s">
        <v>64</v>
      </c>
      <c r="AN246" s="80" t="str">
        <f t="shared" si="194"/>
        <v>C</v>
      </c>
      <c r="AO246" s="80" t="str">
        <f t="shared" si="195"/>
        <v/>
      </c>
      <c r="AP246" s="80" t="str">
        <f t="shared" si="196"/>
        <v/>
      </c>
      <c r="AQ246" s="80" t="str">
        <f t="shared" si="197"/>
        <v>O</v>
      </c>
      <c r="AR246" s="80" t="str">
        <f t="shared" si="198"/>
        <v>O</v>
      </c>
      <c r="AS246" s="80" t="s">
        <v>2</v>
      </c>
      <c r="AT246" s="80" t="str">
        <f t="shared" si="199"/>
        <v>O</v>
      </c>
      <c r="AU246" s="80" t="str">
        <f t="shared" si="200"/>
        <v>O</v>
      </c>
      <c r="AV246" s="80" t="str">
        <f t="shared" si="201"/>
        <v/>
      </c>
    </row>
    <row r="247" spans="1:48" s="37" customFormat="1" ht="12" x14ac:dyDescent="0.3">
      <c r="A247" s="75" t="s">
        <v>1518</v>
      </c>
      <c r="B247" s="76" t="s">
        <v>1724</v>
      </c>
      <c r="C247" s="86">
        <v>350</v>
      </c>
      <c r="D247" s="87">
        <v>91.4</v>
      </c>
      <c r="E247" s="88">
        <v>28</v>
      </c>
      <c r="F247" s="87">
        <v>75</v>
      </c>
      <c r="G247" s="17">
        <v>23</v>
      </c>
      <c r="H247" s="89">
        <v>59</v>
      </c>
      <c r="I247" s="90">
        <v>7500</v>
      </c>
      <c r="J247" s="90" t="s">
        <v>81</v>
      </c>
      <c r="K247" s="90"/>
      <c r="L247" s="90"/>
      <c r="M247" s="91">
        <f t="shared" si="183"/>
        <v>7500</v>
      </c>
      <c r="N247" s="4">
        <f t="shared" si="184"/>
        <v>0</v>
      </c>
      <c r="O247" s="92">
        <f t="shared" si="185"/>
        <v>267.85714285714283</v>
      </c>
      <c r="P247" s="92">
        <f t="shared" si="186"/>
        <v>0</v>
      </c>
      <c r="Q247" s="80">
        <v>3</v>
      </c>
      <c r="R247" s="80">
        <v>1</v>
      </c>
      <c r="S247" s="80" t="s">
        <v>61</v>
      </c>
      <c r="T247" s="5">
        <v>91</v>
      </c>
      <c r="U247" s="9"/>
      <c r="W247" s="87">
        <f t="shared" si="187"/>
        <v>91.4</v>
      </c>
      <c r="X247" s="88">
        <f t="shared" si="187"/>
        <v>28</v>
      </c>
      <c r="Y247" s="93">
        <f t="shared" si="188"/>
        <v>59</v>
      </c>
      <c r="Z247" s="91">
        <f t="shared" si="188"/>
        <v>7500</v>
      </c>
      <c r="AA247" s="91">
        <f t="shared" si="189"/>
        <v>0</v>
      </c>
      <c r="AB247" s="91">
        <f t="shared" si="190"/>
        <v>7500</v>
      </c>
      <c r="AC247" s="4">
        <f t="shared" si="190"/>
        <v>0</v>
      </c>
      <c r="AD247" s="92">
        <f t="shared" si="190"/>
        <v>267.85714285714283</v>
      </c>
      <c r="AE247" s="80" t="str">
        <f t="shared" si="191"/>
        <v>계</v>
      </c>
      <c r="AF247" s="80" t="str">
        <f t="shared" si="192"/>
        <v>3/1</v>
      </c>
      <c r="AH247" s="20" t="str">
        <f t="shared" si="172"/>
        <v>소룡동 그린서해맨션</v>
      </c>
      <c r="AI247" s="88">
        <f t="shared" si="152"/>
        <v>28</v>
      </c>
      <c r="AJ247" s="80" t="str">
        <f t="shared" si="193"/>
        <v>A-</v>
      </c>
      <c r="AK247" s="80" t="s">
        <v>14</v>
      </c>
      <c r="AL247" s="80" t="s">
        <v>63</v>
      </c>
      <c r="AM247" s="80" t="s">
        <v>64</v>
      </c>
      <c r="AN247" s="80" t="str">
        <f t="shared" si="194"/>
        <v>C</v>
      </c>
      <c r="AO247" s="80" t="str">
        <f t="shared" si="195"/>
        <v>X</v>
      </c>
      <c r="AP247" s="80" t="str">
        <f t="shared" si="196"/>
        <v>O</v>
      </c>
      <c r="AQ247" s="80" t="str">
        <f t="shared" si="197"/>
        <v>O</v>
      </c>
      <c r="AR247" s="80" t="str">
        <f t="shared" si="198"/>
        <v>X</v>
      </c>
      <c r="AS247" s="80" t="s">
        <v>2</v>
      </c>
      <c r="AT247" s="80" t="str">
        <f t="shared" si="199"/>
        <v>O</v>
      </c>
      <c r="AU247" s="80" t="str">
        <f t="shared" si="200"/>
        <v>O</v>
      </c>
      <c r="AV247" s="80" t="str">
        <f t="shared" si="201"/>
        <v>X</v>
      </c>
    </row>
    <row r="248" spans="1:48" s="37" customFormat="1" ht="12" x14ac:dyDescent="0.3">
      <c r="A248" s="75" t="s">
        <v>1725</v>
      </c>
      <c r="B248" s="76" t="s">
        <v>1723</v>
      </c>
      <c r="C248" s="86">
        <v>350</v>
      </c>
      <c r="D248" s="87">
        <v>101.3</v>
      </c>
      <c r="E248" s="88">
        <v>31</v>
      </c>
      <c r="F248" s="87">
        <v>75</v>
      </c>
      <c r="G248" s="17">
        <v>23</v>
      </c>
      <c r="H248" s="89">
        <v>1</v>
      </c>
      <c r="I248" s="90"/>
      <c r="J248" s="90"/>
      <c r="K248" s="90"/>
      <c r="L248" s="90"/>
      <c r="M248" s="91">
        <f t="shared" si="183"/>
        <v>0</v>
      </c>
      <c r="N248" s="4" t="str">
        <f t="shared" si="184"/>
        <v/>
      </c>
      <c r="O248" s="92">
        <f t="shared" si="185"/>
        <v>0</v>
      </c>
      <c r="P248" s="92">
        <f t="shared" si="186"/>
        <v>0</v>
      </c>
      <c r="Q248" s="80">
        <v>3</v>
      </c>
      <c r="R248" s="80">
        <v>2</v>
      </c>
      <c r="S248" s="80" t="s">
        <v>61</v>
      </c>
      <c r="T248" s="5" t="s">
        <v>114</v>
      </c>
      <c r="U248" s="9"/>
      <c r="W248" s="87">
        <f t="shared" si="187"/>
        <v>101.3</v>
      </c>
      <c r="X248" s="88">
        <f t="shared" si="187"/>
        <v>31</v>
      </c>
      <c r="Y248" s="93">
        <f t="shared" si="188"/>
        <v>1</v>
      </c>
      <c r="Z248" s="91">
        <f t="shared" si="188"/>
        <v>0</v>
      </c>
      <c r="AA248" s="91">
        <f t="shared" si="189"/>
        <v>0</v>
      </c>
      <c r="AB248" s="91">
        <f t="shared" si="190"/>
        <v>0</v>
      </c>
      <c r="AC248" s="4" t="str">
        <f t="shared" si="190"/>
        <v/>
      </c>
      <c r="AD248" s="92">
        <f t="shared" si="190"/>
        <v>0</v>
      </c>
      <c r="AE248" s="80" t="str">
        <f t="shared" si="191"/>
        <v>계</v>
      </c>
      <c r="AF248" s="80" t="str">
        <f t="shared" si="192"/>
        <v>3/2</v>
      </c>
      <c r="AH248" s="20" t="str">
        <f t="shared" si="172"/>
        <v>소룡동 그린서해맨션</v>
      </c>
      <c r="AI248" s="88">
        <f t="shared" si="152"/>
        <v>31</v>
      </c>
      <c r="AJ248" s="80" t="str">
        <f t="shared" si="193"/>
        <v>A-</v>
      </c>
      <c r="AK248" s="80" t="s">
        <v>14</v>
      </c>
      <c r="AL248" s="80" t="s">
        <v>63</v>
      </c>
      <c r="AM248" s="80" t="s">
        <v>64</v>
      </c>
      <c r="AN248" s="80" t="str">
        <f t="shared" si="194"/>
        <v>C</v>
      </c>
      <c r="AO248" s="80" t="str">
        <f t="shared" si="195"/>
        <v/>
      </c>
      <c r="AP248" s="80" t="str">
        <f t="shared" si="196"/>
        <v/>
      </c>
      <c r="AQ248" s="80" t="str">
        <f t="shared" si="197"/>
        <v>O</v>
      </c>
      <c r="AR248" s="80" t="str">
        <f t="shared" si="198"/>
        <v>O</v>
      </c>
      <c r="AS248" s="80" t="s">
        <v>2</v>
      </c>
      <c r="AT248" s="80" t="str">
        <f t="shared" si="199"/>
        <v>O</v>
      </c>
      <c r="AU248" s="80" t="str">
        <f t="shared" si="200"/>
        <v>O</v>
      </c>
      <c r="AV248" s="80" t="str">
        <f t="shared" si="201"/>
        <v/>
      </c>
    </row>
    <row r="249" spans="1:48" s="37" customFormat="1" ht="12" x14ac:dyDescent="0.3">
      <c r="A249" s="75" t="s">
        <v>1518</v>
      </c>
      <c r="B249" s="76" t="s">
        <v>1426</v>
      </c>
      <c r="C249" s="86">
        <v>350</v>
      </c>
      <c r="D249" s="87">
        <v>103.5</v>
      </c>
      <c r="E249" s="88">
        <v>31</v>
      </c>
      <c r="F249" s="87">
        <v>84.9</v>
      </c>
      <c r="G249" s="17">
        <v>26</v>
      </c>
      <c r="H249" s="89">
        <v>52</v>
      </c>
      <c r="I249" s="90">
        <v>8500</v>
      </c>
      <c r="J249" s="90" t="s">
        <v>72</v>
      </c>
      <c r="K249" s="90"/>
      <c r="L249" s="90"/>
      <c r="M249" s="91">
        <f t="shared" si="183"/>
        <v>8500</v>
      </c>
      <c r="N249" s="4">
        <f t="shared" si="184"/>
        <v>0</v>
      </c>
      <c r="O249" s="92">
        <f t="shared" si="185"/>
        <v>274.19354838709677</v>
      </c>
      <c r="P249" s="92">
        <f t="shared" si="186"/>
        <v>0</v>
      </c>
      <c r="Q249" s="80">
        <v>3</v>
      </c>
      <c r="R249" s="80">
        <v>2</v>
      </c>
      <c r="S249" s="80" t="s">
        <v>61</v>
      </c>
      <c r="T249" s="5" t="s">
        <v>134</v>
      </c>
      <c r="U249" s="9"/>
      <c r="W249" s="87">
        <f t="shared" si="187"/>
        <v>103.5</v>
      </c>
      <c r="X249" s="88">
        <f t="shared" si="187"/>
        <v>31</v>
      </c>
      <c r="Y249" s="93">
        <f t="shared" si="188"/>
        <v>52</v>
      </c>
      <c r="Z249" s="91">
        <f t="shared" si="188"/>
        <v>8500</v>
      </c>
      <c r="AA249" s="91">
        <f t="shared" si="189"/>
        <v>0</v>
      </c>
      <c r="AB249" s="91">
        <f t="shared" si="190"/>
        <v>8500</v>
      </c>
      <c r="AC249" s="4">
        <f t="shared" si="190"/>
        <v>0</v>
      </c>
      <c r="AD249" s="92">
        <f t="shared" si="190"/>
        <v>274.19354838709677</v>
      </c>
      <c r="AE249" s="80" t="str">
        <f t="shared" si="191"/>
        <v>계</v>
      </c>
      <c r="AF249" s="80" t="str">
        <f t="shared" si="192"/>
        <v>3/2</v>
      </c>
      <c r="AH249" s="20" t="str">
        <f t="shared" si="172"/>
        <v>소룡동 그린서해맨션</v>
      </c>
      <c r="AI249" s="88">
        <f t="shared" si="152"/>
        <v>31</v>
      </c>
      <c r="AJ249" s="80" t="str">
        <f t="shared" si="193"/>
        <v>A-</v>
      </c>
      <c r="AK249" s="80" t="s">
        <v>14</v>
      </c>
      <c r="AL249" s="80" t="s">
        <v>63</v>
      </c>
      <c r="AM249" s="80" t="s">
        <v>64</v>
      </c>
      <c r="AN249" s="80" t="str">
        <f t="shared" si="194"/>
        <v>C</v>
      </c>
      <c r="AO249" s="80" t="str">
        <f t="shared" si="195"/>
        <v>X</v>
      </c>
      <c r="AP249" s="80" t="str">
        <f t="shared" si="196"/>
        <v>O</v>
      </c>
      <c r="AQ249" s="80" t="str">
        <f t="shared" si="197"/>
        <v>O</v>
      </c>
      <c r="AR249" s="80" t="str">
        <f t="shared" si="198"/>
        <v>X</v>
      </c>
      <c r="AS249" s="80" t="s">
        <v>2</v>
      </c>
      <c r="AT249" s="80" t="str">
        <f t="shared" si="199"/>
        <v>O</v>
      </c>
      <c r="AU249" s="80" t="str">
        <f t="shared" si="200"/>
        <v>O</v>
      </c>
      <c r="AV249" s="80" t="str">
        <f t="shared" si="201"/>
        <v>X</v>
      </c>
    </row>
    <row r="250" spans="1:48" s="37" customFormat="1" ht="12" x14ac:dyDescent="0.3">
      <c r="A250" s="75" t="s">
        <v>1518</v>
      </c>
      <c r="B250" s="76" t="s">
        <v>1426</v>
      </c>
      <c r="C250" s="86">
        <v>350</v>
      </c>
      <c r="D250" s="87">
        <v>115.2</v>
      </c>
      <c r="E250" s="88">
        <v>35</v>
      </c>
      <c r="F250" s="87">
        <v>84.9</v>
      </c>
      <c r="G250" s="17">
        <v>26</v>
      </c>
      <c r="H250" s="89">
        <v>4</v>
      </c>
      <c r="I250" s="90"/>
      <c r="J250" s="90"/>
      <c r="K250" s="90"/>
      <c r="L250" s="90"/>
      <c r="M250" s="91">
        <f t="shared" si="183"/>
        <v>0</v>
      </c>
      <c r="N250" s="4" t="str">
        <f t="shared" si="184"/>
        <v/>
      </c>
      <c r="O250" s="92">
        <f t="shared" si="185"/>
        <v>0</v>
      </c>
      <c r="P250" s="92">
        <f t="shared" si="186"/>
        <v>0</v>
      </c>
      <c r="Q250" s="80">
        <v>3</v>
      </c>
      <c r="R250" s="80">
        <v>2</v>
      </c>
      <c r="S250" s="80" t="s">
        <v>76</v>
      </c>
      <c r="T250" s="5">
        <v>115</v>
      </c>
      <c r="U250" s="9"/>
      <c r="W250" s="87">
        <f t="shared" si="187"/>
        <v>115.2</v>
      </c>
      <c r="X250" s="88">
        <f t="shared" si="187"/>
        <v>35</v>
      </c>
      <c r="Y250" s="93">
        <f t="shared" si="188"/>
        <v>4</v>
      </c>
      <c r="Z250" s="91">
        <f t="shared" si="188"/>
        <v>0</v>
      </c>
      <c r="AA250" s="91">
        <f t="shared" si="189"/>
        <v>0</v>
      </c>
      <c r="AB250" s="91">
        <f t="shared" si="190"/>
        <v>0</v>
      </c>
      <c r="AC250" s="4" t="str">
        <f t="shared" si="190"/>
        <v/>
      </c>
      <c r="AD250" s="92">
        <f t="shared" si="190"/>
        <v>0</v>
      </c>
      <c r="AE250" s="80" t="str">
        <f t="shared" si="191"/>
        <v>복</v>
      </c>
      <c r="AF250" s="80" t="str">
        <f t="shared" si="192"/>
        <v>3/2</v>
      </c>
      <c r="AH250" s="20" t="str">
        <f t="shared" si="172"/>
        <v>소룡동 그린서해맨션</v>
      </c>
      <c r="AI250" s="88">
        <f t="shared" si="152"/>
        <v>35</v>
      </c>
      <c r="AJ250" s="80" t="str">
        <f t="shared" si="193"/>
        <v>A-</v>
      </c>
      <c r="AK250" s="80" t="s">
        <v>14</v>
      </c>
      <c r="AL250" s="80" t="s">
        <v>63</v>
      </c>
      <c r="AM250" s="80" t="s">
        <v>64</v>
      </c>
      <c r="AN250" s="80" t="str">
        <f t="shared" si="194"/>
        <v>C</v>
      </c>
      <c r="AO250" s="80" t="str">
        <f t="shared" si="195"/>
        <v/>
      </c>
      <c r="AP250" s="80" t="str">
        <f t="shared" si="196"/>
        <v/>
      </c>
      <c r="AQ250" s="80" t="str">
        <f t="shared" si="197"/>
        <v>O</v>
      </c>
      <c r="AR250" s="80" t="str">
        <f t="shared" si="198"/>
        <v>O</v>
      </c>
      <c r="AS250" s="80" t="s">
        <v>2</v>
      </c>
      <c r="AT250" s="80" t="str">
        <f t="shared" si="199"/>
        <v>O</v>
      </c>
      <c r="AU250" s="80" t="str">
        <f t="shared" si="200"/>
        <v>O</v>
      </c>
      <c r="AV250" s="80" t="str">
        <f t="shared" si="201"/>
        <v/>
      </c>
    </row>
    <row r="251" spans="1:48" s="37" customFormat="1" ht="12" x14ac:dyDescent="0.3">
      <c r="A251" s="75" t="s">
        <v>1519</v>
      </c>
      <c r="B251" s="76" t="s">
        <v>1726</v>
      </c>
      <c r="C251" s="86">
        <v>702</v>
      </c>
      <c r="D251" s="87">
        <v>79.5</v>
      </c>
      <c r="E251" s="88">
        <v>24</v>
      </c>
      <c r="F251" s="87">
        <v>60.5</v>
      </c>
      <c r="G251" s="17">
        <v>18</v>
      </c>
      <c r="H251" s="89">
        <v>251</v>
      </c>
      <c r="I251" s="90">
        <v>5900</v>
      </c>
      <c r="J251" s="90" t="s">
        <v>81</v>
      </c>
      <c r="K251" s="90"/>
      <c r="L251" s="90"/>
      <c r="M251" s="91">
        <f>I251-K251</f>
        <v>5900</v>
      </c>
      <c r="N251" s="4">
        <f>IF(ISERROR(K251/I251),"",K251/I251)</f>
        <v>0</v>
      </c>
      <c r="O251" s="92">
        <f>I251/E251</f>
        <v>245.83333333333334</v>
      </c>
      <c r="P251" s="92">
        <f>K251/E251</f>
        <v>0</v>
      </c>
      <c r="Q251" s="80">
        <v>3</v>
      </c>
      <c r="R251" s="80">
        <v>1</v>
      </c>
      <c r="S251" s="80" t="s">
        <v>61</v>
      </c>
      <c r="T251" s="5" t="s">
        <v>136</v>
      </c>
      <c r="U251" s="9"/>
      <c r="W251" s="87">
        <f t="shared" si="187"/>
        <v>79.5</v>
      </c>
      <c r="X251" s="88">
        <f t="shared" si="187"/>
        <v>24</v>
      </c>
      <c r="Y251" s="93">
        <f t="shared" si="188"/>
        <v>251</v>
      </c>
      <c r="Z251" s="91">
        <f t="shared" si="188"/>
        <v>5900</v>
      </c>
      <c r="AA251" s="91">
        <f>K251</f>
        <v>0</v>
      </c>
      <c r="AB251" s="91">
        <f t="shared" si="190"/>
        <v>5900</v>
      </c>
      <c r="AC251" s="4">
        <f t="shared" si="190"/>
        <v>0</v>
      </c>
      <c r="AD251" s="92">
        <f t="shared" si="190"/>
        <v>245.83333333333334</v>
      </c>
      <c r="AE251" s="80" t="str">
        <f>S251</f>
        <v>계</v>
      </c>
      <c r="AF251" s="80" t="str">
        <f>Q251&amp;"/"&amp;R251</f>
        <v>3/1</v>
      </c>
      <c r="AH251" s="20" t="str">
        <f t="shared" si="172"/>
        <v>소룡동 동아</v>
      </c>
      <c r="AI251" s="88">
        <f t="shared" si="152"/>
        <v>24</v>
      </c>
      <c r="AJ251" s="80" t="str">
        <f>IF(AI251="","",$AJ$2)</f>
        <v>A-</v>
      </c>
      <c r="AK251" s="80" t="s">
        <v>14</v>
      </c>
      <c r="AL251" s="80" t="s">
        <v>63</v>
      </c>
      <c r="AM251" s="80" t="s">
        <v>64</v>
      </c>
      <c r="AN251" s="80" t="str">
        <f>IF(AI251="","",$AN$2)</f>
        <v>C</v>
      </c>
      <c r="AO251" s="80" t="str">
        <f>IF(N251="","",IF(N251&gt;=$AO$1/100,"O","X"))</f>
        <v>X</v>
      </c>
      <c r="AP251" s="80" t="str">
        <f>IF(I251="","",IF(I251&lt;=$AP$1,"O","X"))</f>
        <v>O</v>
      </c>
      <c r="AQ251" s="80" t="str">
        <f>IF(O251="","",IF(O251&lt;=$AQ$1,"O","X"))</f>
        <v>O</v>
      </c>
      <c r="AR251" s="80" t="str">
        <f>IF(M251="","",IF(M251&lt;=$AR$1,"O","X"))</f>
        <v>X</v>
      </c>
      <c r="AS251" s="80" t="s">
        <v>2</v>
      </c>
      <c r="AT251" s="80" t="str">
        <f>IF(OR(F251="",AI251=""),"",IF(AND((F251&lt;=85),(AI251&gt;=15)),"O","X"))</f>
        <v>O</v>
      </c>
      <c r="AU251" s="80" t="str">
        <f>IF(C251="","",IF(C251&gt;=$AU$1,"O","X"))</f>
        <v>O</v>
      </c>
      <c r="AV251" s="80" t="str">
        <f>IF(AO251="","",IF(AND(AO251="O",AP251="O",AR251="O",AT251="O",AU251="O"),"후보","X"))</f>
        <v>X</v>
      </c>
    </row>
    <row r="252" spans="1:48" s="37" customFormat="1" ht="12" x14ac:dyDescent="0.3">
      <c r="A252" s="75" t="s">
        <v>1519</v>
      </c>
      <c r="B252" s="76" t="s">
        <v>1520</v>
      </c>
      <c r="C252" s="86">
        <v>702</v>
      </c>
      <c r="D252" s="87">
        <v>79.2</v>
      </c>
      <c r="E252" s="88">
        <v>24</v>
      </c>
      <c r="F252" s="87">
        <v>60.7</v>
      </c>
      <c r="G252" s="17">
        <v>18</v>
      </c>
      <c r="H252" s="89">
        <v>1</v>
      </c>
      <c r="I252" s="90"/>
      <c r="J252" s="90"/>
      <c r="K252" s="90"/>
      <c r="L252" s="90"/>
      <c r="M252" s="91">
        <f>I252-K252</f>
        <v>0</v>
      </c>
      <c r="N252" s="4" t="str">
        <f>IF(ISERROR(K252/I252),"",K252/I252)</f>
        <v/>
      </c>
      <c r="O252" s="92">
        <f>I252/E252</f>
        <v>0</v>
      </c>
      <c r="P252" s="92">
        <f>K252/E252</f>
        <v>0</v>
      </c>
      <c r="Q252" s="80">
        <v>2</v>
      </c>
      <c r="R252" s="80">
        <v>1</v>
      </c>
      <c r="S252" s="80" t="s">
        <v>61</v>
      </c>
      <c r="T252" s="5" t="s">
        <v>963</v>
      </c>
      <c r="U252" s="9"/>
      <c r="W252" s="87">
        <f t="shared" si="187"/>
        <v>79.2</v>
      </c>
      <c r="X252" s="88">
        <f t="shared" si="187"/>
        <v>24</v>
      </c>
      <c r="Y252" s="93">
        <f t="shared" si="188"/>
        <v>1</v>
      </c>
      <c r="Z252" s="91">
        <f t="shared" si="188"/>
        <v>0</v>
      </c>
      <c r="AA252" s="91">
        <f>K252</f>
        <v>0</v>
      </c>
      <c r="AB252" s="91">
        <f t="shared" si="190"/>
        <v>0</v>
      </c>
      <c r="AC252" s="4" t="str">
        <f t="shared" si="190"/>
        <v/>
      </c>
      <c r="AD252" s="92">
        <f t="shared" si="190"/>
        <v>0</v>
      </c>
      <c r="AE252" s="80" t="str">
        <f>S252</f>
        <v>계</v>
      </c>
      <c r="AF252" s="80" t="str">
        <f>Q252&amp;"/"&amp;R252</f>
        <v>2/1</v>
      </c>
      <c r="AH252" s="20" t="str">
        <f t="shared" si="172"/>
        <v>소룡동 동아</v>
      </c>
      <c r="AI252" s="88">
        <f t="shared" si="152"/>
        <v>24</v>
      </c>
      <c r="AJ252" s="80" t="str">
        <f>IF(AI252="","",$AJ$2)</f>
        <v>A-</v>
      </c>
      <c r="AK252" s="80" t="s">
        <v>14</v>
      </c>
      <c r="AL252" s="80" t="s">
        <v>63</v>
      </c>
      <c r="AM252" s="80" t="s">
        <v>64</v>
      </c>
      <c r="AN252" s="80" t="str">
        <f>IF(AI252="","",$AN$2)</f>
        <v>C</v>
      </c>
      <c r="AO252" s="80" t="str">
        <f>IF(N252="","",IF(N252&gt;=$AO$1/100,"O","X"))</f>
        <v/>
      </c>
      <c r="AP252" s="80" t="str">
        <f>IF(I252="","",IF(I252&lt;=$AP$1,"O","X"))</f>
        <v/>
      </c>
      <c r="AQ252" s="80" t="str">
        <f>IF(O252="","",IF(O252&lt;=$AQ$1,"O","X"))</f>
        <v>O</v>
      </c>
      <c r="AR252" s="80" t="str">
        <f>IF(M252="","",IF(M252&lt;=$AR$1,"O","X"))</f>
        <v>O</v>
      </c>
      <c r="AS252" s="80" t="s">
        <v>2</v>
      </c>
      <c r="AT252" s="80" t="str">
        <f>IF(OR(F252="",AI252=""),"",IF(AND((F252&lt;=85),(AI252&gt;=15)),"O","X"))</f>
        <v>O</v>
      </c>
      <c r="AU252" s="80" t="str">
        <f>IF(C252="","",IF(C252&gt;=$AU$1,"O","X"))</f>
        <v>O</v>
      </c>
      <c r="AV252" s="80" t="str">
        <f>IF(AO252="","",IF(AND(AO252="O",AP252="O",AR252="O",AT252="O",AU252="O"),"후보","X"))</f>
        <v/>
      </c>
    </row>
    <row r="253" spans="1:48" s="37" customFormat="1" ht="12" x14ac:dyDescent="0.3">
      <c r="A253" s="75" t="s">
        <v>1519</v>
      </c>
      <c r="B253" s="76" t="s">
        <v>1520</v>
      </c>
      <c r="C253" s="86">
        <v>702</v>
      </c>
      <c r="D253" s="87">
        <v>93.6</v>
      </c>
      <c r="E253" s="88">
        <v>28</v>
      </c>
      <c r="F253" s="87">
        <v>75.599999999999994</v>
      </c>
      <c r="G253" s="17">
        <v>23</v>
      </c>
      <c r="H253" s="89">
        <v>240</v>
      </c>
      <c r="I253" s="90"/>
      <c r="J253" s="90"/>
      <c r="K253" s="90"/>
      <c r="L253" s="90"/>
      <c r="M253" s="91">
        <f>I253-K253</f>
        <v>0</v>
      </c>
      <c r="N253" s="4" t="str">
        <f>IF(ISERROR(K253/I253),"",K253/I253)</f>
        <v/>
      </c>
      <c r="O253" s="92">
        <f>I253/E253</f>
        <v>0</v>
      </c>
      <c r="P253" s="92">
        <f>K253/E253</f>
        <v>0</v>
      </c>
      <c r="Q253" s="80">
        <v>3</v>
      </c>
      <c r="R253" s="80">
        <v>1</v>
      </c>
      <c r="S253" s="80" t="s">
        <v>61</v>
      </c>
      <c r="T253" s="5">
        <v>93</v>
      </c>
      <c r="U253" s="9"/>
      <c r="W253" s="87">
        <f t="shared" si="187"/>
        <v>93.6</v>
      </c>
      <c r="X253" s="88">
        <f t="shared" si="187"/>
        <v>28</v>
      </c>
      <c r="Y253" s="93">
        <f t="shared" si="188"/>
        <v>240</v>
      </c>
      <c r="Z253" s="91">
        <f t="shared" si="188"/>
        <v>0</v>
      </c>
      <c r="AA253" s="91">
        <f>K253</f>
        <v>0</v>
      </c>
      <c r="AB253" s="91">
        <f t="shared" si="190"/>
        <v>0</v>
      </c>
      <c r="AC253" s="4" t="str">
        <f t="shared" si="190"/>
        <v/>
      </c>
      <c r="AD253" s="92">
        <f t="shared" si="190"/>
        <v>0</v>
      </c>
      <c r="AE253" s="80" t="str">
        <f>S253</f>
        <v>계</v>
      </c>
      <c r="AF253" s="80" t="str">
        <f>Q253&amp;"/"&amp;R253</f>
        <v>3/1</v>
      </c>
      <c r="AH253" s="20" t="str">
        <f t="shared" si="172"/>
        <v>소룡동 동아</v>
      </c>
      <c r="AI253" s="88">
        <f t="shared" si="152"/>
        <v>28</v>
      </c>
      <c r="AJ253" s="80" t="str">
        <f>IF(AI253="","",$AJ$2)</f>
        <v>A-</v>
      </c>
      <c r="AK253" s="80" t="s">
        <v>14</v>
      </c>
      <c r="AL253" s="80" t="s">
        <v>63</v>
      </c>
      <c r="AM253" s="80" t="s">
        <v>64</v>
      </c>
      <c r="AN253" s="80" t="str">
        <f>IF(AI253="","",$AN$2)</f>
        <v>C</v>
      </c>
      <c r="AO253" s="80" t="str">
        <f>IF(N253="","",IF(N253&gt;=$AO$1/100,"O","X"))</f>
        <v/>
      </c>
      <c r="AP253" s="80" t="str">
        <f>IF(I253="","",IF(I253&lt;=$AP$1,"O","X"))</f>
        <v/>
      </c>
      <c r="AQ253" s="80" t="str">
        <f>IF(O253="","",IF(O253&lt;=$AQ$1,"O","X"))</f>
        <v>O</v>
      </c>
      <c r="AR253" s="80" t="str">
        <f>IF(M253="","",IF(M253&lt;=$AR$1,"O","X"))</f>
        <v>O</v>
      </c>
      <c r="AS253" s="80" t="s">
        <v>2</v>
      </c>
      <c r="AT253" s="80" t="str">
        <f>IF(OR(F253="",AI253=""),"",IF(AND((F253&lt;=85),(AI253&gt;=15)),"O","X"))</f>
        <v>O</v>
      </c>
      <c r="AU253" s="80" t="str">
        <f>IF(C253="","",IF(C253&gt;=$AU$1,"O","X"))</f>
        <v>O</v>
      </c>
      <c r="AV253" s="80" t="str">
        <f>IF(AO253="","",IF(AND(AO253="O",AP253="O",AR253="O",AT253="O",AU253="O"),"후보","X"))</f>
        <v/>
      </c>
    </row>
    <row r="254" spans="1:48" s="37" customFormat="1" ht="12" x14ac:dyDescent="0.3">
      <c r="A254" s="75" t="s">
        <v>1727</v>
      </c>
      <c r="B254" s="76" t="s">
        <v>1520</v>
      </c>
      <c r="C254" s="86">
        <v>702</v>
      </c>
      <c r="D254" s="87">
        <v>103.9</v>
      </c>
      <c r="E254" s="88">
        <v>31</v>
      </c>
      <c r="F254" s="87">
        <v>84.9</v>
      </c>
      <c r="G254" s="17">
        <v>26</v>
      </c>
      <c r="H254" s="89">
        <v>210</v>
      </c>
      <c r="I254" s="90">
        <v>12000</v>
      </c>
      <c r="J254" s="90" t="s">
        <v>72</v>
      </c>
      <c r="K254" s="90"/>
      <c r="L254" s="90"/>
      <c r="M254" s="91">
        <f>I254-K254</f>
        <v>12000</v>
      </c>
      <c r="N254" s="4">
        <f>IF(ISERROR(K254/I254),"",K254/I254)</f>
        <v>0</v>
      </c>
      <c r="O254" s="92">
        <f>I254/E254</f>
        <v>387.09677419354841</v>
      </c>
      <c r="P254" s="92">
        <f>K254/E254</f>
        <v>0</v>
      </c>
      <c r="Q254" s="80">
        <v>3</v>
      </c>
      <c r="R254" s="80">
        <v>2</v>
      </c>
      <c r="S254" s="80" t="s">
        <v>61</v>
      </c>
      <c r="T254" s="5">
        <v>103</v>
      </c>
      <c r="U254" s="9"/>
      <c r="W254" s="87">
        <f t="shared" si="187"/>
        <v>103.9</v>
      </c>
      <c r="X254" s="88">
        <f t="shared" si="187"/>
        <v>31</v>
      </c>
      <c r="Y254" s="93">
        <f t="shared" si="188"/>
        <v>210</v>
      </c>
      <c r="Z254" s="91">
        <f t="shared" si="188"/>
        <v>12000</v>
      </c>
      <c r="AA254" s="91">
        <f>K254</f>
        <v>0</v>
      </c>
      <c r="AB254" s="91">
        <f t="shared" si="190"/>
        <v>12000</v>
      </c>
      <c r="AC254" s="4">
        <f t="shared" si="190"/>
        <v>0</v>
      </c>
      <c r="AD254" s="92">
        <f t="shared" si="190"/>
        <v>387.09677419354841</v>
      </c>
      <c r="AE254" s="80" t="str">
        <f>S254</f>
        <v>계</v>
      </c>
      <c r="AF254" s="80" t="str">
        <f>Q254&amp;"/"&amp;R254</f>
        <v>3/2</v>
      </c>
      <c r="AH254" s="20" t="str">
        <f t="shared" si="172"/>
        <v>소룡동 동아</v>
      </c>
      <c r="AI254" s="88">
        <f t="shared" si="152"/>
        <v>31</v>
      </c>
      <c r="AJ254" s="80" t="str">
        <f>IF(AI254="","",$AJ$2)</f>
        <v>A-</v>
      </c>
      <c r="AK254" s="80" t="s">
        <v>14</v>
      </c>
      <c r="AL254" s="80" t="s">
        <v>63</v>
      </c>
      <c r="AM254" s="80" t="s">
        <v>64</v>
      </c>
      <c r="AN254" s="80" t="str">
        <f>IF(AI254="","",$AN$2)</f>
        <v>C</v>
      </c>
      <c r="AO254" s="80" t="str">
        <f>IF(N254="","",IF(N254&gt;=$AO$1/100,"O","X"))</f>
        <v>X</v>
      </c>
      <c r="AP254" s="80" t="str">
        <f>IF(I254="","",IF(I254&lt;=$AP$1,"O","X"))</f>
        <v>O</v>
      </c>
      <c r="AQ254" s="80" t="str">
        <f>IF(O254="","",IF(O254&lt;=$AQ$1,"O","X"))</f>
        <v>O</v>
      </c>
      <c r="AR254" s="80" t="str">
        <f>IF(M254="","",IF(M254&lt;=$AR$1,"O","X"))</f>
        <v>X</v>
      </c>
      <c r="AS254" s="80" t="s">
        <v>2</v>
      </c>
      <c r="AT254" s="80" t="str">
        <f>IF(OR(F254="",AI254=""),"",IF(AND((F254&lt;=85),(AI254&gt;=15)),"O","X"))</f>
        <v>O</v>
      </c>
      <c r="AU254" s="80" t="str">
        <f>IF(C254="","",IF(C254&gt;=$AU$1,"O","X"))</f>
        <v>O</v>
      </c>
      <c r="AV254" s="80" t="str">
        <f>IF(AO254="","",IF(AND(AO254="O",AP254="O",AR254="O",AT254="O",AU254="O"),"후보","X"))</f>
        <v>X</v>
      </c>
    </row>
    <row r="255" spans="1:48" s="37" customFormat="1" ht="12" x14ac:dyDescent="0.3">
      <c r="A255" s="75" t="s">
        <v>1521</v>
      </c>
      <c r="B255" s="76" t="s">
        <v>1728</v>
      </c>
      <c r="C255" s="86">
        <v>499</v>
      </c>
      <c r="D255" s="87">
        <v>57.5</v>
      </c>
      <c r="E255" s="88">
        <v>17</v>
      </c>
      <c r="F255" s="87">
        <v>43.7</v>
      </c>
      <c r="G255" s="17">
        <v>13</v>
      </c>
      <c r="H255" s="89">
        <v>123</v>
      </c>
      <c r="I255" s="90"/>
      <c r="J255" s="90"/>
      <c r="K255" s="90"/>
      <c r="L255" s="90"/>
      <c r="M255" s="91">
        <f t="shared" ref="M255:M261" si="202">I255-K255</f>
        <v>0</v>
      </c>
      <c r="N255" s="4" t="str">
        <f t="shared" ref="N255:N261" si="203">IF(ISERROR(K255/I255),"",K255/I255)</f>
        <v/>
      </c>
      <c r="O255" s="92">
        <f t="shared" ref="O255:O261" si="204">I255/E255</f>
        <v>0</v>
      </c>
      <c r="P255" s="92">
        <f t="shared" ref="P255:P261" si="205">K255/E255</f>
        <v>0</v>
      </c>
      <c r="Q255" s="80">
        <v>2</v>
      </c>
      <c r="R255" s="80">
        <v>1</v>
      </c>
      <c r="S255" s="80" t="s">
        <v>61</v>
      </c>
      <c r="T255" s="5">
        <v>57</v>
      </c>
      <c r="U255" s="9"/>
      <c r="W255" s="87">
        <f t="shared" si="187"/>
        <v>57.5</v>
      </c>
      <c r="X255" s="88">
        <f t="shared" si="187"/>
        <v>17</v>
      </c>
      <c r="Y255" s="93">
        <f t="shared" si="188"/>
        <v>123</v>
      </c>
      <c r="Z255" s="91">
        <f t="shared" si="188"/>
        <v>0</v>
      </c>
      <c r="AA255" s="91">
        <f t="shared" ref="AA255:AA261" si="206">K255</f>
        <v>0</v>
      </c>
      <c r="AB255" s="91">
        <f t="shared" si="190"/>
        <v>0</v>
      </c>
      <c r="AC255" s="4" t="str">
        <f t="shared" si="190"/>
        <v/>
      </c>
      <c r="AD255" s="92">
        <f t="shared" si="190"/>
        <v>0</v>
      </c>
      <c r="AE255" s="80" t="str">
        <f t="shared" ref="AE255:AE261" si="207">S255</f>
        <v>계</v>
      </c>
      <c r="AF255" s="80" t="str">
        <f t="shared" ref="AF255:AF261" si="208">Q255&amp;"/"&amp;R255</f>
        <v>2/1</v>
      </c>
      <c r="AH255" s="20" t="str">
        <f t="shared" si="172"/>
        <v>소룡동 소룡진흥</v>
      </c>
      <c r="AI255" s="88">
        <f t="shared" si="152"/>
        <v>17</v>
      </c>
      <c r="AJ255" s="80" t="str">
        <f t="shared" ref="AJ255:AJ261" si="209">IF(AI255="","",$AJ$2)</f>
        <v>A-</v>
      </c>
      <c r="AK255" s="80" t="s">
        <v>14</v>
      </c>
      <c r="AL255" s="80" t="s">
        <v>63</v>
      </c>
      <c r="AM255" s="80" t="s">
        <v>64</v>
      </c>
      <c r="AN255" s="80" t="str">
        <f t="shared" ref="AN255:AN261" si="210">IF(AI255="","",$AN$2)</f>
        <v>C</v>
      </c>
      <c r="AO255" s="80" t="str">
        <f t="shared" ref="AO255:AO261" si="211">IF(N255="","",IF(N255&gt;=$AO$1/100,"O","X"))</f>
        <v/>
      </c>
      <c r="AP255" s="80" t="str">
        <f t="shared" ref="AP255:AP261" si="212">IF(I255="","",IF(I255&lt;=$AP$1,"O","X"))</f>
        <v/>
      </c>
      <c r="AQ255" s="80" t="str">
        <f t="shared" ref="AQ255:AQ261" si="213">IF(O255="","",IF(O255&lt;=$AQ$1,"O","X"))</f>
        <v>O</v>
      </c>
      <c r="AR255" s="80" t="str">
        <f t="shared" ref="AR255:AR261" si="214">IF(M255="","",IF(M255&lt;=$AR$1,"O","X"))</f>
        <v>O</v>
      </c>
      <c r="AS255" s="80" t="s">
        <v>2</v>
      </c>
      <c r="AT255" s="80" t="str">
        <f t="shared" ref="AT255:AT261" si="215">IF(OR(F255="",AI255=""),"",IF(AND((F255&lt;=85),(AI255&gt;=15)),"O","X"))</f>
        <v>O</v>
      </c>
      <c r="AU255" s="80" t="str">
        <f t="shared" ref="AU255:AU261" si="216">IF(C255="","",IF(C255&gt;=$AU$1,"O","X"))</f>
        <v>O</v>
      </c>
      <c r="AV255" s="80" t="str">
        <f t="shared" ref="AV255:AV261" si="217">IF(AO255="","",IF(AND(AO255="O",AP255="O",AR255="O",AT255="O",AU255="O"),"후보","X"))</f>
        <v/>
      </c>
    </row>
    <row r="256" spans="1:48" s="37" customFormat="1" ht="12" x14ac:dyDescent="0.3">
      <c r="A256" s="75" t="s">
        <v>1521</v>
      </c>
      <c r="B256" s="76" t="s">
        <v>1522</v>
      </c>
      <c r="C256" s="86">
        <v>499</v>
      </c>
      <c r="D256" s="87">
        <v>63.4</v>
      </c>
      <c r="E256" s="88">
        <v>19</v>
      </c>
      <c r="F256" s="87">
        <v>49.3</v>
      </c>
      <c r="G256" s="17">
        <v>15</v>
      </c>
      <c r="H256" s="89">
        <v>50</v>
      </c>
      <c r="I256" s="90">
        <v>4000</v>
      </c>
      <c r="J256" s="90" t="s">
        <v>84</v>
      </c>
      <c r="K256" s="90"/>
      <c r="L256" s="90"/>
      <c r="M256" s="91">
        <f t="shared" si="202"/>
        <v>4000</v>
      </c>
      <c r="N256" s="4">
        <f t="shared" si="203"/>
        <v>0</v>
      </c>
      <c r="O256" s="92">
        <f t="shared" si="204"/>
        <v>210.52631578947367</v>
      </c>
      <c r="P256" s="92">
        <f t="shared" si="205"/>
        <v>0</v>
      </c>
      <c r="Q256" s="80">
        <v>2</v>
      </c>
      <c r="R256" s="80">
        <v>1</v>
      </c>
      <c r="S256" s="80" t="s">
        <v>61</v>
      </c>
      <c r="T256" s="5">
        <v>63</v>
      </c>
      <c r="U256" s="9"/>
      <c r="W256" s="87">
        <f t="shared" si="187"/>
        <v>63.4</v>
      </c>
      <c r="X256" s="88">
        <f t="shared" si="187"/>
        <v>19</v>
      </c>
      <c r="Y256" s="93">
        <f t="shared" si="188"/>
        <v>50</v>
      </c>
      <c r="Z256" s="91">
        <f t="shared" si="188"/>
        <v>4000</v>
      </c>
      <c r="AA256" s="91">
        <f t="shared" si="206"/>
        <v>0</v>
      </c>
      <c r="AB256" s="91">
        <f t="shared" si="190"/>
        <v>4000</v>
      </c>
      <c r="AC256" s="4">
        <f t="shared" si="190"/>
        <v>0</v>
      </c>
      <c r="AD256" s="92">
        <f t="shared" si="190"/>
        <v>210.52631578947367</v>
      </c>
      <c r="AE256" s="80" t="str">
        <f t="shared" si="207"/>
        <v>계</v>
      </c>
      <c r="AF256" s="80" t="str">
        <f t="shared" si="208"/>
        <v>2/1</v>
      </c>
      <c r="AH256" s="20" t="str">
        <f t="shared" si="172"/>
        <v>소룡동 소룡진흥</v>
      </c>
      <c r="AI256" s="88">
        <f t="shared" si="152"/>
        <v>19</v>
      </c>
      <c r="AJ256" s="80" t="str">
        <f t="shared" si="209"/>
        <v>A-</v>
      </c>
      <c r="AK256" s="80" t="s">
        <v>14</v>
      </c>
      <c r="AL256" s="80" t="s">
        <v>63</v>
      </c>
      <c r="AM256" s="80" t="s">
        <v>64</v>
      </c>
      <c r="AN256" s="80" t="str">
        <f t="shared" si="210"/>
        <v>C</v>
      </c>
      <c r="AO256" s="80" t="str">
        <f t="shared" si="211"/>
        <v>X</v>
      </c>
      <c r="AP256" s="80" t="str">
        <f t="shared" si="212"/>
        <v>O</v>
      </c>
      <c r="AQ256" s="80" t="str">
        <f t="shared" si="213"/>
        <v>O</v>
      </c>
      <c r="AR256" s="80" t="str">
        <f t="shared" si="214"/>
        <v>O</v>
      </c>
      <c r="AS256" s="80" t="s">
        <v>2</v>
      </c>
      <c r="AT256" s="80" t="str">
        <f t="shared" si="215"/>
        <v>O</v>
      </c>
      <c r="AU256" s="80" t="str">
        <f t="shared" si="216"/>
        <v>O</v>
      </c>
      <c r="AV256" s="80" t="str">
        <f t="shared" si="217"/>
        <v>X</v>
      </c>
    </row>
    <row r="257" spans="1:48" s="37" customFormat="1" ht="12" x14ac:dyDescent="0.3">
      <c r="A257" s="75" t="s">
        <v>1521</v>
      </c>
      <c r="B257" s="76" t="s">
        <v>1522</v>
      </c>
      <c r="C257" s="86">
        <v>499</v>
      </c>
      <c r="D257" s="87">
        <v>70.2</v>
      </c>
      <c r="E257" s="88">
        <v>21</v>
      </c>
      <c r="F257" s="87">
        <v>59.2</v>
      </c>
      <c r="G257" s="17">
        <v>18</v>
      </c>
      <c r="H257" s="89">
        <v>25</v>
      </c>
      <c r="I257" s="90"/>
      <c r="J257" s="90"/>
      <c r="K257" s="90"/>
      <c r="L257" s="90"/>
      <c r="M257" s="91">
        <f t="shared" si="202"/>
        <v>0</v>
      </c>
      <c r="N257" s="4" t="str">
        <f t="shared" si="203"/>
        <v/>
      </c>
      <c r="O257" s="92">
        <f t="shared" si="204"/>
        <v>0</v>
      </c>
      <c r="P257" s="92">
        <f t="shared" si="205"/>
        <v>0</v>
      </c>
      <c r="Q257" s="80">
        <v>2</v>
      </c>
      <c r="R257" s="80">
        <v>1</v>
      </c>
      <c r="S257" s="80" t="s">
        <v>61</v>
      </c>
      <c r="T257" s="5">
        <v>70</v>
      </c>
      <c r="U257" s="9"/>
      <c r="W257" s="87">
        <f t="shared" si="187"/>
        <v>70.2</v>
      </c>
      <c r="X257" s="88">
        <f t="shared" si="187"/>
        <v>21</v>
      </c>
      <c r="Y257" s="93">
        <f t="shared" si="188"/>
        <v>25</v>
      </c>
      <c r="Z257" s="91">
        <f t="shared" si="188"/>
        <v>0</v>
      </c>
      <c r="AA257" s="91">
        <f t="shared" si="206"/>
        <v>0</v>
      </c>
      <c r="AB257" s="91">
        <f t="shared" si="190"/>
        <v>0</v>
      </c>
      <c r="AC257" s="4" t="str">
        <f t="shared" si="190"/>
        <v/>
      </c>
      <c r="AD257" s="92">
        <f t="shared" si="190"/>
        <v>0</v>
      </c>
      <c r="AE257" s="80" t="str">
        <f t="shared" si="207"/>
        <v>계</v>
      </c>
      <c r="AF257" s="80" t="str">
        <f t="shared" si="208"/>
        <v>2/1</v>
      </c>
      <c r="AH257" s="20" t="str">
        <f t="shared" si="172"/>
        <v>소룡동 소룡진흥</v>
      </c>
      <c r="AI257" s="88">
        <f t="shared" si="152"/>
        <v>21</v>
      </c>
      <c r="AJ257" s="80" t="str">
        <f t="shared" si="209"/>
        <v>A-</v>
      </c>
      <c r="AK257" s="80" t="s">
        <v>14</v>
      </c>
      <c r="AL257" s="80" t="s">
        <v>63</v>
      </c>
      <c r="AM257" s="80" t="s">
        <v>64</v>
      </c>
      <c r="AN257" s="80" t="str">
        <f t="shared" si="210"/>
        <v>C</v>
      </c>
      <c r="AO257" s="80" t="str">
        <f t="shared" si="211"/>
        <v/>
      </c>
      <c r="AP257" s="80" t="str">
        <f t="shared" si="212"/>
        <v/>
      </c>
      <c r="AQ257" s="80" t="str">
        <f t="shared" si="213"/>
        <v>O</v>
      </c>
      <c r="AR257" s="80" t="str">
        <f t="shared" si="214"/>
        <v>O</v>
      </c>
      <c r="AS257" s="80" t="s">
        <v>2</v>
      </c>
      <c r="AT257" s="80" t="str">
        <f t="shared" si="215"/>
        <v>O</v>
      </c>
      <c r="AU257" s="80" t="str">
        <f t="shared" si="216"/>
        <v>O</v>
      </c>
      <c r="AV257" s="80" t="str">
        <f t="shared" si="217"/>
        <v/>
      </c>
    </row>
    <row r="258" spans="1:48" s="37" customFormat="1" ht="12" x14ac:dyDescent="0.3">
      <c r="A258" s="75" t="s">
        <v>1521</v>
      </c>
      <c r="B258" s="76" t="s">
        <v>1522</v>
      </c>
      <c r="C258" s="86">
        <v>499</v>
      </c>
      <c r="D258" s="87">
        <v>78.400000000000006</v>
      </c>
      <c r="E258" s="88">
        <v>24</v>
      </c>
      <c r="F258" s="87">
        <v>59.8</v>
      </c>
      <c r="G258" s="17">
        <v>18</v>
      </c>
      <c r="H258" s="89">
        <v>48</v>
      </c>
      <c r="I258" s="90">
        <v>6000</v>
      </c>
      <c r="J258" s="90" t="s">
        <v>84</v>
      </c>
      <c r="K258" s="90"/>
      <c r="L258" s="90"/>
      <c r="M258" s="91">
        <f t="shared" si="202"/>
        <v>6000</v>
      </c>
      <c r="N258" s="4">
        <f t="shared" si="203"/>
        <v>0</v>
      </c>
      <c r="O258" s="92">
        <f t="shared" si="204"/>
        <v>250</v>
      </c>
      <c r="P258" s="92">
        <f t="shared" si="205"/>
        <v>0</v>
      </c>
      <c r="Q258" s="80">
        <v>3</v>
      </c>
      <c r="R258" s="80">
        <v>1</v>
      </c>
      <c r="S258" s="80" t="s">
        <v>76</v>
      </c>
      <c r="T258" s="5" t="s">
        <v>137</v>
      </c>
      <c r="U258" s="9"/>
      <c r="W258" s="87">
        <f t="shared" si="187"/>
        <v>78.400000000000006</v>
      </c>
      <c r="X258" s="88">
        <f t="shared" si="187"/>
        <v>24</v>
      </c>
      <c r="Y258" s="93">
        <f t="shared" si="188"/>
        <v>48</v>
      </c>
      <c r="Z258" s="91">
        <f t="shared" si="188"/>
        <v>6000</v>
      </c>
      <c r="AA258" s="91">
        <f t="shared" si="206"/>
        <v>0</v>
      </c>
      <c r="AB258" s="91">
        <f t="shared" si="190"/>
        <v>6000</v>
      </c>
      <c r="AC258" s="4">
        <f t="shared" si="190"/>
        <v>0</v>
      </c>
      <c r="AD258" s="92">
        <f t="shared" si="190"/>
        <v>250</v>
      </c>
      <c r="AE258" s="80" t="str">
        <f t="shared" si="207"/>
        <v>복</v>
      </c>
      <c r="AF258" s="80" t="str">
        <f t="shared" si="208"/>
        <v>3/1</v>
      </c>
      <c r="AH258" s="20" t="str">
        <f t="shared" si="172"/>
        <v>소룡동 소룡진흥</v>
      </c>
      <c r="AI258" s="88">
        <f t="shared" si="152"/>
        <v>24</v>
      </c>
      <c r="AJ258" s="80" t="str">
        <f t="shared" si="209"/>
        <v>A-</v>
      </c>
      <c r="AK258" s="80" t="s">
        <v>14</v>
      </c>
      <c r="AL258" s="80" t="s">
        <v>63</v>
      </c>
      <c r="AM258" s="80" t="s">
        <v>64</v>
      </c>
      <c r="AN258" s="80" t="str">
        <f t="shared" si="210"/>
        <v>C</v>
      </c>
      <c r="AO258" s="80" t="str">
        <f t="shared" si="211"/>
        <v>X</v>
      </c>
      <c r="AP258" s="80" t="str">
        <f t="shared" si="212"/>
        <v>O</v>
      </c>
      <c r="AQ258" s="80" t="str">
        <f t="shared" si="213"/>
        <v>O</v>
      </c>
      <c r="AR258" s="80" t="str">
        <f t="shared" si="214"/>
        <v>X</v>
      </c>
      <c r="AS258" s="80" t="s">
        <v>2</v>
      </c>
      <c r="AT258" s="80" t="str">
        <f t="shared" si="215"/>
        <v>O</v>
      </c>
      <c r="AU258" s="80" t="str">
        <f t="shared" si="216"/>
        <v>O</v>
      </c>
      <c r="AV258" s="80" t="str">
        <f t="shared" si="217"/>
        <v>X</v>
      </c>
    </row>
    <row r="259" spans="1:48" s="37" customFormat="1" ht="12" x14ac:dyDescent="0.3">
      <c r="A259" s="75" t="s">
        <v>1521</v>
      </c>
      <c r="B259" s="76" t="s">
        <v>1522</v>
      </c>
      <c r="C259" s="86">
        <v>499</v>
      </c>
      <c r="D259" s="87">
        <v>80.7</v>
      </c>
      <c r="E259" s="88">
        <v>24</v>
      </c>
      <c r="F259" s="87">
        <v>68.099999999999994</v>
      </c>
      <c r="G259" s="17">
        <v>21</v>
      </c>
      <c r="H259" s="89">
        <v>25</v>
      </c>
      <c r="I259" s="90"/>
      <c r="J259" s="90"/>
      <c r="K259" s="90"/>
      <c r="L259" s="90"/>
      <c r="M259" s="91">
        <f t="shared" si="202"/>
        <v>0</v>
      </c>
      <c r="N259" s="4" t="str">
        <f t="shared" si="203"/>
        <v/>
      </c>
      <c r="O259" s="92">
        <f t="shared" si="204"/>
        <v>0</v>
      </c>
      <c r="P259" s="92">
        <f t="shared" si="205"/>
        <v>0</v>
      </c>
      <c r="Q259" s="80">
        <v>3</v>
      </c>
      <c r="R259" s="80">
        <v>1</v>
      </c>
      <c r="S259" s="80" t="s">
        <v>61</v>
      </c>
      <c r="T259" s="5" t="s">
        <v>85</v>
      </c>
      <c r="U259" s="9"/>
      <c r="W259" s="87">
        <f t="shared" si="187"/>
        <v>80.7</v>
      </c>
      <c r="X259" s="88">
        <f t="shared" si="187"/>
        <v>24</v>
      </c>
      <c r="Y259" s="93">
        <f t="shared" si="188"/>
        <v>25</v>
      </c>
      <c r="Z259" s="91">
        <f t="shared" si="188"/>
        <v>0</v>
      </c>
      <c r="AA259" s="91">
        <f t="shared" si="206"/>
        <v>0</v>
      </c>
      <c r="AB259" s="91">
        <f t="shared" si="190"/>
        <v>0</v>
      </c>
      <c r="AC259" s="4" t="str">
        <f t="shared" si="190"/>
        <v/>
      </c>
      <c r="AD259" s="92">
        <f t="shared" si="190"/>
        <v>0</v>
      </c>
      <c r="AE259" s="80" t="str">
        <f t="shared" si="207"/>
        <v>계</v>
      </c>
      <c r="AF259" s="80" t="str">
        <f t="shared" si="208"/>
        <v>3/1</v>
      </c>
      <c r="AH259" s="20" t="str">
        <f t="shared" si="172"/>
        <v>소룡동 소룡진흥</v>
      </c>
      <c r="AI259" s="88">
        <f t="shared" si="152"/>
        <v>24</v>
      </c>
      <c r="AJ259" s="80" t="str">
        <f t="shared" si="209"/>
        <v>A-</v>
      </c>
      <c r="AK259" s="80" t="s">
        <v>14</v>
      </c>
      <c r="AL259" s="80" t="s">
        <v>63</v>
      </c>
      <c r="AM259" s="80" t="s">
        <v>64</v>
      </c>
      <c r="AN259" s="80" t="str">
        <f t="shared" si="210"/>
        <v>C</v>
      </c>
      <c r="AO259" s="80" t="str">
        <f t="shared" si="211"/>
        <v/>
      </c>
      <c r="AP259" s="80" t="str">
        <f t="shared" si="212"/>
        <v/>
      </c>
      <c r="AQ259" s="80" t="str">
        <f t="shared" si="213"/>
        <v>O</v>
      </c>
      <c r="AR259" s="80" t="str">
        <f t="shared" si="214"/>
        <v>O</v>
      </c>
      <c r="AS259" s="80" t="s">
        <v>2</v>
      </c>
      <c r="AT259" s="80" t="str">
        <f t="shared" si="215"/>
        <v>O</v>
      </c>
      <c r="AU259" s="80" t="str">
        <f t="shared" si="216"/>
        <v>O</v>
      </c>
      <c r="AV259" s="80" t="str">
        <f t="shared" si="217"/>
        <v/>
      </c>
    </row>
    <row r="260" spans="1:48" s="37" customFormat="1" ht="12" x14ac:dyDescent="0.3">
      <c r="A260" s="75" t="s">
        <v>1729</v>
      </c>
      <c r="B260" s="76" t="s">
        <v>1522</v>
      </c>
      <c r="C260" s="86">
        <v>499</v>
      </c>
      <c r="D260" s="87">
        <v>88.3</v>
      </c>
      <c r="E260" s="88">
        <v>27</v>
      </c>
      <c r="F260" s="87">
        <v>72</v>
      </c>
      <c r="G260" s="17">
        <v>22</v>
      </c>
      <c r="H260" s="89">
        <v>128</v>
      </c>
      <c r="I260" s="90">
        <v>6700</v>
      </c>
      <c r="J260" s="90" t="s">
        <v>74</v>
      </c>
      <c r="K260" s="90"/>
      <c r="L260" s="90"/>
      <c r="M260" s="91">
        <f t="shared" si="202"/>
        <v>6700</v>
      </c>
      <c r="N260" s="4">
        <f t="shared" si="203"/>
        <v>0</v>
      </c>
      <c r="O260" s="92">
        <f t="shared" si="204"/>
        <v>248.14814814814815</v>
      </c>
      <c r="P260" s="92">
        <f t="shared" si="205"/>
        <v>0</v>
      </c>
      <c r="Q260" s="80">
        <v>3</v>
      </c>
      <c r="R260" s="80">
        <v>2</v>
      </c>
      <c r="S260" s="80" t="s">
        <v>61</v>
      </c>
      <c r="T260" s="5">
        <v>88</v>
      </c>
      <c r="U260" s="9"/>
      <c r="W260" s="87">
        <f t="shared" si="187"/>
        <v>88.3</v>
      </c>
      <c r="X260" s="88">
        <f t="shared" si="187"/>
        <v>27</v>
      </c>
      <c r="Y260" s="93">
        <f t="shared" si="188"/>
        <v>128</v>
      </c>
      <c r="Z260" s="91">
        <f t="shared" si="188"/>
        <v>6700</v>
      </c>
      <c r="AA260" s="91">
        <f t="shared" si="206"/>
        <v>0</v>
      </c>
      <c r="AB260" s="91">
        <f t="shared" si="190"/>
        <v>6700</v>
      </c>
      <c r="AC260" s="4">
        <f t="shared" si="190"/>
        <v>0</v>
      </c>
      <c r="AD260" s="92">
        <f t="shared" si="190"/>
        <v>248.14814814814815</v>
      </c>
      <c r="AE260" s="80" t="str">
        <f t="shared" si="207"/>
        <v>계</v>
      </c>
      <c r="AF260" s="80" t="str">
        <f t="shared" si="208"/>
        <v>3/2</v>
      </c>
      <c r="AH260" s="20" t="str">
        <f t="shared" si="172"/>
        <v>소룡동 소룡진흥</v>
      </c>
      <c r="AI260" s="88">
        <f t="shared" ref="AI260:AI323" si="218">IF(E260="","",E260)</f>
        <v>27</v>
      </c>
      <c r="AJ260" s="80" t="str">
        <f t="shared" si="209"/>
        <v>A-</v>
      </c>
      <c r="AK260" s="80" t="s">
        <v>14</v>
      </c>
      <c r="AL260" s="80" t="s">
        <v>63</v>
      </c>
      <c r="AM260" s="80" t="s">
        <v>64</v>
      </c>
      <c r="AN260" s="80" t="str">
        <f t="shared" si="210"/>
        <v>C</v>
      </c>
      <c r="AO260" s="80" t="str">
        <f t="shared" si="211"/>
        <v>X</v>
      </c>
      <c r="AP260" s="80" t="str">
        <f t="shared" si="212"/>
        <v>O</v>
      </c>
      <c r="AQ260" s="80" t="str">
        <f t="shared" si="213"/>
        <v>O</v>
      </c>
      <c r="AR260" s="80" t="str">
        <f t="shared" si="214"/>
        <v>X</v>
      </c>
      <c r="AS260" s="80" t="s">
        <v>2</v>
      </c>
      <c r="AT260" s="80" t="str">
        <f t="shared" si="215"/>
        <v>O</v>
      </c>
      <c r="AU260" s="80" t="str">
        <f t="shared" si="216"/>
        <v>O</v>
      </c>
      <c r="AV260" s="80" t="str">
        <f t="shared" si="217"/>
        <v>X</v>
      </c>
    </row>
    <row r="261" spans="1:48" s="37" customFormat="1" ht="12" x14ac:dyDescent="0.3">
      <c r="A261" s="75" t="s">
        <v>1521</v>
      </c>
      <c r="B261" s="76" t="s">
        <v>1522</v>
      </c>
      <c r="C261" s="86">
        <v>499</v>
      </c>
      <c r="D261" s="87">
        <v>102.8</v>
      </c>
      <c r="E261" s="88">
        <v>31</v>
      </c>
      <c r="F261" s="87">
        <v>85</v>
      </c>
      <c r="G261" s="17">
        <v>26</v>
      </c>
      <c r="H261" s="89">
        <v>100</v>
      </c>
      <c r="I261" s="90"/>
      <c r="J261" s="90"/>
      <c r="K261" s="90"/>
      <c r="L261" s="90"/>
      <c r="M261" s="91">
        <f t="shared" si="202"/>
        <v>0</v>
      </c>
      <c r="N261" s="4" t="str">
        <f t="shared" si="203"/>
        <v/>
      </c>
      <c r="O261" s="92">
        <f t="shared" si="204"/>
        <v>0</v>
      </c>
      <c r="P261" s="92">
        <f t="shared" si="205"/>
        <v>0</v>
      </c>
      <c r="Q261" s="80">
        <v>3</v>
      </c>
      <c r="R261" s="80">
        <v>2</v>
      </c>
      <c r="S261" s="80" t="s">
        <v>61</v>
      </c>
      <c r="T261" s="5">
        <v>102</v>
      </c>
      <c r="U261" s="9"/>
      <c r="W261" s="87">
        <f t="shared" ref="W261:X261" si="219">D261</f>
        <v>102.8</v>
      </c>
      <c r="X261" s="88">
        <f t="shared" si="219"/>
        <v>31</v>
      </c>
      <c r="Y261" s="93">
        <f t="shared" ref="Y261:Z261" si="220">H261</f>
        <v>100</v>
      </c>
      <c r="Z261" s="91">
        <f t="shared" si="220"/>
        <v>0</v>
      </c>
      <c r="AA261" s="91">
        <f t="shared" si="206"/>
        <v>0</v>
      </c>
      <c r="AB261" s="91">
        <f t="shared" ref="AB261:AD276" si="221">M261</f>
        <v>0</v>
      </c>
      <c r="AC261" s="4" t="str">
        <f t="shared" si="221"/>
        <v/>
      </c>
      <c r="AD261" s="92">
        <f t="shared" si="221"/>
        <v>0</v>
      </c>
      <c r="AE261" s="80" t="str">
        <f t="shared" si="207"/>
        <v>계</v>
      </c>
      <c r="AF261" s="80" t="str">
        <f t="shared" si="208"/>
        <v>3/2</v>
      </c>
      <c r="AH261" s="20" t="str">
        <f t="shared" si="172"/>
        <v>소룡동 소룡진흥</v>
      </c>
      <c r="AI261" s="88">
        <f t="shared" si="218"/>
        <v>31</v>
      </c>
      <c r="AJ261" s="80" t="str">
        <f t="shared" si="209"/>
        <v>A-</v>
      </c>
      <c r="AK261" s="80" t="s">
        <v>14</v>
      </c>
      <c r="AL261" s="80" t="s">
        <v>63</v>
      </c>
      <c r="AM261" s="80" t="s">
        <v>64</v>
      </c>
      <c r="AN261" s="80" t="str">
        <f t="shared" si="210"/>
        <v>C</v>
      </c>
      <c r="AO261" s="80" t="str">
        <f t="shared" si="211"/>
        <v/>
      </c>
      <c r="AP261" s="80" t="str">
        <f t="shared" si="212"/>
        <v/>
      </c>
      <c r="AQ261" s="80" t="str">
        <f t="shared" si="213"/>
        <v>O</v>
      </c>
      <c r="AR261" s="80" t="str">
        <f t="shared" si="214"/>
        <v>O</v>
      </c>
      <c r="AS261" s="80" t="s">
        <v>2</v>
      </c>
      <c r="AT261" s="80" t="str">
        <f t="shared" si="215"/>
        <v>O</v>
      </c>
      <c r="AU261" s="80" t="str">
        <f t="shared" si="216"/>
        <v>O</v>
      </c>
      <c r="AV261" s="80" t="str">
        <f t="shared" si="217"/>
        <v/>
      </c>
    </row>
    <row r="262" spans="1:48" s="37" customFormat="1" ht="12" x14ac:dyDescent="0.3">
      <c r="A262" s="75" t="s">
        <v>1730</v>
      </c>
      <c r="B262" s="76" t="s">
        <v>1430</v>
      </c>
      <c r="C262" s="86">
        <v>398</v>
      </c>
      <c r="D262" s="87">
        <v>41.3</v>
      </c>
      <c r="E262" s="88">
        <v>12</v>
      </c>
      <c r="F262" s="87">
        <v>31.8</v>
      </c>
      <c r="G262" s="17">
        <v>10</v>
      </c>
      <c r="H262" s="89">
        <v>390</v>
      </c>
      <c r="I262" s="90">
        <v>3000</v>
      </c>
      <c r="J262" s="90" t="s">
        <v>81</v>
      </c>
      <c r="K262" s="90"/>
      <c r="L262" s="90"/>
      <c r="M262" s="91">
        <f>I262-K262</f>
        <v>3000</v>
      </c>
      <c r="N262" s="4">
        <f>IF(ISERROR(K262/I262),"",K262/I262)</f>
        <v>0</v>
      </c>
      <c r="O262" s="92">
        <f>I262/E262</f>
        <v>250</v>
      </c>
      <c r="P262" s="92">
        <f>K262/E262</f>
        <v>0</v>
      </c>
      <c r="Q262" s="80">
        <v>1</v>
      </c>
      <c r="R262" s="80">
        <v>1</v>
      </c>
      <c r="S262" s="80" t="s">
        <v>76</v>
      </c>
      <c r="T262" s="5">
        <v>41</v>
      </c>
      <c r="U262" s="9"/>
      <c r="W262" s="87">
        <f>D262</f>
        <v>41.3</v>
      </c>
      <c r="X262" s="88">
        <f>E262</f>
        <v>12</v>
      </c>
      <c r="Y262" s="93">
        <f>H262</f>
        <v>390</v>
      </c>
      <c r="Z262" s="91">
        <f>I262</f>
        <v>3000</v>
      </c>
      <c r="AA262" s="91">
        <f>K262</f>
        <v>0</v>
      </c>
      <c r="AB262" s="91">
        <f t="shared" si="221"/>
        <v>3000</v>
      </c>
      <c r="AC262" s="4">
        <f t="shared" si="221"/>
        <v>0</v>
      </c>
      <c r="AD262" s="92">
        <f t="shared" si="221"/>
        <v>250</v>
      </c>
      <c r="AE262" s="80" t="str">
        <f>S262</f>
        <v>복</v>
      </c>
      <c r="AF262" s="80" t="str">
        <f>Q262&amp;"/"&amp;R262</f>
        <v>1/1</v>
      </c>
      <c r="AH262" s="20" t="str">
        <f t="shared" si="172"/>
        <v>소룡동 스카이타운</v>
      </c>
      <c r="AI262" s="88">
        <f t="shared" si="218"/>
        <v>12</v>
      </c>
      <c r="AJ262" s="80" t="str">
        <f>IF(AI262="","",$AJ$2)</f>
        <v>A-</v>
      </c>
      <c r="AK262" s="80" t="s">
        <v>14</v>
      </c>
      <c r="AL262" s="80" t="s">
        <v>63</v>
      </c>
      <c r="AM262" s="80" t="s">
        <v>64</v>
      </c>
      <c r="AN262" s="80" t="str">
        <f>IF(AI262="","",$AN$2)</f>
        <v>C</v>
      </c>
      <c r="AO262" s="80" t="str">
        <f>IF(N262="","",IF(N262&gt;=$AO$1/100,"O","X"))</f>
        <v>X</v>
      </c>
      <c r="AP262" s="80" t="str">
        <f>IF(I262="","",IF(I262&lt;=$AP$1,"O","X"))</f>
        <v>O</v>
      </c>
      <c r="AQ262" s="80" t="str">
        <f>IF(O262="","",IF(O262&lt;=$AQ$1,"O","X"))</f>
        <v>O</v>
      </c>
      <c r="AR262" s="80" t="str">
        <f>IF(M262="","",IF(M262&lt;=$AR$1,"O","X"))</f>
        <v>O</v>
      </c>
      <c r="AS262" s="80" t="s">
        <v>2</v>
      </c>
      <c r="AT262" s="80" t="str">
        <f>IF(OR(F262="",AI262=""),"",IF(AND((F262&lt;=85),(AI262&gt;=15)),"O","X"))</f>
        <v>X</v>
      </c>
      <c r="AU262" s="80" t="str">
        <f>IF(C262="","",IF(C262&gt;=$AU$1,"O","X"))</f>
        <v>O</v>
      </c>
      <c r="AV262" s="80" t="str">
        <f>IF(AO262="","",IF(AND(AO262="O",AP262="O",AR262="O",AT262="O",AU262="O"),"후보","X"))</f>
        <v>X</v>
      </c>
    </row>
    <row r="263" spans="1:48" s="37" customFormat="1" ht="12" x14ac:dyDescent="0.3">
      <c r="A263" s="75" t="s">
        <v>1523</v>
      </c>
      <c r="B263" s="76" t="s">
        <v>1430</v>
      </c>
      <c r="C263" s="86">
        <v>398</v>
      </c>
      <c r="D263" s="87">
        <v>53.8</v>
      </c>
      <c r="E263" s="88">
        <v>16</v>
      </c>
      <c r="F263" s="87">
        <v>41.5</v>
      </c>
      <c r="G263" s="17">
        <v>13</v>
      </c>
      <c r="H263" s="89">
        <v>8</v>
      </c>
      <c r="I263" s="90"/>
      <c r="J263" s="90"/>
      <c r="K263" s="90"/>
      <c r="L263" s="90"/>
      <c r="M263" s="91">
        <f>I263-K263</f>
        <v>0</v>
      </c>
      <c r="N263" s="4" t="str">
        <f>IF(ISERROR(K263/I263),"",K263/I263)</f>
        <v/>
      </c>
      <c r="O263" s="92">
        <f>I263/E263</f>
        <v>0</v>
      </c>
      <c r="P263" s="92">
        <f>K263/E263</f>
        <v>0</v>
      </c>
      <c r="Q263" s="80">
        <v>2</v>
      </c>
      <c r="R263" s="80">
        <v>1</v>
      </c>
      <c r="S263" s="80" t="s">
        <v>76</v>
      </c>
      <c r="T263" s="5">
        <v>53</v>
      </c>
      <c r="U263" s="9"/>
      <c r="W263" s="87">
        <f>D263</f>
        <v>53.8</v>
      </c>
      <c r="X263" s="88">
        <f>E263</f>
        <v>16</v>
      </c>
      <c r="Y263" s="93">
        <f>H263</f>
        <v>8</v>
      </c>
      <c r="Z263" s="91">
        <f>I263</f>
        <v>0</v>
      </c>
      <c r="AA263" s="91">
        <f>K263</f>
        <v>0</v>
      </c>
      <c r="AB263" s="91">
        <f t="shared" si="221"/>
        <v>0</v>
      </c>
      <c r="AC263" s="4" t="str">
        <f t="shared" si="221"/>
        <v/>
      </c>
      <c r="AD263" s="92">
        <f t="shared" si="221"/>
        <v>0</v>
      </c>
      <c r="AE263" s="80" t="str">
        <f>S263</f>
        <v>복</v>
      </c>
      <c r="AF263" s="80" t="str">
        <f>Q263&amp;"/"&amp;R263</f>
        <v>2/1</v>
      </c>
      <c r="AH263" s="20" t="str">
        <f t="shared" si="172"/>
        <v>소룡동 스카이타운</v>
      </c>
      <c r="AI263" s="88">
        <f t="shared" si="218"/>
        <v>16</v>
      </c>
      <c r="AJ263" s="80" t="str">
        <f>IF(AI263="","",$AJ$2)</f>
        <v>A-</v>
      </c>
      <c r="AK263" s="80" t="s">
        <v>14</v>
      </c>
      <c r="AL263" s="80" t="s">
        <v>63</v>
      </c>
      <c r="AM263" s="80" t="s">
        <v>64</v>
      </c>
      <c r="AN263" s="80" t="str">
        <f>IF(AI263="","",$AN$2)</f>
        <v>C</v>
      </c>
      <c r="AO263" s="80" t="str">
        <f>IF(N263="","",IF(N263&gt;=$AO$1/100,"O","X"))</f>
        <v/>
      </c>
      <c r="AP263" s="80" t="str">
        <f>IF(I263="","",IF(I263&lt;=$AP$1,"O","X"))</f>
        <v/>
      </c>
      <c r="AQ263" s="80" t="str">
        <f>IF(O263="","",IF(O263&lt;=$AQ$1,"O","X"))</f>
        <v>O</v>
      </c>
      <c r="AR263" s="80" t="str">
        <f>IF(M263="","",IF(M263&lt;=$AR$1,"O","X"))</f>
        <v>O</v>
      </c>
      <c r="AS263" s="80" t="s">
        <v>2</v>
      </c>
      <c r="AT263" s="80" t="str">
        <f>IF(OR(F263="",AI263=""),"",IF(AND((F263&lt;=85),(AI263&gt;=15)),"O","X"))</f>
        <v>O</v>
      </c>
      <c r="AU263" s="80" t="str">
        <f>IF(C263="","",IF(C263&gt;=$AU$1,"O","X"))</f>
        <v>O</v>
      </c>
      <c r="AV263" s="80" t="str">
        <f>IF(AO263="","",IF(AND(AO263="O",AP263="O",AR263="O",AT263="O",AU263="O"),"후보","X"))</f>
        <v/>
      </c>
    </row>
    <row r="264" spans="1:48" s="37" customFormat="1" ht="12" x14ac:dyDescent="0.3">
      <c r="A264" s="75" t="s">
        <v>1524</v>
      </c>
      <c r="B264" s="76" t="s">
        <v>1525</v>
      </c>
      <c r="C264" s="86">
        <v>972</v>
      </c>
      <c r="D264" s="87">
        <v>77.7</v>
      </c>
      <c r="E264" s="88">
        <v>23</v>
      </c>
      <c r="F264" s="87">
        <v>59.6</v>
      </c>
      <c r="G264" s="17">
        <v>18</v>
      </c>
      <c r="H264" s="89">
        <v>144</v>
      </c>
      <c r="I264" s="90"/>
      <c r="J264" s="90"/>
      <c r="K264" s="90"/>
      <c r="L264" s="90"/>
      <c r="M264" s="91">
        <f>I264-K264</f>
        <v>0</v>
      </c>
      <c r="N264" s="4" t="str">
        <f>IF(ISERROR(K264/I264),"",K264/I264)</f>
        <v/>
      </c>
      <c r="O264" s="92">
        <f>I264/E264</f>
        <v>0</v>
      </c>
      <c r="P264" s="92">
        <f>K264/E264</f>
        <v>0</v>
      </c>
      <c r="Q264" s="80">
        <v>2</v>
      </c>
      <c r="R264" s="80">
        <v>1</v>
      </c>
      <c r="S264" s="80" t="s">
        <v>61</v>
      </c>
      <c r="T264" s="5" t="s">
        <v>83</v>
      </c>
      <c r="U264" s="9"/>
      <c r="W264" s="87">
        <f t="shared" ref="W264:X266" si="222">D264</f>
        <v>77.7</v>
      </c>
      <c r="X264" s="88">
        <f t="shared" si="222"/>
        <v>23</v>
      </c>
      <c r="Y264" s="93">
        <f t="shared" ref="Y264:Z266" si="223">H264</f>
        <v>144</v>
      </c>
      <c r="Z264" s="91">
        <f t="shared" si="223"/>
        <v>0</v>
      </c>
      <c r="AA264" s="91">
        <f>K264</f>
        <v>0</v>
      </c>
      <c r="AB264" s="91">
        <f t="shared" si="221"/>
        <v>0</v>
      </c>
      <c r="AC264" s="4" t="str">
        <f t="shared" si="221"/>
        <v/>
      </c>
      <c r="AD264" s="92">
        <f t="shared" si="221"/>
        <v>0</v>
      </c>
      <c r="AE264" s="80" t="str">
        <f>S264</f>
        <v>계</v>
      </c>
      <c r="AF264" s="80" t="str">
        <f>Q264&amp;"/"&amp;R264</f>
        <v>2/1</v>
      </c>
      <c r="AH264" s="20" t="str">
        <f t="shared" si="172"/>
        <v>소룡동 소룡제이파크</v>
      </c>
      <c r="AI264" s="88">
        <f t="shared" si="218"/>
        <v>23</v>
      </c>
      <c r="AJ264" s="80" t="str">
        <f>IF(AI264="","",$AJ$2)</f>
        <v>A-</v>
      </c>
      <c r="AK264" s="80" t="s">
        <v>14</v>
      </c>
      <c r="AL264" s="80" t="s">
        <v>63</v>
      </c>
      <c r="AM264" s="80" t="s">
        <v>64</v>
      </c>
      <c r="AN264" s="80" t="str">
        <f>IF(AI264="","",$AN$2)</f>
        <v>C</v>
      </c>
      <c r="AO264" s="80" t="str">
        <f>IF(N264="","",IF(N264&gt;=$AO$1/100,"O","X"))</f>
        <v/>
      </c>
      <c r="AP264" s="80" t="str">
        <f>IF(I264="","",IF(I264&lt;=$AP$1,"O","X"))</f>
        <v/>
      </c>
      <c r="AQ264" s="80" t="str">
        <f>IF(O264="","",IF(O264&lt;=$AQ$1,"O","X"))</f>
        <v>O</v>
      </c>
      <c r="AR264" s="80" t="str">
        <f>IF(M264="","",IF(M264&lt;=$AR$1,"O","X"))</f>
        <v>O</v>
      </c>
      <c r="AS264" s="80" t="s">
        <v>2</v>
      </c>
      <c r="AT264" s="80" t="str">
        <f>IF(OR(F264="",AI264=""),"",IF(AND((F264&lt;=85),(AI264&gt;=15)),"O","X"))</f>
        <v>O</v>
      </c>
      <c r="AU264" s="80" t="str">
        <f>IF(C264="","",IF(C264&gt;=$AU$1,"O","X"))</f>
        <v>O</v>
      </c>
      <c r="AV264" s="80" t="str">
        <f>IF(AO264="","",IF(AND(AO264="O",AP264="O",AR264="O",AT264="O",AU264="O"),"후보","X"))</f>
        <v/>
      </c>
    </row>
    <row r="265" spans="1:48" s="37" customFormat="1" ht="12" x14ac:dyDescent="0.3">
      <c r="A265" s="75" t="s">
        <v>1524</v>
      </c>
      <c r="B265" s="76" t="s">
        <v>1525</v>
      </c>
      <c r="C265" s="86">
        <v>972</v>
      </c>
      <c r="D265" s="87">
        <v>78.8</v>
      </c>
      <c r="E265" s="88">
        <v>24</v>
      </c>
      <c r="F265" s="87">
        <v>60</v>
      </c>
      <c r="G265" s="17">
        <v>18</v>
      </c>
      <c r="H265" s="89">
        <v>252</v>
      </c>
      <c r="I265" s="90">
        <v>10500</v>
      </c>
      <c r="J265" s="90" t="s">
        <v>70</v>
      </c>
      <c r="K265" s="90">
        <v>9000</v>
      </c>
      <c r="L265" s="90" t="s">
        <v>60</v>
      </c>
      <c r="M265" s="91">
        <f>I265-K265</f>
        <v>1500</v>
      </c>
      <c r="N265" s="4">
        <f>IF(ISERROR(K265/I265),"",K265/I265)</f>
        <v>0.8571428571428571</v>
      </c>
      <c r="O265" s="92">
        <f>I265/E265</f>
        <v>437.5</v>
      </c>
      <c r="P265" s="92">
        <f>K265/E265</f>
        <v>375</v>
      </c>
      <c r="Q265" s="80">
        <v>2</v>
      </c>
      <c r="R265" s="80">
        <v>1</v>
      </c>
      <c r="S265" s="80" t="s">
        <v>61</v>
      </c>
      <c r="T265" s="5" t="s">
        <v>133</v>
      </c>
      <c r="U265" s="9"/>
      <c r="W265" s="87">
        <f t="shared" si="222"/>
        <v>78.8</v>
      </c>
      <c r="X265" s="88">
        <f t="shared" si="222"/>
        <v>24</v>
      </c>
      <c r="Y265" s="93">
        <f t="shared" si="223"/>
        <v>252</v>
      </c>
      <c r="Z265" s="91">
        <f t="shared" si="223"/>
        <v>10500</v>
      </c>
      <c r="AA265" s="91">
        <f>K265</f>
        <v>9000</v>
      </c>
      <c r="AB265" s="91">
        <f t="shared" si="221"/>
        <v>1500</v>
      </c>
      <c r="AC265" s="4">
        <f t="shared" si="221"/>
        <v>0.8571428571428571</v>
      </c>
      <c r="AD265" s="92">
        <f t="shared" si="221"/>
        <v>437.5</v>
      </c>
      <c r="AE265" s="80" t="str">
        <f>S265</f>
        <v>계</v>
      </c>
      <c r="AF265" s="80" t="str">
        <f>Q265&amp;"/"&amp;R265</f>
        <v>2/1</v>
      </c>
      <c r="AH265" s="20" t="str">
        <f t="shared" si="172"/>
        <v>소룡동 소룡제이파크</v>
      </c>
      <c r="AI265" s="88">
        <f t="shared" si="218"/>
        <v>24</v>
      </c>
      <c r="AJ265" s="80" t="str">
        <f>IF(AI265="","",$AJ$2)</f>
        <v>A-</v>
      </c>
      <c r="AK265" s="80" t="s">
        <v>14</v>
      </c>
      <c r="AL265" s="80" t="s">
        <v>63</v>
      </c>
      <c r="AM265" s="80" t="s">
        <v>64</v>
      </c>
      <c r="AN265" s="80" t="str">
        <f>IF(AI265="","",$AN$2)</f>
        <v>C</v>
      </c>
      <c r="AO265" s="80" t="str">
        <f>IF(N265="","",IF(N265&gt;=$AO$1/100,"O","X"))</f>
        <v>O</v>
      </c>
      <c r="AP265" s="80" t="str">
        <f>IF(I265="","",IF(I265&lt;=$AP$1,"O","X"))</f>
        <v>O</v>
      </c>
      <c r="AQ265" s="80" t="str">
        <f>IF(O265="","",IF(O265&lt;=$AQ$1,"O","X"))</f>
        <v>O</v>
      </c>
      <c r="AR265" s="80" t="str">
        <f>IF(M265="","",IF(M265&lt;=$AR$1,"O","X"))</f>
        <v>O</v>
      </c>
      <c r="AS265" s="80" t="s">
        <v>2</v>
      </c>
      <c r="AT265" s="80" t="str">
        <f>IF(OR(F265="",AI265=""),"",IF(AND((F265&lt;=85),(AI265&gt;=15)),"O","X"))</f>
        <v>O</v>
      </c>
      <c r="AU265" s="80" t="str">
        <f>IF(C265="","",IF(C265&gt;=$AU$1,"O","X"))</f>
        <v>O</v>
      </c>
      <c r="AV265" s="80" t="str">
        <f>IF(AO265="","",IF(AND(AO265="O",AP265="O",AR265="O",AT265="O",AU265="O"),"후보","X"))</f>
        <v>후보</v>
      </c>
    </row>
    <row r="266" spans="1:48" s="37" customFormat="1" ht="12" x14ac:dyDescent="0.3">
      <c r="A266" s="75" t="s">
        <v>1524</v>
      </c>
      <c r="B266" s="76" t="s">
        <v>1525</v>
      </c>
      <c r="C266" s="86">
        <v>972</v>
      </c>
      <c r="D266" s="87">
        <v>106.3</v>
      </c>
      <c r="E266" s="88">
        <v>32</v>
      </c>
      <c r="F266" s="87">
        <v>84.5</v>
      </c>
      <c r="G266" s="17">
        <v>26</v>
      </c>
      <c r="H266" s="89">
        <v>576</v>
      </c>
      <c r="I266" s="90"/>
      <c r="J266" s="90"/>
      <c r="K266" s="90"/>
      <c r="L266" s="90"/>
      <c r="M266" s="91">
        <f>I266-K266</f>
        <v>0</v>
      </c>
      <c r="N266" s="4" t="str">
        <f>IF(ISERROR(K266/I266),"",K266/I266)</f>
        <v/>
      </c>
      <c r="O266" s="92">
        <f>I266/E266</f>
        <v>0</v>
      </c>
      <c r="P266" s="92">
        <f>K266/E266</f>
        <v>0</v>
      </c>
      <c r="Q266" s="80">
        <v>3</v>
      </c>
      <c r="R266" s="80">
        <v>2</v>
      </c>
      <c r="S266" s="80" t="s">
        <v>61</v>
      </c>
      <c r="T266" s="5">
        <v>106</v>
      </c>
      <c r="U266" s="9"/>
      <c r="W266" s="87">
        <f t="shared" si="222"/>
        <v>106.3</v>
      </c>
      <c r="X266" s="88">
        <f t="shared" si="222"/>
        <v>32</v>
      </c>
      <c r="Y266" s="93">
        <f t="shared" si="223"/>
        <v>576</v>
      </c>
      <c r="Z266" s="91">
        <f t="shared" si="223"/>
        <v>0</v>
      </c>
      <c r="AA266" s="91">
        <f>K266</f>
        <v>0</v>
      </c>
      <c r="AB266" s="91">
        <f t="shared" si="221"/>
        <v>0</v>
      </c>
      <c r="AC266" s="4" t="str">
        <f t="shared" si="221"/>
        <v/>
      </c>
      <c r="AD266" s="92">
        <f t="shared" si="221"/>
        <v>0</v>
      </c>
      <c r="AE266" s="80" t="str">
        <f>S266</f>
        <v>계</v>
      </c>
      <c r="AF266" s="80" t="str">
        <f>Q266&amp;"/"&amp;R266</f>
        <v>3/2</v>
      </c>
      <c r="AH266" s="20" t="str">
        <f t="shared" si="172"/>
        <v>소룡동 소룡제이파크</v>
      </c>
      <c r="AI266" s="88">
        <f t="shared" si="218"/>
        <v>32</v>
      </c>
      <c r="AJ266" s="80" t="str">
        <f>IF(AI266="","",$AJ$2)</f>
        <v>A-</v>
      </c>
      <c r="AK266" s="80" t="s">
        <v>14</v>
      </c>
      <c r="AL266" s="80" t="s">
        <v>63</v>
      </c>
      <c r="AM266" s="80" t="s">
        <v>64</v>
      </c>
      <c r="AN266" s="80" t="str">
        <f>IF(AI266="","",$AN$2)</f>
        <v>C</v>
      </c>
      <c r="AO266" s="80" t="str">
        <f>IF(N266="","",IF(N266&gt;=$AO$1/100,"O","X"))</f>
        <v/>
      </c>
      <c r="AP266" s="80" t="str">
        <f>IF(I266="","",IF(I266&lt;=$AP$1,"O","X"))</f>
        <v/>
      </c>
      <c r="AQ266" s="80" t="str">
        <f>IF(O266="","",IF(O266&lt;=$AQ$1,"O","X"))</f>
        <v>O</v>
      </c>
      <c r="AR266" s="80" t="str">
        <f>IF(M266="","",IF(M266&lt;=$AR$1,"O","X"))</f>
        <v>O</v>
      </c>
      <c r="AS266" s="80" t="s">
        <v>2</v>
      </c>
      <c r="AT266" s="80" t="str">
        <f>IF(OR(F266="",AI266=""),"",IF(AND((F266&lt;=85),(AI266&gt;=15)),"O","X"))</f>
        <v>O</v>
      </c>
      <c r="AU266" s="80" t="str">
        <f>IF(C266="","",IF(C266&gt;=$AU$1,"O","X"))</f>
        <v>O</v>
      </c>
      <c r="AV266" s="80" t="str">
        <f>IF(AO266="","",IF(AND(AO266="O",AP266="O",AR266="O",AT266="O",AU266="O"),"후보","X"))</f>
        <v/>
      </c>
    </row>
    <row r="267" spans="1:48" s="37" customFormat="1" ht="12" x14ac:dyDescent="0.3">
      <c r="A267" s="75" t="s">
        <v>1526</v>
      </c>
      <c r="B267" s="76" t="s">
        <v>1527</v>
      </c>
      <c r="C267" s="86">
        <v>720</v>
      </c>
      <c r="D267" s="87">
        <v>63</v>
      </c>
      <c r="E267" s="88">
        <v>19</v>
      </c>
      <c r="F267" s="87">
        <v>45.4</v>
      </c>
      <c r="G267" s="17">
        <v>14</v>
      </c>
      <c r="H267" s="89">
        <v>416</v>
      </c>
      <c r="I267" s="90">
        <v>4700</v>
      </c>
      <c r="J267" s="90" t="s">
        <v>88</v>
      </c>
      <c r="K267" s="90"/>
      <c r="L267" s="90"/>
      <c r="M267" s="91">
        <f>I267-K267</f>
        <v>4700</v>
      </c>
      <c r="N267" s="4">
        <f>IF(ISERROR(K267/I267),"",K267/I267)</f>
        <v>0</v>
      </c>
      <c r="O267" s="92">
        <f>I267/E267</f>
        <v>247.36842105263159</v>
      </c>
      <c r="P267" s="92">
        <f>K267/E267</f>
        <v>0</v>
      </c>
      <c r="Q267" s="80">
        <v>2</v>
      </c>
      <c r="R267" s="80">
        <v>1</v>
      </c>
      <c r="S267" s="80" t="s">
        <v>76</v>
      </c>
      <c r="T267" s="5" t="s">
        <v>138</v>
      </c>
      <c r="U267" s="9"/>
      <c r="W267" s="87">
        <f>D267</f>
        <v>63</v>
      </c>
      <c r="X267" s="88">
        <f>E267</f>
        <v>19</v>
      </c>
      <c r="Y267" s="93">
        <f>H267</f>
        <v>416</v>
      </c>
      <c r="Z267" s="91">
        <f>I267</f>
        <v>4700</v>
      </c>
      <c r="AA267" s="91">
        <f>K267</f>
        <v>0</v>
      </c>
      <c r="AB267" s="91">
        <f t="shared" si="221"/>
        <v>4700</v>
      </c>
      <c r="AC267" s="4">
        <f t="shared" si="221"/>
        <v>0</v>
      </c>
      <c r="AD267" s="92">
        <f t="shared" si="221"/>
        <v>247.36842105263159</v>
      </c>
      <c r="AE267" s="80" t="str">
        <f>S267</f>
        <v>복</v>
      </c>
      <c r="AF267" s="80" t="str">
        <f>Q267&amp;"/"&amp;R267</f>
        <v>2/1</v>
      </c>
      <c r="AH267" s="20" t="str">
        <f t="shared" si="172"/>
        <v>소룡동 신도시</v>
      </c>
      <c r="AI267" s="88">
        <f t="shared" si="218"/>
        <v>19</v>
      </c>
      <c r="AJ267" s="80" t="str">
        <f>IF(AI267="","",$AJ$2)</f>
        <v>A-</v>
      </c>
      <c r="AK267" s="80" t="s">
        <v>14</v>
      </c>
      <c r="AL267" s="80" t="s">
        <v>63</v>
      </c>
      <c r="AM267" s="80" t="s">
        <v>64</v>
      </c>
      <c r="AN267" s="80" t="str">
        <f>IF(AI267="","",$AN$2)</f>
        <v>C</v>
      </c>
      <c r="AO267" s="80" t="str">
        <f>IF(N267="","",IF(N267&gt;=$AO$1/100,"O","X"))</f>
        <v>X</v>
      </c>
      <c r="AP267" s="80" t="str">
        <f>IF(I267="","",IF(I267&lt;=$AP$1,"O","X"))</f>
        <v>O</v>
      </c>
      <c r="AQ267" s="80" t="str">
        <f>IF(O267="","",IF(O267&lt;=$AQ$1,"O","X"))</f>
        <v>O</v>
      </c>
      <c r="AR267" s="80" t="str">
        <f>IF(M267="","",IF(M267&lt;=$AR$1,"O","X"))</f>
        <v>O</v>
      </c>
      <c r="AS267" s="80" t="s">
        <v>2</v>
      </c>
      <c r="AT267" s="80" t="str">
        <f>IF(OR(F267="",AI267=""),"",IF(AND((F267&lt;=85),(AI267&gt;=15)),"O","X"))</f>
        <v>O</v>
      </c>
      <c r="AU267" s="80" t="str">
        <f>IF(C267="","",IF(C267&gt;=$AU$1,"O","X"))</f>
        <v>O</v>
      </c>
      <c r="AV267" s="80" t="str">
        <f>IF(AO267="","",IF(AND(AO267="O",AP267="O",AR267="O",AT267="O",AU267="O"),"후보","X"))</f>
        <v>X</v>
      </c>
    </row>
    <row r="268" spans="1:48" s="37" customFormat="1" ht="12" x14ac:dyDescent="0.3">
      <c r="A268" s="75" t="s">
        <v>1526</v>
      </c>
      <c r="B268" s="76" t="s">
        <v>1527</v>
      </c>
      <c r="C268" s="86">
        <v>720</v>
      </c>
      <c r="D268" s="87">
        <v>63.6</v>
      </c>
      <c r="E268" s="88">
        <v>19</v>
      </c>
      <c r="F268" s="87">
        <v>46.5</v>
      </c>
      <c r="G268" s="17">
        <v>14</v>
      </c>
      <c r="H268" s="89">
        <v>304</v>
      </c>
      <c r="I268" s="90">
        <v>4500</v>
      </c>
      <c r="J268" s="90" t="s">
        <v>111</v>
      </c>
      <c r="K268" s="90"/>
      <c r="L268" s="90"/>
      <c r="M268" s="91">
        <f>I268-K268</f>
        <v>4500</v>
      </c>
      <c r="N268" s="4">
        <f>IF(ISERROR(K268/I268),"",K268/I268)</f>
        <v>0</v>
      </c>
      <c r="O268" s="92">
        <f>I268/E268</f>
        <v>236.84210526315789</v>
      </c>
      <c r="P268" s="92">
        <f>K268/E268</f>
        <v>0</v>
      </c>
      <c r="Q268" s="80">
        <v>2</v>
      </c>
      <c r="R268" s="80">
        <v>1</v>
      </c>
      <c r="S268" s="80" t="s">
        <v>76</v>
      </c>
      <c r="T268" s="5" t="s">
        <v>634</v>
      </c>
      <c r="U268" s="9"/>
      <c r="W268" s="87">
        <f>D268</f>
        <v>63.6</v>
      </c>
      <c r="X268" s="88">
        <f>E268</f>
        <v>19</v>
      </c>
      <c r="Y268" s="93">
        <f>H268</f>
        <v>304</v>
      </c>
      <c r="Z268" s="91">
        <f>I268</f>
        <v>4500</v>
      </c>
      <c r="AA268" s="91">
        <f>K268</f>
        <v>0</v>
      </c>
      <c r="AB268" s="91">
        <f t="shared" si="221"/>
        <v>4500</v>
      </c>
      <c r="AC268" s="4">
        <f t="shared" si="221"/>
        <v>0</v>
      </c>
      <c r="AD268" s="92">
        <f t="shared" si="221"/>
        <v>236.84210526315789</v>
      </c>
      <c r="AE268" s="80" t="str">
        <f>S268</f>
        <v>복</v>
      </c>
      <c r="AF268" s="80" t="str">
        <f>Q268&amp;"/"&amp;R268</f>
        <v>2/1</v>
      </c>
      <c r="AH268" s="20" t="str">
        <f t="shared" si="172"/>
        <v>소룡동 신도시</v>
      </c>
      <c r="AI268" s="88">
        <f t="shared" si="218"/>
        <v>19</v>
      </c>
      <c r="AJ268" s="80" t="str">
        <f>IF(AI268="","",$AJ$2)</f>
        <v>A-</v>
      </c>
      <c r="AK268" s="80" t="s">
        <v>14</v>
      </c>
      <c r="AL268" s="80" t="s">
        <v>63</v>
      </c>
      <c r="AM268" s="80" t="s">
        <v>64</v>
      </c>
      <c r="AN268" s="80" t="str">
        <f>IF(AI268="","",$AN$2)</f>
        <v>C</v>
      </c>
      <c r="AO268" s="80" t="str">
        <f>IF(N268="","",IF(N268&gt;=$AO$1/100,"O","X"))</f>
        <v>X</v>
      </c>
      <c r="AP268" s="80" t="str">
        <f>IF(I268="","",IF(I268&lt;=$AP$1,"O","X"))</f>
        <v>O</v>
      </c>
      <c r="AQ268" s="80" t="str">
        <f>IF(O268="","",IF(O268&lt;=$AQ$1,"O","X"))</f>
        <v>O</v>
      </c>
      <c r="AR268" s="80" t="str">
        <f>IF(M268="","",IF(M268&lt;=$AR$1,"O","X"))</f>
        <v>O</v>
      </c>
      <c r="AS268" s="80" t="s">
        <v>2</v>
      </c>
      <c r="AT268" s="80" t="str">
        <f>IF(OR(F268="",AI268=""),"",IF(AND((F268&lt;=85),(AI268&gt;=15)),"O","X"))</f>
        <v>O</v>
      </c>
      <c r="AU268" s="80" t="str">
        <f>IF(C268="","",IF(C268&gt;=$AU$1,"O","X"))</f>
        <v>O</v>
      </c>
      <c r="AV268" s="80" t="str">
        <f>IF(AO268="","",IF(AND(AO268="O",AP268="O",AR268="O",AT268="O",AU268="O"),"후보","X"))</f>
        <v>X</v>
      </c>
    </row>
    <row r="269" spans="1:48" s="37" customFormat="1" ht="12" x14ac:dyDescent="0.3">
      <c r="A269" s="75" t="s">
        <v>1731</v>
      </c>
      <c r="B269" s="76" t="s">
        <v>1529</v>
      </c>
      <c r="C269" s="86">
        <v>204</v>
      </c>
      <c r="D269" s="87">
        <v>58.6</v>
      </c>
      <c r="E269" s="88">
        <v>18</v>
      </c>
      <c r="F269" s="87">
        <v>44.8</v>
      </c>
      <c r="G269" s="17">
        <v>14</v>
      </c>
      <c r="H269" s="89">
        <v>60</v>
      </c>
      <c r="I269" s="90"/>
      <c r="J269" s="90"/>
      <c r="K269" s="90"/>
      <c r="L269" s="90"/>
      <c r="M269" s="91">
        <f>I269-K269</f>
        <v>0</v>
      </c>
      <c r="N269" s="4" t="str">
        <f>IF(ISERROR(K269/I269),"",K269/I269)</f>
        <v/>
      </c>
      <c r="O269" s="92">
        <f>I269/E269</f>
        <v>0</v>
      </c>
      <c r="P269" s="92">
        <f>K269/E269</f>
        <v>0</v>
      </c>
      <c r="Q269" s="80">
        <v>2</v>
      </c>
      <c r="R269" s="80">
        <v>1</v>
      </c>
      <c r="S269" s="80" t="s">
        <v>61</v>
      </c>
      <c r="T269" s="5">
        <v>58</v>
      </c>
      <c r="U269" s="9"/>
      <c r="W269" s="87">
        <f t="shared" ref="W269:X284" si="224">D269</f>
        <v>58.6</v>
      </c>
      <c r="X269" s="88">
        <f t="shared" si="224"/>
        <v>18</v>
      </c>
      <c r="Y269" s="93">
        <f t="shared" ref="Y269:Z284" si="225">H269</f>
        <v>60</v>
      </c>
      <c r="Z269" s="91">
        <f t="shared" si="225"/>
        <v>0</v>
      </c>
      <c r="AA269" s="91">
        <f>K269</f>
        <v>0</v>
      </c>
      <c r="AB269" s="91">
        <f t="shared" si="221"/>
        <v>0</v>
      </c>
      <c r="AC269" s="4" t="str">
        <f t="shared" si="221"/>
        <v/>
      </c>
      <c r="AD269" s="92">
        <f t="shared" si="221"/>
        <v>0</v>
      </c>
      <c r="AE269" s="80" t="str">
        <f>S269</f>
        <v>계</v>
      </c>
      <c r="AF269" s="80" t="str">
        <f>Q269&amp;"/"&amp;R269</f>
        <v>2/1</v>
      </c>
      <c r="AH269" s="20" t="str">
        <f t="shared" si="172"/>
        <v>소룡동 이화</v>
      </c>
      <c r="AI269" s="88">
        <f t="shared" si="218"/>
        <v>18</v>
      </c>
      <c r="AJ269" s="80" t="str">
        <f>IF(AI269="","",$AJ$2)</f>
        <v>A-</v>
      </c>
      <c r="AK269" s="80" t="s">
        <v>14</v>
      </c>
      <c r="AL269" s="80" t="s">
        <v>63</v>
      </c>
      <c r="AM269" s="80" t="s">
        <v>64</v>
      </c>
      <c r="AN269" s="80" t="str">
        <f>IF(AI269="","",$AN$2)</f>
        <v>C</v>
      </c>
      <c r="AO269" s="80" t="str">
        <f>IF(N269="","",IF(N269&gt;=$AO$1/100,"O","X"))</f>
        <v/>
      </c>
      <c r="AP269" s="80" t="str">
        <f>IF(I269="","",IF(I269&lt;=$AP$1,"O","X"))</f>
        <v/>
      </c>
      <c r="AQ269" s="80" t="str">
        <f>IF(O269="","",IF(O269&lt;=$AQ$1,"O","X"))</f>
        <v>O</v>
      </c>
      <c r="AR269" s="80" t="str">
        <f>IF(M269="","",IF(M269&lt;=$AR$1,"O","X"))</f>
        <v>O</v>
      </c>
      <c r="AS269" s="80" t="s">
        <v>2</v>
      </c>
      <c r="AT269" s="80" t="str">
        <f>IF(OR(F269="",AI269=""),"",IF(AND((F269&lt;=85),(AI269&gt;=15)),"O","X"))</f>
        <v>O</v>
      </c>
      <c r="AU269" s="80" t="str">
        <f>IF(C269="","",IF(C269&gt;=$AU$1,"O","X"))</f>
        <v>X</v>
      </c>
      <c r="AV269" s="80" t="str">
        <f>IF(AO269="","",IF(AND(AO269="O",AP269="O",AR269="O",AT269="O",AU269="O"),"후보","X"))</f>
        <v/>
      </c>
    </row>
    <row r="270" spans="1:48" s="37" customFormat="1" ht="12" x14ac:dyDescent="0.3">
      <c r="A270" s="75" t="s">
        <v>1732</v>
      </c>
      <c r="B270" s="76" t="s">
        <v>1529</v>
      </c>
      <c r="C270" s="86">
        <v>204</v>
      </c>
      <c r="D270" s="87">
        <v>69.3</v>
      </c>
      <c r="E270" s="88">
        <v>21</v>
      </c>
      <c r="F270" s="87">
        <v>53.9</v>
      </c>
      <c r="G270" s="17">
        <v>16</v>
      </c>
      <c r="H270" s="89">
        <v>132</v>
      </c>
      <c r="I270" s="90"/>
      <c r="J270" s="90"/>
      <c r="K270" s="90"/>
      <c r="L270" s="90"/>
      <c r="M270" s="91">
        <f>I270-K270</f>
        <v>0</v>
      </c>
      <c r="N270" s="4" t="str">
        <f>IF(ISERROR(K270/I270),"",K270/I270)</f>
        <v/>
      </c>
      <c r="O270" s="92">
        <f>I270/E270</f>
        <v>0</v>
      </c>
      <c r="P270" s="92">
        <f>K270/E270</f>
        <v>0</v>
      </c>
      <c r="Q270" s="80">
        <v>3</v>
      </c>
      <c r="R270" s="80">
        <v>1</v>
      </c>
      <c r="S270" s="80" t="s">
        <v>61</v>
      </c>
      <c r="T270" s="5">
        <v>69</v>
      </c>
      <c r="U270" s="9"/>
      <c r="W270" s="87">
        <f t="shared" si="224"/>
        <v>69.3</v>
      </c>
      <c r="X270" s="88">
        <f t="shared" si="224"/>
        <v>21</v>
      </c>
      <c r="Y270" s="93">
        <f t="shared" si="225"/>
        <v>132</v>
      </c>
      <c r="Z270" s="91">
        <f t="shared" si="225"/>
        <v>0</v>
      </c>
      <c r="AA270" s="91">
        <f>K270</f>
        <v>0</v>
      </c>
      <c r="AB270" s="91">
        <f t="shared" si="221"/>
        <v>0</v>
      </c>
      <c r="AC270" s="4" t="str">
        <f t="shared" si="221"/>
        <v/>
      </c>
      <c r="AD270" s="92">
        <f t="shared" si="221"/>
        <v>0</v>
      </c>
      <c r="AE270" s="80" t="str">
        <f>S270</f>
        <v>계</v>
      </c>
      <c r="AF270" s="80" t="str">
        <f>Q270&amp;"/"&amp;R270</f>
        <v>3/1</v>
      </c>
      <c r="AH270" s="20" t="str">
        <f t="shared" si="172"/>
        <v>소룡동 이화</v>
      </c>
      <c r="AI270" s="88">
        <f t="shared" si="218"/>
        <v>21</v>
      </c>
      <c r="AJ270" s="80" t="str">
        <f>IF(AI270="","",$AJ$2)</f>
        <v>A-</v>
      </c>
      <c r="AK270" s="80" t="s">
        <v>14</v>
      </c>
      <c r="AL270" s="80" t="s">
        <v>63</v>
      </c>
      <c r="AM270" s="80" t="s">
        <v>64</v>
      </c>
      <c r="AN270" s="80" t="str">
        <f>IF(AI270="","",$AN$2)</f>
        <v>C</v>
      </c>
      <c r="AO270" s="80" t="str">
        <f>IF(N270="","",IF(N270&gt;=$AO$1/100,"O","X"))</f>
        <v/>
      </c>
      <c r="AP270" s="80" t="str">
        <f>IF(I270="","",IF(I270&lt;=$AP$1,"O","X"))</f>
        <v/>
      </c>
      <c r="AQ270" s="80" t="str">
        <f>IF(O270="","",IF(O270&lt;=$AQ$1,"O","X"))</f>
        <v>O</v>
      </c>
      <c r="AR270" s="80" t="str">
        <f>IF(M270="","",IF(M270&lt;=$AR$1,"O","X"))</f>
        <v>O</v>
      </c>
      <c r="AS270" s="80" t="s">
        <v>2</v>
      </c>
      <c r="AT270" s="80" t="str">
        <f>IF(OR(F270="",AI270=""),"",IF(AND((F270&lt;=85),(AI270&gt;=15)),"O","X"))</f>
        <v>O</v>
      </c>
      <c r="AU270" s="80" t="str">
        <f>IF(C270="","",IF(C270&gt;=$AU$1,"O","X"))</f>
        <v>X</v>
      </c>
      <c r="AV270" s="80" t="str">
        <f>IF(AO270="","",IF(AND(AO270="O",AP270="O",AR270="O",AT270="O",AU270="O"),"후보","X"))</f>
        <v/>
      </c>
    </row>
    <row r="271" spans="1:48" s="37" customFormat="1" ht="12" x14ac:dyDescent="0.3">
      <c r="A271" s="75" t="s">
        <v>1528</v>
      </c>
      <c r="B271" s="76" t="s">
        <v>1733</v>
      </c>
      <c r="C271" s="86">
        <v>204</v>
      </c>
      <c r="D271" s="87">
        <v>75.099999999999994</v>
      </c>
      <c r="E271" s="88">
        <v>23</v>
      </c>
      <c r="F271" s="87">
        <v>58.9</v>
      </c>
      <c r="G271" s="17">
        <v>18</v>
      </c>
      <c r="H271" s="89">
        <v>12</v>
      </c>
      <c r="I271" s="90"/>
      <c r="J271" s="90"/>
      <c r="K271" s="90"/>
      <c r="L271" s="90"/>
      <c r="M271" s="91">
        <f>I271-K271</f>
        <v>0</v>
      </c>
      <c r="N271" s="4" t="str">
        <f>IF(ISERROR(K271/I271),"",K271/I271)</f>
        <v/>
      </c>
      <c r="O271" s="92">
        <f>I271/E271</f>
        <v>0</v>
      </c>
      <c r="P271" s="92">
        <f>K271/E271</f>
        <v>0</v>
      </c>
      <c r="Q271" s="80">
        <v>3</v>
      </c>
      <c r="R271" s="80">
        <v>1</v>
      </c>
      <c r="S271" s="80" t="s">
        <v>61</v>
      </c>
      <c r="T271" s="5">
        <v>75</v>
      </c>
      <c r="U271" s="9"/>
      <c r="W271" s="87">
        <f t="shared" si="224"/>
        <v>75.099999999999994</v>
      </c>
      <c r="X271" s="88">
        <f t="shared" si="224"/>
        <v>23</v>
      </c>
      <c r="Y271" s="93">
        <f t="shared" si="225"/>
        <v>12</v>
      </c>
      <c r="Z271" s="91">
        <f t="shared" si="225"/>
        <v>0</v>
      </c>
      <c r="AA271" s="91">
        <f>K271</f>
        <v>0</v>
      </c>
      <c r="AB271" s="91">
        <f t="shared" si="221"/>
        <v>0</v>
      </c>
      <c r="AC271" s="4" t="str">
        <f t="shared" si="221"/>
        <v/>
      </c>
      <c r="AD271" s="92">
        <f t="shared" si="221"/>
        <v>0</v>
      </c>
      <c r="AE271" s="80" t="str">
        <f>S271</f>
        <v>계</v>
      </c>
      <c r="AF271" s="80" t="str">
        <f>Q271&amp;"/"&amp;R271</f>
        <v>3/1</v>
      </c>
      <c r="AH271" s="20" t="str">
        <f t="shared" si="172"/>
        <v>소룡동 이화</v>
      </c>
      <c r="AI271" s="88">
        <f t="shared" si="218"/>
        <v>23</v>
      </c>
      <c r="AJ271" s="80" t="str">
        <f>IF(AI271="","",$AJ$2)</f>
        <v>A-</v>
      </c>
      <c r="AK271" s="80" t="s">
        <v>14</v>
      </c>
      <c r="AL271" s="80" t="s">
        <v>63</v>
      </c>
      <c r="AM271" s="80" t="s">
        <v>64</v>
      </c>
      <c r="AN271" s="80" t="str">
        <f>IF(AI271="","",$AN$2)</f>
        <v>C</v>
      </c>
      <c r="AO271" s="80" t="str">
        <f>IF(N271="","",IF(N271&gt;=$AO$1/100,"O","X"))</f>
        <v/>
      </c>
      <c r="AP271" s="80" t="str">
        <f>IF(I271="","",IF(I271&lt;=$AP$1,"O","X"))</f>
        <v/>
      </c>
      <c r="AQ271" s="80" t="str">
        <f>IF(O271="","",IF(O271&lt;=$AQ$1,"O","X"))</f>
        <v>O</v>
      </c>
      <c r="AR271" s="80" t="str">
        <f>IF(M271="","",IF(M271&lt;=$AR$1,"O","X"))</f>
        <v>O</v>
      </c>
      <c r="AS271" s="80" t="s">
        <v>2</v>
      </c>
      <c r="AT271" s="80" t="str">
        <f>IF(OR(F271="",AI271=""),"",IF(AND((F271&lt;=85),(AI271&gt;=15)),"O","X"))</f>
        <v>O</v>
      </c>
      <c r="AU271" s="80" t="str">
        <f>IF(C271="","",IF(C271&gt;=$AU$1,"O","X"))</f>
        <v>X</v>
      </c>
      <c r="AV271" s="80" t="str">
        <f>IF(AO271="","",IF(AND(AO271="O",AP271="O",AR271="O",AT271="O",AU271="O"),"후보","X"))</f>
        <v/>
      </c>
    </row>
    <row r="272" spans="1:48" s="37" customFormat="1" ht="12" x14ac:dyDescent="0.3">
      <c r="A272" s="75" t="s">
        <v>1734</v>
      </c>
      <c r="B272" s="76" t="s">
        <v>1735</v>
      </c>
      <c r="C272" s="86">
        <v>782</v>
      </c>
      <c r="D272" s="87">
        <v>113.3</v>
      </c>
      <c r="E272" s="88">
        <v>34</v>
      </c>
      <c r="F272" s="87">
        <v>85</v>
      </c>
      <c r="G272" s="17">
        <v>26</v>
      </c>
      <c r="H272" s="89">
        <v>480</v>
      </c>
      <c r="I272" s="90">
        <v>35000</v>
      </c>
      <c r="J272" s="90" t="s">
        <v>72</v>
      </c>
      <c r="K272" s="90">
        <v>28000</v>
      </c>
      <c r="L272" s="90" t="s">
        <v>88</v>
      </c>
      <c r="M272" s="91">
        <f>I272-K272</f>
        <v>7000</v>
      </c>
      <c r="N272" s="4">
        <f>IF(ISERROR(K272/I272),"",K272/I272)</f>
        <v>0.8</v>
      </c>
      <c r="O272" s="92">
        <f>I272/E272</f>
        <v>1029.4117647058824</v>
      </c>
      <c r="P272" s="92">
        <f>K272/E272</f>
        <v>823.52941176470586</v>
      </c>
      <c r="Q272" s="80">
        <v>3</v>
      </c>
      <c r="R272" s="80">
        <v>2</v>
      </c>
      <c r="S272" s="80" t="s">
        <v>61</v>
      </c>
      <c r="T272" s="5">
        <v>113</v>
      </c>
      <c r="U272" s="9"/>
      <c r="W272" s="87">
        <f t="shared" si="224"/>
        <v>113.3</v>
      </c>
      <c r="X272" s="88">
        <f t="shared" si="224"/>
        <v>34</v>
      </c>
      <c r="Y272" s="93">
        <f t="shared" si="225"/>
        <v>480</v>
      </c>
      <c r="Z272" s="91">
        <f t="shared" si="225"/>
        <v>35000</v>
      </c>
      <c r="AA272" s="91">
        <f>K272</f>
        <v>28000</v>
      </c>
      <c r="AB272" s="91">
        <f t="shared" si="221"/>
        <v>7000</v>
      </c>
      <c r="AC272" s="4">
        <f t="shared" si="221"/>
        <v>0.8</v>
      </c>
      <c r="AD272" s="92">
        <f t="shared" si="221"/>
        <v>1029.4117647058824</v>
      </c>
      <c r="AE272" s="80" t="str">
        <f>S272</f>
        <v>계</v>
      </c>
      <c r="AF272" s="80" t="str">
        <f>Q272&amp;"/"&amp;R272</f>
        <v>3/2</v>
      </c>
      <c r="AH272" s="20" t="str">
        <f t="shared" si="172"/>
        <v>수송동 한라비발디2단지</v>
      </c>
      <c r="AI272" s="88">
        <f t="shared" si="218"/>
        <v>34</v>
      </c>
      <c r="AJ272" s="80" t="str">
        <f>IF(AI272="","",$AJ$2)</f>
        <v>A-</v>
      </c>
      <c r="AK272" s="80" t="s">
        <v>14</v>
      </c>
      <c r="AL272" s="80" t="s">
        <v>63</v>
      </c>
      <c r="AM272" s="80" t="s">
        <v>64</v>
      </c>
      <c r="AN272" s="80" t="str">
        <f>IF(AI272="","",$AN$2)</f>
        <v>C</v>
      </c>
      <c r="AO272" s="80" t="str">
        <f>IF(N272="","",IF(N272&gt;=$AO$1/100,"O","X"))</f>
        <v>O</v>
      </c>
      <c r="AP272" s="80" t="str">
        <f>IF(I272="","",IF(I272&lt;=$AP$1,"O","X"))</f>
        <v>O</v>
      </c>
      <c r="AQ272" s="80" t="str">
        <f>IF(O272="","",IF(O272&lt;=$AQ$1,"O","X"))</f>
        <v>O</v>
      </c>
      <c r="AR272" s="80" t="str">
        <f>IF(M272="","",IF(M272&lt;=$AR$1,"O","X"))</f>
        <v>X</v>
      </c>
      <c r="AS272" s="80" t="s">
        <v>2</v>
      </c>
      <c r="AT272" s="80" t="str">
        <f>IF(OR(F272="",AI272=""),"",IF(AND((F272&lt;=85),(AI272&gt;=15)),"O","X"))</f>
        <v>O</v>
      </c>
      <c r="AU272" s="80" t="str">
        <f>IF(C272="","",IF(C272&gt;=$AU$1,"O","X"))</f>
        <v>O</v>
      </c>
      <c r="AV272" s="80" t="str">
        <f>IF(AO272="","",IF(AND(AO272="O",AP272="O",AR272="O",AT272="O",AU272="O"),"후보","X"))</f>
        <v>X</v>
      </c>
    </row>
    <row r="273" spans="1:48" s="37" customFormat="1" ht="12" x14ac:dyDescent="0.3">
      <c r="A273" s="75" t="s">
        <v>1736</v>
      </c>
      <c r="B273" s="76" t="s">
        <v>1531</v>
      </c>
      <c r="C273" s="86">
        <v>782</v>
      </c>
      <c r="D273" s="87">
        <v>114.2</v>
      </c>
      <c r="E273" s="88">
        <v>35</v>
      </c>
      <c r="F273" s="87">
        <v>85</v>
      </c>
      <c r="G273" s="17">
        <v>26</v>
      </c>
      <c r="H273" s="89">
        <v>160</v>
      </c>
      <c r="I273" s="90">
        <v>31000</v>
      </c>
      <c r="J273" s="90" t="s">
        <v>88</v>
      </c>
      <c r="K273" s="90">
        <v>26000</v>
      </c>
      <c r="L273" s="90" t="s">
        <v>72</v>
      </c>
      <c r="M273" s="91">
        <f>I273-K273</f>
        <v>5000</v>
      </c>
      <c r="N273" s="4">
        <f>IF(ISERROR(K273/I273),"",K273/I273)</f>
        <v>0.83870967741935487</v>
      </c>
      <c r="O273" s="92">
        <f>I273/E273</f>
        <v>885.71428571428567</v>
      </c>
      <c r="P273" s="92">
        <f>K273/E273</f>
        <v>742.85714285714289</v>
      </c>
      <c r="Q273" s="80">
        <v>3</v>
      </c>
      <c r="R273" s="80">
        <v>2</v>
      </c>
      <c r="S273" s="80" t="s">
        <v>61</v>
      </c>
      <c r="T273" s="5" t="s">
        <v>110</v>
      </c>
      <c r="U273" s="9"/>
      <c r="W273" s="87">
        <f t="shared" si="224"/>
        <v>114.2</v>
      </c>
      <c r="X273" s="88">
        <f t="shared" si="224"/>
        <v>35</v>
      </c>
      <c r="Y273" s="93">
        <f t="shared" si="225"/>
        <v>160</v>
      </c>
      <c r="Z273" s="91">
        <f t="shared" si="225"/>
        <v>31000</v>
      </c>
      <c r="AA273" s="91">
        <f>K273</f>
        <v>26000</v>
      </c>
      <c r="AB273" s="91">
        <f t="shared" si="221"/>
        <v>5000</v>
      </c>
      <c r="AC273" s="4">
        <f t="shared" si="221"/>
        <v>0.83870967741935487</v>
      </c>
      <c r="AD273" s="92">
        <f t="shared" si="221"/>
        <v>885.71428571428567</v>
      </c>
      <c r="AE273" s="80" t="str">
        <f>S273</f>
        <v>계</v>
      </c>
      <c r="AF273" s="80" t="str">
        <f>Q273&amp;"/"&amp;R273</f>
        <v>3/2</v>
      </c>
      <c r="AH273" s="20" t="str">
        <f t="shared" si="172"/>
        <v>수송동 한라비발디2단지</v>
      </c>
      <c r="AI273" s="88">
        <f t="shared" si="218"/>
        <v>35</v>
      </c>
      <c r="AJ273" s="80" t="str">
        <f>IF(AI273="","",$AJ$2)</f>
        <v>A-</v>
      </c>
      <c r="AK273" s="80" t="s">
        <v>14</v>
      </c>
      <c r="AL273" s="80" t="s">
        <v>63</v>
      </c>
      <c r="AM273" s="80" t="s">
        <v>64</v>
      </c>
      <c r="AN273" s="80" t="str">
        <f>IF(AI273="","",$AN$2)</f>
        <v>C</v>
      </c>
      <c r="AO273" s="80" t="str">
        <f>IF(N273="","",IF(N273&gt;=$AO$1/100,"O","X"))</f>
        <v>O</v>
      </c>
      <c r="AP273" s="80" t="str">
        <f>IF(I273="","",IF(I273&lt;=$AP$1,"O","X"))</f>
        <v>O</v>
      </c>
      <c r="AQ273" s="80" t="str">
        <f>IF(O273="","",IF(O273&lt;=$AQ$1,"O","X"))</f>
        <v>O</v>
      </c>
      <c r="AR273" s="80" t="str">
        <f>IF(M273="","",IF(M273&lt;=$AR$1,"O","X"))</f>
        <v>O</v>
      </c>
      <c r="AS273" s="80" t="s">
        <v>2</v>
      </c>
      <c r="AT273" s="80" t="str">
        <f>IF(OR(F273="",AI273=""),"",IF(AND((F273&lt;=85),(AI273&gt;=15)),"O","X"))</f>
        <v>O</v>
      </c>
      <c r="AU273" s="80" t="str">
        <f>IF(C273="","",IF(C273&gt;=$AU$1,"O","X"))</f>
        <v>O</v>
      </c>
      <c r="AV273" s="80" t="str">
        <f>IF(AO273="","",IF(AND(AO273="O",AP273="O",AR273="O",AT273="O",AU273="O"),"후보","X"))</f>
        <v>후보</v>
      </c>
    </row>
    <row r="274" spans="1:48" s="37" customFormat="1" ht="12" x14ac:dyDescent="0.3">
      <c r="A274" s="75" t="s">
        <v>1530</v>
      </c>
      <c r="B274" s="76" t="s">
        <v>1531</v>
      </c>
      <c r="C274" s="86">
        <v>782</v>
      </c>
      <c r="D274" s="87">
        <v>115.2</v>
      </c>
      <c r="E274" s="88">
        <v>35</v>
      </c>
      <c r="F274" s="87">
        <v>85</v>
      </c>
      <c r="G274" s="17">
        <v>26</v>
      </c>
      <c r="H274" s="89">
        <v>142</v>
      </c>
      <c r="I274" s="90">
        <v>33000</v>
      </c>
      <c r="J274" s="90" t="s">
        <v>70</v>
      </c>
      <c r="K274" s="90">
        <v>26000</v>
      </c>
      <c r="L274" s="90" t="s">
        <v>72</v>
      </c>
      <c r="M274" s="91">
        <f>I274-K274</f>
        <v>7000</v>
      </c>
      <c r="N274" s="4">
        <f>IF(ISERROR(K274/I274),"",K274/I274)</f>
        <v>0.78787878787878785</v>
      </c>
      <c r="O274" s="92">
        <f>I274/E274</f>
        <v>942.85714285714289</v>
      </c>
      <c r="P274" s="92">
        <f>K274/E274</f>
        <v>742.85714285714289</v>
      </c>
      <c r="Q274" s="80">
        <v>3</v>
      </c>
      <c r="R274" s="80">
        <v>2</v>
      </c>
      <c r="S274" s="80" t="s">
        <v>61</v>
      </c>
      <c r="T274" s="5" t="s">
        <v>94</v>
      </c>
      <c r="U274" s="9"/>
      <c r="W274" s="87">
        <f t="shared" si="224"/>
        <v>115.2</v>
      </c>
      <c r="X274" s="88">
        <f t="shared" si="224"/>
        <v>35</v>
      </c>
      <c r="Y274" s="93">
        <f t="shared" si="225"/>
        <v>142</v>
      </c>
      <c r="Z274" s="91">
        <f t="shared" si="225"/>
        <v>33000</v>
      </c>
      <c r="AA274" s="91">
        <f>K274</f>
        <v>26000</v>
      </c>
      <c r="AB274" s="91">
        <f t="shared" si="221"/>
        <v>7000</v>
      </c>
      <c r="AC274" s="4">
        <f t="shared" si="221"/>
        <v>0.78787878787878785</v>
      </c>
      <c r="AD274" s="92">
        <f t="shared" si="221"/>
        <v>942.85714285714289</v>
      </c>
      <c r="AE274" s="80" t="str">
        <f>S274</f>
        <v>계</v>
      </c>
      <c r="AF274" s="80" t="str">
        <f>Q274&amp;"/"&amp;R274</f>
        <v>3/2</v>
      </c>
      <c r="AH274" s="20" t="str">
        <f t="shared" si="172"/>
        <v>수송동 한라비발디2단지</v>
      </c>
      <c r="AI274" s="88">
        <f t="shared" si="218"/>
        <v>35</v>
      </c>
      <c r="AJ274" s="80" t="str">
        <f>IF(AI274="","",$AJ$2)</f>
        <v>A-</v>
      </c>
      <c r="AK274" s="80" t="s">
        <v>14</v>
      </c>
      <c r="AL274" s="80" t="s">
        <v>63</v>
      </c>
      <c r="AM274" s="80" t="s">
        <v>64</v>
      </c>
      <c r="AN274" s="80" t="str">
        <f>IF(AI274="","",$AN$2)</f>
        <v>C</v>
      </c>
      <c r="AO274" s="80" t="str">
        <f>IF(N274="","",IF(N274&gt;=$AO$1/100,"O","X"))</f>
        <v>X</v>
      </c>
      <c r="AP274" s="80" t="str">
        <f>IF(I274="","",IF(I274&lt;=$AP$1,"O","X"))</f>
        <v>O</v>
      </c>
      <c r="AQ274" s="80" t="str">
        <f>IF(O274="","",IF(O274&lt;=$AQ$1,"O","X"))</f>
        <v>O</v>
      </c>
      <c r="AR274" s="80" t="str">
        <f>IF(M274="","",IF(M274&lt;=$AR$1,"O","X"))</f>
        <v>X</v>
      </c>
      <c r="AS274" s="80" t="s">
        <v>2</v>
      </c>
      <c r="AT274" s="80" t="str">
        <f>IF(OR(F274="",AI274=""),"",IF(AND((F274&lt;=85),(AI274&gt;=15)),"O","X"))</f>
        <v>O</v>
      </c>
      <c r="AU274" s="80" t="str">
        <f>IF(C274="","",IF(C274&gt;=$AU$1,"O","X"))</f>
        <v>O</v>
      </c>
      <c r="AV274" s="80" t="str">
        <f>IF(AO274="","",IF(AND(AO274="O",AP274="O",AR274="O",AT274="O",AU274="O"),"후보","X"))</f>
        <v>X</v>
      </c>
    </row>
    <row r="275" spans="1:48" s="37" customFormat="1" ht="12" x14ac:dyDescent="0.3">
      <c r="A275" s="75" t="s">
        <v>1737</v>
      </c>
      <c r="B275" s="76" t="s">
        <v>1531</v>
      </c>
      <c r="C275" s="86">
        <v>332</v>
      </c>
      <c r="D275" s="87">
        <v>133</v>
      </c>
      <c r="E275" s="88">
        <v>40</v>
      </c>
      <c r="F275" s="87">
        <v>100.4</v>
      </c>
      <c r="G275" s="17">
        <v>30</v>
      </c>
      <c r="H275" s="89">
        <v>59</v>
      </c>
      <c r="I275" s="90"/>
      <c r="J275" s="90"/>
      <c r="K275" s="90"/>
      <c r="L275" s="90"/>
      <c r="M275" s="91">
        <f t="shared" ref="M275:M280" si="226">I275-K275</f>
        <v>0</v>
      </c>
      <c r="N275" s="4" t="str">
        <f t="shared" ref="N275:N280" si="227">IF(ISERROR(K275/I275),"",K275/I275)</f>
        <v/>
      </c>
      <c r="O275" s="92">
        <f t="shared" ref="O275:O280" si="228">I275/E275</f>
        <v>0</v>
      </c>
      <c r="P275" s="92">
        <f t="shared" ref="P275:P280" si="229">K275/E275</f>
        <v>0</v>
      </c>
      <c r="Q275" s="80">
        <v>3</v>
      </c>
      <c r="R275" s="80">
        <v>2</v>
      </c>
      <c r="S275" s="80" t="s">
        <v>61</v>
      </c>
      <c r="T275" s="5" t="s">
        <v>148</v>
      </c>
      <c r="U275" s="9"/>
      <c r="W275" s="87">
        <f t="shared" si="224"/>
        <v>133</v>
      </c>
      <c r="X275" s="88">
        <f t="shared" si="224"/>
        <v>40</v>
      </c>
      <c r="Y275" s="93">
        <f t="shared" si="225"/>
        <v>59</v>
      </c>
      <c r="Z275" s="91">
        <f t="shared" si="225"/>
        <v>0</v>
      </c>
      <c r="AA275" s="91">
        <f t="shared" ref="AA275:AA280" si="230">K275</f>
        <v>0</v>
      </c>
      <c r="AB275" s="91">
        <f t="shared" si="221"/>
        <v>0</v>
      </c>
      <c r="AC275" s="4" t="str">
        <f t="shared" si="221"/>
        <v/>
      </c>
      <c r="AD275" s="92">
        <f t="shared" si="221"/>
        <v>0</v>
      </c>
      <c r="AE275" s="80" t="str">
        <f t="shared" ref="AE275:AE280" si="231">S275</f>
        <v>계</v>
      </c>
      <c r="AF275" s="80" t="str">
        <f t="shared" ref="AF275:AF280" si="232">Q275&amp;"/"&amp;R275</f>
        <v>3/2</v>
      </c>
      <c r="AH275" s="20" t="str">
        <f t="shared" si="172"/>
        <v>수송동 한라비발디1단지</v>
      </c>
      <c r="AI275" s="88">
        <f t="shared" si="218"/>
        <v>40</v>
      </c>
      <c r="AJ275" s="80" t="str">
        <f t="shared" ref="AJ275:AJ280" si="233">IF(AI275="","",$AJ$2)</f>
        <v>A-</v>
      </c>
      <c r="AK275" s="80" t="s">
        <v>14</v>
      </c>
      <c r="AL275" s="80" t="s">
        <v>63</v>
      </c>
      <c r="AM275" s="80" t="s">
        <v>64</v>
      </c>
      <c r="AN275" s="80" t="str">
        <f t="shared" ref="AN275:AN280" si="234">IF(AI275="","",$AN$2)</f>
        <v>C</v>
      </c>
      <c r="AO275" s="80" t="str">
        <f t="shared" ref="AO275:AO280" si="235">IF(N275="","",IF(N275&gt;=$AO$1/100,"O","X"))</f>
        <v/>
      </c>
      <c r="AP275" s="80" t="str">
        <f t="shared" ref="AP275:AP280" si="236">IF(I275="","",IF(I275&lt;=$AP$1,"O","X"))</f>
        <v/>
      </c>
      <c r="AQ275" s="80" t="str">
        <f t="shared" ref="AQ275:AQ280" si="237">IF(O275="","",IF(O275&lt;=$AQ$1,"O","X"))</f>
        <v>O</v>
      </c>
      <c r="AR275" s="80" t="str">
        <f t="shared" ref="AR275:AR280" si="238">IF(M275="","",IF(M275&lt;=$AR$1,"O","X"))</f>
        <v>O</v>
      </c>
      <c r="AS275" s="80" t="s">
        <v>2</v>
      </c>
      <c r="AT275" s="80" t="str">
        <f t="shared" ref="AT275:AT280" si="239">IF(OR(F275="",AI275=""),"",IF(AND((F275&lt;=85),(AI275&gt;=15)),"O","X"))</f>
        <v>X</v>
      </c>
      <c r="AU275" s="80" t="str">
        <f t="shared" ref="AU275:AU280" si="240">IF(C275="","",IF(C275&gt;=$AU$1,"O","X"))</f>
        <v>O</v>
      </c>
      <c r="AV275" s="80" t="str">
        <f t="shared" ref="AV275:AV280" si="241">IF(AO275="","",IF(AND(AO275="O",AP275="O",AR275="O",AT275="O",AU275="O"),"후보","X"))</f>
        <v/>
      </c>
    </row>
    <row r="276" spans="1:48" s="37" customFormat="1" ht="12" x14ac:dyDescent="0.3">
      <c r="A276" s="75" t="s">
        <v>1738</v>
      </c>
      <c r="B276" s="76" t="s">
        <v>1739</v>
      </c>
      <c r="C276" s="86">
        <v>332</v>
      </c>
      <c r="D276" s="87">
        <v>135.30000000000001</v>
      </c>
      <c r="E276" s="88">
        <v>41</v>
      </c>
      <c r="F276" s="87">
        <v>103.6</v>
      </c>
      <c r="G276" s="17">
        <v>31</v>
      </c>
      <c r="H276" s="89">
        <v>39</v>
      </c>
      <c r="I276" s="90">
        <v>42000</v>
      </c>
      <c r="J276" s="90" t="s">
        <v>60</v>
      </c>
      <c r="K276" s="90"/>
      <c r="L276" s="90"/>
      <c r="M276" s="91">
        <f t="shared" si="226"/>
        <v>42000</v>
      </c>
      <c r="N276" s="4">
        <f t="shared" si="227"/>
        <v>0</v>
      </c>
      <c r="O276" s="92">
        <f t="shared" si="228"/>
        <v>1024.3902439024391</v>
      </c>
      <c r="P276" s="92">
        <f t="shared" si="229"/>
        <v>0</v>
      </c>
      <c r="Q276" s="80">
        <v>3</v>
      </c>
      <c r="R276" s="80">
        <v>2</v>
      </c>
      <c r="S276" s="80" t="s">
        <v>61</v>
      </c>
      <c r="T276" s="5" t="s">
        <v>785</v>
      </c>
      <c r="U276" s="9"/>
      <c r="W276" s="87">
        <f t="shared" si="224"/>
        <v>135.30000000000001</v>
      </c>
      <c r="X276" s="88">
        <f t="shared" si="224"/>
        <v>41</v>
      </c>
      <c r="Y276" s="93">
        <f t="shared" si="225"/>
        <v>39</v>
      </c>
      <c r="Z276" s="91">
        <f t="shared" si="225"/>
        <v>42000</v>
      </c>
      <c r="AA276" s="91">
        <f t="shared" si="230"/>
        <v>0</v>
      </c>
      <c r="AB276" s="91">
        <f t="shared" si="221"/>
        <v>42000</v>
      </c>
      <c r="AC276" s="4">
        <f t="shared" si="221"/>
        <v>0</v>
      </c>
      <c r="AD276" s="92">
        <f t="shared" si="221"/>
        <v>1024.3902439024391</v>
      </c>
      <c r="AE276" s="80" t="str">
        <f t="shared" si="231"/>
        <v>계</v>
      </c>
      <c r="AF276" s="80" t="str">
        <f t="shared" si="232"/>
        <v>3/2</v>
      </c>
      <c r="AH276" s="20" t="str">
        <f t="shared" si="172"/>
        <v>수송동 한라비발디1단지</v>
      </c>
      <c r="AI276" s="88">
        <f t="shared" si="218"/>
        <v>41</v>
      </c>
      <c r="AJ276" s="80" t="str">
        <f t="shared" si="233"/>
        <v>A-</v>
      </c>
      <c r="AK276" s="80" t="s">
        <v>14</v>
      </c>
      <c r="AL276" s="80" t="s">
        <v>63</v>
      </c>
      <c r="AM276" s="80" t="s">
        <v>64</v>
      </c>
      <c r="AN276" s="80" t="str">
        <f t="shared" si="234"/>
        <v>C</v>
      </c>
      <c r="AO276" s="80" t="str">
        <f t="shared" si="235"/>
        <v>X</v>
      </c>
      <c r="AP276" s="80" t="str">
        <f t="shared" si="236"/>
        <v>O</v>
      </c>
      <c r="AQ276" s="80" t="str">
        <f t="shared" si="237"/>
        <v>O</v>
      </c>
      <c r="AR276" s="80" t="str">
        <f t="shared" si="238"/>
        <v>X</v>
      </c>
      <c r="AS276" s="80" t="s">
        <v>2</v>
      </c>
      <c r="AT276" s="80" t="str">
        <f t="shared" si="239"/>
        <v>X</v>
      </c>
      <c r="AU276" s="80" t="str">
        <f t="shared" si="240"/>
        <v>O</v>
      </c>
      <c r="AV276" s="80" t="str">
        <f t="shared" si="241"/>
        <v>X</v>
      </c>
    </row>
    <row r="277" spans="1:48" s="37" customFormat="1" ht="12" x14ac:dyDescent="0.3">
      <c r="A277" s="75" t="s">
        <v>1532</v>
      </c>
      <c r="B277" s="76" t="s">
        <v>1531</v>
      </c>
      <c r="C277" s="86">
        <v>332</v>
      </c>
      <c r="D277" s="87">
        <v>159.19999999999999</v>
      </c>
      <c r="E277" s="88">
        <v>48</v>
      </c>
      <c r="F277" s="87">
        <v>123.1</v>
      </c>
      <c r="G277" s="17">
        <v>37</v>
      </c>
      <c r="H277" s="89">
        <v>80</v>
      </c>
      <c r="I277" s="90"/>
      <c r="J277" s="90"/>
      <c r="K277" s="90"/>
      <c r="L277" s="90"/>
      <c r="M277" s="91">
        <f t="shared" si="226"/>
        <v>0</v>
      </c>
      <c r="N277" s="4" t="str">
        <f t="shared" si="227"/>
        <v/>
      </c>
      <c r="O277" s="92">
        <f t="shared" si="228"/>
        <v>0</v>
      </c>
      <c r="P277" s="92">
        <f t="shared" si="229"/>
        <v>0</v>
      </c>
      <c r="Q277" s="80">
        <v>4</v>
      </c>
      <c r="R277" s="80">
        <v>2</v>
      </c>
      <c r="S277" s="80" t="s">
        <v>61</v>
      </c>
      <c r="T277" s="5" t="s">
        <v>149</v>
      </c>
      <c r="U277" s="9"/>
      <c r="W277" s="87">
        <f t="shared" si="224"/>
        <v>159.19999999999999</v>
      </c>
      <c r="X277" s="88">
        <f t="shared" si="224"/>
        <v>48</v>
      </c>
      <c r="Y277" s="93">
        <f t="shared" si="225"/>
        <v>80</v>
      </c>
      <c r="Z277" s="91">
        <f t="shared" si="225"/>
        <v>0</v>
      </c>
      <c r="AA277" s="91">
        <f t="shared" si="230"/>
        <v>0</v>
      </c>
      <c r="AB277" s="91">
        <f t="shared" ref="AB277:AD292" si="242">M277</f>
        <v>0</v>
      </c>
      <c r="AC277" s="4" t="str">
        <f t="shared" si="242"/>
        <v/>
      </c>
      <c r="AD277" s="92">
        <f t="shared" si="242"/>
        <v>0</v>
      </c>
      <c r="AE277" s="80" t="str">
        <f t="shared" si="231"/>
        <v>계</v>
      </c>
      <c r="AF277" s="80" t="str">
        <f t="shared" si="232"/>
        <v>4/2</v>
      </c>
      <c r="AH277" s="20" t="str">
        <f t="shared" si="172"/>
        <v>수송동 한라비발디1단지</v>
      </c>
      <c r="AI277" s="88">
        <f t="shared" si="218"/>
        <v>48</v>
      </c>
      <c r="AJ277" s="80" t="str">
        <f t="shared" si="233"/>
        <v>A-</v>
      </c>
      <c r="AK277" s="80" t="s">
        <v>14</v>
      </c>
      <c r="AL277" s="80" t="s">
        <v>63</v>
      </c>
      <c r="AM277" s="80" t="s">
        <v>64</v>
      </c>
      <c r="AN277" s="80" t="str">
        <f t="shared" si="234"/>
        <v>C</v>
      </c>
      <c r="AO277" s="80" t="str">
        <f t="shared" si="235"/>
        <v/>
      </c>
      <c r="AP277" s="80" t="str">
        <f t="shared" si="236"/>
        <v/>
      </c>
      <c r="AQ277" s="80" t="str">
        <f t="shared" si="237"/>
        <v>O</v>
      </c>
      <c r="AR277" s="80" t="str">
        <f t="shared" si="238"/>
        <v>O</v>
      </c>
      <c r="AS277" s="80" t="s">
        <v>2</v>
      </c>
      <c r="AT277" s="80" t="str">
        <f t="shared" si="239"/>
        <v>X</v>
      </c>
      <c r="AU277" s="80" t="str">
        <f t="shared" si="240"/>
        <v>O</v>
      </c>
      <c r="AV277" s="80" t="str">
        <f t="shared" si="241"/>
        <v/>
      </c>
    </row>
    <row r="278" spans="1:48" s="37" customFormat="1" ht="12" x14ac:dyDescent="0.3">
      <c r="A278" s="75" t="s">
        <v>1532</v>
      </c>
      <c r="B278" s="76" t="s">
        <v>1740</v>
      </c>
      <c r="C278" s="86">
        <v>332</v>
      </c>
      <c r="D278" s="87">
        <v>161.5</v>
      </c>
      <c r="E278" s="88">
        <v>49</v>
      </c>
      <c r="F278" s="87">
        <v>132.30000000000001</v>
      </c>
      <c r="G278" s="17">
        <v>40</v>
      </c>
      <c r="H278" s="89">
        <v>79</v>
      </c>
      <c r="I278" s="90"/>
      <c r="J278" s="90"/>
      <c r="K278" s="90"/>
      <c r="L278" s="90"/>
      <c r="M278" s="91">
        <f t="shared" si="226"/>
        <v>0</v>
      </c>
      <c r="N278" s="4" t="str">
        <f t="shared" si="227"/>
        <v/>
      </c>
      <c r="O278" s="92">
        <f t="shared" si="228"/>
        <v>0</v>
      </c>
      <c r="P278" s="92">
        <f t="shared" si="229"/>
        <v>0</v>
      </c>
      <c r="Q278" s="80">
        <v>4</v>
      </c>
      <c r="R278" s="80">
        <v>2</v>
      </c>
      <c r="S278" s="80" t="s">
        <v>61</v>
      </c>
      <c r="T278" s="5" t="s">
        <v>150</v>
      </c>
      <c r="U278" s="9"/>
      <c r="W278" s="87">
        <f t="shared" si="224"/>
        <v>161.5</v>
      </c>
      <c r="X278" s="88">
        <f t="shared" si="224"/>
        <v>49</v>
      </c>
      <c r="Y278" s="93">
        <f t="shared" si="225"/>
        <v>79</v>
      </c>
      <c r="Z278" s="91">
        <f t="shared" si="225"/>
        <v>0</v>
      </c>
      <c r="AA278" s="91">
        <f t="shared" si="230"/>
        <v>0</v>
      </c>
      <c r="AB278" s="91">
        <f t="shared" si="242"/>
        <v>0</v>
      </c>
      <c r="AC278" s="4" t="str">
        <f t="shared" si="242"/>
        <v/>
      </c>
      <c r="AD278" s="92">
        <f t="shared" si="242"/>
        <v>0</v>
      </c>
      <c r="AE278" s="80" t="str">
        <f t="shared" si="231"/>
        <v>계</v>
      </c>
      <c r="AF278" s="80" t="str">
        <f t="shared" si="232"/>
        <v>4/2</v>
      </c>
      <c r="AH278" s="20" t="str">
        <f t="shared" si="172"/>
        <v>수송동 한라비발디1단지</v>
      </c>
      <c r="AI278" s="88">
        <f t="shared" si="218"/>
        <v>49</v>
      </c>
      <c r="AJ278" s="80" t="str">
        <f t="shared" si="233"/>
        <v>A-</v>
      </c>
      <c r="AK278" s="80" t="s">
        <v>14</v>
      </c>
      <c r="AL278" s="80" t="s">
        <v>63</v>
      </c>
      <c r="AM278" s="80" t="s">
        <v>64</v>
      </c>
      <c r="AN278" s="80" t="str">
        <f t="shared" si="234"/>
        <v>C</v>
      </c>
      <c r="AO278" s="80" t="str">
        <f t="shared" si="235"/>
        <v/>
      </c>
      <c r="AP278" s="80" t="str">
        <f t="shared" si="236"/>
        <v/>
      </c>
      <c r="AQ278" s="80" t="str">
        <f t="shared" si="237"/>
        <v>O</v>
      </c>
      <c r="AR278" s="80" t="str">
        <f t="shared" si="238"/>
        <v>O</v>
      </c>
      <c r="AS278" s="80" t="s">
        <v>2</v>
      </c>
      <c r="AT278" s="80" t="str">
        <f t="shared" si="239"/>
        <v>X</v>
      </c>
      <c r="AU278" s="80" t="str">
        <f t="shared" si="240"/>
        <v>O</v>
      </c>
      <c r="AV278" s="80" t="str">
        <f t="shared" si="241"/>
        <v/>
      </c>
    </row>
    <row r="279" spans="1:48" s="37" customFormat="1" ht="12" x14ac:dyDescent="0.3">
      <c r="A279" s="75" t="s">
        <v>1532</v>
      </c>
      <c r="B279" s="76" t="s">
        <v>1531</v>
      </c>
      <c r="C279" s="86">
        <v>332</v>
      </c>
      <c r="D279" s="87">
        <v>189.5</v>
      </c>
      <c r="E279" s="88">
        <v>57</v>
      </c>
      <c r="F279" s="87">
        <v>155.9</v>
      </c>
      <c r="G279" s="17">
        <v>47</v>
      </c>
      <c r="H279" s="89">
        <v>71</v>
      </c>
      <c r="I279" s="90">
        <v>58000</v>
      </c>
      <c r="J279" s="90" t="s">
        <v>80</v>
      </c>
      <c r="K279" s="90"/>
      <c r="L279" s="90"/>
      <c r="M279" s="91">
        <f t="shared" si="226"/>
        <v>58000</v>
      </c>
      <c r="N279" s="4">
        <f t="shared" si="227"/>
        <v>0</v>
      </c>
      <c r="O279" s="92">
        <f t="shared" si="228"/>
        <v>1017.5438596491229</v>
      </c>
      <c r="P279" s="92">
        <f t="shared" si="229"/>
        <v>0</v>
      </c>
      <c r="Q279" s="80">
        <v>4</v>
      </c>
      <c r="R279" s="80">
        <v>2</v>
      </c>
      <c r="S279" s="80" t="s">
        <v>61</v>
      </c>
      <c r="T279" s="5">
        <v>189</v>
      </c>
      <c r="U279" s="9"/>
      <c r="W279" s="87">
        <f t="shared" si="224"/>
        <v>189.5</v>
      </c>
      <c r="X279" s="88">
        <f t="shared" si="224"/>
        <v>57</v>
      </c>
      <c r="Y279" s="93">
        <f t="shared" si="225"/>
        <v>71</v>
      </c>
      <c r="Z279" s="91">
        <f t="shared" si="225"/>
        <v>58000</v>
      </c>
      <c r="AA279" s="91">
        <f t="shared" si="230"/>
        <v>0</v>
      </c>
      <c r="AB279" s="91">
        <f t="shared" si="242"/>
        <v>58000</v>
      </c>
      <c r="AC279" s="4">
        <f t="shared" si="242"/>
        <v>0</v>
      </c>
      <c r="AD279" s="92">
        <f t="shared" si="242"/>
        <v>1017.5438596491229</v>
      </c>
      <c r="AE279" s="80" t="str">
        <f t="shared" si="231"/>
        <v>계</v>
      </c>
      <c r="AF279" s="80" t="str">
        <f t="shared" si="232"/>
        <v>4/2</v>
      </c>
      <c r="AH279" s="20" t="str">
        <f t="shared" si="172"/>
        <v>수송동 한라비발디1단지</v>
      </c>
      <c r="AI279" s="88">
        <f t="shared" si="218"/>
        <v>57</v>
      </c>
      <c r="AJ279" s="80" t="str">
        <f t="shared" si="233"/>
        <v>A-</v>
      </c>
      <c r="AK279" s="80" t="s">
        <v>14</v>
      </c>
      <c r="AL279" s="80" t="s">
        <v>63</v>
      </c>
      <c r="AM279" s="80" t="s">
        <v>64</v>
      </c>
      <c r="AN279" s="80" t="str">
        <f t="shared" si="234"/>
        <v>C</v>
      </c>
      <c r="AO279" s="80" t="str">
        <f t="shared" si="235"/>
        <v>X</v>
      </c>
      <c r="AP279" s="80" t="str">
        <f t="shared" si="236"/>
        <v>X</v>
      </c>
      <c r="AQ279" s="80" t="str">
        <f t="shared" si="237"/>
        <v>O</v>
      </c>
      <c r="AR279" s="80" t="str">
        <f t="shared" si="238"/>
        <v>X</v>
      </c>
      <c r="AS279" s="80" t="s">
        <v>2</v>
      </c>
      <c r="AT279" s="80" t="str">
        <f t="shared" si="239"/>
        <v>X</v>
      </c>
      <c r="AU279" s="80" t="str">
        <f t="shared" si="240"/>
        <v>O</v>
      </c>
      <c r="AV279" s="80" t="str">
        <f t="shared" si="241"/>
        <v>X</v>
      </c>
    </row>
    <row r="280" spans="1:48" s="37" customFormat="1" ht="12" x14ac:dyDescent="0.3">
      <c r="A280" s="75" t="s">
        <v>1737</v>
      </c>
      <c r="B280" s="76" t="s">
        <v>1531</v>
      </c>
      <c r="C280" s="86">
        <v>332</v>
      </c>
      <c r="D280" s="87">
        <v>320.89999999999998</v>
      </c>
      <c r="E280" s="88">
        <v>97</v>
      </c>
      <c r="F280" s="87">
        <v>261.2</v>
      </c>
      <c r="G280" s="17">
        <v>79</v>
      </c>
      <c r="H280" s="89">
        <v>4</v>
      </c>
      <c r="I280" s="90"/>
      <c r="J280" s="90"/>
      <c r="K280" s="90"/>
      <c r="L280" s="90"/>
      <c r="M280" s="91">
        <f t="shared" si="226"/>
        <v>0</v>
      </c>
      <c r="N280" s="4" t="str">
        <f t="shared" si="227"/>
        <v/>
      </c>
      <c r="O280" s="92">
        <f t="shared" si="228"/>
        <v>0</v>
      </c>
      <c r="P280" s="92">
        <f t="shared" si="229"/>
        <v>0</v>
      </c>
      <c r="Q280" s="80">
        <v>6</v>
      </c>
      <c r="R280" s="80">
        <v>4</v>
      </c>
      <c r="S280" s="80" t="s">
        <v>61</v>
      </c>
      <c r="T280" s="5">
        <v>320</v>
      </c>
      <c r="U280" s="9"/>
      <c r="W280" s="87">
        <f t="shared" si="224"/>
        <v>320.89999999999998</v>
      </c>
      <c r="X280" s="88">
        <f t="shared" si="224"/>
        <v>97</v>
      </c>
      <c r="Y280" s="93">
        <f t="shared" si="225"/>
        <v>4</v>
      </c>
      <c r="Z280" s="91">
        <f t="shared" si="225"/>
        <v>0</v>
      </c>
      <c r="AA280" s="91">
        <f t="shared" si="230"/>
        <v>0</v>
      </c>
      <c r="AB280" s="91">
        <f t="shared" si="242"/>
        <v>0</v>
      </c>
      <c r="AC280" s="4" t="str">
        <f t="shared" si="242"/>
        <v/>
      </c>
      <c r="AD280" s="92">
        <f t="shared" si="242"/>
        <v>0</v>
      </c>
      <c r="AE280" s="80" t="str">
        <f t="shared" si="231"/>
        <v>계</v>
      </c>
      <c r="AF280" s="80" t="str">
        <f t="shared" si="232"/>
        <v>6/4</v>
      </c>
      <c r="AH280" s="20" t="str">
        <f t="shared" si="172"/>
        <v>수송동 한라비발디1단지</v>
      </c>
      <c r="AI280" s="88">
        <f t="shared" si="218"/>
        <v>97</v>
      </c>
      <c r="AJ280" s="80" t="str">
        <f t="shared" si="233"/>
        <v>A-</v>
      </c>
      <c r="AK280" s="80" t="s">
        <v>14</v>
      </c>
      <c r="AL280" s="80" t="s">
        <v>63</v>
      </c>
      <c r="AM280" s="80" t="s">
        <v>64</v>
      </c>
      <c r="AN280" s="80" t="str">
        <f t="shared" si="234"/>
        <v>C</v>
      </c>
      <c r="AO280" s="80" t="str">
        <f t="shared" si="235"/>
        <v/>
      </c>
      <c r="AP280" s="80" t="str">
        <f t="shared" si="236"/>
        <v/>
      </c>
      <c r="AQ280" s="80" t="str">
        <f t="shared" si="237"/>
        <v>O</v>
      </c>
      <c r="AR280" s="80" t="str">
        <f t="shared" si="238"/>
        <v>O</v>
      </c>
      <c r="AS280" s="80" t="s">
        <v>2</v>
      </c>
      <c r="AT280" s="80" t="str">
        <f t="shared" si="239"/>
        <v>X</v>
      </c>
      <c r="AU280" s="80" t="str">
        <f t="shared" si="240"/>
        <v>O</v>
      </c>
      <c r="AV280" s="80" t="str">
        <f t="shared" si="241"/>
        <v/>
      </c>
    </row>
    <row r="281" spans="1:48" s="37" customFormat="1" ht="12" x14ac:dyDescent="0.3">
      <c r="A281" s="75" t="s">
        <v>1533</v>
      </c>
      <c r="B281" s="76" t="s">
        <v>1404</v>
      </c>
      <c r="C281" s="86">
        <v>660</v>
      </c>
      <c r="D281" s="87">
        <v>73.599999999999994</v>
      </c>
      <c r="E281" s="88">
        <v>22</v>
      </c>
      <c r="F281" s="87">
        <v>59.5</v>
      </c>
      <c r="G281" s="17">
        <v>18</v>
      </c>
      <c r="H281" s="89">
        <v>120</v>
      </c>
      <c r="I281" s="90"/>
      <c r="J281" s="90"/>
      <c r="K281" s="90"/>
      <c r="L281" s="90"/>
      <c r="M281" s="91">
        <f>I281-K281</f>
        <v>0</v>
      </c>
      <c r="N281" s="4" t="str">
        <f>IF(ISERROR(K281/I281),"",K281/I281)</f>
        <v/>
      </c>
      <c r="O281" s="92">
        <f>I281/E281</f>
        <v>0</v>
      </c>
      <c r="P281" s="92">
        <f>K281/E281</f>
        <v>0</v>
      </c>
      <c r="Q281" s="80">
        <v>2</v>
      </c>
      <c r="R281" s="80">
        <v>1</v>
      </c>
      <c r="S281" s="80" t="s">
        <v>61</v>
      </c>
      <c r="T281" s="5">
        <v>73</v>
      </c>
      <c r="U281" s="9"/>
      <c r="W281" s="87">
        <f t="shared" si="224"/>
        <v>73.599999999999994</v>
      </c>
      <c r="X281" s="88">
        <f t="shared" si="224"/>
        <v>22</v>
      </c>
      <c r="Y281" s="93">
        <f t="shared" si="225"/>
        <v>120</v>
      </c>
      <c r="Z281" s="91">
        <f t="shared" si="225"/>
        <v>0</v>
      </c>
      <c r="AA281" s="91">
        <f>K281</f>
        <v>0</v>
      </c>
      <c r="AB281" s="91">
        <f t="shared" si="242"/>
        <v>0</v>
      </c>
      <c r="AC281" s="4" t="str">
        <f t="shared" si="242"/>
        <v/>
      </c>
      <c r="AD281" s="92">
        <f t="shared" si="242"/>
        <v>0</v>
      </c>
      <c r="AE281" s="80" t="str">
        <f>S281</f>
        <v>계</v>
      </c>
      <c r="AF281" s="80" t="str">
        <f>Q281&amp;"/"&amp;R281</f>
        <v>2/1</v>
      </c>
      <c r="AH281" s="20" t="str">
        <f t="shared" si="172"/>
        <v>수송동 동신</v>
      </c>
      <c r="AI281" s="88">
        <f t="shared" si="218"/>
        <v>22</v>
      </c>
      <c r="AJ281" s="80" t="str">
        <f>IF(AI281="","",$AJ$2)</f>
        <v>A-</v>
      </c>
      <c r="AK281" s="80" t="s">
        <v>14</v>
      </c>
      <c r="AL281" s="80" t="s">
        <v>63</v>
      </c>
      <c r="AM281" s="80" t="s">
        <v>64</v>
      </c>
      <c r="AN281" s="80" t="str">
        <f>IF(AI281="","",$AN$2)</f>
        <v>C</v>
      </c>
      <c r="AO281" s="80" t="str">
        <f>IF(N281="","",IF(N281&gt;=$AO$1/100,"O","X"))</f>
        <v/>
      </c>
      <c r="AP281" s="80" t="str">
        <f>IF(I281="","",IF(I281&lt;=$AP$1,"O","X"))</f>
        <v/>
      </c>
      <c r="AQ281" s="80" t="str">
        <f>IF(O281="","",IF(O281&lt;=$AQ$1,"O","X"))</f>
        <v>O</v>
      </c>
      <c r="AR281" s="80" t="str">
        <f>IF(M281="","",IF(M281&lt;=$AR$1,"O","X"))</f>
        <v>O</v>
      </c>
      <c r="AS281" s="80" t="s">
        <v>2</v>
      </c>
      <c r="AT281" s="80" t="str">
        <f>IF(OR(F281="",AI281=""),"",IF(AND((F281&lt;=85),(AI281&gt;=15)),"O","X"))</f>
        <v>O</v>
      </c>
      <c r="AU281" s="80" t="str">
        <f>IF(C281="","",IF(C281&gt;=$AU$1,"O","X"))</f>
        <v>O</v>
      </c>
      <c r="AV281" s="80" t="str">
        <f>IF(AO281="","",IF(AND(AO281="O",AP281="O",AR281="O",AT281="O",AU281="O"),"후보","X"))</f>
        <v/>
      </c>
    </row>
    <row r="282" spans="1:48" s="37" customFormat="1" ht="12" x14ac:dyDescent="0.3">
      <c r="A282" s="75" t="s">
        <v>1741</v>
      </c>
      <c r="B282" s="76" t="s">
        <v>1404</v>
      </c>
      <c r="C282" s="86">
        <v>660</v>
      </c>
      <c r="D282" s="87">
        <v>83.5</v>
      </c>
      <c r="E282" s="88">
        <v>25</v>
      </c>
      <c r="F282" s="87">
        <v>67.400000000000006</v>
      </c>
      <c r="G282" s="17">
        <v>20</v>
      </c>
      <c r="H282" s="89">
        <v>120</v>
      </c>
      <c r="I282" s="90">
        <v>7500</v>
      </c>
      <c r="J282" s="90" t="s">
        <v>71</v>
      </c>
      <c r="K282" s="90"/>
      <c r="L282" s="90"/>
      <c r="M282" s="91">
        <f>I282-K282</f>
        <v>7500</v>
      </c>
      <c r="N282" s="4">
        <f>IF(ISERROR(K282/I282),"",K282/I282)</f>
        <v>0</v>
      </c>
      <c r="O282" s="92">
        <f>I282/E282</f>
        <v>300</v>
      </c>
      <c r="P282" s="92">
        <f>K282/E282</f>
        <v>0</v>
      </c>
      <c r="Q282" s="80">
        <v>3</v>
      </c>
      <c r="R282" s="80">
        <v>1</v>
      </c>
      <c r="S282" s="80" t="s">
        <v>76</v>
      </c>
      <c r="T282" s="5">
        <v>83</v>
      </c>
      <c r="U282" s="9"/>
      <c r="W282" s="87">
        <f t="shared" si="224"/>
        <v>83.5</v>
      </c>
      <c r="X282" s="88">
        <f t="shared" si="224"/>
        <v>25</v>
      </c>
      <c r="Y282" s="93">
        <f t="shared" si="225"/>
        <v>120</v>
      </c>
      <c r="Z282" s="91">
        <f t="shared" si="225"/>
        <v>7500</v>
      </c>
      <c r="AA282" s="91">
        <f>K282</f>
        <v>0</v>
      </c>
      <c r="AB282" s="91">
        <f t="shared" si="242"/>
        <v>7500</v>
      </c>
      <c r="AC282" s="4">
        <f t="shared" si="242"/>
        <v>0</v>
      </c>
      <c r="AD282" s="92">
        <f t="shared" si="242"/>
        <v>300</v>
      </c>
      <c r="AE282" s="80" t="str">
        <f>S282</f>
        <v>복</v>
      </c>
      <c r="AF282" s="80" t="str">
        <f>Q282&amp;"/"&amp;R282</f>
        <v>3/1</v>
      </c>
      <c r="AH282" s="20" t="str">
        <f t="shared" si="172"/>
        <v>수송동 동신</v>
      </c>
      <c r="AI282" s="88">
        <f t="shared" si="218"/>
        <v>25</v>
      </c>
      <c r="AJ282" s="80" t="str">
        <f>IF(AI282="","",$AJ$2)</f>
        <v>A-</v>
      </c>
      <c r="AK282" s="80" t="s">
        <v>14</v>
      </c>
      <c r="AL282" s="80" t="s">
        <v>63</v>
      </c>
      <c r="AM282" s="80" t="s">
        <v>64</v>
      </c>
      <c r="AN282" s="80" t="str">
        <f>IF(AI282="","",$AN$2)</f>
        <v>C</v>
      </c>
      <c r="AO282" s="80" t="str">
        <f>IF(N282="","",IF(N282&gt;=$AO$1/100,"O","X"))</f>
        <v>X</v>
      </c>
      <c r="AP282" s="80" t="str">
        <f>IF(I282="","",IF(I282&lt;=$AP$1,"O","X"))</f>
        <v>O</v>
      </c>
      <c r="AQ282" s="80" t="str">
        <f>IF(O282="","",IF(O282&lt;=$AQ$1,"O","X"))</f>
        <v>O</v>
      </c>
      <c r="AR282" s="80" t="str">
        <f>IF(M282="","",IF(M282&lt;=$AR$1,"O","X"))</f>
        <v>X</v>
      </c>
      <c r="AS282" s="80" t="s">
        <v>2</v>
      </c>
      <c r="AT282" s="80" t="str">
        <f>IF(OR(F282="",AI282=""),"",IF(AND((F282&lt;=85),(AI282&gt;=15)),"O","X"))</f>
        <v>O</v>
      </c>
      <c r="AU282" s="80" t="str">
        <f>IF(C282="","",IF(C282&gt;=$AU$1,"O","X"))</f>
        <v>O</v>
      </c>
      <c r="AV282" s="80" t="str">
        <f>IF(AO282="","",IF(AND(AO282="O",AP282="O",AR282="O",AT282="O",AU282="O"),"후보","X"))</f>
        <v>X</v>
      </c>
    </row>
    <row r="283" spans="1:48" s="37" customFormat="1" ht="12" x14ac:dyDescent="0.3">
      <c r="A283" s="75" t="s">
        <v>1533</v>
      </c>
      <c r="B283" s="76" t="s">
        <v>1404</v>
      </c>
      <c r="C283" s="86">
        <v>660</v>
      </c>
      <c r="D283" s="87">
        <v>94.6</v>
      </c>
      <c r="E283" s="88">
        <v>29</v>
      </c>
      <c r="F283" s="87">
        <v>76.400000000000006</v>
      </c>
      <c r="G283" s="17">
        <v>23</v>
      </c>
      <c r="H283" s="89">
        <v>60</v>
      </c>
      <c r="I283" s="90"/>
      <c r="J283" s="90"/>
      <c r="K283" s="90"/>
      <c r="L283" s="90"/>
      <c r="M283" s="91">
        <f>I283-K283</f>
        <v>0</v>
      </c>
      <c r="N283" s="4" t="str">
        <f>IF(ISERROR(K283/I283),"",K283/I283)</f>
        <v/>
      </c>
      <c r="O283" s="92">
        <f>I283/E283</f>
        <v>0</v>
      </c>
      <c r="P283" s="92">
        <f>K283/E283</f>
        <v>0</v>
      </c>
      <c r="Q283" s="80">
        <v>3</v>
      </c>
      <c r="R283" s="80">
        <v>2</v>
      </c>
      <c r="S283" s="80" t="s">
        <v>76</v>
      </c>
      <c r="T283" s="5">
        <v>94</v>
      </c>
      <c r="U283" s="9"/>
      <c r="W283" s="87">
        <f t="shared" si="224"/>
        <v>94.6</v>
      </c>
      <c r="X283" s="88">
        <f t="shared" si="224"/>
        <v>29</v>
      </c>
      <c r="Y283" s="93">
        <f t="shared" si="225"/>
        <v>60</v>
      </c>
      <c r="Z283" s="91">
        <f t="shared" si="225"/>
        <v>0</v>
      </c>
      <c r="AA283" s="91">
        <f>K283</f>
        <v>0</v>
      </c>
      <c r="AB283" s="91">
        <f t="shared" si="242"/>
        <v>0</v>
      </c>
      <c r="AC283" s="4" t="str">
        <f t="shared" si="242"/>
        <v/>
      </c>
      <c r="AD283" s="92">
        <f t="shared" si="242"/>
        <v>0</v>
      </c>
      <c r="AE283" s="80" t="str">
        <f>S283</f>
        <v>복</v>
      </c>
      <c r="AF283" s="80" t="str">
        <f>Q283&amp;"/"&amp;R283</f>
        <v>3/2</v>
      </c>
      <c r="AH283" s="20" t="str">
        <f t="shared" si="172"/>
        <v>수송동 동신</v>
      </c>
      <c r="AI283" s="88">
        <f t="shared" si="218"/>
        <v>29</v>
      </c>
      <c r="AJ283" s="80" t="str">
        <f>IF(AI283="","",$AJ$2)</f>
        <v>A-</v>
      </c>
      <c r="AK283" s="80" t="s">
        <v>14</v>
      </c>
      <c r="AL283" s="80" t="s">
        <v>63</v>
      </c>
      <c r="AM283" s="80" t="s">
        <v>64</v>
      </c>
      <c r="AN283" s="80" t="str">
        <f>IF(AI283="","",$AN$2)</f>
        <v>C</v>
      </c>
      <c r="AO283" s="80" t="str">
        <f>IF(N283="","",IF(N283&gt;=$AO$1/100,"O","X"))</f>
        <v/>
      </c>
      <c r="AP283" s="80" t="str">
        <f>IF(I283="","",IF(I283&lt;=$AP$1,"O","X"))</f>
        <v/>
      </c>
      <c r="AQ283" s="80" t="str">
        <f>IF(O283="","",IF(O283&lt;=$AQ$1,"O","X"))</f>
        <v>O</v>
      </c>
      <c r="AR283" s="80" t="str">
        <f>IF(M283="","",IF(M283&lt;=$AR$1,"O","X"))</f>
        <v>O</v>
      </c>
      <c r="AS283" s="80" t="s">
        <v>2</v>
      </c>
      <c r="AT283" s="80" t="str">
        <f>IF(OR(F283="",AI283=""),"",IF(AND((F283&lt;=85),(AI283&gt;=15)),"O","X"))</f>
        <v>O</v>
      </c>
      <c r="AU283" s="80" t="str">
        <f>IF(C283="","",IF(C283&gt;=$AU$1,"O","X"))</f>
        <v>O</v>
      </c>
      <c r="AV283" s="80" t="str">
        <f>IF(AO283="","",IF(AND(AO283="O",AP283="O",AR283="O",AT283="O",AU283="O"),"후보","X"))</f>
        <v/>
      </c>
    </row>
    <row r="284" spans="1:48" s="37" customFormat="1" ht="12" x14ac:dyDescent="0.3">
      <c r="A284" s="75" t="s">
        <v>1741</v>
      </c>
      <c r="B284" s="76" t="s">
        <v>1404</v>
      </c>
      <c r="C284" s="86">
        <v>660</v>
      </c>
      <c r="D284" s="87">
        <v>97.2</v>
      </c>
      <c r="E284" s="88">
        <v>29</v>
      </c>
      <c r="F284" s="87">
        <v>78.5</v>
      </c>
      <c r="G284" s="17">
        <v>24</v>
      </c>
      <c r="H284" s="89">
        <v>120</v>
      </c>
      <c r="I284" s="90">
        <v>10500</v>
      </c>
      <c r="J284" s="90" t="s">
        <v>65</v>
      </c>
      <c r="K284" s="90"/>
      <c r="L284" s="90"/>
      <c r="M284" s="91">
        <f>I284-K284</f>
        <v>10500</v>
      </c>
      <c r="N284" s="4">
        <f>IF(ISERROR(K284/I284),"",K284/I284)</f>
        <v>0</v>
      </c>
      <c r="O284" s="92">
        <f>I284/E284</f>
        <v>362.06896551724139</v>
      </c>
      <c r="P284" s="92">
        <f>K284/E284</f>
        <v>0</v>
      </c>
      <c r="Q284" s="80">
        <v>3</v>
      </c>
      <c r="R284" s="80">
        <v>2</v>
      </c>
      <c r="S284" s="80" t="s">
        <v>61</v>
      </c>
      <c r="T284" s="5">
        <v>97</v>
      </c>
      <c r="U284" s="9"/>
      <c r="W284" s="87">
        <f t="shared" si="224"/>
        <v>97.2</v>
      </c>
      <c r="X284" s="88">
        <f t="shared" si="224"/>
        <v>29</v>
      </c>
      <c r="Y284" s="93">
        <f t="shared" si="225"/>
        <v>120</v>
      </c>
      <c r="Z284" s="91">
        <f t="shared" si="225"/>
        <v>10500</v>
      </c>
      <c r="AA284" s="91">
        <f>K284</f>
        <v>0</v>
      </c>
      <c r="AB284" s="91">
        <f t="shared" si="242"/>
        <v>10500</v>
      </c>
      <c r="AC284" s="4">
        <f t="shared" si="242"/>
        <v>0</v>
      </c>
      <c r="AD284" s="92">
        <f t="shared" si="242"/>
        <v>362.06896551724139</v>
      </c>
      <c r="AE284" s="80" t="str">
        <f>S284</f>
        <v>계</v>
      </c>
      <c r="AF284" s="80" t="str">
        <f>Q284&amp;"/"&amp;R284</f>
        <v>3/2</v>
      </c>
      <c r="AH284" s="20" t="str">
        <f t="shared" si="172"/>
        <v>수송동 동신</v>
      </c>
      <c r="AI284" s="88">
        <f t="shared" si="218"/>
        <v>29</v>
      </c>
      <c r="AJ284" s="80" t="str">
        <f>IF(AI284="","",$AJ$2)</f>
        <v>A-</v>
      </c>
      <c r="AK284" s="80" t="s">
        <v>14</v>
      </c>
      <c r="AL284" s="80" t="s">
        <v>63</v>
      </c>
      <c r="AM284" s="80" t="s">
        <v>64</v>
      </c>
      <c r="AN284" s="80" t="str">
        <f>IF(AI284="","",$AN$2)</f>
        <v>C</v>
      </c>
      <c r="AO284" s="80" t="str">
        <f>IF(N284="","",IF(N284&gt;=$AO$1/100,"O","X"))</f>
        <v>X</v>
      </c>
      <c r="AP284" s="80" t="str">
        <f>IF(I284="","",IF(I284&lt;=$AP$1,"O","X"))</f>
        <v>O</v>
      </c>
      <c r="AQ284" s="80" t="str">
        <f>IF(O284="","",IF(O284&lt;=$AQ$1,"O","X"))</f>
        <v>O</v>
      </c>
      <c r="AR284" s="80" t="str">
        <f>IF(M284="","",IF(M284&lt;=$AR$1,"O","X"))</f>
        <v>X</v>
      </c>
      <c r="AS284" s="80" t="s">
        <v>2</v>
      </c>
      <c r="AT284" s="80" t="str">
        <f>IF(OR(F284="",AI284=""),"",IF(AND((F284&lt;=85),(AI284&gt;=15)),"O","X"))</f>
        <v>O</v>
      </c>
      <c r="AU284" s="80" t="str">
        <f>IF(C284="","",IF(C284&gt;=$AU$1,"O","X"))</f>
        <v>O</v>
      </c>
      <c r="AV284" s="80" t="str">
        <f>IF(AO284="","",IF(AND(AO284="O",AP284="O",AR284="O",AT284="O",AU284="O"),"후보","X"))</f>
        <v>X</v>
      </c>
    </row>
    <row r="285" spans="1:48" s="37" customFormat="1" ht="12" x14ac:dyDescent="0.3">
      <c r="A285" s="75" t="s">
        <v>1742</v>
      </c>
      <c r="B285" s="76" t="s">
        <v>1743</v>
      </c>
      <c r="C285" s="86">
        <v>660</v>
      </c>
      <c r="D285" s="87">
        <v>105</v>
      </c>
      <c r="E285" s="88">
        <v>32</v>
      </c>
      <c r="F285" s="87">
        <v>84.8</v>
      </c>
      <c r="G285" s="17">
        <v>26</v>
      </c>
      <c r="H285" s="89">
        <v>240</v>
      </c>
      <c r="I285" s="90">
        <v>12000</v>
      </c>
      <c r="J285" s="90" t="s">
        <v>67</v>
      </c>
      <c r="K285" s="90">
        <v>11000</v>
      </c>
      <c r="L285" s="90" t="s">
        <v>67</v>
      </c>
      <c r="M285" s="91">
        <f>I285-K285</f>
        <v>1000</v>
      </c>
      <c r="N285" s="4">
        <f>IF(ISERROR(K285/I285),"",K285/I285)</f>
        <v>0.91666666666666663</v>
      </c>
      <c r="O285" s="92">
        <f>I285/E285</f>
        <v>375</v>
      </c>
      <c r="P285" s="92">
        <f>K285/E285</f>
        <v>343.75</v>
      </c>
      <c r="Q285" s="80">
        <v>3</v>
      </c>
      <c r="R285" s="80">
        <v>2</v>
      </c>
      <c r="S285" s="80" t="s">
        <v>76</v>
      </c>
      <c r="T285" s="5">
        <v>105</v>
      </c>
      <c r="U285" s="9"/>
      <c r="W285" s="87">
        <f t="shared" ref="W285:X300" si="243">D285</f>
        <v>105</v>
      </c>
      <c r="X285" s="88">
        <f t="shared" si="243"/>
        <v>32</v>
      </c>
      <c r="Y285" s="93">
        <f t="shared" ref="Y285:Z300" si="244">H285</f>
        <v>240</v>
      </c>
      <c r="Z285" s="91">
        <f t="shared" si="244"/>
        <v>12000</v>
      </c>
      <c r="AA285" s="91">
        <f>K285</f>
        <v>11000</v>
      </c>
      <c r="AB285" s="91">
        <f t="shared" si="242"/>
        <v>1000</v>
      </c>
      <c r="AC285" s="4">
        <f t="shared" si="242"/>
        <v>0.91666666666666663</v>
      </c>
      <c r="AD285" s="92">
        <f t="shared" si="242"/>
        <v>375</v>
      </c>
      <c r="AE285" s="80" t="str">
        <f>S285</f>
        <v>복</v>
      </c>
      <c r="AF285" s="80" t="str">
        <f>Q285&amp;"/"&amp;R285</f>
        <v>3/2</v>
      </c>
      <c r="AH285" s="20" t="str">
        <f t="shared" si="172"/>
        <v>수송동 동신</v>
      </c>
      <c r="AI285" s="88">
        <f t="shared" si="218"/>
        <v>32</v>
      </c>
      <c r="AJ285" s="80" t="str">
        <f>IF(AI285="","",$AJ$2)</f>
        <v>A-</v>
      </c>
      <c r="AK285" s="80" t="s">
        <v>14</v>
      </c>
      <c r="AL285" s="80" t="s">
        <v>63</v>
      </c>
      <c r="AM285" s="80" t="s">
        <v>64</v>
      </c>
      <c r="AN285" s="80" t="str">
        <f>IF(AI285="","",$AN$2)</f>
        <v>C</v>
      </c>
      <c r="AO285" s="80" t="str">
        <f>IF(N285="","",IF(N285&gt;=$AO$1/100,"O","X"))</f>
        <v>O</v>
      </c>
      <c r="AP285" s="80" t="str">
        <f>IF(I285="","",IF(I285&lt;=$AP$1,"O","X"))</f>
        <v>O</v>
      </c>
      <c r="AQ285" s="80" t="str">
        <f>IF(O285="","",IF(O285&lt;=$AQ$1,"O","X"))</f>
        <v>O</v>
      </c>
      <c r="AR285" s="80" t="str">
        <f>IF(M285="","",IF(M285&lt;=$AR$1,"O","X"))</f>
        <v>O</v>
      </c>
      <c r="AS285" s="80" t="s">
        <v>2</v>
      </c>
      <c r="AT285" s="80" t="str">
        <f>IF(OR(F285="",AI285=""),"",IF(AND((F285&lt;=85),(AI285&gt;=15)),"O","X"))</f>
        <v>O</v>
      </c>
      <c r="AU285" s="80" t="str">
        <f>IF(C285="","",IF(C285&gt;=$AU$1,"O","X"))</f>
        <v>O</v>
      </c>
      <c r="AV285" s="80" t="str">
        <f>IF(AO285="","",IF(AND(AO285="O",AP285="O",AR285="O",AT285="O",AU285="O"),"후보","X"))</f>
        <v>후보</v>
      </c>
    </row>
    <row r="286" spans="1:48" s="37" customFormat="1" ht="12" x14ac:dyDescent="0.3">
      <c r="A286" s="75" t="s">
        <v>1534</v>
      </c>
      <c r="B286" s="76" t="s">
        <v>1535</v>
      </c>
      <c r="C286" s="86">
        <v>566</v>
      </c>
      <c r="D286" s="87">
        <v>130.69999999999999</v>
      </c>
      <c r="E286" s="88">
        <v>40</v>
      </c>
      <c r="F286" s="87">
        <v>100.1</v>
      </c>
      <c r="G286" s="17">
        <v>30</v>
      </c>
      <c r="H286" s="89">
        <v>87</v>
      </c>
      <c r="I286" s="90">
        <v>39000</v>
      </c>
      <c r="J286" s="90" t="s">
        <v>72</v>
      </c>
      <c r="K286" s="90">
        <v>35000</v>
      </c>
      <c r="L286" s="90" t="s">
        <v>65</v>
      </c>
      <c r="M286" s="91">
        <f>I286-K286</f>
        <v>4000</v>
      </c>
      <c r="N286" s="4">
        <f>IF(ISERROR(K286/I286),"",K286/I286)</f>
        <v>0.89743589743589747</v>
      </c>
      <c r="O286" s="92">
        <f>I286/E286</f>
        <v>975</v>
      </c>
      <c r="P286" s="92">
        <f>K286/E286</f>
        <v>875</v>
      </c>
      <c r="Q286" s="80">
        <v>3</v>
      </c>
      <c r="R286" s="80">
        <v>2</v>
      </c>
      <c r="S286" s="80" t="s">
        <v>61</v>
      </c>
      <c r="T286" s="5">
        <v>130</v>
      </c>
      <c r="U286" s="9"/>
      <c r="W286" s="87">
        <f t="shared" si="243"/>
        <v>130.69999999999999</v>
      </c>
      <c r="X286" s="88">
        <f t="shared" si="243"/>
        <v>40</v>
      </c>
      <c r="Y286" s="93">
        <f t="shared" si="244"/>
        <v>87</v>
      </c>
      <c r="Z286" s="91">
        <f t="shared" si="244"/>
        <v>39000</v>
      </c>
      <c r="AA286" s="91">
        <f>K286</f>
        <v>35000</v>
      </c>
      <c r="AB286" s="91">
        <f t="shared" si="242"/>
        <v>4000</v>
      </c>
      <c r="AC286" s="4">
        <f t="shared" si="242"/>
        <v>0.89743589743589747</v>
      </c>
      <c r="AD286" s="92">
        <f t="shared" si="242"/>
        <v>975</v>
      </c>
      <c r="AE286" s="80" t="str">
        <f>S286</f>
        <v>계</v>
      </c>
      <c r="AF286" s="80" t="str">
        <f>Q286&amp;"/"&amp;R286</f>
        <v>3/2</v>
      </c>
      <c r="AH286" s="20" t="str">
        <f t="shared" si="172"/>
        <v>수송동 수송아이파크(201-2BL)</v>
      </c>
      <c r="AI286" s="88">
        <f t="shared" si="218"/>
        <v>40</v>
      </c>
      <c r="AJ286" s="80" t="str">
        <f>IF(AI286="","",$AJ$2)</f>
        <v>A-</v>
      </c>
      <c r="AK286" s="80" t="s">
        <v>14</v>
      </c>
      <c r="AL286" s="80" t="s">
        <v>63</v>
      </c>
      <c r="AM286" s="80" t="s">
        <v>64</v>
      </c>
      <c r="AN286" s="80" t="str">
        <f>IF(AI286="","",$AN$2)</f>
        <v>C</v>
      </c>
      <c r="AO286" s="80" t="str">
        <f>IF(N286="","",IF(N286&gt;=$AO$1/100,"O","X"))</f>
        <v>O</v>
      </c>
      <c r="AP286" s="80" t="str">
        <f>IF(I286="","",IF(I286&lt;=$AP$1,"O","X"))</f>
        <v>O</v>
      </c>
      <c r="AQ286" s="80" t="str">
        <f>IF(O286="","",IF(O286&lt;=$AQ$1,"O","X"))</f>
        <v>O</v>
      </c>
      <c r="AR286" s="80" t="str">
        <f>IF(M286="","",IF(M286&lt;=$AR$1,"O","X"))</f>
        <v>O</v>
      </c>
      <c r="AS286" s="80" t="s">
        <v>2</v>
      </c>
      <c r="AT286" s="80" t="str">
        <f>IF(OR(F286="",AI286=""),"",IF(AND((F286&lt;=85),(AI286&gt;=15)),"O","X"))</f>
        <v>X</v>
      </c>
      <c r="AU286" s="80" t="str">
        <f>IF(C286="","",IF(C286&gt;=$AU$1,"O","X"))</f>
        <v>O</v>
      </c>
      <c r="AV286" s="80" t="str">
        <f>IF(AO286="","",IF(AND(AO286="O",AP286="O",AR286="O",AT286="O",AU286="O"),"후보","X"))</f>
        <v>X</v>
      </c>
    </row>
    <row r="287" spans="1:48" s="37" customFormat="1" ht="12" x14ac:dyDescent="0.3">
      <c r="A287" s="75" t="s">
        <v>1744</v>
      </c>
      <c r="B287" s="76" t="s">
        <v>1535</v>
      </c>
      <c r="C287" s="86">
        <v>566</v>
      </c>
      <c r="D287" s="87">
        <v>134.30000000000001</v>
      </c>
      <c r="E287" s="88">
        <v>41</v>
      </c>
      <c r="F287" s="87">
        <v>104.5</v>
      </c>
      <c r="G287" s="17">
        <v>32</v>
      </c>
      <c r="H287" s="89">
        <v>54</v>
      </c>
      <c r="I287" s="90"/>
      <c r="J287" s="90"/>
      <c r="K287" s="90"/>
      <c r="L287" s="90"/>
      <c r="M287" s="91">
        <f>I287-K287</f>
        <v>0</v>
      </c>
      <c r="N287" s="4" t="str">
        <f>IF(ISERROR(K287/I287),"",K287/I287)</f>
        <v/>
      </c>
      <c r="O287" s="92">
        <f>I287/E287</f>
        <v>0</v>
      </c>
      <c r="P287" s="92">
        <f>K287/E287</f>
        <v>0</v>
      </c>
      <c r="Q287" s="80">
        <v>3</v>
      </c>
      <c r="R287" s="80">
        <v>2</v>
      </c>
      <c r="S287" s="80" t="s">
        <v>61</v>
      </c>
      <c r="T287" s="5">
        <v>134</v>
      </c>
      <c r="U287" s="9"/>
      <c r="W287" s="87">
        <f t="shared" si="243"/>
        <v>134.30000000000001</v>
      </c>
      <c r="X287" s="88">
        <f t="shared" si="243"/>
        <v>41</v>
      </c>
      <c r="Y287" s="93">
        <f t="shared" si="244"/>
        <v>54</v>
      </c>
      <c r="Z287" s="91">
        <f t="shared" si="244"/>
        <v>0</v>
      </c>
      <c r="AA287" s="91">
        <f>K287</f>
        <v>0</v>
      </c>
      <c r="AB287" s="91">
        <f t="shared" si="242"/>
        <v>0</v>
      </c>
      <c r="AC287" s="4" t="str">
        <f t="shared" si="242"/>
        <v/>
      </c>
      <c r="AD287" s="92">
        <f t="shared" si="242"/>
        <v>0</v>
      </c>
      <c r="AE287" s="80" t="str">
        <f>S287</f>
        <v>계</v>
      </c>
      <c r="AF287" s="80" t="str">
        <f>Q287&amp;"/"&amp;R287</f>
        <v>3/2</v>
      </c>
      <c r="AH287" s="20" t="str">
        <f t="shared" si="172"/>
        <v>수송동 수송아이파크(201-2BL)</v>
      </c>
      <c r="AI287" s="88">
        <f t="shared" si="218"/>
        <v>41</v>
      </c>
      <c r="AJ287" s="80" t="str">
        <f>IF(AI287="","",$AJ$2)</f>
        <v>A-</v>
      </c>
      <c r="AK287" s="80" t="s">
        <v>14</v>
      </c>
      <c r="AL287" s="80" t="s">
        <v>63</v>
      </c>
      <c r="AM287" s="80" t="s">
        <v>64</v>
      </c>
      <c r="AN287" s="80" t="str">
        <f>IF(AI287="","",$AN$2)</f>
        <v>C</v>
      </c>
      <c r="AO287" s="80" t="str">
        <f>IF(N287="","",IF(N287&gt;=$AO$1/100,"O","X"))</f>
        <v/>
      </c>
      <c r="AP287" s="80" t="str">
        <f>IF(I287="","",IF(I287&lt;=$AP$1,"O","X"))</f>
        <v/>
      </c>
      <c r="AQ287" s="80" t="str">
        <f>IF(O287="","",IF(O287&lt;=$AQ$1,"O","X"))</f>
        <v>O</v>
      </c>
      <c r="AR287" s="80" t="str">
        <f>IF(M287="","",IF(M287&lt;=$AR$1,"O","X"))</f>
        <v>O</v>
      </c>
      <c r="AS287" s="80" t="s">
        <v>2</v>
      </c>
      <c r="AT287" s="80" t="str">
        <f>IF(OR(F287="",AI287=""),"",IF(AND((F287&lt;=85),(AI287&gt;=15)),"O","X"))</f>
        <v>X</v>
      </c>
      <c r="AU287" s="80" t="str">
        <f>IF(C287="","",IF(C287&gt;=$AU$1,"O","X"))</f>
        <v>O</v>
      </c>
      <c r="AV287" s="80" t="str">
        <f>IF(AO287="","",IF(AND(AO287="O",AP287="O",AR287="O",AT287="O",AU287="O"),"후보","X"))</f>
        <v/>
      </c>
    </row>
    <row r="288" spans="1:48" s="37" customFormat="1" ht="12" x14ac:dyDescent="0.3">
      <c r="A288" s="75" t="s">
        <v>1745</v>
      </c>
      <c r="B288" s="76" t="s">
        <v>1535</v>
      </c>
      <c r="C288" s="86">
        <v>566</v>
      </c>
      <c r="D288" s="87">
        <v>153.9</v>
      </c>
      <c r="E288" s="88">
        <v>47</v>
      </c>
      <c r="F288" s="87">
        <v>119.9</v>
      </c>
      <c r="G288" s="17">
        <v>36</v>
      </c>
      <c r="H288" s="89">
        <v>328</v>
      </c>
      <c r="I288" s="90">
        <v>46000</v>
      </c>
      <c r="J288" s="90" t="s">
        <v>84</v>
      </c>
      <c r="K288" s="90">
        <v>40000</v>
      </c>
      <c r="L288" s="90" t="s">
        <v>68</v>
      </c>
      <c r="M288" s="91">
        <f>I288-K288</f>
        <v>6000</v>
      </c>
      <c r="N288" s="4">
        <f>IF(ISERROR(K288/I288),"",K288/I288)</f>
        <v>0.86956521739130432</v>
      </c>
      <c r="O288" s="92">
        <f>I288/E288</f>
        <v>978.72340425531911</v>
      </c>
      <c r="P288" s="92">
        <f>K288/E288</f>
        <v>851.063829787234</v>
      </c>
      <c r="Q288" s="80">
        <v>4</v>
      </c>
      <c r="R288" s="80">
        <v>2</v>
      </c>
      <c r="S288" s="80" t="s">
        <v>61</v>
      </c>
      <c r="T288" s="5">
        <v>153</v>
      </c>
      <c r="U288" s="9"/>
      <c r="W288" s="87">
        <f t="shared" si="243"/>
        <v>153.9</v>
      </c>
      <c r="X288" s="88">
        <f t="shared" si="243"/>
        <v>47</v>
      </c>
      <c r="Y288" s="93">
        <f t="shared" si="244"/>
        <v>328</v>
      </c>
      <c r="Z288" s="91">
        <f t="shared" si="244"/>
        <v>46000</v>
      </c>
      <c r="AA288" s="91">
        <f>K288</f>
        <v>40000</v>
      </c>
      <c r="AB288" s="91">
        <f t="shared" si="242"/>
        <v>6000</v>
      </c>
      <c r="AC288" s="4">
        <f t="shared" si="242"/>
        <v>0.86956521739130432</v>
      </c>
      <c r="AD288" s="92">
        <f t="shared" si="242"/>
        <v>978.72340425531911</v>
      </c>
      <c r="AE288" s="80" t="str">
        <f>S288</f>
        <v>계</v>
      </c>
      <c r="AF288" s="80" t="str">
        <f>Q288&amp;"/"&amp;R288</f>
        <v>4/2</v>
      </c>
      <c r="AH288" s="20" t="str">
        <f t="shared" si="172"/>
        <v>수송동 수송아이파크(201-2BL)</v>
      </c>
      <c r="AI288" s="88">
        <f t="shared" si="218"/>
        <v>47</v>
      </c>
      <c r="AJ288" s="80" t="str">
        <f>IF(AI288="","",$AJ$2)</f>
        <v>A-</v>
      </c>
      <c r="AK288" s="80" t="s">
        <v>14</v>
      </c>
      <c r="AL288" s="80" t="s">
        <v>63</v>
      </c>
      <c r="AM288" s="80" t="s">
        <v>64</v>
      </c>
      <c r="AN288" s="80" t="str">
        <f>IF(AI288="","",$AN$2)</f>
        <v>C</v>
      </c>
      <c r="AO288" s="80" t="str">
        <f>IF(N288="","",IF(N288&gt;=$AO$1/100,"O","X"))</f>
        <v>O</v>
      </c>
      <c r="AP288" s="80" t="str">
        <f>IF(I288="","",IF(I288&lt;=$AP$1,"O","X"))</f>
        <v>X</v>
      </c>
      <c r="AQ288" s="80" t="str">
        <f>IF(O288="","",IF(O288&lt;=$AQ$1,"O","X"))</f>
        <v>O</v>
      </c>
      <c r="AR288" s="80" t="str">
        <f>IF(M288="","",IF(M288&lt;=$AR$1,"O","X"))</f>
        <v>X</v>
      </c>
      <c r="AS288" s="80" t="s">
        <v>2</v>
      </c>
      <c r="AT288" s="80" t="str">
        <f>IF(OR(F288="",AI288=""),"",IF(AND((F288&lt;=85),(AI288&gt;=15)),"O","X"))</f>
        <v>X</v>
      </c>
      <c r="AU288" s="80" t="str">
        <f>IF(C288="","",IF(C288&gt;=$AU$1,"O","X"))</f>
        <v>O</v>
      </c>
      <c r="AV288" s="80" t="str">
        <f>IF(AO288="","",IF(AND(AO288="O",AP288="O",AR288="O",AT288="O",AU288="O"),"후보","X"))</f>
        <v>X</v>
      </c>
    </row>
    <row r="289" spans="1:48" s="37" customFormat="1" ht="12" x14ac:dyDescent="0.3">
      <c r="A289" s="75" t="s">
        <v>1746</v>
      </c>
      <c r="B289" s="76" t="s">
        <v>1535</v>
      </c>
      <c r="C289" s="86">
        <v>566</v>
      </c>
      <c r="D289" s="87">
        <v>178.7</v>
      </c>
      <c r="E289" s="88">
        <v>54</v>
      </c>
      <c r="F289" s="87">
        <v>143.80000000000001</v>
      </c>
      <c r="G289" s="17">
        <v>44</v>
      </c>
      <c r="H289" s="89">
        <v>94</v>
      </c>
      <c r="I289" s="90">
        <v>55000</v>
      </c>
      <c r="J289" s="90" t="s">
        <v>60</v>
      </c>
      <c r="K289" s="90"/>
      <c r="L289" s="90"/>
      <c r="M289" s="91">
        <f>I289-K289</f>
        <v>55000</v>
      </c>
      <c r="N289" s="4">
        <f>IF(ISERROR(K289/I289),"",K289/I289)</f>
        <v>0</v>
      </c>
      <c r="O289" s="92">
        <f>I289/E289</f>
        <v>1018.5185185185185</v>
      </c>
      <c r="P289" s="92">
        <f>K289/E289</f>
        <v>0</v>
      </c>
      <c r="Q289" s="80">
        <v>4</v>
      </c>
      <c r="R289" s="80">
        <v>2</v>
      </c>
      <c r="S289" s="80" t="s">
        <v>61</v>
      </c>
      <c r="T289" s="5">
        <v>178</v>
      </c>
      <c r="U289" s="9"/>
      <c r="W289" s="87">
        <f t="shared" si="243"/>
        <v>178.7</v>
      </c>
      <c r="X289" s="88">
        <f t="shared" si="243"/>
        <v>54</v>
      </c>
      <c r="Y289" s="93">
        <f t="shared" si="244"/>
        <v>94</v>
      </c>
      <c r="Z289" s="91">
        <f t="shared" si="244"/>
        <v>55000</v>
      </c>
      <c r="AA289" s="91">
        <f>K289</f>
        <v>0</v>
      </c>
      <c r="AB289" s="91">
        <f t="shared" si="242"/>
        <v>55000</v>
      </c>
      <c r="AC289" s="4">
        <f t="shared" si="242"/>
        <v>0</v>
      </c>
      <c r="AD289" s="92">
        <f t="shared" si="242"/>
        <v>1018.5185185185185</v>
      </c>
      <c r="AE289" s="80" t="str">
        <f>S289</f>
        <v>계</v>
      </c>
      <c r="AF289" s="80" t="str">
        <f>Q289&amp;"/"&amp;R289</f>
        <v>4/2</v>
      </c>
      <c r="AH289" s="20" t="str">
        <f t="shared" si="172"/>
        <v>수송동 수송아이파크(201-2BL)</v>
      </c>
      <c r="AI289" s="88">
        <f t="shared" si="218"/>
        <v>54</v>
      </c>
      <c r="AJ289" s="80" t="str">
        <f>IF(AI289="","",$AJ$2)</f>
        <v>A-</v>
      </c>
      <c r="AK289" s="80" t="s">
        <v>14</v>
      </c>
      <c r="AL289" s="80" t="s">
        <v>63</v>
      </c>
      <c r="AM289" s="80" t="s">
        <v>64</v>
      </c>
      <c r="AN289" s="80" t="str">
        <f>IF(AI289="","",$AN$2)</f>
        <v>C</v>
      </c>
      <c r="AO289" s="80" t="str">
        <f>IF(N289="","",IF(N289&gt;=$AO$1/100,"O","X"))</f>
        <v>X</v>
      </c>
      <c r="AP289" s="80" t="str">
        <f>IF(I289="","",IF(I289&lt;=$AP$1,"O","X"))</f>
        <v>X</v>
      </c>
      <c r="AQ289" s="80" t="str">
        <f>IF(O289="","",IF(O289&lt;=$AQ$1,"O","X"))</f>
        <v>O</v>
      </c>
      <c r="AR289" s="80" t="str">
        <f>IF(M289="","",IF(M289&lt;=$AR$1,"O","X"))</f>
        <v>X</v>
      </c>
      <c r="AS289" s="80" t="s">
        <v>2</v>
      </c>
      <c r="AT289" s="80" t="str">
        <f>IF(OR(F289="",AI289=""),"",IF(AND((F289&lt;=85),(AI289&gt;=15)),"O","X"))</f>
        <v>X</v>
      </c>
      <c r="AU289" s="80" t="str">
        <f>IF(C289="","",IF(C289&gt;=$AU$1,"O","X"))</f>
        <v>O</v>
      </c>
      <c r="AV289" s="80" t="str">
        <f>IF(AO289="","",IF(AND(AO289="O",AP289="O",AR289="O",AT289="O",AU289="O"),"후보","X"))</f>
        <v>X</v>
      </c>
    </row>
    <row r="290" spans="1:48" s="37" customFormat="1" ht="12" x14ac:dyDescent="0.3">
      <c r="A290" s="75" t="s">
        <v>1747</v>
      </c>
      <c r="B290" s="76" t="s">
        <v>1535</v>
      </c>
      <c r="C290" s="86">
        <v>566</v>
      </c>
      <c r="D290" s="87">
        <v>287</v>
      </c>
      <c r="E290" s="88">
        <v>87</v>
      </c>
      <c r="F290" s="87">
        <v>232.1</v>
      </c>
      <c r="G290" s="17">
        <v>70</v>
      </c>
      <c r="H290" s="89">
        <v>3</v>
      </c>
      <c r="I290" s="90"/>
      <c r="J290" s="90"/>
      <c r="K290" s="90"/>
      <c r="L290" s="90"/>
      <c r="M290" s="91">
        <f>I290-K290</f>
        <v>0</v>
      </c>
      <c r="N290" s="4" t="str">
        <f>IF(ISERROR(K290/I290),"",K290/I290)</f>
        <v/>
      </c>
      <c r="O290" s="92">
        <f>I290/E290</f>
        <v>0</v>
      </c>
      <c r="P290" s="92">
        <f>K290/E290</f>
        <v>0</v>
      </c>
      <c r="Q290" s="80">
        <v>5</v>
      </c>
      <c r="R290" s="80">
        <v>4</v>
      </c>
      <c r="S290" s="80" t="s">
        <v>61</v>
      </c>
      <c r="T290" s="5">
        <v>286</v>
      </c>
      <c r="U290" s="9"/>
      <c r="W290" s="87">
        <f t="shared" si="243"/>
        <v>287</v>
      </c>
      <c r="X290" s="88">
        <f t="shared" si="243"/>
        <v>87</v>
      </c>
      <c r="Y290" s="93">
        <f t="shared" si="244"/>
        <v>3</v>
      </c>
      <c r="Z290" s="91">
        <f t="shared" si="244"/>
        <v>0</v>
      </c>
      <c r="AA290" s="91">
        <f>K290</f>
        <v>0</v>
      </c>
      <c r="AB290" s="91">
        <f t="shared" si="242"/>
        <v>0</v>
      </c>
      <c r="AC290" s="4" t="str">
        <f t="shared" si="242"/>
        <v/>
      </c>
      <c r="AD290" s="92">
        <f t="shared" si="242"/>
        <v>0</v>
      </c>
      <c r="AE290" s="80" t="str">
        <f>S290</f>
        <v>계</v>
      </c>
      <c r="AF290" s="80" t="str">
        <f>Q290&amp;"/"&amp;R290</f>
        <v>5/4</v>
      </c>
      <c r="AH290" s="20" t="str">
        <f t="shared" si="172"/>
        <v>수송동 수송아이파크(201-2BL)</v>
      </c>
      <c r="AI290" s="88">
        <f t="shared" si="218"/>
        <v>87</v>
      </c>
      <c r="AJ290" s="80" t="str">
        <f>IF(AI290="","",$AJ$2)</f>
        <v>A-</v>
      </c>
      <c r="AK290" s="80" t="s">
        <v>14</v>
      </c>
      <c r="AL290" s="80" t="s">
        <v>63</v>
      </c>
      <c r="AM290" s="80" t="s">
        <v>64</v>
      </c>
      <c r="AN290" s="80" t="str">
        <f>IF(AI290="","",$AN$2)</f>
        <v>C</v>
      </c>
      <c r="AO290" s="80" t="str">
        <f>IF(N290="","",IF(N290&gt;=$AO$1/100,"O","X"))</f>
        <v/>
      </c>
      <c r="AP290" s="80" t="str">
        <f>IF(I290="","",IF(I290&lt;=$AP$1,"O","X"))</f>
        <v/>
      </c>
      <c r="AQ290" s="80" t="str">
        <f>IF(O290="","",IF(O290&lt;=$AQ$1,"O","X"))</f>
        <v>O</v>
      </c>
      <c r="AR290" s="80" t="str">
        <f>IF(M290="","",IF(M290&lt;=$AR$1,"O","X"))</f>
        <v>O</v>
      </c>
      <c r="AS290" s="80" t="s">
        <v>2</v>
      </c>
      <c r="AT290" s="80" t="str">
        <f>IF(OR(F290="",AI290=""),"",IF(AND((F290&lt;=85),(AI290&gt;=15)),"O","X"))</f>
        <v>X</v>
      </c>
      <c r="AU290" s="80" t="str">
        <f>IF(C290="","",IF(C290&gt;=$AU$1,"O","X"))</f>
        <v>O</v>
      </c>
      <c r="AV290" s="80" t="str">
        <f>IF(AO290="","",IF(AND(AO290="O",AP290="O",AR290="O",AT290="O",AU290="O"),"후보","X"))</f>
        <v/>
      </c>
    </row>
    <row r="291" spans="1:48" s="37" customFormat="1" ht="12" x14ac:dyDescent="0.3">
      <c r="A291" s="75" t="s">
        <v>1536</v>
      </c>
      <c r="B291" s="76" t="s">
        <v>1537</v>
      </c>
      <c r="C291" s="86">
        <v>1041</v>
      </c>
      <c r="D291" s="87">
        <v>108.9</v>
      </c>
      <c r="E291" s="88">
        <v>33</v>
      </c>
      <c r="F291" s="87">
        <v>84.7</v>
      </c>
      <c r="G291" s="17">
        <v>26</v>
      </c>
      <c r="H291" s="89">
        <v>160</v>
      </c>
      <c r="I291" s="90">
        <v>31000</v>
      </c>
      <c r="J291" s="90" t="s">
        <v>65</v>
      </c>
      <c r="K291" s="90">
        <v>25000</v>
      </c>
      <c r="L291" s="90" t="s">
        <v>72</v>
      </c>
      <c r="M291" s="91">
        <f>I291-K291</f>
        <v>6000</v>
      </c>
      <c r="N291" s="4">
        <f>IF(ISERROR(K291/I291),"",K291/I291)</f>
        <v>0.80645161290322576</v>
      </c>
      <c r="O291" s="92">
        <f>I291/E291</f>
        <v>939.39393939393938</v>
      </c>
      <c r="P291" s="92">
        <f>K291/E291</f>
        <v>757.57575757575762</v>
      </c>
      <c r="Q291" s="80">
        <v>3</v>
      </c>
      <c r="R291" s="80">
        <v>2</v>
      </c>
      <c r="S291" s="80" t="s">
        <v>61</v>
      </c>
      <c r="T291" s="5">
        <v>108</v>
      </c>
      <c r="U291" s="9"/>
      <c r="W291" s="87">
        <f t="shared" si="243"/>
        <v>108.9</v>
      </c>
      <c r="X291" s="88">
        <f t="shared" si="243"/>
        <v>33</v>
      </c>
      <c r="Y291" s="93">
        <f t="shared" si="244"/>
        <v>160</v>
      </c>
      <c r="Z291" s="91">
        <f t="shared" si="244"/>
        <v>31000</v>
      </c>
      <c r="AA291" s="91">
        <f>K291</f>
        <v>25000</v>
      </c>
      <c r="AB291" s="91">
        <f t="shared" si="242"/>
        <v>6000</v>
      </c>
      <c r="AC291" s="4">
        <f t="shared" si="242"/>
        <v>0.80645161290322576</v>
      </c>
      <c r="AD291" s="92">
        <f t="shared" si="242"/>
        <v>939.39393939393938</v>
      </c>
      <c r="AE291" s="80" t="str">
        <f>S291</f>
        <v>계</v>
      </c>
      <c r="AF291" s="80" t="str">
        <f>Q291&amp;"/"&amp;R291</f>
        <v>3/2</v>
      </c>
      <c r="AH291" s="20" t="str">
        <f t="shared" si="172"/>
        <v>수송동 군산수송세영리첼</v>
      </c>
      <c r="AI291" s="88">
        <f t="shared" si="218"/>
        <v>33</v>
      </c>
      <c r="AJ291" s="80" t="str">
        <f>IF(AI291="","",$AJ$2)</f>
        <v>A-</v>
      </c>
      <c r="AK291" s="80" t="s">
        <v>14</v>
      </c>
      <c r="AL291" s="80" t="s">
        <v>63</v>
      </c>
      <c r="AM291" s="80" t="s">
        <v>64</v>
      </c>
      <c r="AN291" s="80" t="str">
        <f>IF(AI291="","",$AN$2)</f>
        <v>C</v>
      </c>
      <c r="AO291" s="80" t="str">
        <f>IF(N291="","",IF(N291&gt;=$AO$1/100,"O","X"))</f>
        <v>O</v>
      </c>
      <c r="AP291" s="80" t="str">
        <f>IF(I291="","",IF(I291&lt;=$AP$1,"O","X"))</f>
        <v>O</v>
      </c>
      <c r="AQ291" s="80" t="str">
        <f>IF(O291="","",IF(O291&lt;=$AQ$1,"O","X"))</f>
        <v>O</v>
      </c>
      <c r="AR291" s="80" t="str">
        <f>IF(M291="","",IF(M291&lt;=$AR$1,"O","X"))</f>
        <v>X</v>
      </c>
      <c r="AS291" s="80" t="s">
        <v>2</v>
      </c>
      <c r="AT291" s="80" t="str">
        <f>IF(OR(F291="",AI291=""),"",IF(AND((F291&lt;=85),(AI291&gt;=15)),"O","X"))</f>
        <v>O</v>
      </c>
      <c r="AU291" s="80" t="str">
        <f>IF(C291="","",IF(C291&gt;=$AU$1,"O","X"))</f>
        <v>O</v>
      </c>
      <c r="AV291" s="80" t="str">
        <f>IF(AO291="","",IF(AND(AO291="O",AP291="O",AR291="O",AT291="O",AU291="O"),"후보","X"))</f>
        <v>X</v>
      </c>
    </row>
    <row r="292" spans="1:48" s="37" customFormat="1" ht="12" x14ac:dyDescent="0.3">
      <c r="A292" s="75" t="s">
        <v>1536</v>
      </c>
      <c r="B292" s="76" t="s">
        <v>1537</v>
      </c>
      <c r="C292" s="86">
        <v>1041</v>
      </c>
      <c r="D292" s="87">
        <v>114.2</v>
      </c>
      <c r="E292" s="88">
        <v>35</v>
      </c>
      <c r="F292" s="87">
        <v>85</v>
      </c>
      <c r="G292" s="17">
        <v>26</v>
      </c>
      <c r="H292" s="89">
        <v>466</v>
      </c>
      <c r="I292" s="90">
        <v>31500</v>
      </c>
      <c r="J292" s="90" t="s">
        <v>74</v>
      </c>
      <c r="K292" s="90">
        <v>26000</v>
      </c>
      <c r="L292" s="90" t="s">
        <v>67</v>
      </c>
      <c r="M292" s="91">
        <f>I292-K292</f>
        <v>5500</v>
      </c>
      <c r="N292" s="4">
        <f>IF(ISERROR(K292/I292),"",K292/I292)</f>
        <v>0.82539682539682535</v>
      </c>
      <c r="O292" s="92">
        <f>I292/E292</f>
        <v>900</v>
      </c>
      <c r="P292" s="92">
        <f>K292/E292</f>
        <v>742.85714285714289</v>
      </c>
      <c r="Q292" s="80">
        <v>3</v>
      </c>
      <c r="R292" s="80">
        <v>2</v>
      </c>
      <c r="S292" s="80" t="s">
        <v>61</v>
      </c>
      <c r="T292" s="5" t="s">
        <v>110</v>
      </c>
      <c r="U292" s="9"/>
      <c r="W292" s="87">
        <f t="shared" si="243"/>
        <v>114.2</v>
      </c>
      <c r="X292" s="88">
        <f t="shared" si="243"/>
        <v>35</v>
      </c>
      <c r="Y292" s="93">
        <f t="shared" si="244"/>
        <v>466</v>
      </c>
      <c r="Z292" s="91">
        <f t="shared" si="244"/>
        <v>31500</v>
      </c>
      <c r="AA292" s="91">
        <f>K292</f>
        <v>26000</v>
      </c>
      <c r="AB292" s="91">
        <f t="shared" si="242"/>
        <v>5500</v>
      </c>
      <c r="AC292" s="4">
        <f t="shared" si="242"/>
        <v>0.82539682539682535</v>
      </c>
      <c r="AD292" s="92">
        <f t="shared" si="242"/>
        <v>900</v>
      </c>
      <c r="AE292" s="80" t="str">
        <f>S292</f>
        <v>계</v>
      </c>
      <c r="AF292" s="80" t="str">
        <f>Q292&amp;"/"&amp;R292</f>
        <v>3/2</v>
      </c>
      <c r="AH292" s="20" t="str">
        <f t="shared" si="172"/>
        <v>수송동 군산수송세영리첼</v>
      </c>
      <c r="AI292" s="88">
        <f t="shared" si="218"/>
        <v>35</v>
      </c>
      <c r="AJ292" s="80" t="str">
        <f>IF(AI292="","",$AJ$2)</f>
        <v>A-</v>
      </c>
      <c r="AK292" s="80" t="s">
        <v>14</v>
      </c>
      <c r="AL292" s="80" t="s">
        <v>63</v>
      </c>
      <c r="AM292" s="80" t="s">
        <v>64</v>
      </c>
      <c r="AN292" s="80" t="str">
        <f>IF(AI292="","",$AN$2)</f>
        <v>C</v>
      </c>
      <c r="AO292" s="80" t="str">
        <f>IF(N292="","",IF(N292&gt;=$AO$1/100,"O","X"))</f>
        <v>O</v>
      </c>
      <c r="AP292" s="80" t="str">
        <f>IF(I292="","",IF(I292&lt;=$AP$1,"O","X"))</f>
        <v>O</v>
      </c>
      <c r="AQ292" s="80" t="str">
        <f>IF(O292="","",IF(O292&lt;=$AQ$1,"O","X"))</f>
        <v>O</v>
      </c>
      <c r="AR292" s="80" t="str">
        <f>IF(M292="","",IF(M292&lt;=$AR$1,"O","X"))</f>
        <v>X</v>
      </c>
      <c r="AS292" s="80" t="s">
        <v>2</v>
      </c>
      <c r="AT292" s="80" t="str">
        <f>IF(OR(F292="",AI292=""),"",IF(AND((F292&lt;=85),(AI292&gt;=15)),"O","X"))</f>
        <v>O</v>
      </c>
      <c r="AU292" s="80" t="str">
        <f>IF(C292="","",IF(C292&gt;=$AU$1,"O","X"))</f>
        <v>O</v>
      </c>
      <c r="AV292" s="80" t="str">
        <f>IF(AO292="","",IF(AND(AO292="O",AP292="O",AR292="O",AT292="O",AU292="O"),"후보","X"))</f>
        <v>X</v>
      </c>
    </row>
    <row r="293" spans="1:48" s="37" customFormat="1" ht="12" x14ac:dyDescent="0.3">
      <c r="A293" s="75" t="s">
        <v>1536</v>
      </c>
      <c r="B293" s="76" t="s">
        <v>1537</v>
      </c>
      <c r="C293" s="86">
        <v>1041</v>
      </c>
      <c r="D293" s="87">
        <v>114.4</v>
      </c>
      <c r="E293" s="88">
        <v>35</v>
      </c>
      <c r="F293" s="87">
        <v>84.9</v>
      </c>
      <c r="G293" s="17">
        <v>26</v>
      </c>
      <c r="H293" s="89">
        <v>120</v>
      </c>
      <c r="I293" s="90">
        <v>33000</v>
      </c>
      <c r="J293" s="90" t="s">
        <v>72</v>
      </c>
      <c r="K293" s="90">
        <v>26000</v>
      </c>
      <c r="L293" s="90" t="s">
        <v>84</v>
      </c>
      <c r="M293" s="91">
        <f>I293-K293</f>
        <v>7000</v>
      </c>
      <c r="N293" s="4">
        <f>IF(ISERROR(K293/I293),"",K293/I293)</f>
        <v>0.78787878787878785</v>
      </c>
      <c r="O293" s="92">
        <f>I293/E293</f>
        <v>942.85714285714289</v>
      </c>
      <c r="P293" s="92">
        <f>K293/E293</f>
        <v>742.85714285714289</v>
      </c>
      <c r="Q293" s="80">
        <v>3</v>
      </c>
      <c r="R293" s="80">
        <v>2</v>
      </c>
      <c r="S293" s="80" t="s">
        <v>61</v>
      </c>
      <c r="T293" s="5" t="s">
        <v>1042</v>
      </c>
      <c r="U293" s="9"/>
      <c r="W293" s="87">
        <f t="shared" si="243"/>
        <v>114.4</v>
      </c>
      <c r="X293" s="88">
        <f t="shared" si="243"/>
        <v>35</v>
      </c>
      <c r="Y293" s="93">
        <f t="shared" si="244"/>
        <v>120</v>
      </c>
      <c r="Z293" s="91">
        <f t="shared" si="244"/>
        <v>33000</v>
      </c>
      <c r="AA293" s="91">
        <f>K293</f>
        <v>26000</v>
      </c>
      <c r="AB293" s="91">
        <f t="shared" ref="AB293:AD308" si="245">M293</f>
        <v>7000</v>
      </c>
      <c r="AC293" s="4">
        <f t="shared" si="245"/>
        <v>0.78787878787878785</v>
      </c>
      <c r="AD293" s="92">
        <f t="shared" si="245"/>
        <v>942.85714285714289</v>
      </c>
      <c r="AE293" s="80" t="str">
        <f>S293</f>
        <v>계</v>
      </c>
      <c r="AF293" s="80" t="str">
        <f>Q293&amp;"/"&amp;R293</f>
        <v>3/2</v>
      </c>
      <c r="AH293" s="20" t="str">
        <f t="shared" si="172"/>
        <v>수송동 군산수송세영리첼</v>
      </c>
      <c r="AI293" s="88">
        <f t="shared" si="218"/>
        <v>35</v>
      </c>
      <c r="AJ293" s="80" t="str">
        <f>IF(AI293="","",$AJ$2)</f>
        <v>A-</v>
      </c>
      <c r="AK293" s="80" t="s">
        <v>14</v>
      </c>
      <c r="AL293" s="80" t="s">
        <v>63</v>
      </c>
      <c r="AM293" s="80" t="s">
        <v>64</v>
      </c>
      <c r="AN293" s="80" t="str">
        <f>IF(AI293="","",$AN$2)</f>
        <v>C</v>
      </c>
      <c r="AO293" s="80" t="str">
        <f>IF(N293="","",IF(N293&gt;=$AO$1/100,"O","X"))</f>
        <v>X</v>
      </c>
      <c r="AP293" s="80" t="str">
        <f>IF(I293="","",IF(I293&lt;=$AP$1,"O","X"))</f>
        <v>O</v>
      </c>
      <c r="AQ293" s="80" t="str">
        <f>IF(O293="","",IF(O293&lt;=$AQ$1,"O","X"))</f>
        <v>O</v>
      </c>
      <c r="AR293" s="80" t="str">
        <f>IF(M293="","",IF(M293&lt;=$AR$1,"O","X"))</f>
        <v>X</v>
      </c>
      <c r="AS293" s="80" t="s">
        <v>2</v>
      </c>
      <c r="AT293" s="80" t="str">
        <f>IF(OR(F293="",AI293=""),"",IF(AND((F293&lt;=85),(AI293&gt;=15)),"O","X"))</f>
        <v>O</v>
      </c>
      <c r="AU293" s="80" t="str">
        <f>IF(C293="","",IF(C293&gt;=$AU$1,"O","X"))</f>
        <v>O</v>
      </c>
      <c r="AV293" s="80" t="str">
        <f>IF(AO293="","",IF(AND(AO293="O",AP293="O",AR293="O",AT293="O",AU293="O"),"후보","X"))</f>
        <v>X</v>
      </c>
    </row>
    <row r="294" spans="1:48" s="37" customFormat="1" ht="12" x14ac:dyDescent="0.3">
      <c r="A294" s="75" t="s">
        <v>1536</v>
      </c>
      <c r="B294" s="76" t="s">
        <v>1537</v>
      </c>
      <c r="C294" s="86">
        <v>1041</v>
      </c>
      <c r="D294" s="87">
        <v>119.3</v>
      </c>
      <c r="E294" s="88">
        <v>36</v>
      </c>
      <c r="F294" s="87">
        <v>84.9</v>
      </c>
      <c r="G294" s="17">
        <v>26</v>
      </c>
      <c r="H294" s="89">
        <v>295</v>
      </c>
      <c r="I294" s="90">
        <v>33500</v>
      </c>
      <c r="J294" s="90" t="s">
        <v>66</v>
      </c>
      <c r="K294" s="90">
        <v>26000</v>
      </c>
      <c r="L294" s="90" t="s">
        <v>84</v>
      </c>
      <c r="M294" s="91">
        <f>I294-K294</f>
        <v>7500</v>
      </c>
      <c r="N294" s="4">
        <f>IF(ISERROR(K294/I294),"",K294/I294)</f>
        <v>0.77611940298507465</v>
      </c>
      <c r="O294" s="92">
        <f>I294/E294</f>
        <v>930.55555555555554</v>
      </c>
      <c r="P294" s="92">
        <f>K294/E294</f>
        <v>722.22222222222217</v>
      </c>
      <c r="Q294" s="80">
        <v>3</v>
      </c>
      <c r="R294" s="80">
        <v>2</v>
      </c>
      <c r="S294" s="80" t="s">
        <v>61</v>
      </c>
      <c r="T294" s="5">
        <v>119</v>
      </c>
      <c r="U294" s="9"/>
      <c r="W294" s="87">
        <f t="shared" si="243"/>
        <v>119.3</v>
      </c>
      <c r="X294" s="88">
        <f t="shared" si="243"/>
        <v>36</v>
      </c>
      <c r="Y294" s="93">
        <f t="shared" si="244"/>
        <v>295</v>
      </c>
      <c r="Z294" s="91">
        <f t="shared" si="244"/>
        <v>33500</v>
      </c>
      <c r="AA294" s="91">
        <f>K294</f>
        <v>26000</v>
      </c>
      <c r="AB294" s="91">
        <f t="shared" si="245"/>
        <v>7500</v>
      </c>
      <c r="AC294" s="4">
        <f t="shared" si="245"/>
        <v>0.77611940298507465</v>
      </c>
      <c r="AD294" s="92">
        <f t="shared" si="245"/>
        <v>930.55555555555554</v>
      </c>
      <c r="AE294" s="80" t="str">
        <f>S294</f>
        <v>계</v>
      </c>
      <c r="AF294" s="80" t="str">
        <f>Q294&amp;"/"&amp;R294</f>
        <v>3/2</v>
      </c>
      <c r="AH294" s="20" t="str">
        <f t="shared" si="172"/>
        <v>수송동 군산수송세영리첼</v>
      </c>
      <c r="AI294" s="88">
        <f t="shared" si="218"/>
        <v>36</v>
      </c>
      <c r="AJ294" s="80" t="str">
        <f>IF(AI294="","",$AJ$2)</f>
        <v>A-</v>
      </c>
      <c r="AK294" s="80" t="s">
        <v>14</v>
      </c>
      <c r="AL294" s="80" t="s">
        <v>63</v>
      </c>
      <c r="AM294" s="80" t="s">
        <v>64</v>
      </c>
      <c r="AN294" s="80" t="str">
        <f>IF(AI294="","",$AN$2)</f>
        <v>C</v>
      </c>
      <c r="AO294" s="80" t="str">
        <f>IF(N294="","",IF(N294&gt;=$AO$1/100,"O","X"))</f>
        <v>X</v>
      </c>
      <c r="AP294" s="80" t="str">
        <f>IF(I294="","",IF(I294&lt;=$AP$1,"O","X"))</f>
        <v>O</v>
      </c>
      <c r="AQ294" s="80" t="str">
        <f>IF(O294="","",IF(O294&lt;=$AQ$1,"O","X"))</f>
        <v>O</v>
      </c>
      <c r="AR294" s="80" t="str">
        <f>IF(M294="","",IF(M294&lt;=$AR$1,"O","X"))</f>
        <v>X</v>
      </c>
      <c r="AS294" s="80" t="s">
        <v>2</v>
      </c>
      <c r="AT294" s="80" t="str">
        <f>IF(OR(F294="",AI294=""),"",IF(AND((F294&lt;=85),(AI294&gt;=15)),"O","X"))</f>
        <v>O</v>
      </c>
      <c r="AU294" s="80" t="str">
        <f>IF(C294="","",IF(C294&gt;=$AU$1,"O","X"))</f>
        <v>O</v>
      </c>
      <c r="AV294" s="80" t="str">
        <f>IF(AO294="","",IF(AND(AO294="O",AP294="O",AR294="O",AT294="O",AU294="O"),"후보","X"))</f>
        <v>X</v>
      </c>
    </row>
    <row r="295" spans="1:48" s="37" customFormat="1" ht="12" x14ac:dyDescent="0.3">
      <c r="A295" s="75" t="s">
        <v>1538</v>
      </c>
      <c r="B295" s="76" t="s">
        <v>1539</v>
      </c>
      <c r="C295" s="86">
        <v>570</v>
      </c>
      <c r="D295" s="87">
        <v>71.8</v>
      </c>
      <c r="E295" s="88">
        <v>22</v>
      </c>
      <c r="F295" s="87">
        <v>49.9</v>
      </c>
      <c r="G295" s="17">
        <v>15</v>
      </c>
      <c r="H295" s="89">
        <v>104</v>
      </c>
      <c r="I295" s="90">
        <v>17500</v>
      </c>
      <c r="J295" s="90" t="s">
        <v>71</v>
      </c>
      <c r="K295" s="90">
        <v>16000</v>
      </c>
      <c r="L295" s="90" t="s">
        <v>71</v>
      </c>
      <c r="M295" s="91">
        <f>I295-K295</f>
        <v>1500</v>
      </c>
      <c r="N295" s="4">
        <f>IF(ISERROR(K295/I295),"",K295/I295)</f>
        <v>0.91428571428571426</v>
      </c>
      <c r="O295" s="92">
        <f>I295/E295</f>
        <v>795.4545454545455</v>
      </c>
      <c r="P295" s="92">
        <f>K295/E295</f>
        <v>727.27272727272725</v>
      </c>
      <c r="Q295" s="80">
        <v>2</v>
      </c>
      <c r="R295" s="80">
        <v>1</v>
      </c>
      <c r="S295" s="80" t="s">
        <v>61</v>
      </c>
      <c r="T295" s="5">
        <v>71</v>
      </c>
      <c r="U295" s="9"/>
      <c r="W295" s="87">
        <f t="shared" si="243"/>
        <v>71.8</v>
      </c>
      <c r="X295" s="88">
        <f t="shared" si="243"/>
        <v>22</v>
      </c>
      <c r="Y295" s="93">
        <f t="shared" si="244"/>
        <v>104</v>
      </c>
      <c r="Z295" s="91">
        <f t="shared" si="244"/>
        <v>17500</v>
      </c>
      <c r="AA295" s="91">
        <f>K295</f>
        <v>16000</v>
      </c>
      <c r="AB295" s="91">
        <f t="shared" si="245"/>
        <v>1500</v>
      </c>
      <c r="AC295" s="4">
        <f t="shared" si="245"/>
        <v>0.91428571428571426</v>
      </c>
      <c r="AD295" s="92">
        <f t="shared" si="245"/>
        <v>795.4545454545455</v>
      </c>
      <c r="AE295" s="80" t="str">
        <f>S295</f>
        <v>계</v>
      </c>
      <c r="AF295" s="80" t="str">
        <f>Q295&amp;"/"&amp;R295</f>
        <v>2/1</v>
      </c>
      <c r="AH295" s="20" t="str">
        <f t="shared" si="172"/>
        <v>수송동 수송오투그란데2차</v>
      </c>
      <c r="AI295" s="88">
        <f t="shared" si="218"/>
        <v>22</v>
      </c>
      <c r="AJ295" s="80" t="str">
        <f>IF(AI295="","",$AJ$2)</f>
        <v>A-</v>
      </c>
      <c r="AK295" s="80" t="s">
        <v>14</v>
      </c>
      <c r="AL295" s="80" t="s">
        <v>63</v>
      </c>
      <c r="AM295" s="80" t="s">
        <v>64</v>
      </c>
      <c r="AN295" s="80" t="str">
        <f>IF(AI295="","",$AN$2)</f>
        <v>C</v>
      </c>
      <c r="AO295" s="80" t="str">
        <f>IF(N295="","",IF(N295&gt;=$AO$1/100,"O","X"))</f>
        <v>O</v>
      </c>
      <c r="AP295" s="80" t="str">
        <f>IF(I295="","",IF(I295&lt;=$AP$1,"O","X"))</f>
        <v>O</v>
      </c>
      <c r="AQ295" s="80" t="str">
        <f>IF(O295="","",IF(O295&lt;=$AQ$1,"O","X"))</f>
        <v>O</v>
      </c>
      <c r="AR295" s="80" t="str">
        <f>IF(M295="","",IF(M295&lt;=$AR$1,"O","X"))</f>
        <v>O</v>
      </c>
      <c r="AS295" s="80" t="s">
        <v>2</v>
      </c>
      <c r="AT295" s="80" t="str">
        <f>IF(OR(F295="",AI295=""),"",IF(AND((F295&lt;=85),(AI295&gt;=15)),"O","X"))</f>
        <v>O</v>
      </c>
      <c r="AU295" s="80" t="str">
        <f>IF(C295="","",IF(C295&gt;=$AU$1,"O","X"))</f>
        <v>O</v>
      </c>
      <c r="AV295" s="80" t="str">
        <f>IF(AO295="","",IF(AND(AO295="O",AP295="O",AR295="O",AT295="O",AU295="O"),"후보","X"))</f>
        <v>후보</v>
      </c>
    </row>
    <row r="296" spans="1:48" s="37" customFormat="1" ht="12" x14ac:dyDescent="0.3">
      <c r="A296" s="75" t="s">
        <v>1538</v>
      </c>
      <c r="B296" s="76" t="s">
        <v>1539</v>
      </c>
      <c r="C296" s="86">
        <v>570</v>
      </c>
      <c r="D296" s="87">
        <v>83</v>
      </c>
      <c r="E296" s="88">
        <v>25</v>
      </c>
      <c r="F296" s="87">
        <v>60</v>
      </c>
      <c r="G296" s="17">
        <v>18</v>
      </c>
      <c r="H296" s="89">
        <v>235</v>
      </c>
      <c r="I296" s="90">
        <v>21000</v>
      </c>
      <c r="J296" s="90" t="s">
        <v>70</v>
      </c>
      <c r="K296" s="90">
        <v>18500</v>
      </c>
      <c r="L296" s="90" t="s">
        <v>67</v>
      </c>
      <c r="M296" s="91">
        <f>I296-K296</f>
        <v>2500</v>
      </c>
      <c r="N296" s="4">
        <f>IF(ISERROR(K296/I296),"",K296/I296)</f>
        <v>0.88095238095238093</v>
      </c>
      <c r="O296" s="92">
        <f>I296/E296</f>
        <v>840</v>
      </c>
      <c r="P296" s="92">
        <f>K296/E296</f>
        <v>740</v>
      </c>
      <c r="Q296" s="80">
        <v>3</v>
      </c>
      <c r="R296" s="80">
        <v>2</v>
      </c>
      <c r="S296" s="80" t="s">
        <v>61</v>
      </c>
      <c r="T296" s="5" t="s">
        <v>90</v>
      </c>
      <c r="U296" s="9"/>
      <c r="W296" s="87">
        <f t="shared" si="243"/>
        <v>83</v>
      </c>
      <c r="X296" s="88">
        <f t="shared" si="243"/>
        <v>25</v>
      </c>
      <c r="Y296" s="93">
        <f t="shared" si="244"/>
        <v>235</v>
      </c>
      <c r="Z296" s="91">
        <f t="shared" si="244"/>
        <v>21000</v>
      </c>
      <c r="AA296" s="91">
        <f>K296</f>
        <v>18500</v>
      </c>
      <c r="AB296" s="91">
        <f t="shared" si="245"/>
        <v>2500</v>
      </c>
      <c r="AC296" s="4">
        <f t="shared" si="245"/>
        <v>0.88095238095238093</v>
      </c>
      <c r="AD296" s="92">
        <f t="shared" si="245"/>
        <v>840</v>
      </c>
      <c r="AE296" s="80" t="str">
        <f>S296</f>
        <v>계</v>
      </c>
      <c r="AF296" s="80" t="str">
        <f>Q296&amp;"/"&amp;R296</f>
        <v>3/2</v>
      </c>
      <c r="AH296" s="20" t="str">
        <f t="shared" ref="AH296:AH321" si="246">IF(A296="","",A296)</f>
        <v>수송동 수송오투그란데2차</v>
      </c>
      <c r="AI296" s="88">
        <f t="shared" si="218"/>
        <v>25</v>
      </c>
      <c r="AJ296" s="80" t="str">
        <f>IF(AI296="","",$AJ$2)</f>
        <v>A-</v>
      </c>
      <c r="AK296" s="80" t="s">
        <v>14</v>
      </c>
      <c r="AL296" s="80" t="s">
        <v>63</v>
      </c>
      <c r="AM296" s="80" t="s">
        <v>64</v>
      </c>
      <c r="AN296" s="80" t="str">
        <f>IF(AI296="","",$AN$2)</f>
        <v>C</v>
      </c>
      <c r="AO296" s="80" t="str">
        <f>IF(N296="","",IF(N296&gt;=$AO$1/100,"O","X"))</f>
        <v>O</v>
      </c>
      <c r="AP296" s="80" t="str">
        <f>IF(I296="","",IF(I296&lt;=$AP$1,"O","X"))</f>
        <v>O</v>
      </c>
      <c r="AQ296" s="80" t="str">
        <f>IF(O296="","",IF(O296&lt;=$AQ$1,"O","X"))</f>
        <v>O</v>
      </c>
      <c r="AR296" s="80" t="str">
        <f>IF(M296="","",IF(M296&lt;=$AR$1,"O","X"))</f>
        <v>O</v>
      </c>
      <c r="AS296" s="80" t="s">
        <v>2</v>
      </c>
      <c r="AT296" s="80" t="str">
        <f>IF(OR(F296="",AI296=""),"",IF(AND((F296&lt;=85),(AI296&gt;=15)),"O","X"))</f>
        <v>O</v>
      </c>
      <c r="AU296" s="80" t="str">
        <f>IF(C296="","",IF(C296&gt;=$AU$1,"O","X"))</f>
        <v>O</v>
      </c>
      <c r="AV296" s="80" t="str">
        <f>IF(AO296="","",IF(AND(AO296="O",AP296="O",AR296="O",AT296="O",AU296="O"),"후보","X"))</f>
        <v>후보</v>
      </c>
    </row>
    <row r="297" spans="1:48" s="37" customFormat="1" ht="12" x14ac:dyDescent="0.3">
      <c r="A297" s="75" t="s">
        <v>1538</v>
      </c>
      <c r="B297" s="76" t="s">
        <v>1539</v>
      </c>
      <c r="C297" s="86">
        <v>570</v>
      </c>
      <c r="D297" s="87">
        <v>82.6</v>
      </c>
      <c r="E297" s="88">
        <v>25</v>
      </c>
      <c r="F297" s="87">
        <v>59.7</v>
      </c>
      <c r="G297" s="17">
        <v>18</v>
      </c>
      <c r="H297" s="89">
        <v>231</v>
      </c>
      <c r="I297" s="90"/>
      <c r="J297" s="90"/>
      <c r="K297" s="90"/>
      <c r="L297" s="90"/>
      <c r="M297" s="91">
        <f>I297-K297</f>
        <v>0</v>
      </c>
      <c r="N297" s="4" t="str">
        <f>IF(ISERROR(K297/I297),"",K297/I297)</f>
        <v/>
      </c>
      <c r="O297" s="92">
        <f>I297/E297</f>
        <v>0</v>
      </c>
      <c r="P297" s="92">
        <f>K297/E297</f>
        <v>0</v>
      </c>
      <c r="Q297" s="80">
        <v>3</v>
      </c>
      <c r="R297" s="80">
        <v>2</v>
      </c>
      <c r="S297" s="80" t="s">
        <v>61</v>
      </c>
      <c r="T297" s="5" t="s">
        <v>1048</v>
      </c>
      <c r="U297" s="9"/>
      <c r="W297" s="87">
        <f t="shared" si="243"/>
        <v>82.6</v>
      </c>
      <c r="X297" s="88">
        <f t="shared" si="243"/>
        <v>25</v>
      </c>
      <c r="Y297" s="93">
        <f t="shared" si="244"/>
        <v>231</v>
      </c>
      <c r="Z297" s="91">
        <f t="shared" si="244"/>
        <v>0</v>
      </c>
      <c r="AA297" s="91">
        <f>K297</f>
        <v>0</v>
      </c>
      <c r="AB297" s="91">
        <f t="shared" si="245"/>
        <v>0</v>
      </c>
      <c r="AC297" s="4" t="str">
        <f t="shared" si="245"/>
        <v/>
      </c>
      <c r="AD297" s="92">
        <f t="shared" si="245"/>
        <v>0</v>
      </c>
      <c r="AE297" s="80" t="str">
        <f>S297</f>
        <v>계</v>
      </c>
      <c r="AF297" s="80" t="str">
        <f>Q297&amp;"/"&amp;R297</f>
        <v>3/2</v>
      </c>
      <c r="AH297" s="20" t="str">
        <f t="shared" si="246"/>
        <v>수송동 수송오투그란데2차</v>
      </c>
      <c r="AI297" s="88">
        <f t="shared" si="218"/>
        <v>25</v>
      </c>
      <c r="AJ297" s="80" t="str">
        <f>IF(AI297="","",$AJ$2)</f>
        <v>A-</v>
      </c>
      <c r="AK297" s="80" t="s">
        <v>14</v>
      </c>
      <c r="AL297" s="80" t="s">
        <v>63</v>
      </c>
      <c r="AM297" s="80" t="s">
        <v>64</v>
      </c>
      <c r="AN297" s="80" t="str">
        <f>IF(AI297="","",$AN$2)</f>
        <v>C</v>
      </c>
      <c r="AO297" s="80" t="str">
        <f>IF(N297="","",IF(N297&gt;=$AO$1/100,"O","X"))</f>
        <v/>
      </c>
      <c r="AP297" s="80" t="str">
        <f>IF(I297="","",IF(I297&lt;=$AP$1,"O","X"))</f>
        <v/>
      </c>
      <c r="AQ297" s="80" t="str">
        <f>IF(O297="","",IF(O297&lt;=$AQ$1,"O","X"))</f>
        <v>O</v>
      </c>
      <c r="AR297" s="80" t="str">
        <f>IF(M297="","",IF(M297&lt;=$AR$1,"O","X"))</f>
        <v>O</v>
      </c>
      <c r="AS297" s="80" t="s">
        <v>2</v>
      </c>
      <c r="AT297" s="80" t="str">
        <f>IF(OR(F297="",AI297=""),"",IF(AND((F297&lt;=85),(AI297&gt;=15)),"O","X"))</f>
        <v>O</v>
      </c>
      <c r="AU297" s="80" t="str">
        <f>IF(C297="","",IF(C297&gt;=$AU$1,"O","X"))</f>
        <v>O</v>
      </c>
      <c r="AV297" s="80" t="str">
        <f>IF(AO297="","",IF(AND(AO297="O",AP297="O",AR297="O",AT297="O",AU297="O"),"후보","X"))</f>
        <v/>
      </c>
    </row>
    <row r="298" spans="1:48" s="37" customFormat="1" ht="12" x14ac:dyDescent="0.3">
      <c r="A298" s="75" t="s">
        <v>1540</v>
      </c>
      <c r="B298" s="76" t="s">
        <v>1541</v>
      </c>
      <c r="C298" s="86">
        <v>657</v>
      </c>
      <c r="D298" s="87">
        <v>78.3</v>
      </c>
      <c r="E298" s="88">
        <v>24</v>
      </c>
      <c r="F298" s="87">
        <v>60</v>
      </c>
      <c r="G298" s="17">
        <v>18</v>
      </c>
      <c r="H298" s="89">
        <v>272</v>
      </c>
      <c r="I298" s="90"/>
      <c r="J298" s="90"/>
      <c r="K298" s="90"/>
      <c r="L298" s="90"/>
      <c r="M298" s="91">
        <f>I298-K298</f>
        <v>0</v>
      </c>
      <c r="N298" s="4" t="str">
        <f>IF(ISERROR(K298/I298),"",K298/I298)</f>
        <v/>
      </c>
      <c r="O298" s="92">
        <f>I298/E298</f>
        <v>0</v>
      </c>
      <c r="P298" s="92">
        <f>K298/E298</f>
        <v>0</v>
      </c>
      <c r="Q298" s="80">
        <v>3</v>
      </c>
      <c r="R298" s="80">
        <v>1</v>
      </c>
      <c r="S298" s="80" t="s">
        <v>61</v>
      </c>
      <c r="T298" s="5">
        <v>78</v>
      </c>
      <c r="U298" s="9"/>
      <c r="W298" s="87">
        <f t="shared" si="243"/>
        <v>78.3</v>
      </c>
      <c r="X298" s="88">
        <f t="shared" si="243"/>
        <v>24</v>
      </c>
      <c r="Y298" s="93">
        <f t="shared" si="244"/>
        <v>272</v>
      </c>
      <c r="Z298" s="91">
        <f t="shared" si="244"/>
        <v>0</v>
      </c>
      <c r="AA298" s="91">
        <f>K298</f>
        <v>0</v>
      </c>
      <c r="AB298" s="91">
        <f t="shared" si="245"/>
        <v>0</v>
      </c>
      <c r="AC298" s="4" t="str">
        <f t="shared" si="245"/>
        <v/>
      </c>
      <c r="AD298" s="92">
        <f t="shared" si="245"/>
        <v>0</v>
      </c>
      <c r="AE298" s="80" t="str">
        <f>S298</f>
        <v>계</v>
      </c>
      <c r="AF298" s="80" t="str">
        <f>Q298&amp;"/"&amp;R298</f>
        <v>3/1</v>
      </c>
      <c r="AH298" s="20" t="str">
        <f t="shared" si="246"/>
        <v>수송동 현대</v>
      </c>
      <c r="AI298" s="88">
        <f t="shared" si="218"/>
        <v>24</v>
      </c>
      <c r="AJ298" s="80" t="str">
        <f>IF(AI298="","",$AJ$2)</f>
        <v>A-</v>
      </c>
      <c r="AK298" s="80" t="s">
        <v>14</v>
      </c>
      <c r="AL298" s="80" t="s">
        <v>63</v>
      </c>
      <c r="AM298" s="80" t="s">
        <v>64</v>
      </c>
      <c r="AN298" s="80" t="str">
        <f>IF(AI298="","",$AN$2)</f>
        <v>C</v>
      </c>
      <c r="AO298" s="80" t="str">
        <f>IF(N298="","",IF(N298&gt;=$AO$1/100,"O","X"))</f>
        <v/>
      </c>
      <c r="AP298" s="80" t="str">
        <f>IF(I298="","",IF(I298&lt;=$AP$1,"O","X"))</f>
        <v/>
      </c>
      <c r="AQ298" s="80" t="str">
        <f>IF(O298="","",IF(O298&lt;=$AQ$1,"O","X"))</f>
        <v>O</v>
      </c>
      <c r="AR298" s="80" t="str">
        <f>IF(M298="","",IF(M298&lt;=$AR$1,"O","X"))</f>
        <v>O</v>
      </c>
      <c r="AS298" s="80" t="s">
        <v>2</v>
      </c>
      <c r="AT298" s="80" t="str">
        <f>IF(OR(F298="",AI298=""),"",IF(AND((F298&lt;=85),(AI298&gt;=15)),"O","X"))</f>
        <v>O</v>
      </c>
      <c r="AU298" s="80" t="str">
        <f>IF(C298="","",IF(C298&gt;=$AU$1,"O","X"))</f>
        <v>O</v>
      </c>
      <c r="AV298" s="80" t="str">
        <f>IF(AO298="","",IF(AND(AO298="O",AP298="O",AR298="O",AT298="O",AU298="O"),"후보","X"))</f>
        <v/>
      </c>
    </row>
    <row r="299" spans="1:48" s="37" customFormat="1" ht="12" x14ac:dyDescent="0.3">
      <c r="A299" s="75" t="s">
        <v>1540</v>
      </c>
      <c r="B299" s="76" t="s">
        <v>1541</v>
      </c>
      <c r="C299" s="86">
        <v>657</v>
      </c>
      <c r="D299" s="87">
        <v>96.4</v>
      </c>
      <c r="E299" s="88">
        <v>29</v>
      </c>
      <c r="F299" s="87">
        <v>75.2</v>
      </c>
      <c r="G299" s="17">
        <v>23</v>
      </c>
      <c r="H299" s="89">
        <v>136</v>
      </c>
      <c r="I299" s="90">
        <v>17500</v>
      </c>
      <c r="J299" s="90" t="s">
        <v>69</v>
      </c>
      <c r="K299" s="90"/>
      <c r="L299" s="90"/>
      <c r="M299" s="91">
        <f>I299-K299</f>
        <v>17500</v>
      </c>
      <c r="N299" s="4">
        <f>IF(ISERROR(K299/I299),"",K299/I299)</f>
        <v>0</v>
      </c>
      <c r="O299" s="92">
        <f>I299/E299</f>
        <v>603.44827586206895</v>
      </c>
      <c r="P299" s="92">
        <f>K299/E299</f>
        <v>0</v>
      </c>
      <c r="Q299" s="80">
        <v>3</v>
      </c>
      <c r="R299" s="80">
        <v>1</v>
      </c>
      <c r="S299" s="80" t="s">
        <v>61</v>
      </c>
      <c r="T299" s="5">
        <v>96</v>
      </c>
      <c r="U299" s="9"/>
      <c r="W299" s="87">
        <f t="shared" si="243"/>
        <v>96.4</v>
      </c>
      <c r="X299" s="88">
        <f t="shared" si="243"/>
        <v>29</v>
      </c>
      <c r="Y299" s="93">
        <f t="shared" si="244"/>
        <v>136</v>
      </c>
      <c r="Z299" s="91">
        <f t="shared" si="244"/>
        <v>17500</v>
      </c>
      <c r="AA299" s="91">
        <f>K299</f>
        <v>0</v>
      </c>
      <c r="AB299" s="91">
        <f t="shared" si="245"/>
        <v>17500</v>
      </c>
      <c r="AC299" s="4">
        <f t="shared" si="245"/>
        <v>0</v>
      </c>
      <c r="AD299" s="92">
        <f t="shared" si="245"/>
        <v>603.44827586206895</v>
      </c>
      <c r="AE299" s="80" t="str">
        <f>S299</f>
        <v>계</v>
      </c>
      <c r="AF299" s="80" t="str">
        <f>Q299&amp;"/"&amp;R299</f>
        <v>3/1</v>
      </c>
      <c r="AH299" s="20" t="str">
        <f t="shared" si="246"/>
        <v>수송동 현대</v>
      </c>
      <c r="AI299" s="88">
        <f t="shared" si="218"/>
        <v>29</v>
      </c>
      <c r="AJ299" s="80" t="str">
        <f>IF(AI299="","",$AJ$2)</f>
        <v>A-</v>
      </c>
      <c r="AK299" s="80" t="s">
        <v>14</v>
      </c>
      <c r="AL299" s="80" t="s">
        <v>63</v>
      </c>
      <c r="AM299" s="80" t="s">
        <v>64</v>
      </c>
      <c r="AN299" s="80" t="str">
        <f>IF(AI299="","",$AN$2)</f>
        <v>C</v>
      </c>
      <c r="AO299" s="80" t="str">
        <f>IF(N299="","",IF(N299&gt;=$AO$1/100,"O","X"))</f>
        <v>X</v>
      </c>
      <c r="AP299" s="80" t="str">
        <f>IF(I299="","",IF(I299&lt;=$AP$1,"O","X"))</f>
        <v>O</v>
      </c>
      <c r="AQ299" s="80" t="str">
        <f>IF(O299="","",IF(O299&lt;=$AQ$1,"O","X"))</f>
        <v>O</v>
      </c>
      <c r="AR299" s="80" t="str">
        <f>IF(M299="","",IF(M299&lt;=$AR$1,"O","X"))</f>
        <v>X</v>
      </c>
      <c r="AS299" s="80" t="s">
        <v>2</v>
      </c>
      <c r="AT299" s="80" t="str">
        <f>IF(OR(F299="",AI299=""),"",IF(AND((F299&lt;=85),(AI299&gt;=15)),"O","X"))</f>
        <v>O</v>
      </c>
      <c r="AU299" s="80" t="str">
        <f>IF(C299="","",IF(C299&gt;=$AU$1,"O","X"))</f>
        <v>O</v>
      </c>
      <c r="AV299" s="80" t="str">
        <f>IF(AO299="","",IF(AND(AO299="O",AP299="O",AR299="O",AT299="O",AU299="O"),"후보","X"))</f>
        <v>X</v>
      </c>
    </row>
    <row r="300" spans="1:48" s="37" customFormat="1" ht="12" x14ac:dyDescent="0.3">
      <c r="A300" s="75" t="s">
        <v>1540</v>
      </c>
      <c r="B300" s="76" t="s">
        <v>1541</v>
      </c>
      <c r="C300" s="86">
        <v>657</v>
      </c>
      <c r="D300" s="87">
        <v>105.2</v>
      </c>
      <c r="E300" s="88">
        <v>32</v>
      </c>
      <c r="F300" s="87">
        <v>85</v>
      </c>
      <c r="G300" s="17">
        <v>26</v>
      </c>
      <c r="H300" s="89">
        <v>249</v>
      </c>
      <c r="I300" s="90">
        <v>19000</v>
      </c>
      <c r="J300" s="90" t="s">
        <v>67</v>
      </c>
      <c r="K300" s="90">
        <v>18000</v>
      </c>
      <c r="L300" s="90" t="s">
        <v>74</v>
      </c>
      <c r="M300" s="91">
        <f>I300-K300</f>
        <v>1000</v>
      </c>
      <c r="N300" s="4">
        <f>IF(ISERROR(K300/I300),"",K300/I300)</f>
        <v>0.94736842105263153</v>
      </c>
      <c r="O300" s="92">
        <f>I300/E300</f>
        <v>593.75</v>
      </c>
      <c r="P300" s="92">
        <f>K300/E300</f>
        <v>562.5</v>
      </c>
      <c r="Q300" s="80">
        <v>3</v>
      </c>
      <c r="R300" s="80">
        <v>2</v>
      </c>
      <c r="S300" s="80" t="s">
        <v>61</v>
      </c>
      <c r="T300" s="5">
        <v>105</v>
      </c>
      <c r="U300" s="9"/>
      <c r="W300" s="87">
        <f t="shared" si="243"/>
        <v>105.2</v>
      </c>
      <c r="X300" s="88">
        <f t="shared" si="243"/>
        <v>32</v>
      </c>
      <c r="Y300" s="93">
        <f t="shared" si="244"/>
        <v>249</v>
      </c>
      <c r="Z300" s="91">
        <f t="shared" si="244"/>
        <v>19000</v>
      </c>
      <c r="AA300" s="91">
        <f>K300</f>
        <v>18000</v>
      </c>
      <c r="AB300" s="91">
        <f t="shared" si="245"/>
        <v>1000</v>
      </c>
      <c r="AC300" s="4">
        <f t="shared" si="245"/>
        <v>0.94736842105263153</v>
      </c>
      <c r="AD300" s="92">
        <f t="shared" si="245"/>
        <v>593.75</v>
      </c>
      <c r="AE300" s="80" t="str">
        <f>S300</f>
        <v>계</v>
      </c>
      <c r="AF300" s="80" t="str">
        <f>Q300&amp;"/"&amp;R300</f>
        <v>3/2</v>
      </c>
      <c r="AH300" s="20" t="str">
        <f t="shared" si="246"/>
        <v>수송동 현대</v>
      </c>
      <c r="AI300" s="88">
        <f t="shared" si="218"/>
        <v>32</v>
      </c>
      <c r="AJ300" s="80" t="str">
        <f>IF(AI300="","",$AJ$2)</f>
        <v>A-</v>
      </c>
      <c r="AK300" s="80" t="s">
        <v>14</v>
      </c>
      <c r="AL300" s="80" t="s">
        <v>63</v>
      </c>
      <c r="AM300" s="80" t="s">
        <v>64</v>
      </c>
      <c r="AN300" s="80" t="str">
        <f>IF(AI300="","",$AN$2)</f>
        <v>C</v>
      </c>
      <c r="AO300" s="80" t="str">
        <f>IF(N300="","",IF(N300&gt;=$AO$1/100,"O","X"))</f>
        <v>O</v>
      </c>
      <c r="AP300" s="80" t="str">
        <f>IF(I300="","",IF(I300&lt;=$AP$1,"O","X"))</f>
        <v>O</v>
      </c>
      <c r="AQ300" s="80" t="str">
        <f>IF(O300="","",IF(O300&lt;=$AQ$1,"O","X"))</f>
        <v>O</v>
      </c>
      <c r="AR300" s="80" t="str">
        <f>IF(M300="","",IF(M300&lt;=$AR$1,"O","X"))</f>
        <v>O</v>
      </c>
      <c r="AS300" s="80" t="s">
        <v>2</v>
      </c>
      <c r="AT300" s="80" t="str">
        <f>IF(OR(F300="",AI300=""),"",IF(AND((F300&lt;=85),(AI300&gt;=15)),"O","X"))</f>
        <v>O</v>
      </c>
      <c r="AU300" s="80" t="str">
        <f>IF(C300="","",IF(C300&gt;=$AU$1,"O","X"))</f>
        <v>O</v>
      </c>
      <c r="AV300" s="80" t="str">
        <f>IF(AO300="","",IF(AND(AO300="O",AP300="O",AR300="O",AT300="O",AU300="O"),"후보","X"))</f>
        <v>후보</v>
      </c>
    </row>
    <row r="301" spans="1:48" s="37" customFormat="1" ht="12" x14ac:dyDescent="0.3">
      <c r="A301" s="75" t="s">
        <v>1542</v>
      </c>
      <c r="B301" s="76" t="s">
        <v>1543</v>
      </c>
      <c r="C301" s="86">
        <v>941</v>
      </c>
      <c r="D301" s="87">
        <v>111.5</v>
      </c>
      <c r="E301" s="88">
        <v>34</v>
      </c>
      <c r="F301" s="87">
        <v>84.7</v>
      </c>
      <c r="G301" s="17">
        <v>26</v>
      </c>
      <c r="H301" s="89">
        <v>729</v>
      </c>
      <c r="I301" s="90">
        <v>20000</v>
      </c>
      <c r="J301" s="90" t="s">
        <v>72</v>
      </c>
      <c r="K301" s="90">
        <v>17500</v>
      </c>
      <c r="L301" s="90" t="s">
        <v>75</v>
      </c>
      <c r="M301" s="91">
        <f>I301-K301</f>
        <v>2500</v>
      </c>
      <c r="N301" s="4">
        <f>IF(ISERROR(K301/I301),"",K301/I301)</f>
        <v>0.875</v>
      </c>
      <c r="O301" s="92">
        <f>I301/E301</f>
        <v>588.23529411764707</v>
      </c>
      <c r="P301" s="92">
        <f>K301/E301</f>
        <v>514.70588235294122</v>
      </c>
      <c r="Q301" s="80">
        <v>3</v>
      </c>
      <c r="R301" s="80">
        <v>2</v>
      </c>
      <c r="S301" s="80" t="s">
        <v>61</v>
      </c>
      <c r="T301" s="5" t="s">
        <v>92</v>
      </c>
      <c r="U301" s="9"/>
      <c r="W301" s="87">
        <f t="shared" ref="W301:X316" si="247">D301</f>
        <v>111.5</v>
      </c>
      <c r="X301" s="88">
        <f t="shared" si="247"/>
        <v>34</v>
      </c>
      <c r="Y301" s="93">
        <f t="shared" ref="Y301:Z316" si="248">H301</f>
        <v>729</v>
      </c>
      <c r="Z301" s="91">
        <f t="shared" si="248"/>
        <v>20000</v>
      </c>
      <c r="AA301" s="91">
        <f>K301</f>
        <v>17500</v>
      </c>
      <c r="AB301" s="91">
        <f t="shared" si="245"/>
        <v>2500</v>
      </c>
      <c r="AC301" s="4">
        <f t="shared" si="245"/>
        <v>0.875</v>
      </c>
      <c r="AD301" s="92">
        <f t="shared" si="245"/>
        <v>588.23529411764707</v>
      </c>
      <c r="AE301" s="80" t="str">
        <f>S301</f>
        <v>계</v>
      </c>
      <c r="AF301" s="80" t="str">
        <f>Q301&amp;"/"&amp;R301</f>
        <v>3/2</v>
      </c>
      <c r="AH301" s="20" t="str">
        <f t="shared" si="246"/>
        <v>수송동 수송제일</v>
      </c>
      <c r="AI301" s="88">
        <f t="shared" si="218"/>
        <v>34</v>
      </c>
      <c r="AJ301" s="80" t="str">
        <f>IF(AI301="","",$AJ$2)</f>
        <v>A-</v>
      </c>
      <c r="AK301" s="80" t="s">
        <v>14</v>
      </c>
      <c r="AL301" s="80" t="s">
        <v>63</v>
      </c>
      <c r="AM301" s="80" t="s">
        <v>64</v>
      </c>
      <c r="AN301" s="80" t="str">
        <f>IF(AI301="","",$AN$2)</f>
        <v>C</v>
      </c>
      <c r="AO301" s="80" t="str">
        <f>IF(N301="","",IF(N301&gt;=$AO$1/100,"O","X"))</f>
        <v>O</v>
      </c>
      <c r="AP301" s="80" t="str">
        <f>IF(I301="","",IF(I301&lt;=$AP$1,"O","X"))</f>
        <v>O</v>
      </c>
      <c r="AQ301" s="80" t="str">
        <f>IF(O301="","",IF(O301&lt;=$AQ$1,"O","X"))</f>
        <v>O</v>
      </c>
      <c r="AR301" s="80" t="str">
        <f>IF(M301="","",IF(M301&lt;=$AR$1,"O","X"))</f>
        <v>O</v>
      </c>
      <c r="AS301" s="80" t="s">
        <v>2</v>
      </c>
      <c r="AT301" s="80" t="str">
        <f>IF(OR(F301="",AI301=""),"",IF(AND((F301&lt;=85),(AI301&gt;=15)),"O","X"))</f>
        <v>O</v>
      </c>
      <c r="AU301" s="80" t="str">
        <f>IF(C301="","",IF(C301&gt;=$AU$1,"O","X"))</f>
        <v>O</v>
      </c>
      <c r="AV301" s="80" t="str">
        <f>IF(AO301="","",IF(AND(AO301="O",AP301="O",AR301="O",AT301="O",AU301="O"),"후보","X"))</f>
        <v>후보</v>
      </c>
    </row>
    <row r="302" spans="1:48" s="37" customFormat="1" ht="12" x14ac:dyDescent="0.3">
      <c r="A302" s="75" t="s">
        <v>1542</v>
      </c>
      <c r="B302" s="76" t="s">
        <v>1543</v>
      </c>
      <c r="C302" s="86">
        <v>941</v>
      </c>
      <c r="D302" s="87">
        <v>111</v>
      </c>
      <c r="E302" s="88">
        <v>34</v>
      </c>
      <c r="F302" s="87">
        <v>84.8</v>
      </c>
      <c r="G302" s="17">
        <v>26</v>
      </c>
      <c r="H302" s="89">
        <v>178</v>
      </c>
      <c r="I302" s="90">
        <v>18200</v>
      </c>
      <c r="J302" s="90" t="s">
        <v>84</v>
      </c>
      <c r="K302" s="90">
        <v>16000</v>
      </c>
      <c r="L302" s="90" t="s">
        <v>65</v>
      </c>
      <c r="M302" s="91">
        <f>I302-K302</f>
        <v>2200</v>
      </c>
      <c r="N302" s="4">
        <f>IF(ISERROR(K302/I302),"",K302/I302)</f>
        <v>0.87912087912087911</v>
      </c>
      <c r="O302" s="92">
        <f>I302/E302</f>
        <v>535.29411764705878</v>
      </c>
      <c r="P302" s="92">
        <f>K302/E302</f>
        <v>470.58823529411762</v>
      </c>
      <c r="Q302" s="80">
        <v>3</v>
      </c>
      <c r="R302" s="80">
        <v>2</v>
      </c>
      <c r="S302" s="80" t="s">
        <v>61</v>
      </c>
      <c r="T302" s="5" t="s">
        <v>79</v>
      </c>
      <c r="U302" s="9"/>
      <c r="W302" s="87">
        <f t="shared" si="247"/>
        <v>111</v>
      </c>
      <c r="X302" s="88">
        <f t="shared" si="247"/>
        <v>34</v>
      </c>
      <c r="Y302" s="93">
        <f t="shared" si="248"/>
        <v>178</v>
      </c>
      <c r="Z302" s="91">
        <f t="shared" si="248"/>
        <v>18200</v>
      </c>
      <c r="AA302" s="91">
        <f>K302</f>
        <v>16000</v>
      </c>
      <c r="AB302" s="91">
        <f t="shared" si="245"/>
        <v>2200</v>
      </c>
      <c r="AC302" s="4">
        <f t="shared" si="245"/>
        <v>0.87912087912087911</v>
      </c>
      <c r="AD302" s="92">
        <f t="shared" si="245"/>
        <v>535.29411764705878</v>
      </c>
      <c r="AE302" s="80" t="str">
        <f>S302</f>
        <v>계</v>
      </c>
      <c r="AF302" s="80" t="str">
        <f>Q302&amp;"/"&amp;R302</f>
        <v>3/2</v>
      </c>
      <c r="AH302" s="20" t="str">
        <f t="shared" si="246"/>
        <v>수송동 수송제일</v>
      </c>
      <c r="AI302" s="88">
        <f t="shared" si="218"/>
        <v>34</v>
      </c>
      <c r="AJ302" s="80" t="str">
        <f>IF(AI302="","",$AJ$2)</f>
        <v>A-</v>
      </c>
      <c r="AK302" s="80" t="s">
        <v>14</v>
      </c>
      <c r="AL302" s="80" t="s">
        <v>63</v>
      </c>
      <c r="AM302" s="80" t="s">
        <v>64</v>
      </c>
      <c r="AN302" s="80" t="str">
        <f>IF(AI302="","",$AN$2)</f>
        <v>C</v>
      </c>
      <c r="AO302" s="80" t="str">
        <f>IF(N302="","",IF(N302&gt;=$AO$1/100,"O","X"))</f>
        <v>O</v>
      </c>
      <c r="AP302" s="80" t="str">
        <f>IF(I302="","",IF(I302&lt;=$AP$1,"O","X"))</f>
        <v>O</v>
      </c>
      <c r="AQ302" s="80" t="str">
        <f>IF(O302="","",IF(O302&lt;=$AQ$1,"O","X"))</f>
        <v>O</v>
      </c>
      <c r="AR302" s="80" t="str">
        <f>IF(M302="","",IF(M302&lt;=$AR$1,"O","X"))</f>
        <v>O</v>
      </c>
      <c r="AS302" s="80" t="s">
        <v>2</v>
      </c>
      <c r="AT302" s="80" t="str">
        <f>IF(OR(F302="",AI302=""),"",IF(AND((F302&lt;=85),(AI302&gt;=15)),"O","X"))</f>
        <v>O</v>
      </c>
      <c r="AU302" s="80" t="str">
        <f>IF(C302="","",IF(C302&gt;=$AU$1,"O","X"))</f>
        <v>O</v>
      </c>
      <c r="AV302" s="80" t="str">
        <f>IF(AO302="","",IF(AND(AO302="O",AP302="O",AR302="O",AT302="O",AU302="O"),"후보","X"))</f>
        <v>후보</v>
      </c>
    </row>
    <row r="303" spans="1:48" s="37" customFormat="1" ht="12" x14ac:dyDescent="0.3">
      <c r="A303" s="75" t="s">
        <v>1542</v>
      </c>
      <c r="B303" s="76" t="s">
        <v>1543</v>
      </c>
      <c r="C303" s="86">
        <v>941</v>
      </c>
      <c r="D303" s="87">
        <v>111.1</v>
      </c>
      <c r="E303" s="88">
        <v>34</v>
      </c>
      <c r="F303" s="87">
        <v>84.8</v>
      </c>
      <c r="G303" s="17">
        <v>26</v>
      </c>
      <c r="H303" s="89">
        <v>34</v>
      </c>
      <c r="I303" s="90"/>
      <c r="J303" s="90"/>
      <c r="K303" s="90"/>
      <c r="L303" s="90"/>
      <c r="M303" s="91">
        <f>I303-K303</f>
        <v>0</v>
      </c>
      <c r="N303" s="4" t="str">
        <f>IF(ISERROR(K303/I303),"",K303/I303)</f>
        <v/>
      </c>
      <c r="O303" s="92">
        <f>I303/E303</f>
        <v>0</v>
      </c>
      <c r="P303" s="92">
        <f>K303/E303</f>
        <v>0</v>
      </c>
      <c r="Q303" s="80">
        <v>3</v>
      </c>
      <c r="R303" s="80">
        <v>2</v>
      </c>
      <c r="S303" s="80" t="s">
        <v>61</v>
      </c>
      <c r="T303" s="5" t="s">
        <v>78</v>
      </c>
      <c r="U303" s="9"/>
      <c r="W303" s="87">
        <f t="shared" si="247"/>
        <v>111.1</v>
      </c>
      <c r="X303" s="88">
        <f t="shared" si="247"/>
        <v>34</v>
      </c>
      <c r="Y303" s="93">
        <f t="shared" si="248"/>
        <v>34</v>
      </c>
      <c r="Z303" s="91">
        <f t="shared" si="248"/>
        <v>0</v>
      </c>
      <c r="AA303" s="91">
        <f>K303</f>
        <v>0</v>
      </c>
      <c r="AB303" s="91">
        <f t="shared" si="245"/>
        <v>0</v>
      </c>
      <c r="AC303" s="4" t="str">
        <f t="shared" si="245"/>
        <v/>
      </c>
      <c r="AD303" s="92">
        <f t="shared" si="245"/>
        <v>0</v>
      </c>
      <c r="AE303" s="80" t="str">
        <f>S303</f>
        <v>계</v>
      </c>
      <c r="AF303" s="80" t="str">
        <f>Q303&amp;"/"&amp;R303</f>
        <v>3/2</v>
      </c>
      <c r="AH303" s="20" t="str">
        <f t="shared" si="246"/>
        <v>수송동 수송제일</v>
      </c>
      <c r="AI303" s="88">
        <f t="shared" si="218"/>
        <v>34</v>
      </c>
      <c r="AJ303" s="80" t="str">
        <f>IF(AI303="","",$AJ$2)</f>
        <v>A-</v>
      </c>
      <c r="AK303" s="80" t="s">
        <v>14</v>
      </c>
      <c r="AL303" s="80" t="s">
        <v>63</v>
      </c>
      <c r="AM303" s="80" t="s">
        <v>64</v>
      </c>
      <c r="AN303" s="80" t="str">
        <f>IF(AI303="","",$AN$2)</f>
        <v>C</v>
      </c>
      <c r="AO303" s="80" t="str">
        <f>IF(N303="","",IF(N303&gt;=$AO$1/100,"O","X"))</f>
        <v/>
      </c>
      <c r="AP303" s="80" t="str">
        <f>IF(I303="","",IF(I303&lt;=$AP$1,"O","X"))</f>
        <v/>
      </c>
      <c r="AQ303" s="80" t="str">
        <f>IF(O303="","",IF(O303&lt;=$AQ$1,"O","X"))</f>
        <v>O</v>
      </c>
      <c r="AR303" s="80" t="str">
        <f>IF(M303="","",IF(M303&lt;=$AR$1,"O","X"))</f>
        <v>O</v>
      </c>
      <c r="AS303" s="80" t="s">
        <v>2</v>
      </c>
      <c r="AT303" s="80" t="str">
        <f>IF(OR(F303="",AI303=""),"",IF(AND((F303&lt;=85),(AI303&gt;=15)),"O","X"))</f>
        <v>O</v>
      </c>
      <c r="AU303" s="80" t="str">
        <f>IF(C303="","",IF(C303&gt;=$AU$1,"O","X"))</f>
        <v>O</v>
      </c>
      <c r="AV303" s="80" t="str">
        <f>IF(AO303="","",IF(AND(AO303="O",AP303="O",AR303="O",AT303="O",AU303="O"),"후보","X"))</f>
        <v/>
      </c>
    </row>
    <row r="304" spans="1:48" s="37" customFormat="1" ht="12" x14ac:dyDescent="0.3">
      <c r="A304" s="75" t="s">
        <v>1544</v>
      </c>
      <c r="B304" s="76" t="s">
        <v>1436</v>
      </c>
      <c r="C304" s="86">
        <v>360</v>
      </c>
      <c r="D304" s="87">
        <v>46.9</v>
      </c>
      <c r="E304" s="88">
        <v>14</v>
      </c>
      <c r="F304" s="87">
        <v>39.5</v>
      </c>
      <c r="G304" s="17">
        <v>12</v>
      </c>
      <c r="H304" s="89">
        <v>205</v>
      </c>
      <c r="I304" s="90">
        <v>6300</v>
      </c>
      <c r="J304" s="90" t="s">
        <v>81</v>
      </c>
      <c r="K304" s="90"/>
      <c r="L304" s="90"/>
      <c r="M304" s="91">
        <f>I304-K304</f>
        <v>6300</v>
      </c>
      <c r="N304" s="4">
        <f>IF(ISERROR(K304/I304),"",K304/I304)</f>
        <v>0</v>
      </c>
      <c r="O304" s="92">
        <f>I304/E304</f>
        <v>450</v>
      </c>
      <c r="P304" s="92">
        <f>K304/E304</f>
        <v>0</v>
      </c>
      <c r="Q304" s="80">
        <v>2</v>
      </c>
      <c r="R304" s="80">
        <v>1</v>
      </c>
      <c r="S304" s="80" t="s">
        <v>61</v>
      </c>
      <c r="T304" s="5">
        <v>46</v>
      </c>
      <c r="U304" s="9"/>
      <c r="W304" s="87">
        <f t="shared" si="247"/>
        <v>46.9</v>
      </c>
      <c r="X304" s="88">
        <f t="shared" si="247"/>
        <v>14</v>
      </c>
      <c r="Y304" s="93">
        <f t="shared" si="248"/>
        <v>205</v>
      </c>
      <c r="Z304" s="91">
        <f t="shared" si="248"/>
        <v>6300</v>
      </c>
      <c r="AA304" s="91">
        <f>K304</f>
        <v>0</v>
      </c>
      <c r="AB304" s="91">
        <f t="shared" si="245"/>
        <v>6300</v>
      </c>
      <c r="AC304" s="4">
        <f t="shared" si="245"/>
        <v>0</v>
      </c>
      <c r="AD304" s="92">
        <f t="shared" si="245"/>
        <v>450</v>
      </c>
      <c r="AE304" s="80" t="str">
        <f>S304</f>
        <v>계</v>
      </c>
      <c r="AF304" s="80" t="str">
        <f>Q304&amp;"/"&amp;R304</f>
        <v>2/1</v>
      </c>
      <c r="AH304" s="20" t="str">
        <f t="shared" si="246"/>
        <v>수송동 동영</v>
      </c>
      <c r="AI304" s="88">
        <f t="shared" si="218"/>
        <v>14</v>
      </c>
      <c r="AJ304" s="80" t="str">
        <f>IF(AI304="","",$AJ$2)</f>
        <v>A-</v>
      </c>
      <c r="AK304" s="80" t="s">
        <v>14</v>
      </c>
      <c r="AL304" s="80" t="s">
        <v>63</v>
      </c>
      <c r="AM304" s="80" t="s">
        <v>64</v>
      </c>
      <c r="AN304" s="80" t="str">
        <f>IF(AI304="","",$AN$2)</f>
        <v>C</v>
      </c>
      <c r="AO304" s="80" t="str">
        <f>IF(N304="","",IF(N304&gt;=$AO$1/100,"O","X"))</f>
        <v>X</v>
      </c>
      <c r="AP304" s="80" t="str">
        <f>IF(I304="","",IF(I304&lt;=$AP$1,"O","X"))</f>
        <v>O</v>
      </c>
      <c r="AQ304" s="80" t="str">
        <f>IF(O304="","",IF(O304&lt;=$AQ$1,"O","X"))</f>
        <v>O</v>
      </c>
      <c r="AR304" s="80" t="str">
        <f>IF(M304="","",IF(M304&lt;=$AR$1,"O","X"))</f>
        <v>X</v>
      </c>
      <c r="AS304" s="80" t="s">
        <v>2</v>
      </c>
      <c r="AT304" s="80" t="str">
        <f>IF(OR(F304="",AI304=""),"",IF(AND((F304&lt;=85),(AI304&gt;=15)),"O","X"))</f>
        <v>X</v>
      </c>
      <c r="AU304" s="80" t="str">
        <f>IF(C304="","",IF(C304&gt;=$AU$1,"O","X"))</f>
        <v>O</v>
      </c>
      <c r="AV304" s="80" t="str">
        <f>IF(AO304="","",IF(AND(AO304="O",AP304="O",AR304="O",AT304="O",AU304="O"),"후보","X"))</f>
        <v>X</v>
      </c>
    </row>
    <row r="305" spans="1:48" s="37" customFormat="1" ht="12" x14ac:dyDescent="0.3">
      <c r="A305" s="75" t="s">
        <v>1544</v>
      </c>
      <c r="B305" s="76" t="s">
        <v>1436</v>
      </c>
      <c r="C305" s="86">
        <v>360</v>
      </c>
      <c r="D305" s="87">
        <v>54.4</v>
      </c>
      <c r="E305" s="88">
        <v>16</v>
      </c>
      <c r="F305" s="87">
        <v>39.5</v>
      </c>
      <c r="G305" s="17">
        <v>12</v>
      </c>
      <c r="H305" s="89">
        <v>5</v>
      </c>
      <c r="I305" s="90"/>
      <c r="J305" s="90"/>
      <c r="K305" s="90"/>
      <c r="L305" s="90"/>
      <c r="M305" s="91">
        <f>I305-K305</f>
        <v>0</v>
      </c>
      <c r="N305" s="4" t="str">
        <f>IF(ISERROR(K305/I305),"",K305/I305)</f>
        <v/>
      </c>
      <c r="O305" s="92">
        <f>I305/E305</f>
        <v>0</v>
      </c>
      <c r="P305" s="92">
        <f>K305/E305</f>
        <v>0</v>
      </c>
      <c r="Q305" s="80">
        <v>2</v>
      </c>
      <c r="R305" s="80">
        <v>1</v>
      </c>
      <c r="S305" s="80" t="s">
        <v>61</v>
      </c>
      <c r="T305" s="5">
        <v>54</v>
      </c>
      <c r="U305" s="9"/>
      <c r="W305" s="87">
        <f t="shared" si="247"/>
        <v>54.4</v>
      </c>
      <c r="X305" s="88">
        <f t="shared" si="247"/>
        <v>16</v>
      </c>
      <c r="Y305" s="93">
        <f t="shared" si="248"/>
        <v>5</v>
      </c>
      <c r="Z305" s="91">
        <f t="shared" si="248"/>
        <v>0</v>
      </c>
      <c r="AA305" s="91">
        <f>K305</f>
        <v>0</v>
      </c>
      <c r="AB305" s="91">
        <f t="shared" si="245"/>
        <v>0</v>
      </c>
      <c r="AC305" s="4" t="str">
        <f t="shared" si="245"/>
        <v/>
      </c>
      <c r="AD305" s="92">
        <f t="shared" si="245"/>
        <v>0</v>
      </c>
      <c r="AE305" s="80" t="str">
        <f>S305</f>
        <v>계</v>
      </c>
      <c r="AF305" s="80" t="str">
        <f>Q305&amp;"/"&amp;R305</f>
        <v>2/1</v>
      </c>
      <c r="AH305" s="20" t="str">
        <f t="shared" si="246"/>
        <v>수송동 동영</v>
      </c>
      <c r="AI305" s="88">
        <f t="shared" si="218"/>
        <v>16</v>
      </c>
      <c r="AJ305" s="80" t="str">
        <f>IF(AI305="","",$AJ$2)</f>
        <v>A-</v>
      </c>
      <c r="AK305" s="80" t="s">
        <v>14</v>
      </c>
      <c r="AL305" s="80" t="s">
        <v>63</v>
      </c>
      <c r="AM305" s="80" t="s">
        <v>64</v>
      </c>
      <c r="AN305" s="80" t="str">
        <f>IF(AI305="","",$AN$2)</f>
        <v>C</v>
      </c>
      <c r="AO305" s="80" t="str">
        <f>IF(N305="","",IF(N305&gt;=$AO$1/100,"O","X"))</f>
        <v/>
      </c>
      <c r="AP305" s="80" t="str">
        <f>IF(I305="","",IF(I305&lt;=$AP$1,"O","X"))</f>
        <v/>
      </c>
      <c r="AQ305" s="80" t="str">
        <f>IF(O305="","",IF(O305&lt;=$AQ$1,"O","X"))</f>
        <v>O</v>
      </c>
      <c r="AR305" s="80" t="str">
        <f>IF(M305="","",IF(M305&lt;=$AR$1,"O","X"))</f>
        <v>O</v>
      </c>
      <c r="AS305" s="80" t="s">
        <v>2</v>
      </c>
      <c r="AT305" s="80" t="str">
        <f>IF(OR(F305="",AI305=""),"",IF(AND((F305&lt;=85),(AI305&gt;=15)),"O","X"))</f>
        <v>O</v>
      </c>
      <c r="AU305" s="80" t="str">
        <f>IF(C305="","",IF(C305&gt;=$AU$1,"O","X"))</f>
        <v>O</v>
      </c>
      <c r="AV305" s="80" t="str">
        <f>IF(AO305="","",IF(AND(AO305="O",AP305="O",AR305="O",AT305="O",AU305="O"),"후보","X"))</f>
        <v/>
      </c>
    </row>
    <row r="306" spans="1:48" s="37" customFormat="1" ht="12" x14ac:dyDescent="0.3">
      <c r="A306" s="75" t="s">
        <v>1544</v>
      </c>
      <c r="B306" s="76" t="s">
        <v>1436</v>
      </c>
      <c r="C306" s="86">
        <v>360</v>
      </c>
      <c r="D306" s="87">
        <v>76</v>
      </c>
      <c r="E306" s="88">
        <v>23</v>
      </c>
      <c r="F306" s="87">
        <v>59.9</v>
      </c>
      <c r="G306" s="17">
        <v>18</v>
      </c>
      <c r="H306" s="89">
        <v>15</v>
      </c>
      <c r="I306" s="90"/>
      <c r="J306" s="90"/>
      <c r="K306" s="90"/>
      <c r="L306" s="90"/>
      <c r="M306" s="91">
        <f>I306-K306</f>
        <v>0</v>
      </c>
      <c r="N306" s="4" t="str">
        <f>IF(ISERROR(K306/I306),"",K306/I306)</f>
        <v/>
      </c>
      <c r="O306" s="92">
        <f>I306/E306</f>
        <v>0</v>
      </c>
      <c r="P306" s="92">
        <f>K306/E306</f>
        <v>0</v>
      </c>
      <c r="Q306" s="80">
        <v>3</v>
      </c>
      <c r="R306" s="80">
        <v>1</v>
      </c>
      <c r="S306" s="80" t="s">
        <v>61</v>
      </c>
      <c r="T306" s="5" t="s">
        <v>1082</v>
      </c>
      <c r="U306" s="9"/>
      <c r="W306" s="87">
        <f t="shared" si="247"/>
        <v>76</v>
      </c>
      <c r="X306" s="88">
        <f t="shared" si="247"/>
        <v>23</v>
      </c>
      <c r="Y306" s="93">
        <f t="shared" si="248"/>
        <v>15</v>
      </c>
      <c r="Z306" s="91">
        <f t="shared" si="248"/>
        <v>0</v>
      </c>
      <c r="AA306" s="91">
        <f>K306</f>
        <v>0</v>
      </c>
      <c r="AB306" s="91">
        <f t="shared" si="245"/>
        <v>0</v>
      </c>
      <c r="AC306" s="4" t="str">
        <f t="shared" si="245"/>
        <v/>
      </c>
      <c r="AD306" s="92">
        <f t="shared" si="245"/>
        <v>0</v>
      </c>
      <c r="AE306" s="80" t="str">
        <f>S306</f>
        <v>계</v>
      </c>
      <c r="AF306" s="80" t="str">
        <f>Q306&amp;"/"&amp;R306</f>
        <v>3/1</v>
      </c>
      <c r="AH306" s="20" t="str">
        <f t="shared" si="246"/>
        <v>수송동 동영</v>
      </c>
      <c r="AI306" s="88">
        <f t="shared" si="218"/>
        <v>23</v>
      </c>
      <c r="AJ306" s="80" t="str">
        <f>IF(AI306="","",$AJ$2)</f>
        <v>A-</v>
      </c>
      <c r="AK306" s="80" t="s">
        <v>14</v>
      </c>
      <c r="AL306" s="80" t="s">
        <v>63</v>
      </c>
      <c r="AM306" s="80" t="s">
        <v>64</v>
      </c>
      <c r="AN306" s="80" t="str">
        <f>IF(AI306="","",$AN$2)</f>
        <v>C</v>
      </c>
      <c r="AO306" s="80" t="str">
        <f>IF(N306="","",IF(N306&gt;=$AO$1/100,"O","X"))</f>
        <v/>
      </c>
      <c r="AP306" s="80" t="str">
        <f>IF(I306="","",IF(I306&lt;=$AP$1,"O","X"))</f>
        <v/>
      </c>
      <c r="AQ306" s="80" t="str">
        <f>IF(O306="","",IF(O306&lt;=$AQ$1,"O","X"))</f>
        <v>O</v>
      </c>
      <c r="AR306" s="80" t="str">
        <f>IF(M306="","",IF(M306&lt;=$AR$1,"O","X"))</f>
        <v>O</v>
      </c>
      <c r="AS306" s="80" t="s">
        <v>2</v>
      </c>
      <c r="AT306" s="80" t="str">
        <f>IF(OR(F306="",AI306=""),"",IF(AND((F306&lt;=85),(AI306&gt;=15)),"O","X"))</f>
        <v>O</v>
      </c>
      <c r="AU306" s="80" t="str">
        <f>IF(C306="","",IF(C306&gt;=$AU$1,"O","X"))</f>
        <v>O</v>
      </c>
      <c r="AV306" s="80" t="str">
        <f>IF(AO306="","",IF(AND(AO306="O",AP306="O",AR306="O",AT306="O",AU306="O"),"후보","X"))</f>
        <v/>
      </c>
    </row>
    <row r="307" spans="1:48" s="37" customFormat="1" ht="12" x14ac:dyDescent="0.3">
      <c r="A307" s="75" t="s">
        <v>1544</v>
      </c>
      <c r="B307" s="76" t="s">
        <v>1436</v>
      </c>
      <c r="C307" s="86">
        <v>360</v>
      </c>
      <c r="D307" s="87">
        <v>76</v>
      </c>
      <c r="E307" s="88">
        <v>23</v>
      </c>
      <c r="F307" s="87">
        <v>59.9</v>
      </c>
      <c r="G307" s="17">
        <v>18</v>
      </c>
      <c r="H307" s="89">
        <v>135</v>
      </c>
      <c r="I307" s="90"/>
      <c r="J307" s="90"/>
      <c r="K307" s="90"/>
      <c r="L307" s="90"/>
      <c r="M307" s="91">
        <f>I307-K307</f>
        <v>0</v>
      </c>
      <c r="N307" s="4" t="str">
        <f>IF(ISERROR(K307/I307),"",K307/I307)</f>
        <v/>
      </c>
      <c r="O307" s="92">
        <f>I307/E307</f>
        <v>0</v>
      </c>
      <c r="P307" s="92">
        <f>K307/E307</f>
        <v>0</v>
      </c>
      <c r="Q307" s="80">
        <v>3</v>
      </c>
      <c r="R307" s="80">
        <v>1</v>
      </c>
      <c r="S307" s="80" t="s">
        <v>61</v>
      </c>
      <c r="T307" s="5" t="s">
        <v>151</v>
      </c>
      <c r="U307" s="9"/>
      <c r="W307" s="87">
        <f t="shared" si="247"/>
        <v>76</v>
      </c>
      <c r="X307" s="88">
        <f t="shared" si="247"/>
        <v>23</v>
      </c>
      <c r="Y307" s="93">
        <f t="shared" si="248"/>
        <v>135</v>
      </c>
      <c r="Z307" s="91">
        <f t="shared" si="248"/>
        <v>0</v>
      </c>
      <c r="AA307" s="91">
        <f>K307</f>
        <v>0</v>
      </c>
      <c r="AB307" s="91">
        <f t="shared" si="245"/>
        <v>0</v>
      </c>
      <c r="AC307" s="4" t="str">
        <f t="shared" si="245"/>
        <v/>
      </c>
      <c r="AD307" s="92">
        <f t="shared" si="245"/>
        <v>0</v>
      </c>
      <c r="AE307" s="80" t="str">
        <f>S307</f>
        <v>계</v>
      </c>
      <c r="AF307" s="80" t="str">
        <f>Q307&amp;"/"&amp;R307</f>
        <v>3/1</v>
      </c>
      <c r="AH307" s="20" t="str">
        <f t="shared" si="246"/>
        <v>수송동 동영</v>
      </c>
      <c r="AI307" s="88">
        <f t="shared" si="218"/>
        <v>23</v>
      </c>
      <c r="AJ307" s="80" t="str">
        <f>IF(AI307="","",$AJ$2)</f>
        <v>A-</v>
      </c>
      <c r="AK307" s="80" t="s">
        <v>14</v>
      </c>
      <c r="AL307" s="80" t="s">
        <v>63</v>
      </c>
      <c r="AM307" s="80" t="s">
        <v>64</v>
      </c>
      <c r="AN307" s="80" t="str">
        <f>IF(AI307="","",$AN$2)</f>
        <v>C</v>
      </c>
      <c r="AO307" s="80" t="str">
        <f>IF(N307="","",IF(N307&gt;=$AO$1/100,"O","X"))</f>
        <v/>
      </c>
      <c r="AP307" s="80" t="str">
        <f>IF(I307="","",IF(I307&lt;=$AP$1,"O","X"))</f>
        <v/>
      </c>
      <c r="AQ307" s="80" t="str">
        <f>IF(O307="","",IF(O307&lt;=$AQ$1,"O","X"))</f>
        <v>O</v>
      </c>
      <c r="AR307" s="80" t="str">
        <f>IF(M307="","",IF(M307&lt;=$AR$1,"O","X"))</f>
        <v>O</v>
      </c>
      <c r="AS307" s="80" t="s">
        <v>2</v>
      </c>
      <c r="AT307" s="80" t="str">
        <f>IF(OR(F307="",AI307=""),"",IF(AND((F307&lt;=85),(AI307&gt;=15)),"O","X"))</f>
        <v>O</v>
      </c>
      <c r="AU307" s="80" t="str">
        <f>IF(C307="","",IF(C307&gt;=$AU$1,"O","X"))</f>
        <v>O</v>
      </c>
      <c r="AV307" s="80" t="str">
        <f>IF(AO307="","",IF(AND(AO307="O",AP307="O",AR307="O",AT307="O",AU307="O"),"후보","X"))</f>
        <v/>
      </c>
    </row>
    <row r="308" spans="1:48" s="37" customFormat="1" ht="12" x14ac:dyDescent="0.3">
      <c r="A308" s="75" t="s">
        <v>1545</v>
      </c>
      <c r="B308" s="76" t="s">
        <v>1546</v>
      </c>
      <c r="C308" s="86">
        <v>656</v>
      </c>
      <c r="D308" s="87">
        <v>117.7</v>
      </c>
      <c r="E308" s="88">
        <v>36</v>
      </c>
      <c r="F308" s="87">
        <v>91.3</v>
      </c>
      <c r="G308" s="17">
        <v>28</v>
      </c>
      <c r="H308" s="89">
        <v>114</v>
      </c>
      <c r="I308" s="90">
        <v>32200</v>
      </c>
      <c r="J308" s="90" t="s">
        <v>111</v>
      </c>
      <c r="K308" s="90">
        <v>28000</v>
      </c>
      <c r="L308" s="90" t="s">
        <v>84</v>
      </c>
      <c r="M308" s="91">
        <f>I308-K308</f>
        <v>4200</v>
      </c>
      <c r="N308" s="4">
        <f>IF(ISERROR(K308/I308),"",K308/I308)</f>
        <v>0.86956521739130432</v>
      </c>
      <c r="O308" s="92">
        <f>I308/E308</f>
        <v>894.44444444444446</v>
      </c>
      <c r="P308" s="92">
        <f>K308/E308</f>
        <v>777.77777777777783</v>
      </c>
      <c r="Q308" s="80">
        <v>3</v>
      </c>
      <c r="R308" s="80">
        <v>2</v>
      </c>
      <c r="S308" s="80" t="s">
        <v>61</v>
      </c>
      <c r="T308" s="5" t="s">
        <v>1085</v>
      </c>
      <c r="U308" s="9"/>
      <c r="W308" s="87">
        <f t="shared" si="247"/>
        <v>117.7</v>
      </c>
      <c r="X308" s="88">
        <f t="shared" si="247"/>
        <v>36</v>
      </c>
      <c r="Y308" s="93">
        <f t="shared" si="248"/>
        <v>114</v>
      </c>
      <c r="Z308" s="91">
        <f t="shared" si="248"/>
        <v>32200</v>
      </c>
      <c r="AA308" s="91">
        <f>K308</f>
        <v>28000</v>
      </c>
      <c r="AB308" s="91">
        <f t="shared" si="245"/>
        <v>4200</v>
      </c>
      <c r="AC308" s="4">
        <f t="shared" si="245"/>
        <v>0.86956521739130432</v>
      </c>
      <c r="AD308" s="92">
        <f t="shared" si="245"/>
        <v>894.44444444444446</v>
      </c>
      <c r="AE308" s="80" t="str">
        <f>S308</f>
        <v>계</v>
      </c>
      <c r="AF308" s="80" t="str">
        <f>Q308&amp;"/"&amp;R308</f>
        <v>3/2</v>
      </c>
      <c r="AH308" s="20" t="str">
        <f t="shared" si="246"/>
        <v>수송동 군산수송제일오투그란데2단지</v>
      </c>
      <c r="AI308" s="88">
        <f t="shared" si="218"/>
        <v>36</v>
      </c>
      <c r="AJ308" s="80" t="str">
        <f>IF(AI308="","",$AJ$2)</f>
        <v>A-</v>
      </c>
      <c r="AK308" s="80" t="s">
        <v>14</v>
      </c>
      <c r="AL308" s="80" t="s">
        <v>63</v>
      </c>
      <c r="AM308" s="80" t="s">
        <v>64</v>
      </c>
      <c r="AN308" s="80" t="str">
        <f>IF(AI308="","",$AN$2)</f>
        <v>C</v>
      </c>
      <c r="AO308" s="80" t="str">
        <f>IF(N308="","",IF(N308&gt;=$AO$1/100,"O","X"))</f>
        <v>O</v>
      </c>
      <c r="AP308" s="80" t="str">
        <f>IF(I308="","",IF(I308&lt;=$AP$1,"O","X"))</f>
        <v>O</v>
      </c>
      <c r="AQ308" s="80" t="str">
        <f>IF(O308="","",IF(O308&lt;=$AQ$1,"O","X"))</f>
        <v>O</v>
      </c>
      <c r="AR308" s="80" t="str">
        <f>IF(M308="","",IF(M308&lt;=$AR$1,"O","X"))</f>
        <v>O</v>
      </c>
      <c r="AS308" s="80" t="s">
        <v>2</v>
      </c>
      <c r="AT308" s="80" t="str">
        <f>IF(OR(F308="",AI308=""),"",IF(AND((F308&lt;=85),(AI308&gt;=15)),"O","X"))</f>
        <v>X</v>
      </c>
      <c r="AU308" s="80" t="str">
        <f>IF(C308="","",IF(C308&gt;=$AU$1,"O","X"))</f>
        <v>O</v>
      </c>
      <c r="AV308" s="80" t="str">
        <f>IF(AO308="","",IF(AND(AO308="O",AP308="O",AR308="O",AT308="O",AU308="O"),"후보","X"))</f>
        <v>X</v>
      </c>
    </row>
    <row r="309" spans="1:48" s="37" customFormat="1" ht="12" x14ac:dyDescent="0.3">
      <c r="A309" s="75" t="s">
        <v>1545</v>
      </c>
      <c r="B309" s="76" t="s">
        <v>1546</v>
      </c>
      <c r="C309" s="86">
        <v>656</v>
      </c>
      <c r="D309" s="87">
        <v>118.8</v>
      </c>
      <c r="E309" s="88">
        <v>36</v>
      </c>
      <c r="F309" s="87">
        <v>91.2</v>
      </c>
      <c r="G309" s="17">
        <v>28</v>
      </c>
      <c r="H309" s="89">
        <v>136</v>
      </c>
      <c r="I309" s="90">
        <v>32500</v>
      </c>
      <c r="J309" s="90" t="s">
        <v>66</v>
      </c>
      <c r="K309" s="90">
        <v>28000</v>
      </c>
      <c r="L309" s="90" t="s">
        <v>81</v>
      </c>
      <c r="M309" s="91">
        <f>I309-K309</f>
        <v>4500</v>
      </c>
      <c r="N309" s="4">
        <f>IF(ISERROR(K309/I309),"",K309/I309)</f>
        <v>0.86153846153846159</v>
      </c>
      <c r="O309" s="92">
        <f>I309/E309</f>
        <v>902.77777777777783</v>
      </c>
      <c r="P309" s="92">
        <f>K309/E309</f>
        <v>777.77777777777783</v>
      </c>
      <c r="Q309" s="80">
        <v>3</v>
      </c>
      <c r="R309" s="80">
        <v>2</v>
      </c>
      <c r="S309" s="80" t="s">
        <v>61</v>
      </c>
      <c r="T309" s="5" t="s">
        <v>1089</v>
      </c>
      <c r="U309" s="9"/>
      <c r="W309" s="87">
        <f t="shared" si="247"/>
        <v>118.8</v>
      </c>
      <c r="X309" s="88">
        <f t="shared" si="247"/>
        <v>36</v>
      </c>
      <c r="Y309" s="93">
        <f t="shared" si="248"/>
        <v>136</v>
      </c>
      <c r="Z309" s="91">
        <f t="shared" si="248"/>
        <v>32500</v>
      </c>
      <c r="AA309" s="91">
        <f>K309</f>
        <v>28000</v>
      </c>
      <c r="AB309" s="91">
        <f t="shared" ref="AB309:AD324" si="249">M309</f>
        <v>4500</v>
      </c>
      <c r="AC309" s="4">
        <f t="shared" si="249"/>
        <v>0.86153846153846159</v>
      </c>
      <c r="AD309" s="92">
        <f t="shared" si="249"/>
        <v>902.77777777777783</v>
      </c>
      <c r="AE309" s="80" t="str">
        <f>S309</f>
        <v>계</v>
      </c>
      <c r="AF309" s="80" t="str">
        <f>Q309&amp;"/"&amp;R309</f>
        <v>3/2</v>
      </c>
      <c r="AH309" s="20" t="str">
        <f t="shared" si="246"/>
        <v>수송동 군산수송제일오투그란데2단지</v>
      </c>
      <c r="AI309" s="88">
        <f t="shared" si="218"/>
        <v>36</v>
      </c>
      <c r="AJ309" s="80" t="str">
        <f>IF(AI309="","",$AJ$2)</f>
        <v>A-</v>
      </c>
      <c r="AK309" s="80" t="s">
        <v>14</v>
      </c>
      <c r="AL309" s="80" t="s">
        <v>63</v>
      </c>
      <c r="AM309" s="80" t="s">
        <v>64</v>
      </c>
      <c r="AN309" s="80" t="str">
        <f>IF(AI309="","",$AN$2)</f>
        <v>C</v>
      </c>
      <c r="AO309" s="80" t="str">
        <f>IF(N309="","",IF(N309&gt;=$AO$1/100,"O","X"))</f>
        <v>O</v>
      </c>
      <c r="AP309" s="80" t="str">
        <f>IF(I309="","",IF(I309&lt;=$AP$1,"O","X"))</f>
        <v>O</v>
      </c>
      <c r="AQ309" s="80" t="str">
        <f>IF(O309="","",IF(O309&lt;=$AQ$1,"O","X"))</f>
        <v>O</v>
      </c>
      <c r="AR309" s="80" t="str">
        <f>IF(M309="","",IF(M309&lt;=$AR$1,"O","X"))</f>
        <v>O</v>
      </c>
      <c r="AS309" s="80" t="s">
        <v>2</v>
      </c>
      <c r="AT309" s="80" t="str">
        <f>IF(OR(F309="",AI309=""),"",IF(AND((F309&lt;=85),(AI309&gt;=15)),"O","X"))</f>
        <v>X</v>
      </c>
      <c r="AU309" s="80" t="str">
        <f>IF(C309="","",IF(C309&gt;=$AU$1,"O","X"))</f>
        <v>O</v>
      </c>
      <c r="AV309" s="80" t="str">
        <f>IF(AO309="","",IF(AND(AO309="O",AP309="O",AR309="O",AT309="O",AU309="O"),"후보","X"))</f>
        <v>X</v>
      </c>
    </row>
    <row r="310" spans="1:48" s="37" customFormat="1" ht="12" x14ac:dyDescent="0.3">
      <c r="A310" s="75" t="s">
        <v>1545</v>
      </c>
      <c r="B310" s="76" t="s">
        <v>1546</v>
      </c>
      <c r="C310" s="86">
        <v>656</v>
      </c>
      <c r="D310" s="87">
        <v>125.6</v>
      </c>
      <c r="E310" s="88">
        <v>38</v>
      </c>
      <c r="F310" s="87">
        <v>92.7</v>
      </c>
      <c r="G310" s="17">
        <v>28</v>
      </c>
      <c r="H310" s="89">
        <v>274</v>
      </c>
      <c r="I310" s="90">
        <v>33500</v>
      </c>
      <c r="J310" s="90" t="s">
        <v>69</v>
      </c>
      <c r="K310" s="90"/>
      <c r="L310" s="90"/>
      <c r="M310" s="91">
        <f>I310-K310</f>
        <v>33500</v>
      </c>
      <c r="N310" s="4">
        <f>IF(ISERROR(K310/I310),"",K310/I310)</f>
        <v>0</v>
      </c>
      <c r="O310" s="92">
        <f>I310/E310</f>
        <v>881.57894736842104</v>
      </c>
      <c r="P310" s="92">
        <f>K310/E310</f>
        <v>0</v>
      </c>
      <c r="Q310" s="80">
        <v>3</v>
      </c>
      <c r="R310" s="80">
        <v>2</v>
      </c>
      <c r="S310" s="80" t="s">
        <v>61</v>
      </c>
      <c r="T310" s="5">
        <v>125</v>
      </c>
      <c r="U310" s="9"/>
      <c r="W310" s="87">
        <f t="shared" si="247"/>
        <v>125.6</v>
      </c>
      <c r="X310" s="88">
        <f t="shared" si="247"/>
        <v>38</v>
      </c>
      <c r="Y310" s="93">
        <f t="shared" si="248"/>
        <v>274</v>
      </c>
      <c r="Z310" s="91">
        <f t="shared" si="248"/>
        <v>33500</v>
      </c>
      <c r="AA310" s="91">
        <f>K310</f>
        <v>0</v>
      </c>
      <c r="AB310" s="91">
        <f t="shared" si="249"/>
        <v>33500</v>
      </c>
      <c r="AC310" s="4">
        <f t="shared" si="249"/>
        <v>0</v>
      </c>
      <c r="AD310" s="92">
        <f t="shared" si="249"/>
        <v>881.57894736842104</v>
      </c>
      <c r="AE310" s="80" t="str">
        <f>S310</f>
        <v>계</v>
      </c>
      <c r="AF310" s="80" t="str">
        <f>Q310&amp;"/"&amp;R310</f>
        <v>3/2</v>
      </c>
      <c r="AH310" s="20" t="str">
        <f t="shared" si="246"/>
        <v>수송동 군산수송제일오투그란데2단지</v>
      </c>
      <c r="AI310" s="88">
        <f t="shared" si="218"/>
        <v>38</v>
      </c>
      <c r="AJ310" s="80" t="str">
        <f>IF(AI310="","",$AJ$2)</f>
        <v>A-</v>
      </c>
      <c r="AK310" s="80" t="s">
        <v>14</v>
      </c>
      <c r="AL310" s="80" t="s">
        <v>63</v>
      </c>
      <c r="AM310" s="80" t="s">
        <v>64</v>
      </c>
      <c r="AN310" s="80" t="str">
        <f>IF(AI310="","",$AN$2)</f>
        <v>C</v>
      </c>
      <c r="AO310" s="80" t="str">
        <f>IF(N310="","",IF(N310&gt;=$AO$1/100,"O","X"))</f>
        <v>X</v>
      </c>
      <c r="AP310" s="80" t="str">
        <f>IF(I310="","",IF(I310&lt;=$AP$1,"O","X"))</f>
        <v>O</v>
      </c>
      <c r="AQ310" s="80" t="str">
        <f>IF(O310="","",IF(O310&lt;=$AQ$1,"O","X"))</f>
        <v>O</v>
      </c>
      <c r="AR310" s="80" t="str">
        <f>IF(M310="","",IF(M310&lt;=$AR$1,"O","X"))</f>
        <v>X</v>
      </c>
      <c r="AS310" s="80" t="s">
        <v>2</v>
      </c>
      <c r="AT310" s="80" t="str">
        <f>IF(OR(F310="",AI310=""),"",IF(AND((F310&lt;=85),(AI310&gt;=15)),"O","X"))</f>
        <v>X</v>
      </c>
      <c r="AU310" s="80" t="str">
        <f>IF(C310="","",IF(C310&gt;=$AU$1,"O","X"))</f>
        <v>O</v>
      </c>
      <c r="AV310" s="80" t="str">
        <f>IF(AO310="","",IF(AND(AO310="O",AP310="O",AR310="O",AT310="O",AU310="O"),"후보","X"))</f>
        <v>X</v>
      </c>
    </row>
    <row r="311" spans="1:48" s="37" customFormat="1" ht="12" x14ac:dyDescent="0.3">
      <c r="A311" s="75" t="s">
        <v>1545</v>
      </c>
      <c r="B311" s="76" t="s">
        <v>1546</v>
      </c>
      <c r="C311" s="86">
        <v>656</v>
      </c>
      <c r="D311" s="87">
        <v>140.69999999999999</v>
      </c>
      <c r="E311" s="88">
        <v>43</v>
      </c>
      <c r="F311" s="87">
        <v>110.2</v>
      </c>
      <c r="G311" s="17">
        <v>33</v>
      </c>
      <c r="H311" s="89">
        <v>132</v>
      </c>
      <c r="I311" s="90">
        <v>42000</v>
      </c>
      <c r="J311" s="90" t="s">
        <v>81</v>
      </c>
      <c r="K311" s="90"/>
      <c r="L311" s="90"/>
      <c r="M311" s="91">
        <f>I311-K311</f>
        <v>42000</v>
      </c>
      <c r="N311" s="4">
        <f>IF(ISERROR(K311/I311),"",K311/I311)</f>
        <v>0</v>
      </c>
      <c r="O311" s="92">
        <f>I311/E311</f>
        <v>976.74418604651157</v>
      </c>
      <c r="P311" s="92">
        <f>K311/E311</f>
        <v>0</v>
      </c>
      <c r="Q311" s="80">
        <v>4</v>
      </c>
      <c r="R311" s="80">
        <v>2</v>
      </c>
      <c r="S311" s="80" t="s">
        <v>61</v>
      </c>
      <c r="T311" s="5">
        <v>140</v>
      </c>
      <c r="U311" s="9"/>
      <c r="W311" s="87">
        <f t="shared" si="247"/>
        <v>140.69999999999999</v>
      </c>
      <c r="X311" s="88">
        <f t="shared" si="247"/>
        <v>43</v>
      </c>
      <c r="Y311" s="93">
        <f t="shared" si="248"/>
        <v>132</v>
      </c>
      <c r="Z311" s="91">
        <f t="shared" si="248"/>
        <v>42000</v>
      </c>
      <c r="AA311" s="91">
        <f>K311</f>
        <v>0</v>
      </c>
      <c r="AB311" s="91">
        <f t="shared" si="249"/>
        <v>42000</v>
      </c>
      <c r="AC311" s="4">
        <f t="shared" si="249"/>
        <v>0</v>
      </c>
      <c r="AD311" s="92">
        <f t="shared" si="249"/>
        <v>976.74418604651157</v>
      </c>
      <c r="AE311" s="80" t="str">
        <f>S311</f>
        <v>계</v>
      </c>
      <c r="AF311" s="80" t="str">
        <f>Q311&amp;"/"&amp;R311</f>
        <v>4/2</v>
      </c>
      <c r="AH311" s="20" t="str">
        <f t="shared" si="246"/>
        <v>수송동 군산수송제일오투그란데2단지</v>
      </c>
      <c r="AI311" s="88">
        <f t="shared" si="218"/>
        <v>43</v>
      </c>
      <c r="AJ311" s="80" t="str">
        <f>IF(AI311="","",$AJ$2)</f>
        <v>A-</v>
      </c>
      <c r="AK311" s="80" t="s">
        <v>14</v>
      </c>
      <c r="AL311" s="80" t="s">
        <v>63</v>
      </c>
      <c r="AM311" s="80" t="s">
        <v>64</v>
      </c>
      <c r="AN311" s="80" t="str">
        <f>IF(AI311="","",$AN$2)</f>
        <v>C</v>
      </c>
      <c r="AO311" s="80" t="str">
        <f>IF(N311="","",IF(N311&gt;=$AO$1/100,"O","X"))</f>
        <v>X</v>
      </c>
      <c r="AP311" s="80" t="str">
        <f>IF(I311="","",IF(I311&lt;=$AP$1,"O","X"))</f>
        <v>O</v>
      </c>
      <c r="AQ311" s="80" t="str">
        <f>IF(O311="","",IF(O311&lt;=$AQ$1,"O","X"))</f>
        <v>O</v>
      </c>
      <c r="AR311" s="80" t="str">
        <f>IF(M311="","",IF(M311&lt;=$AR$1,"O","X"))</f>
        <v>X</v>
      </c>
      <c r="AS311" s="80" t="s">
        <v>2</v>
      </c>
      <c r="AT311" s="80" t="str">
        <f>IF(OR(F311="",AI311=""),"",IF(AND((F311&lt;=85),(AI311&gt;=15)),"O","X"))</f>
        <v>X</v>
      </c>
      <c r="AU311" s="80" t="str">
        <f>IF(C311="","",IF(C311&gt;=$AU$1,"O","X"))</f>
        <v>O</v>
      </c>
      <c r="AV311" s="80" t="str">
        <f>IF(AO311="","",IF(AND(AO311="O",AP311="O",AR311="O",AT311="O",AU311="O"),"후보","X"))</f>
        <v>X</v>
      </c>
    </row>
    <row r="312" spans="1:48" s="37" customFormat="1" ht="12" x14ac:dyDescent="0.3">
      <c r="A312" s="75" t="s">
        <v>1547</v>
      </c>
      <c r="B312" s="76" t="s">
        <v>1546</v>
      </c>
      <c r="C312" s="86">
        <v>724</v>
      </c>
      <c r="D312" s="87">
        <v>99</v>
      </c>
      <c r="E312" s="88">
        <v>30</v>
      </c>
      <c r="F312" s="87">
        <v>69</v>
      </c>
      <c r="G312" s="17">
        <v>21</v>
      </c>
      <c r="H312" s="89">
        <v>212</v>
      </c>
      <c r="I312" s="90">
        <v>27000</v>
      </c>
      <c r="J312" s="90" t="s">
        <v>60</v>
      </c>
      <c r="K312" s="90">
        <v>22500</v>
      </c>
      <c r="L312" s="90" t="s">
        <v>68</v>
      </c>
      <c r="M312" s="91">
        <f>I312-K312</f>
        <v>4500</v>
      </c>
      <c r="N312" s="4">
        <f>IF(ISERROR(K312/I312),"",K312/I312)</f>
        <v>0.83333333333333337</v>
      </c>
      <c r="O312" s="92">
        <f>I312/E312</f>
        <v>900</v>
      </c>
      <c r="P312" s="92">
        <f>K312/E312</f>
        <v>750</v>
      </c>
      <c r="Q312" s="80">
        <v>3</v>
      </c>
      <c r="R312" s="80">
        <v>2</v>
      </c>
      <c r="S312" s="80" t="s">
        <v>61</v>
      </c>
      <c r="T312" s="5">
        <v>99</v>
      </c>
      <c r="U312" s="9"/>
      <c r="W312" s="87">
        <f t="shared" si="247"/>
        <v>99</v>
      </c>
      <c r="X312" s="88">
        <f t="shared" si="247"/>
        <v>30</v>
      </c>
      <c r="Y312" s="93">
        <f t="shared" si="248"/>
        <v>212</v>
      </c>
      <c r="Z312" s="91">
        <f t="shared" si="248"/>
        <v>27000</v>
      </c>
      <c r="AA312" s="91">
        <f>K312</f>
        <v>22500</v>
      </c>
      <c r="AB312" s="91">
        <f t="shared" si="249"/>
        <v>4500</v>
      </c>
      <c r="AC312" s="4">
        <f t="shared" si="249"/>
        <v>0.83333333333333337</v>
      </c>
      <c r="AD312" s="92">
        <f t="shared" si="249"/>
        <v>900</v>
      </c>
      <c r="AE312" s="80" t="str">
        <f>S312</f>
        <v>계</v>
      </c>
      <c r="AF312" s="80" t="str">
        <f>Q312&amp;"/"&amp;R312</f>
        <v>3/2</v>
      </c>
      <c r="AH312" s="20" t="str">
        <f t="shared" si="246"/>
        <v>수송동 군산수송제일오투그란데1단지</v>
      </c>
      <c r="AI312" s="88">
        <f t="shared" si="218"/>
        <v>30</v>
      </c>
      <c r="AJ312" s="80" t="str">
        <f>IF(AI312="","",$AJ$2)</f>
        <v>A-</v>
      </c>
      <c r="AK312" s="80" t="s">
        <v>14</v>
      </c>
      <c r="AL312" s="80" t="s">
        <v>63</v>
      </c>
      <c r="AM312" s="80" t="s">
        <v>64</v>
      </c>
      <c r="AN312" s="80" t="str">
        <f>IF(AI312="","",$AN$2)</f>
        <v>C</v>
      </c>
      <c r="AO312" s="80" t="str">
        <f>IF(N312="","",IF(N312&gt;=$AO$1/100,"O","X"))</f>
        <v>O</v>
      </c>
      <c r="AP312" s="80" t="str">
        <f>IF(I312="","",IF(I312&lt;=$AP$1,"O","X"))</f>
        <v>O</v>
      </c>
      <c r="AQ312" s="80" t="str">
        <f>IF(O312="","",IF(O312&lt;=$AQ$1,"O","X"))</f>
        <v>O</v>
      </c>
      <c r="AR312" s="80" t="str">
        <f>IF(M312="","",IF(M312&lt;=$AR$1,"O","X"))</f>
        <v>O</v>
      </c>
      <c r="AS312" s="80" t="s">
        <v>2</v>
      </c>
      <c r="AT312" s="80" t="str">
        <f>IF(OR(F312="",AI312=""),"",IF(AND((F312&lt;=85),(AI312&gt;=15)),"O","X"))</f>
        <v>O</v>
      </c>
      <c r="AU312" s="80" t="str">
        <f>IF(C312="","",IF(C312&gt;=$AU$1,"O","X"))</f>
        <v>O</v>
      </c>
      <c r="AV312" s="80" t="str">
        <f>IF(AO312="","",IF(AND(AO312="O",AP312="O",AR312="O",AT312="O",AU312="O"),"후보","X"))</f>
        <v>후보</v>
      </c>
    </row>
    <row r="313" spans="1:48" s="37" customFormat="1" ht="12" x14ac:dyDescent="0.3">
      <c r="A313" s="75" t="s">
        <v>1547</v>
      </c>
      <c r="B313" s="76" t="s">
        <v>1546</v>
      </c>
      <c r="C313" s="86">
        <v>724</v>
      </c>
      <c r="D313" s="87">
        <v>115.6</v>
      </c>
      <c r="E313" s="88">
        <v>35</v>
      </c>
      <c r="F313" s="87">
        <v>84.9</v>
      </c>
      <c r="G313" s="17">
        <v>26</v>
      </c>
      <c r="H313" s="89">
        <v>206</v>
      </c>
      <c r="I313" s="90">
        <v>32000</v>
      </c>
      <c r="J313" s="90" t="s">
        <v>65</v>
      </c>
      <c r="K313" s="90">
        <v>28000</v>
      </c>
      <c r="L313" s="90" t="s">
        <v>68</v>
      </c>
      <c r="M313" s="91">
        <f>I313-K313</f>
        <v>4000</v>
      </c>
      <c r="N313" s="4">
        <f>IF(ISERROR(K313/I313),"",K313/I313)</f>
        <v>0.875</v>
      </c>
      <c r="O313" s="92">
        <f>I313/E313</f>
        <v>914.28571428571433</v>
      </c>
      <c r="P313" s="92">
        <f>K313/E313</f>
        <v>800</v>
      </c>
      <c r="Q313" s="80">
        <v>3</v>
      </c>
      <c r="R313" s="80">
        <v>2</v>
      </c>
      <c r="S313" s="80" t="s">
        <v>61</v>
      </c>
      <c r="T313" s="5" t="s">
        <v>93</v>
      </c>
      <c r="U313" s="9"/>
      <c r="W313" s="87">
        <f t="shared" si="247"/>
        <v>115.6</v>
      </c>
      <c r="X313" s="88">
        <f t="shared" si="247"/>
        <v>35</v>
      </c>
      <c r="Y313" s="93">
        <f t="shared" si="248"/>
        <v>206</v>
      </c>
      <c r="Z313" s="91">
        <f t="shared" si="248"/>
        <v>32000</v>
      </c>
      <c r="AA313" s="91">
        <f>K313</f>
        <v>28000</v>
      </c>
      <c r="AB313" s="91">
        <f t="shared" si="249"/>
        <v>4000</v>
      </c>
      <c r="AC313" s="4">
        <f t="shared" si="249"/>
        <v>0.875</v>
      </c>
      <c r="AD313" s="92">
        <f t="shared" si="249"/>
        <v>914.28571428571433</v>
      </c>
      <c r="AE313" s="80" t="str">
        <f>S313</f>
        <v>계</v>
      </c>
      <c r="AF313" s="80" t="str">
        <f>Q313&amp;"/"&amp;R313</f>
        <v>3/2</v>
      </c>
      <c r="AH313" s="20" t="str">
        <f t="shared" si="246"/>
        <v>수송동 군산수송제일오투그란데1단지</v>
      </c>
      <c r="AI313" s="88">
        <f t="shared" si="218"/>
        <v>35</v>
      </c>
      <c r="AJ313" s="80" t="str">
        <f>IF(AI313="","",$AJ$2)</f>
        <v>A-</v>
      </c>
      <c r="AK313" s="80" t="s">
        <v>14</v>
      </c>
      <c r="AL313" s="80" t="s">
        <v>63</v>
      </c>
      <c r="AM313" s="80" t="s">
        <v>64</v>
      </c>
      <c r="AN313" s="80" t="str">
        <f>IF(AI313="","",$AN$2)</f>
        <v>C</v>
      </c>
      <c r="AO313" s="80" t="str">
        <f>IF(N313="","",IF(N313&gt;=$AO$1/100,"O","X"))</f>
        <v>O</v>
      </c>
      <c r="AP313" s="80" t="str">
        <f>IF(I313="","",IF(I313&lt;=$AP$1,"O","X"))</f>
        <v>O</v>
      </c>
      <c r="AQ313" s="80" t="str">
        <f>IF(O313="","",IF(O313&lt;=$AQ$1,"O","X"))</f>
        <v>O</v>
      </c>
      <c r="AR313" s="80" t="str">
        <f>IF(M313="","",IF(M313&lt;=$AR$1,"O","X"))</f>
        <v>O</v>
      </c>
      <c r="AS313" s="80" t="s">
        <v>2</v>
      </c>
      <c r="AT313" s="80" t="str">
        <f>IF(OR(F313="",AI313=""),"",IF(AND((F313&lt;=85),(AI313&gt;=15)),"O","X"))</f>
        <v>O</v>
      </c>
      <c r="AU313" s="80" t="str">
        <f>IF(C313="","",IF(C313&gt;=$AU$1,"O","X"))</f>
        <v>O</v>
      </c>
      <c r="AV313" s="80" t="str">
        <f>IF(AO313="","",IF(AND(AO313="O",AP313="O",AR313="O",AT313="O",AU313="O"),"후보","X"))</f>
        <v>후보</v>
      </c>
    </row>
    <row r="314" spans="1:48" s="37" customFormat="1" ht="12" x14ac:dyDescent="0.3">
      <c r="A314" s="75" t="s">
        <v>1547</v>
      </c>
      <c r="B314" s="76" t="s">
        <v>1546</v>
      </c>
      <c r="C314" s="86">
        <v>724</v>
      </c>
      <c r="D314" s="87">
        <v>115.7</v>
      </c>
      <c r="E314" s="88">
        <v>35</v>
      </c>
      <c r="F314" s="87">
        <v>84.9</v>
      </c>
      <c r="G314" s="17">
        <v>26</v>
      </c>
      <c r="H314" s="89">
        <v>160</v>
      </c>
      <c r="I314" s="90"/>
      <c r="J314" s="90"/>
      <c r="K314" s="90"/>
      <c r="L314" s="90"/>
      <c r="M314" s="91">
        <f>I314-K314</f>
        <v>0</v>
      </c>
      <c r="N314" s="4" t="str">
        <f>IF(ISERROR(K314/I314),"",K314/I314)</f>
        <v/>
      </c>
      <c r="O314" s="92">
        <f>I314/E314</f>
        <v>0</v>
      </c>
      <c r="P314" s="92">
        <f>K314/E314</f>
        <v>0</v>
      </c>
      <c r="Q314" s="80">
        <v>3</v>
      </c>
      <c r="R314" s="80">
        <v>2</v>
      </c>
      <c r="S314" s="80" t="s">
        <v>61</v>
      </c>
      <c r="T314" s="5" t="s">
        <v>141</v>
      </c>
      <c r="U314" s="9"/>
      <c r="W314" s="87">
        <f t="shared" si="247"/>
        <v>115.7</v>
      </c>
      <c r="X314" s="88">
        <f t="shared" si="247"/>
        <v>35</v>
      </c>
      <c r="Y314" s="93">
        <f t="shared" si="248"/>
        <v>160</v>
      </c>
      <c r="Z314" s="91">
        <f t="shared" si="248"/>
        <v>0</v>
      </c>
      <c r="AA314" s="91">
        <f>K314</f>
        <v>0</v>
      </c>
      <c r="AB314" s="91">
        <f t="shared" si="249"/>
        <v>0</v>
      </c>
      <c r="AC314" s="4" t="str">
        <f t="shared" si="249"/>
        <v/>
      </c>
      <c r="AD314" s="92">
        <f t="shared" si="249"/>
        <v>0</v>
      </c>
      <c r="AE314" s="80" t="str">
        <f>S314</f>
        <v>계</v>
      </c>
      <c r="AF314" s="80" t="str">
        <f>Q314&amp;"/"&amp;R314</f>
        <v>3/2</v>
      </c>
      <c r="AH314" s="20" t="str">
        <f t="shared" si="246"/>
        <v>수송동 군산수송제일오투그란데1단지</v>
      </c>
      <c r="AI314" s="88">
        <f t="shared" si="218"/>
        <v>35</v>
      </c>
      <c r="AJ314" s="80" t="str">
        <f>IF(AI314="","",$AJ$2)</f>
        <v>A-</v>
      </c>
      <c r="AK314" s="80" t="s">
        <v>14</v>
      </c>
      <c r="AL314" s="80" t="s">
        <v>63</v>
      </c>
      <c r="AM314" s="80" t="s">
        <v>64</v>
      </c>
      <c r="AN314" s="80" t="str">
        <f>IF(AI314="","",$AN$2)</f>
        <v>C</v>
      </c>
      <c r="AO314" s="80" t="str">
        <f>IF(N314="","",IF(N314&gt;=$AO$1/100,"O","X"))</f>
        <v/>
      </c>
      <c r="AP314" s="80" t="str">
        <f>IF(I314="","",IF(I314&lt;=$AP$1,"O","X"))</f>
        <v/>
      </c>
      <c r="AQ314" s="80" t="str">
        <f>IF(O314="","",IF(O314&lt;=$AQ$1,"O","X"))</f>
        <v>O</v>
      </c>
      <c r="AR314" s="80" t="str">
        <f>IF(M314="","",IF(M314&lt;=$AR$1,"O","X"))</f>
        <v>O</v>
      </c>
      <c r="AS314" s="80" t="s">
        <v>2</v>
      </c>
      <c r="AT314" s="80" t="str">
        <f>IF(OR(F314="",AI314=""),"",IF(AND((F314&lt;=85),(AI314&gt;=15)),"O","X"))</f>
        <v>O</v>
      </c>
      <c r="AU314" s="80" t="str">
        <f>IF(C314="","",IF(C314&gt;=$AU$1,"O","X"))</f>
        <v>O</v>
      </c>
      <c r="AV314" s="80" t="str">
        <f>IF(AO314="","",IF(AND(AO314="O",AP314="O",AR314="O",AT314="O",AU314="O"),"후보","X"))</f>
        <v/>
      </c>
    </row>
    <row r="315" spans="1:48" s="37" customFormat="1" ht="12" x14ac:dyDescent="0.3">
      <c r="A315" s="75" t="s">
        <v>1547</v>
      </c>
      <c r="B315" s="76" t="s">
        <v>1546</v>
      </c>
      <c r="C315" s="86">
        <v>724</v>
      </c>
      <c r="D315" s="87">
        <v>115.6</v>
      </c>
      <c r="E315" s="88">
        <v>35</v>
      </c>
      <c r="F315" s="87">
        <v>84.9</v>
      </c>
      <c r="G315" s="17">
        <v>26</v>
      </c>
      <c r="H315" s="89">
        <v>146</v>
      </c>
      <c r="I315" s="90">
        <v>32000</v>
      </c>
      <c r="J315" s="90" t="s">
        <v>65</v>
      </c>
      <c r="K315" s="90">
        <v>28000</v>
      </c>
      <c r="L315" s="90" t="s">
        <v>68</v>
      </c>
      <c r="M315" s="91">
        <f>I315-K315</f>
        <v>4000</v>
      </c>
      <c r="N315" s="4">
        <f>IF(ISERROR(K315/I315),"",K315/I315)</f>
        <v>0.875</v>
      </c>
      <c r="O315" s="92">
        <f>I315/E315</f>
        <v>914.28571428571433</v>
      </c>
      <c r="P315" s="92">
        <f>K315/E315</f>
        <v>800</v>
      </c>
      <c r="Q315" s="80">
        <v>3</v>
      </c>
      <c r="R315" s="80">
        <v>2</v>
      </c>
      <c r="S315" s="80" t="s">
        <v>61</v>
      </c>
      <c r="T315" s="5" t="s">
        <v>94</v>
      </c>
      <c r="U315" s="9"/>
      <c r="W315" s="87">
        <f t="shared" si="247"/>
        <v>115.6</v>
      </c>
      <c r="X315" s="88">
        <f t="shared" si="247"/>
        <v>35</v>
      </c>
      <c r="Y315" s="93">
        <f t="shared" si="248"/>
        <v>146</v>
      </c>
      <c r="Z315" s="91">
        <f t="shared" si="248"/>
        <v>32000</v>
      </c>
      <c r="AA315" s="91">
        <f>K315</f>
        <v>28000</v>
      </c>
      <c r="AB315" s="91">
        <f t="shared" si="249"/>
        <v>4000</v>
      </c>
      <c r="AC315" s="4">
        <f t="shared" si="249"/>
        <v>0.875</v>
      </c>
      <c r="AD315" s="92">
        <f t="shared" si="249"/>
        <v>914.28571428571433</v>
      </c>
      <c r="AE315" s="80" t="str">
        <f>S315</f>
        <v>계</v>
      </c>
      <c r="AF315" s="80" t="str">
        <f>Q315&amp;"/"&amp;R315</f>
        <v>3/2</v>
      </c>
      <c r="AH315" s="20" t="str">
        <f t="shared" si="246"/>
        <v>수송동 군산수송제일오투그란데1단지</v>
      </c>
      <c r="AI315" s="88">
        <f t="shared" si="218"/>
        <v>35</v>
      </c>
      <c r="AJ315" s="80" t="str">
        <f>IF(AI315="","",$AJ$2)</f>
        <v>A-</v>
      </c>
      <c r="AK315" s="80" t="s">
        <v>14</v>
      </c>
      <c r="AL315" s="80" t="s">
        <v>63</v>
      </c>
      <c r="AM315" s="80" t="s">
        <v>64</v>
      </c>
      <c r="AN315" s="80" t="str">
        <f>IF(AI315="","",$AN$2)</f>
        <v>C</v>
      </c>
      <c r="AO315" s="80" t="str">
        <f>IF(N315="","",IF(N315&gt;=$AO$1/100,"O","X"))</f>
        <v>O</v>
      </c>
      <c r="AP315" s="80" t="str">
        <f>IF(I315="","",IF(I315&lt;=$AP$1,"O","X"))</f>
        <v>O</v>
      </c>
      <c r="AQ315" s="80" t="str">
        <f>IF(O315="","",IF(O315&lt;=$AQ$1,"O","X"))</f>
        <v>O</v>
      </c>
      <c r="AR315" s="80" t="str">
        <f>IF(M315="","",IF(M315&lt;=$AR$1,"O","X"))</f>
        <v>O</v>
      </c>
      <c r="AS315" s="80" t="s">
        <v>2</v>
      </c>
      <c r="AT315" s="80" t="str">
        <f>IF(OR(F315="",AI315=""),"",IF(AND((F315&lt;=85),(AI315&gt;=15)),"O","X"))</f>
        <v>O</v>
      </c>
      <c r="AU315" s="80" t="str">
        <f>IF(C315="","",IF(C315&gt;=$AU$1,"O","X"))</f>
        <v>O</v>
      </c>
      <c r="AV315" s="80" t="str">
        <f>IF(AO315="","",IF(AND(AO315="O",AP315="O",AR315="O",AT315="O",AU315="O"),"후보","X"))</f>
        <v>후보</v>
      </c>
    </row>
    <row r="316" spans="1:48" s="37" customFormat="1" ht="12" x14ac:dyDescent="0.3">
      <c r="A316" s="75" t="s">
        <v>1548</v>
      </c>
      <c r="B316" s="76" t="s">
        <v>1549</v>
      </c>
      <c r="C316" s="86">
        <v>240</v>
      </c>
      <c r="D316" s="87">
        <v>62</v>
      </c>
      <c r="E316" s="88">
        <v>19</v>
      </c>
      <c r="F316" s="87">
        <v>62</v>
      </c>
      <c r="G316" s="17">
        <v>19</v>
      </c>
      <c r="H316" s="89">
        <v>30</v>
      </c>
      <c r="I316" s="90"/>
      <c r="J316" s="90"/>
      <c r="K316" s="90"/>
      <c r="L316" s="90"/>
      <c r="M316" s="91">
        <f t="shared" ref="M316:M321" si="250">I316-K316</f>
        <v>0</v>
      </c>
      <c r="N316" s="4" t="str">
        <f t="shared" ref="N316:N321" si="251">IF(ISERROR(K316/I316),"",K316/I316)</f>
        <v/>
      </c>
      <c r="O316" s="92">
        <f t="shared" ref="O316:O321" si="252">I316/E316</f>
        <v>0</v>
      </c>
      <c r="P316" s="92">
        <f t="shared" ref="P316:P321" si="253">K316/E316</f>
        <v>0</v>
      </c>
      <c r="Q316" s="80">
        <v>2</v>
      </c>
      <c r="R316" s="80">
        <v>1</v>
      </c>
      <c r="S316" s="80" t="s">
        <v>61</v>
      </c>
      <c r="T316" s="5">
        <v>61</v>
      </c>
      <c r="U316" s="9"/>
      <c r="W316" s="87">
        <f t="shared" si="247"/>
        <v>62</v>
      </c>
      <c r="X316" s="88">
        <f t="shared" si="247"/>
        <v>19</v>
      </c>
      <c r="Y316" s="93">
        <f t="shared" si="248"/>
        <v>30</v>
      </c>
      <c r="Z316" s="91">
        <f t="shared" si="248"/>
        <v>0</v>
      </c>
      <c r="AA316" s="91">
        <f t="shared" ref="AA316:AA321" si="254">K316</f>
        <v>0</v>
      </c>
      <c r="AB316" s="91">
        <f t="shared" si="249"/>
        <v>0</v>
      </c>
      <c r="AC316" s="4" t="str">
        <f t="shared" si="249"/>
        <v/>
      </c>
      <c r="AD316" s="92">
        <f t="shared" si="249"/>
        <v>0</v>
      </c>
      <c r="AE316" s="80" t="str">
        <f t="shared" ref="AE316:AE321" si="255">S316</f>
        <v>계</v>
      </c>
      <c r="AF316" s="80" t="str">
        <f t="shared" ref="AF316:AF321" si="256">Q316&amp;"/"&amp;R316</f>
        <v>2/1</v>
      </c>
      <c r="AH316" s="20" t="str">
        <f t="shared" si="246"/>
        <v>신풍동 월명</v>
      </c>
      <c r="AI316" s="88">
        <f t="shared" si="218"/>
        <v>19</v>
      </c>
      <c r="AJ316" s="80" t="str">
        <f t="shared" ref="AJ316:AJ321" si="257">IF(AI316="","",$AJ$2)</f>
        <v>A-</v>
      </c>
      <c r="AK316" s="80" t="s">
        <v>14</v>
      </c>
      <c r="AL316" s="80" t="s">
        <v>63</v>
      </c>
      <c r="AM316" s="80" t="s">
        <v>64</v>
      </c>
      <c r="AN316" s="80" t="str">
        <f t="shared" ref="AN316:AN321" si="258">IF(AI316="","",$AN$2)</f>
        <v>C</v>
      </c>
      <c r="AO316" s="80" t="str">
        <f t="shared" ref="AO316:AO321" si="259">IF(N316="","",IF(N316&gt;=$AO$1/100,"O","X"))</f>
        <v/>
      </c>
      <c r="AP316" s="80" t="str">
        <f t="shared" ref="AP316:AP321" si="260">IF(I316="","",IF(I316&lt;=$AP$1,"O","X"))</f>
        <v/>
      </c>
      <c r="AQ316" s="80" t="str">
        <f t="shared" ref="AQ316:AQ321" si="261">IF(O316="","",IF(O316&lt;=$AQ$1,"O","X"))</f>
        <v>O</v>
      </c>
      <c r="AR316" s="80" t="str">
        <f t="shared" ref="AR316:AR321" si="262">IF(M316="","",IF(M316&lt;=$AR$1,"O","X"))</f>
        <v>O</v>
      </c>
      <c r="AS316" s="80" t="s">
        <v>2</v>
      </c>
      <c r="AT316" s="80" t="str">
        <f t="shared" ref="AT316:AT321" si="263">IF(OR(F316="",AI316=""),"",IF(AND((F316&lt;=85),(AI316&gt;=15)),"O","X"))</f>
        <v>O</v>
      </c>
      <c r="AU316" s="80" t="str">
        <f t="shared" ref="AU316:AU321" si="264">IF(C316="","",IF(C316&gt;=$AU$1,"O","X"))</f>
        <v>X</v>
      </c>
      <c r="AV316" s="80" t="str">
        <f t="shared" ref="AV316:AV321" si="265">IF(AO316="","",IF(AND(AO316="O",AP316="O",AR316="O",AT316="O",AU316="O"),"후보","X"))</f>
        <v/>
      </c>
    </row>
    <row r="317" spans="1:48" s="37" customFormat="1" ht="12" x14ac:dyDescent="0.3">
      <c r="A317" s="75" t="s">
        <v>1548</v>
      </c>
      <c r="B317" s="76" t="s">
        <v>1549</v>
      </c>
      <c r="C317" s="86">
        <v>240</v>
      </c>
      <c r="D317" s="87">
        <v>70.7</v>
      </c>
      <c r="E317" s="88">
        <v>21</v>
      </c>
      <c r="F317" s="87">
        <v>70.7</v>
      </c>
      <c r="G317" s="17">
        <v>21</v>
      </c>
      <c r="H317" s="89">
        <v>30</v>
      </c>
      <c r="I317" s="90"/>
      <c r="J317" s="90"/>
      <c r="K317" s="90"/>
      <c r="L317" s="90"/>
      <c r="M317" s="91">
        <f t="shared" si="250"/>
        <v>0</v>
      </c>
      <c r="N317" s="4" t="str">
        <f t="shared" si="251"/>
        <v/>
      </c>
      <c r="O317" s="92">
        <f t="shared" si="252"/>
        <v>0</v>
      </c>
      <c r="P317" s="92">
        <f t="shared" si="253"/>
        <v>0</v>
      </c>
      <c r="Q317" s="80">
        <v>2</v>
      </c>
      <c r="R317" s="80">
        <v>1</v>
      </c>
      <c r="S317" s="80" t="s">
        <v>61</v>
      </c>
      <c r="T317" s="5">
        <v>70</v>
      </c>
      <c r="U317" s="9"/>
      <c r="W317" s="87">
        <f t="shared" ref="W317:X325" si="266">D317</f>
        <v>70.7</v>
      </c>
      <c r="X317" s="88">
        <f t="shared" si="266"/>
        <v>21</v>
      </c>
      <c r="Y317" s="93">
        <f t="shared" ref="Y317:Z325" si="267">H317</f>
        <v>30</v>
      </c>
      <c r="Z317" s="91">
        <f t="shared" si="267"/>
        <v>0</v>
      </c>
      <c r="AA317" s="91">
        <f t="shared" si="254"/>
        <v>0</v>
      </c>
      <c r="AB317" s="91">
        <f t="shared" si="249"/>
        <v>0</v>
      </c>
      <c r="AC317" s="4" t="str">
        <f t="shared" si="249"/>
        <v/>
      </c>
      <c r="AD317" s="92">
        <f t="shared" si="249"/>
        <v>0</v>
      </c>
      <c r="AE317" s="80" t="str">
        <f t="shared" si="255"/>
        <v>계</v>
      </c>
      <c r="AF317" s="80" t="str">
        <f t="shared" si="256"/>
        <v>2/1</v>
      </c>
      <c r="AH317" s="20" t="str">
        <f t="shared" si="246"/>
        <v>신풍동 월명</v>
      </c>
      <c r="AI317" s="88">
        <f t="shared" si="218"/>
        <v>21</v>
      </c>
      <c r="AJ317" s="80" t="str">
        <f t="shared" si="257"/>
        <v>A-</v>
      </c>
      <c r="AK317" s="80" t="s">
        <v>14</v>
      </c>
      <c r="AL317" s="80" t="s">
        <v>63</v>
      </c>
      <c r="AM317" s="80" t="s">
        <v>64</v>
      </c>
      <c r="AN317" s="80" t="str">
        <f t="shared" si="258"/>
        <v>C</v>
      </c>
      <c r="AO317" s="80" t="str">
        <f t="shared" si="259"/>
        <v/>
      </c>
      <c r="AP317" s="80" t="str">
        <f t="shared" si="260"/>
        <v/>
      </c>
      <c r="AQ317" s="80" t="str">
        <f t="shared" si="261"/>
        <v>O</v>
      </c>
      <c r="AR317" s="80" t="str">
        <f t="shared" si="262"/>
        <v>O</v>
      </c>
      <c r="AS317" s="80" t="s">
        <v>2</v>
      </c>
      <c r="AT317" s="80" t="str">
        <f t="shared" si="263"/>
        <v>O</v>
      </c>
      <c r="AU317" s="80" t="str">
        <f t="shared" si="264"/>
        <v>X</v>
      </c>
      <c r="AV317" s="80" t="str">
        <f t="shared" si="265"/>
        <v/>
      </c>
    </row>
    <row r="318" spans="1:48" s="37" customFormat="1" ht="12" x14ac:dyDescent="0.3">
      <c r="A318" s="75" t="s">
        <v>1548</v>
      </c>
      <c r="B318" s="76" t="s">
        <v>1549</v>
      </c>
      <c r="C318" s="86">
        <v>240</v>
      </c>
      <c r="D318" s="87">
        <v>76.099999999999994</v>
      </c>
      <c r="E318" s="88">
        <v>23</v>
      </c>
      <c r="F318" s="87">
        <v>76.099999999999994</v>
      </c>
      <c r="G318" s="17">
        <v>23</v>
      </c>
      <c r="H318" s="89">
        <v>60</v>
      </c>
      <c r="I318" s="90"/>
      <c r="J318" s="90"/>
      <c r="K318" s="90"/>
      <c r="L318" s="90"/>
      <c r="M318" s="91">
        <f t="shared" si="250"/>
        <v>0</v>
      </c>
      <c r="N318" s="4" t="str">
        <f t="shared" si="251"/>
        <v/>
      </c>
      <c r="O318" s="92">
        <f t="shared" si="252"/>
        <v>0</v>
      </c>
      <c r="P318" s="92">
        <f t="shared" si="253"/>
        <v>0</v>
      </c>
      <c r="Q318" s="80">
        <v>3</v>
      </c>
      <c r="R318" s="80">
        <v>1</v>
      </c>
      <c r="S318" s="80" t="s">
        <v>76</v>
      </c>
      <c r="T318" s="5">
        <v>76</v>
      </c>
      <c r="U318" s="9"/>
      <c r="W318" s="87">
        <f t="shared" si="266"/>
        <v>76.099999999999994</v>
      </c>
      <c r="X318" s="88">
        <f t="shared" si="266"/>
        <v>23</v>
      </c>
      <c r="Y318" s="93">
        <f t="shared" si="267"/>
        <v>60</v>
      </c>
      <c r="Z318" s="91">
        <f t="shared" si="267"/>
        <v>0</v>
      </c>
      <c r="AA318" s="91">
        <f t="shared" si="254"/>
        <v>0</v>
      </c>
      <c r="AB318" s="91">
        <f t="shared" si="249"/>
        <v>0</v>
      </c>
      <c r="AC318" s="4" t="str">
        <f t="shared" si="249"/>
        <v/>
      </c>
      <c r="AD318" s="92">
        <f t="shared" si="249"/>
        <v>0</v>
      </c>
      <c r="AE318" s="80" t="str">
        <f t="shared" si="255"/>
        <v>복</v>
      </c>
      <c r="AF318" s="80" t="str">
        <f t="shared" si="256"/>
        <v>3/1</v>
      </c>
      <c r="AH318" s="20" t="str">
        <f t="shared" si="246"/>
        <v>신풍동 월명</v>
      </c>
      <c r="AI318" s="88">
        <f t="shared" si="218"/>
        <v>23</v>
      </c>
      <c r="AJ318" s="80" t="str">
        <f t="shared" si="257"/>
        <v>A-</v>
      </c>
      <c r="AK318" s="80" t="s">
        <v>14</v>
      </c>
      <c r="AL318" s="80" t="s">
        <v>63</v>
      </c>
      <c r="AM318" s="80" t="s">
        <v>64</v>
      </c>
      <c r="AN318" s="80" t="str">
        <f t="shared" si="258"/>
        <v>C</v>
      </c>
      <c r="AO318" s="80" t="str">
        <f t="shared" si="259"/>
        <v/>
      </c>
      <c r="AP318" s="80" t="str">
        <f t="shared" si="260"/>
        <v/>
      </c>
      <c r="AQ318" s="80" t="str">
        <f t="shared" si="261"/>
        <v>O</v>
      </c>
      <c r="AR318" s="80" t="str">
        <f t="shared" si="262"/>
        <v>O</v>
      </c>
      <c r="AS318" s="80" t="s">
        <v>2</v>
      </c>
      <c r="AT318" s="80" t="str">
        <f t="shared" si="263"/>
        <v>O</v>
      </c>
      <c r="AU318" s="80" t="str">
        <f t="shared" si="264"/>
        <v>X</v>
      </c>
      <c r="AV318" s="80" t="str">
        <f t="shared" si="265"/>
        <v/>
      </c>
    </row>
    <row r="319" spans="1:48" s="37" customFormat="1" ht="12" x14ac:dyDescent="0.3">
      <c r="A319" s="75" t="s">
        <v>1548</v>
      </c>
      <c r="B319" s="76" t="s">
        <v>1549</v>
      </c>
      <c r="C319" s="86">
        <v>240</v>
      </c>
      <c r="D319" s="87">
        <v>78.5</v>
      </c>
      <c r="E319" s="88">
        <v>24</v>
      </c>
      <c r="F319" s="87">
        <v>78.5</v>
      </c>
      <c r="G319" s="17">
        <v>24</v>
      </c>
      <c r="H319" s="89">
        <v>60</v>
      </c>
      <c r="I319" s="90"/>
      <c r="J319" s="90"/>
      <c r="K319" s="90"/>
      <c r="L319" s="90"/>
      <c r="M319" s="91">
        <f t="shared" si="250"/>
        <v>0</v>
      </c>
      <c r="N319" s="4" t="str">
        <f t="shared" si="251"/>
        <v/>
      </c>
      <c r="O319" s="92">
        <f t="shared" si="252"/>
        <v>0</v>
      </c>
      <c r="P319" s="92">
        <f t="shared" si="253"/>
        <v>0</v>
      </c>
      <c r="Q319" s="80">
        <v>2</v>
      </c>
      <c r="R319" s="80">
        <v>1</v>
      </c>
      <c r="S319" s="80" t="s">
        <v>61</v>
      </c>
      <c r="T319" s="5">
        <v>78</v>
      </c>
      <c r="U319" s="9"/>
      <c r="W319" s="87">
        <f t="shared" si="266"/>
        <v>78.5</v>
      </c>
      <c r="X319" s="88">
        <f t="shared" si="266"/>
        <v>24</v>
      </c>
      <c r="Y319" s="93">
        <f t="shared" si="267"/>
        <v>60</v>
      </c>
      <c r="Z319" s="91">
        <f t="shared" si="267"/>
        <v>0</v>
      </c>
      <c r="AA319" s="91">
        <f t="shared" si="254"/>
        <v>0</v>
      </c>
      <c r="AB319" s="91">
        <f t="shared" si="249"/>
        <v>0</v>
      </c>
      <c r="AC319" s="4" t="str">
        <f t="shared" si="249"/>
        <v/>
      </c>
      <c r="AD319" s="92">
        <f t="shared" si="249"/>
        <v>0</v>
      </c>
      <c r="AE319" s="80" t="str">
        <f t="shared" si="255"/>
        <v>계</v>
      </c>
      <c r="AF319" s="80" t="str">
        <f t="shared" si="256"/>
        <v>2/1</v>
      </c>
      <c r="AH319" s="20" t="str">
        <f t="shared" si="246"/>
        <v>신풍동 월명</v>
      </c>
      <c r="AI319" s="88">
        <f t="shared" si="218"/>
        <v>24</v>
      </c>
      <c r="AJ319" s="80" t="str">
        <f t="shared" si="257"/>
        <v>A-</v>
      </c>
      <c r="AK319" s="80" t="s">
        <v>14</v>
      </c>
      <c r="AL319" s="80" t="s">
        <v>63</v>
      </c>
      <c r="AM319" s="80" t="s">
        <v>64</v>
      </c>
      <c r="AN319" s="80" t="str">
        <f t="shared" si="258"/>
        <v>C</v>
      </c>
      <c r="AO319" s="80" t="str">
        <f t="shared" si="259"/>
        <v/>
      </c>
      <c r="AP319" s="80" t="str">
        <f t="shared" si="260"/>
        <v/>
      </c>
      <c r="AQ319" s="80" t="str">
        <f t="shared" si="261"/>
        <v>O</v>
      </c>
      <c r="AR319" s="80" t="str">
        <f t="shared" si="262"/>
        <v>O</v>
      </c>
      <c r="AS319" s="80" t="s">
        <v>2</v>
      </c>
      <c r="AT319" s="80" t="str">
        <f t="shared" si="263"/>
        <v>O</v>
      </c>
      <c r="AU319" s="80" t="str">
        <f t="shared" si="264"/>
        <v>X</v>
      </c>
      <c r="AV319" s="80" t="str">
        <f t="shared" si="265"/>
        <v/>
      </c>
    </row>
    <row r="320" spans="1:48" s="37" customFormat="1" ht="12" x14ac:dyDescent="0.3">
      <c r="A320" s="75" t="s">
        <v>1548</v>
      </c>
      <c r="B320" s="76" t="s">
        <v>1549</v>
      </c>
      <c r="C320" s="86">
        <v>240</v>
      </c>
      <c r="D320" s="87">
        <v>81.2</v>
      </c>
      <c r="E320" s="88">
        <v>25</v>
      </c>
      <c r="F320" s="87">
        <v>81.2</v>
      </c>
      <c r="G320" s="17">
        <v>25</v>
      </c>
      <c r="H320" s="89">
        <v>40</v>
      </c>
      <c r="I320" s="90"/>
      <c r="J320" s="90"/>
      <c r="K320" s="90"/>
      <c r="L320" s="90"/>
      <c r="M320" s="91">
        <f t="shared" si="250"/>
        <v>0</v>
      </c>
      <c r="N320" s="4" t="str">
        <f t="shared" si="251"/>
        <v/>
      </c>
      <c r="O320" s="92">
        <f t="shared" si="252"/>
        <v>0</v>
      </c>
      <c r="P320" s="92">
        <f t="shared" si="253"/>
        <v>0</v>
      </c>
      <c r="Q320" s="80">
        <v>3</v>
      </c>
      <c r="R320" s="80">
        <v>1</v>
      </c>
      <c r="S320" s="80" t="s">
        <v>61</v>
      </c>
      <c r="T320" s="5">
        <v>81</v>
      </c>
      <c r="U320" s="9"/>
      <c r="W320" s="87">
        <f t="shared" si="266"/>
        <v>81.2</v>
      </c>
      <c r="X320" s="88">
        <f t="shared" si="266"/>
        <v>25</v>
      </c>
      <c r="Y320" s="93">
        <f t="shared" si="267"/>
        <v>40</v>
      </c>
      <c r="Z320" s="91">
        <f t="shared" si="267"/>
        <v>0</v>
      </c>
      <c r="AA320" s="91">
        <f t="shared" si="254"/>
        <v>0</v>
      </c>
      <c r="AB320" s="91">
        <f t="shared" si="249"/>
        <v>0</v>
      </c>
      <c r="AC320" s="4" t="str">
        <f t="shared" si="249"/>
        <v/>
      </c>
      <c r="AD320" s="92">
        <f t="shared" si="249"/>
        <v>0</v>
      </c>
      <c r="AE320" s="80" t="str">
        <f t="shared" si="255"/>
        <v>계</v>
      </c>
      <c r="AF320" s="80" t="str">
        <f t="shared" si="256"/>
        <v>3/1</v>
      </c>
      <c r="AH320" s="20" t="str">
        <f t="shared" si="246"/>
        <v>신풍동 월명</v>
      </c>
      <c r="AI320" s="88">
        <f t="shared" si="218"/>
        <v>25</v>
      </c>
      <c r="AJ320" s="80" t="str">
        <f t="shared" si="257"/>
        <v>A-</v>
      </c>
      <c r="AK320" s="80" t="s">
        <v>14</v>
      </c>
      <c r="AL320" s="80" t="s">
        <v>63</v>
      </c>
      <c r="AM320" s="80" t="s">
        <v>64</v>
      </c>
      <c r="AN320" s="80" t="str">
        <f t="shared" si="258"/>
        <v>C</v>
      </c>
      <c r="AO320" s="80" t="str">
        <f t="shared" si="259"/>
        <v/>
      </c>
      <c r="AP320" s="80" t="str">
        <f t="shared" si="260"/>
        <v/>
      </c>
      <c r="AQ320" s="80" t="str">
        <f t="shared" si="261"/>
        <v>O</v>
      </c>
      <c r="AR320" s="80" t="str">
        <f t="shared" si="262"/>
        <v>O</v>
      </c>
      <c r="AS320" s="80" t="s">
        <v>2</v>
      </c>
      <c r="AT320" s="80" t="str">
        <f t="shared" si="263"/>
        <v>O</v>
      </c>
      <c r="AU320" s="80" t="str">
        <f t="shared" si="264"/>
        <v>X</v>
      </c>
      <c r="AV320" s="80" t="str">
        <f t="shared" si="265"/>
        <v/>
      </c>
    </row>
    <row r="321" spans="1:48" s="37" customFormat="1" ht="12" x14ac:dyDescent="0.3">
      <c r="A321" s="75" t="s">
        <v>1548</v>
      </c>
      <c r="B321" s="76" t="s">
        <v>1549</v>
      </c>
      <c r="C321" s="86">
        <v>240</v>
      </c>
      <c r="D321" s="87">
        <v>83.6</v>
      </c>
      <c r="E321" s="88">
        <v>25</v>
      </c>
      <c r="F321" s="87">
        <v>83.6</v>
      </c>
      <c r="G321" s="17">
        <v>25</v>
      </c>
      <c r="H321" s="89">
        <v>20</v>
      </c>
      <c r="I321" s="90"/>
      <c r="J321" s="90"/>
      <c r="K321" s="90"/>
      <c r="L321" s="90"/>
      <c r="M321" s="91">
        <f t="shared" si="250"/>
        <v>0</v>
      </c>
      <c r="N321" s="4" t="str">
        <f t="shared" si="251"/>
        <v/>
      </c>
      <c r="O321" s="92">
        <f t="shared" si="252"/>
        <v>0</v>
      </c>
      <c r="P321" s="92">
        <f t="shared" si="253"/>
        <v>0</v>
      </c>
      <c r="Q321" s="80">
        <v>3</v>
      </c>
      <c r="R321" s="80">
        <v>1</v>
      </c>
      <c r="S321" s="80" t="s">
        <v>61</v>
      </c>
      <c r="T321" s="5">
        <v>83</v>
      </c>
      <c r="U321" s="9"/>
      <c r="W321" s="87">
        <f t="shared" si="266"/>
        <v>83.6</v>
      </c>
      <c r="X321" s="88">
        <f t="shared" si="266"/>
        <v>25</v>
      </c>
      <c r="Y321" s="93">
        <f t="shared" si="267"/>
        <v>20</v>
      </c>
      <c r="Z321" s="91">
        <f t="shared" si="267"/>
        <v>0</v>
      </c>
      <c r="AA321" s="91">
        <f t="shared" si="254"/>
        <v>0</v>
      </c>
      <c r="AB321" s="91">
        <f t="shared" si="249"/>
        <v>0</v>
      </c>
      <c r="AC321" s="4" t="str">
        <f t="shared" si="249"/>
        <v/>
      </c>
      <c r="AD321" s="92">
        <f t="shared" si="249"/>
        <v>0</v>
      </c>
      <c r="AE321" s="80" t="str">
        <f t="shared" si="255"/>
        <v>계</v>
      </c>
      <c r="AF321" s="80" t="str">
        <f t="shared" si="256"/>
        <v>3/1</v>
      </c>
      <c r="AH321" s="20" t="str">
        <f t="shared" si="246"/>
        <v>신풍동 월명</v>
      </c>
      <c r="AI321" s="88">
        <f t="shared" si="218"/>
        <v>25</v>
      </c>
      <c r="AJ321" s="80" t="str">
        <f t="shared" si="257"/>
        <v>A-</v>
      </c>
      <c r="AK321" s="80" t="s">
        <v>14</v>
      </c>
      <c r="AL321" s="80" t="s">
        <v>63</v>
      </c>
      <c r="AM321" s="80" t="s">
        <v>64</v>
      </c>
      <c r="AN321" s="80" t="str">
        <f t="shared" si="258"/>
        <v>C</v>
      </c>
      <c r="AO321" s="80" t="str">
        <f t="shared" si="259"/>
        <v/>
      </c>
      <c r="AP321" s="80" t="str">
        <f t="shared" si="260"/>
        <v/>
      </c>
      <c r="AQ321" s="80" t="str">
        <f t="shared" si="261"/>
        <v>O</v>
      </c>
      <c r="AR321" s="80" t="str">
        <f t="shared" si="262"/>
        <v>O</v>
      </c>
      <c r="AS321" s="80" t="s">
        <v>2</v>
      </c>
      <c r="AT321" s="80" t="str">
        <f t="shared" si="263"/>
        <v>O</v>
      </c>
      <c r="AU321" s="80" t="str">
        <f t="shared" si="264"/>
        <v>X</v>
      </c>
      <c r="AV321" s="80" t="str">
        <f t="shared" si="265"/>
        <v/>
      </c>
    </row>
    <row r="322" spans="1:48" s="37" customFormat="1" ht="12" x14ac:dyDescent="0.3">
      <c r="A322" s="75" t="s">
        <v>1550</v>
      </c>
      <c r="B322" s="76" t="s">
        <v>1551</v>
      </c>
      <c r="C322" s="86">
        <v>892</v>
      </c>
      <c r="D322" s="87">
        <v>50.2</v>
      </c>
      <c r="E322" s="88">
        <v>15</v>
      </c>
      <c r="F322" s="87">
        <v>35.4</v>
      </c>
      <c r="G322" s="17">
        <v>11</v>
      </c>
      <c r="H322" s="89">
        <v>4</v>
      </c>
      <c r="I322" s="90">
        <v>8500</v>
      </c>
      <c r="J322" s="90" t="s">
        <v>120</v>
      </c>
      <c r="K322" s="90"/>
      <c r="L322" s="90"/>
      <c r="M322" s="91">
        <f>I322-K322</f>
        <v>8500</v>
      </c>
      <c r="N322" s="4">
        <f>IF(ISERROR(K322/I322),"",K322/I322)</f>
        <v>0</v>
      </c>
      <c r="O322" s="92">
        <f>I322/E322</f>
        <v>566.66666666666663</v>
      </c>
      <c r="P322" s="92">
        <f>K322/E322</f>
        <v>0</v>
      </c>
      <c r="Q322" s="80">
        <v>2</v>
      </c>
      <c r="R322" s="80">
        <v>1</v>
      </c>
      <c r="S322" s="80" t="s">
        <v>61</v>
      </c>
      <c r="T322" s="5">
        <v>50</v>
      </c>
      <c r="U322" s="9"/>
      <c r="W322" s="87">
        <f t="shared" si="266"/>
        <v>50.2</v>
      </c>
      <c r="X322" s="88">
        <f t="shared" si="266"/>
        <v>15</v>
      </c>
      <c r="Y322" s="93">
        <f t="shared" si="267"/>
        <v>4</v>
      </c>
      <c r="Z322" s="91">
        <f t="shared" si="267"/>
        <v>8500</v>
      </c>
      <c r="AA322" s="91">
        <f>K322</f>
        <v>0</v>
      </c>
      <c r="AB322" s="91">
        <f t="shared" si="249"/>
        <v>8500</v>
      </c>
      <c r="AC322" s="4">
        <f t="shared" si="249"/>
        <v>0</v>
      </c>
      <c r="AD322" s="92">
        <f t="shared" si="249"/>
        <v>566.66666666666663</v>
      </c>
      <c r="AE322" s="80" t="str">
        <f>S322</f>
        <v>계</v>
      </c>
      <c r="AF322" s="80" t="str">
        <f>Q322&amp;"/"&amp;R322</f>
        <v>2/1</v>
      </c>
      <c r="AH322" s="20" t="str">
        <f>IF(A322="","",A322)</f>
        <v>오식도동 한성필하우스</v>
      </c>
      <c r="AI322" s="88">
        <f t="shared" si="218"/>
        <v>15</v>
      </c>
      <c r="AJ322" s="80" t="str">
        <f>IF(AI322="","",$AJ$2)</f>
        <v>A-</v>
      </c>
      <c r="AK322" s="80" t="s">
        <v>14</v>
      </c>
      <c r="AL322" s="80" t="s">
        <v>63</v>
      </c>
      <c r="AM322" s="80" t="s">
        <v>64</v>
      </c>
      <c r="AN322" s="80" t="str">
        <f>IF(AI322="","",$AN$2)</f>
        <v>C</v>
      </c>
      <c r="AO322" s="80" t="str">
        <f>IF(N322="","",IF(N322&gt;=$AO$1/100,"O","X"))</f>
        <v>X</v>
      </c>
      <c r="AP322" s="80" t="str">
        <f>IF(I322="","",IF(I322&lt;=$AP$1,"O","X"))</f>
        <v>O</v>
      </c>
      <c r="AQ322" s="80" t="str">
        <f>IF(O322="","",IF(O322&lt;=$AQ$1,"O","X"))</f>
        <v>O</v>
      </c>
      <c r="AR322" s="80" t="str">
        <f>IF(M322="","",IF(M322&lt;=$AR$1,"O","X"))</f>
        <v>X</v>
      </c>
      <c r="AS322" s="80" t="s">
        <v>2</v>
      </c>
      <c r="AT322" s="80" t="str">
        <f>IF(OR(F322="",AI322=""),"",IF(AND((F322&lt;=85),(AI322&gt;=15)),"O","X"))</f>
        <v>O</v>
      </c>
      <c r="AU322" s="80" t="str">
        <f>IF(C322="","",IF(C322&gt;=$AU$1,"O","X"))</f>
        <v>O</v>
      </c>
      <c r="AV322" s="80" t="str">
        <f>IF(AO322="","",IF(AND(AO322="O",AP322="O",AR322="O",AT322="O",AU322="O"),"후보","X"))</f>
        <v>X</v>
      </c>
    </row>
    <row r="323" spans="1:48" s="37" customFormat="1" ht="12" x14ac:dyDescent="0.3">
      <c r="A323" s="75" t="s">
        <v>1550</v>
      </c>
      <c r="B323" s="76" t="s">
        <v>1551</v>
      </c>
      <c r="C323" s="86">
        <v>892</v>
      </c>
      <c r="D323" s="87">
        <v>82.6</v>
      </c>
      <c r="E323" s="88">
        <v>25</v>
      </c>
      <c r="F323" s="87">
        <v>60</v>
      </c>
      <c r="G323" s="17">
        <v>18</v>
      </c>
      <c r="H323" s="89">
        <v>17</v>
      </c>
      <c r="I323" s="90"/>
      <c r="J323" s="90"/>
      <c r="K323" s="90"/>
      <c r="L323" s="90"/>
      <c r="M323" s="91">
        <f>I323-K323</f>
        <v>0</v>
      </c>
      <c r="N323" s="4" t="str">
        <f>IF(ISERROR(K323/I323),"",K323/I323)</f>
        <v/>
      </c>
      <c r="O323" s="92">
        <f>I323/E323</f>
        <v>0</v>
      </c>
      <c r="P323" s="92">
        <f>K323/E323</f>
        <v>0</v>
      </c>
      <c r="Q323" s="80">
        <v>3</v>
      </c>
      <c r="R323" s="80">
        <v>2</v>
      </c>
      <c r="S323" s="80" t="s">
        <v>61</v>
      </c>
      <c r="T323" s="5" t="s">
        <v>90</v>
      </c>
      <c r="U323" s="9"/>
      <c r="W323" s="87">
        <f t="shared" si="266"/>
        <v>82.6</v>
      </c>
      <c r="X323" s="88">
        <f t="shared" si="266"/>
        <v>25</v>
      </c>
      <c r="Y323" s="93">
        <f t="shared" si="267"/>
        <v>17</v>
      </c>
      <c r="Z323" s="91">
        <f t="shared" si="267"/>
        <v>0</v>
      </c>
      <c r="AA323" s="91">
        <f>K323</f>
        <v>0</v>
      </c>
      <c r="AB323" s="91">
        <f t="shared" si="249"/>
        <v>0</v>
      </c>
      <c r="AC323" s="4" t="str">
        <f t="shared" si="249"/>
        <v/>
      </c>
      <c r="AD323" s="92">
        <f t="shared" si="249"/>
        <v>0</v>
      </c>
      <c r="AE323" s="80" t="str">
        <f>S323</f>
        <v>계</v>
      </c>
      <c r="AF323" s="80" t="str">
        <f>Q323&amp;"/"&amp;R323</f>
        <v>3/2</v>
      </c>
      <c r="AH323" s="20" t="str">
        <f>IF(A323="","",A323)</f>
        <v>오식도동 한성필하우스</v>
      </c>
      <c r="AI323" s="88">
        <f t="shared" si="218"/>
        <v>25</v>
      </c>
      <c r="AJ323" s="80" t="str">
        <f>IF(AI323="","",$AJ$2)</f>
        <v>A-</v>
      </c>
      <c r="AK323" s="80" t="s">
        <v>14</v>
      </c>
      <c r="AL323" s="80" t="s">
        <v>63</v>
      </c>
      <c r="AM323" s="80" t="s">
        <v>64</v>
      </c>
      <c r="AN323" s="80" t="str">
        <f>IF(AI323="","",$AN$2)</f>
        <v>C</v>
      </c>
      <c r="AO323" s="80" t="str">
        <f>IF(N323="","",IF(N323&gt;=$AO$1/100,"O","X"))</f>
        <v/>
      </c>
      <c r="AP323" s="80" t="str">
        <f>IF(I323="","",IF(I323&lt;=$AP$1,"O","X"))</f>
        <v/>
      </c>
      <c r="AQ323" s="80" t="str">
        <f>IF(O323="","",IF(O323&lt;=$AQ$1,"O","X"))</f>
        <v>O</v>
      </c>
      <c r="AR323" s="80" t="str">
        <f>IF(M323="","",IF(M323&lt;=$AR$1,"O","X"))</f>
        <v>O</v>
      </c>
      <c r="AS323" s="80" t="s">
        <v>2</v>
      </c>
      <c r="AT323" s="80" t="str">
        <f>IF(OR(F323="",AI323=""),"",IF(AND((F323&lt;=85),(AI323&gt;=15)),"O","X"))</f>
        <v>O</v>
      </c>
      <c r="AU323" s="80" t="str">
        <f>IF(C323="","",IF(C323&gt;=$AU$1,"O","X"))</f>
        <v>O</v>
      </c>
      <c r="AV323" s="80" t="str">
        <f>IF(AO323="","",IF(AND(AO323="O",AP323="O",AR323="O",AT323="O",AU323="O"),"후보","X"))</f>
        <v/>
      </c>
    </row>
    <row r="324" spans="1:48" s="37" customFormat="1" ht="12" x14ac:dyDescent="0.3">
      <c r="A324" s="75" t="s">
        <v>1550</v>
      </c>
      <c r="B324" s="76" t="s">
        <v>1551</v>
      </c>
      <c r="C324" s="86">
        <v>892</v>
      </c>
      <c r="D324" s="87">
        <v>83.8</v>
      </c>
      <c r="E324" s="88">
        <v>25</v>
      </c>
      <c r="F324" s="87">
        <v>60</v>
      </c>
      <c r="G324" s="17">
        <v>18</v>
      </c>
      <c r="H324" s="89">
        <v>51</v>
      </c>
      <c r="I324" s="90">
        <v>12800</v>
      </c>
      <c r="J324" s="90" t="s">
        <v>65</v>
      </c>
      <c r="K324" s="90"/>
      <c r="L324" s="90"/>
      <c r="M324" s="91">
        <f>I324-K324</f>
        <v>12800</v>
      </c>
      <c r="N324" s="4">
        <f>IF(ISERROR(K324/I324),"",K324/I324)</f>
        <v>0</v>
      </c>
      <c r="O324" s="92">
        <f>I324/E324</f>
        <v>512</v>
      </c>
      <c r="P324" s="92">
        <f>K324/E324</f>
        <v>0</v>
      </c>
      <c r="Q324" s="80">
        <v>3</v>
      </c>
      <c r="R324" s="80">
        <v>2</v>
      </c>
      <c r="S324" s="80" t="s">
        <v>61</v>
      </c>
      <c r="T324" s="5" t="s">
        <v>1108</v>
      </c>
      <c r="U324" s="9"/>
      <c r="W324" s="87">
        <f t="shared" si="266"/>
        <v>83.8</v>
      </c>
      <c r="X324" s="88">
        <f t="shared" si="266"/>
        <v>25</v>
      </c>
      <c r="Y324" s="93">
        <f t="shared" si="267"/>
        <v>51</v>
      </c>
      <c r="Z324" s="91">
        <f t="shared" si="267"/>
        <v>12800</v>
      </c>
      <c r="AA324" s="91">
        <f>K324</f>
        <v>0</v>
      </c>
      <c r="AB324" s="91">
        <f t="shared" si="249"/>
        <v>12800</v>
      </c>
      <c r="AC324" s="4">
        <f t="shared" si="249"/>
        <v>0</v>
      </c>
      <c r="AD324" s="92">
        <f t="shared" si="249"/>
        <v>512</v>
      </c>
      <c r="AE324" s="80" t="str">
        <f>S324</f>
        <v>계</v>
      </c>
      <c r="AF324" s="80" t="str">
        <f>Q324&amp;"/"&amp;R324</f>
        <v>3/2</v>
      </c>
      <c r="AH324" s="20" t="str">
        <f>IF(A324="","",A324)</f>
        <v>오식도동 한성필하우스</v>
      </c>
      <c r="AI324" s="88">
        <f t="shared" ref="AI324:AI386" si="268">IF(E324="","",E324)</f>
        <v>25</v>
      </c>
      <c r="AJ324" s="80" t="str">
        <f>IF(AI324="","",$AJ$2)</f>
        <v>A-</v>
      </c>
      <c r="AK324" s="80" t="s">
        <v>14</v>
      </c>
      <c r="AL324" s="80" t="s">
        <v>63</v>
      </c>
      <c r="AM324" s="80" t="s">
        <v>64</v>
      </c>
      <c r="AN324" s="80" t="str">
        <f>IF(AI324="","",$AN$2)</f>
        <v>C</v>
      </c>
      <c r="AO324" s="80" t="str">
        <f>IF(N324="","",IF(N324&gt;=$AO$1/100,"O","X"))</f>
        <v>X</v>
      </c>
      <c r="AP324" s="80" t="str">
        <f>IF(I324="","",IF(I324&lt;=$AP$1,"O","X"))</f>
        <v>O</v>
      </c>
      <c r="AQ324" s="80" t="str">
        <f>IF(O324="","",IF(O324&lt;=$AQ$1,"O","X"))</f>
        <v>O</v>
      </c>
      <c r="AR324" s="80" t="str">
        <f>IF(M324="","",IF(M324&lt;=$AR$1,"O","X"))</f>
        <v>X</v>
      </c>
      <c r="AS324" s="80" t="s">
        <v>2</v>
      </c>
      <c r="AT324" s="80" t="str">
        <f>IF(OR(F324="",AI324=""),"",IF(AND((F324&lt;=85),(AI324&gt;=15)),"O","X"))</f>
        <v>O</v>
      </c>
      <c r="AU324" s="80" t="str">
        <f>IF(C324="","",IF(C324&gt;=$AU$1,"O","X"))</f>
        <v>O</v>
      </c>
      <c r="AV324" s="80" t="str">
        <f>IF(AO324="","",IF(AND(AO324="O",AP324="O",AR324="O",AT324="O",AU324="O"),"후보","X"))</f>
        <v>X</v>
      </c>
    </row>
    <row r="325" spans="1:48" s="37" customFormat="1" ht="12" x14ac:dyDescent="0.3">
      <c r="A325" s="75" t="s">
        <v>1550</v>
      </c>
      <c r="B325" s="76" t="s">
        <v>1551</v>
      </c>
      <c r="C325" s="86">
        <v>892</v>
      </c>
      <c r="D325" s="87">
        <v>84.4</v>
      </c>
      <c r="E325" s="88">
        <v>26</v>
      </c>
      <c r="F325" s="87">
        <v>59.9</v>
      </c>
      <c r="G325" s="17">
        <v>18</v>
      </c>
      <c r="H325" s="89">
        <v>465</v>
      </c>
      <c r="I325" s="90">
        <v>12500</v>
      </c>
      <c r="J325" s="90" t="s">
        <v>70</v>
      </c>
      <c r="K325" s="90">
        <v>8000</v>
      </c>
      <c r="L325" s="90" t="s">
        <v>88</v>
      </c>
      <c r="M325" s="91">
        <f>I325-K325</f>
        <v>4500</v>
      </c>
      <c r="N325" s="4">
        <f>IF(ISERROR(K325/I325),"",K325/I325)</f>
        <v>0.64</v>
      </c>
      <c r="O325" s="92">
        <f>I325/E325</f>
        <v>480.76923076923077</v>
      </c>
      <c r="P325" s="92">
        <f>K325/E325</f>
        <v>307.69230769230768</v>
      </c>
      <c r="Q325" s="80">
        <v>3</v>
      </c>
      <c r="R325" s="80">
        <v>2</v>
      </c>
      <c r="S325" s="80" t="s">
        <v>61</v>
      </c>
      <c r="T325" s="5" t="s">
        <v>131</v>
      </c>
      <c r="U325" s="9"/>
      <c r="W325" s="87">
        <f t="shared" si="266"/>
        <v>84.4</v>
      </c>
      <c r="X325" s="88">
        <f t="shared" si="266"/>
        <v>26</v>
      </c>
      <c r="Y325" s="93">
        <f t="shared" si="267"/>
        <v>465</v>
      </c>
      <c r="Z325" s="91">
        <f t="shared" si="267"/>
        <v>12500</v>
      </c>
      <c r="AA325" s="91">
        <f>K325</f>
        <v>8000</v>
      </c>
      <c r="AB325" s="91">
        <f t="shared" ref="AB325:AD325" si="269">M325</f>
        <v>4500</v>
      </c>
      <c r="AC325" s="4">
        <f t="shared" si="269"/>
        <v>0.64</v>
      </c>
      <c r="AD325" s="92">
        <f t="shared" si="269"/>
        <v>480.76923076923077</v>
      </c>
      <c r="AE325" s="80" t="str">
        <f>S325</f>
        <v>계</v>
      </c>
      <c r="AF325" s="80" t="str">
        <f>Q325&amp;"/"&amp;R325</f>
        <v>3/2</v>
      </c>
      <c r="AH325" s="20" t="str">
        <f>IF(A325="","",A325)</f>
        <v>오식도동 한성필하우스</v>
      </c>
      <c r="AI325" s="88">
        <f t="shared" si="268"/>
        <v>26</v>
      </c>
      <c r="AJ325" s="80" t="str">
        <f>IF(AI325="","",$AJ$2)</f>
        <v>A-</v>
      </c>
      <c r="AK325" s="80" t="s">
        <v>14</v>
      </c>
      <c r="AL325" s="80" t="s">
        <v>63</v>
      </c>
      <c r="AM325" s="80" t="s">
        <v>64</v>
      </c>
      <c r="AN325" s="80" t="str">
        <f>IF(AI325="","",$AN$2)</f>
        <v>C</v>
      </c>
      <c r="AO325" s="80" t="str">
        <f>IF(N325="","",IF(N325&gt;=$AO$1/100,"O","X"))</f>
        <v>X</v>
      </c>
      <c r="AP325" s="80" t="str">
        <f>IF(I325="","",IF(I325&lt;=$AP$1,"O","X"))</f>
        <v>O</v>
      </c>
      <c r="AQ325" s="80" t="str">
        <f>IF(O325="","",IF(O325&lt;=$AQ$1,"O","X"))</f>
        <v>O</v>
      </c>
      <c r="AR325" s="80" t="str">
        <f>IF(M325="","",IF(M325&lt;=$AR$1,"O","X"))</f>
        <v>O</v>
      </c>
      <c r="AS325" s="80" t="s">
        <v>2</v>
      </c>
      <c r="AT325" s="80" t="str">
        <f>IF(OR(F325="",AI325=""),"",IF(AND((F325&lt;=85),(AI325&gt;=15)),"O","X"))</f>
        <v>O</v>
      </c>
      <c r="AU325" s="80" t="str">
        <f>IF(C325="","",IF(C325&gt;=$AU$1,"O","X"))</f>
        <v>O</v>
      </c>
      <c r="AV325" s="80" t="str">
        <f>IF(AO325="","",IF(AND(AO325="O",AP325="O",AR325="O",AT325="O",AU325="O"),"후보","X"))</f>
        <v>X</v>
      </c>
    </row>
    <row r="326" spans="1:48" s="37" customFormat="1" ht="12" x14ac:dyDescent="0.3">
      <c r="A326" s="75" t="s">
        <v>1552</v>
      </c>
      <c r="B326" s="76" t="s">
        <v>1553</v>
      </c>
      <c r="C326" s="86">
        <v>449</v>
      </c>
      <c r="D326" s="87">
        <v>110.9</v>
      </c>
      <c r="E326" s="88">
        <v>34</v>
      </c>
      <c r="F326" s="87">
        <v>85</v>
      </c>
      <c r="G326" s="17">
        <v>26</v>
      </c>
      <c r="H326" s="89">
        <v>449</v>
      </c>
      <c r="I326" s="90">
        <v>27500</v>
      </c>
      <c r="J326" s="90" t="s">
        <v>80</v>
      </c>
      <c r="K326" s="90">
        <v>23000</v>
      </c>
      <c r="L326" s="90" t="s">
        <v>71</v>
      </c>
      <c r="M326" s="91">
        <f>I326-K326</f>
        <v>4500</v>
      </c>
      <c r="N326" s="4">
        <f>IF(ISERROR(K326/I326),"",K326/I326)</f>
        <v>0.83636363636363631</v>
      </c>
      <c r="O326" s="92">
        <f>I326/E326</f>
        <v>808.82352941176475</v>
      </c>
      <c r="P326" s="92">
        <f>K326/E326</f>
        <v>676.47058823529414</v>
      </c>
      <c r="Q326" s="80">
        <v>3</v>
      </c>
      <c r="R326" s="80">
        <v>2</v>
      </c>
      <c r="S326" s="80" t="s">
        <v>61</v>
      </c>
      <c r="T326" s="5">
        <v>110</v>
      </c>
      <c r="U326" s="9"/>
      <c r="W326" s="87">
        <f>D326</f>
        <v>110.9</v>
      </c>
      <c r="X326" s="88">
        <f>E326</f>
        <v>34</v>
      </c>
      <c r="Y326" s="93">
        <f>H326</f>
        <v>449</v>
      </c>
      <c r="Z326" s="91">
        <f>I326</f>
        <v>27500</v>
      </c>
      <c r="AA326" s="91">
        <f>K326</f>
        <v>23000</v>
      </c>
      <c r="AB326" s="91">
        <f>M326</f>
        <v>4500</v>
      </c>
      <c r="AC326" s="4">
        <f>N326</f>
        <v>0.83636363636363631</v>
      </c>
      <c r="AD326" s="92">
        <f>O326</f>
        <v>808.82352941176475</v>
      </c>
      <c r="AE326" s="80" t="str">
        <f>S326</f>
        <v>계</v>
      </c>
      <c r="AF326" s="80" t="str">
        <f>Q326&amp;"/"&amp;R326</f>
        <v>3/2</v>
      </c>
      <c r="AH326" s="20" t="str">
        <f t="shared" ref="AH326:AH329" si="270">IF(A326="","",A326)</f>
        <v>옥산면 힐스테이트은파</v>
      </c>
      <c r="AI326" s="88">
        <f t="shared" si="268"/>
        <v>34</v>
      </c>
      <c r="AJ326" s="80" t="str">
        <f>IF(AI326="","",$AJ$2)</f>
        <v>A-</v>
      </c>
      <c r="AK326" s="80" t="s">
        <v>14</v>
      </c>
      <c r="AL326" s="80" t="s">
        <v>63</v>
      </c>
      <c r="AM326" s="80" t="s">
        <v>64</v>
      </c>
      <c r="AN326" s="80" t="str">
        <f>IF(AI326="","",$AN$2)</f>
        <v>C</v>
      </c>
      <c r="AO326" s="80" t="str">
        <f>IF(N326="","",IF(N326&gt;=$AO$1/100,"O","X"))</f>
        <v>O</v>
      </c>
      <c r="AP326" s="80" t="str">
        <f>IF(I326="","",IF(I326&lt;=$AP$1,"O","X"))</f>
        <v>O</v>
      </c>
      <c r="AQ326" s="80" t="str">
        <f>IF(O326="","",IF(O326&lt;=$AQ$1,"O","X"))</f>
        <v>O</v>
      </c>
      <c r="AR326" s="80" t="str">
        <f>IF(M326="","",IF(M326&lt;=$AR$1,"O","X"))</f>
        <v>O</v>
      </c>
      <c r="AS326" s="80" t="s">
        <v>2</v>
      </c>
      <c r="AT326" s="80" t="str">
        <f>IF(OR(F326="",AI326=""),"",IF(AND((F326&lt;=85),(AI326&gt;=15)),"O","X"))</f>
        <v>O</v>
      </c>
      <c r="AU326" s="80" t="str">
        <f>IF(C326="","",IF(C326&gt;=$AU$1,"O","X"))</f>
        <v>O</v>
      </c>
      <c r="AV326" s="80" t="str">
        <f>IF(AO326="","",IF(AND(AO326="O",AP326="O",AR326="O",AT326="O",AU326="O"),"후보","X"))</f>
        <v>후보</v>
      </c>
    </row>
    <row r="327" spans="1:48" s="37" customFormat="1" ht="12" x14ac:dyDescent="0.3">
      <c r="A327" s="75" t="s">
        <v>1554</v>
      </c>
      <c r="B327" s="76" t="s">
        <v>1555</v>
      </c>
      <c r="C327" s="86">
        <v>469</v>
      </c>
      <c r="D327" s="87">
        <v>109.8</v>
      </c>
      <c r="E327" s="88">
        <v>33</v>
      </c>
      <c r="F327" s="87">
        <v>85</v>
      </c>
      <c r="G327" s="17">
        <v>26</v>
      </c>
      <c r="H327" s="89">
        <v>380</v>
      </c>
      <c r="I327" s="90">
        <v>31000</v>
      </c>
      <c r="J327" s="90" t="s">
        <v>77</v>
      </c>
      <c r="K327" s="90">
        <v>30000</v>
      </c>
      <c r="L327" s="90" t="s">
        <v>81</v>
      </c>
      <c r="M327" s="91">
        <f>I327-K327</f>
        <v>1000</v>
      </c>
      <c r="N327" s="4">
        <f>IF(ISERROR(K327/I327),"",K327/I327)</f>
        <v>0.967741935483871</v>
      </c>
      <c r="O327" s="92">
        <f>I327/E327</f>
        <v>939.39393939393938</v>
      </c>
      <c r="P327" s="92">
        <f>K327/E327</f>
        <v>909.09090909090912</v>
      </c>
      <c r="Q327" s="80">
        <v>3</v>
      </c>
      <c r="R327" s="80">
        <v>2</v>
      </c>
      <c r="S327" s="80" t="s">
        <v>61</v>
      </c>
      <c r="T327" s="5" t="s">
        <v>123</v>
      </c>
      <c r="U327" s="9"/>
      <c r="W327" s="87">
        <f t="shared" ref="W327:X342" si="271">D327</f>
        <v>109.8</v>
      </c>
      <c r="X327" s="88">
        <f t="shared" si="271"/>
        <v>33</v>
      </c>
      <c r="Y327" s="93">
        <f t="shared" ref="Y327:Z342" si="272">H327</f>
        <v>380</v>
      </c>
      <c r="Z327" s="91">
        <f t="shared" si="272"/>
        <v>31000</v>
      </c>
      <c r="AA327" s="91">
        <f>K327</f>
        <v>30000</v>
      </c>
      <c r="AB327" s="91">
        <f t="shared" ref="AB327:AD342" si="273">M327</f>
        <v>1000</v>
      </c>
      <c r="AC327" s="4">
        <f t="shared" si="273"/>
        <v>0.967741935483871</v>
      </c>
      <c r="AD327" s="92">
        <f t="shared" si="273"/>
        <v>939.39393939393938</v>
      </c>
      <c r="AE327" s="80" t="str">
        <f>S327</f>
        <v>계</v>
      </c>
      <c r="AF327" s="80" t="str">
        <f>Q327&amp;"/"&amp;R327</f>
        <v>3/2</v>
      </c>
      <c r="AH327" s="20" t="str">
        <f t="shared" si="270"/>
        <v>옥산면 군산대광로제비앙</v>
      </c>
      <c r="AI327" s="88">
        <f t="shared" si="268"/>
        <v>33</v>
      </c>
      <c r="AJ327" s="80" t="str">
        <f>IF(AI327="","",$AJ$2)</f>
        <v>A-</v>
      </c>
      <c r="AK327" s="80" t="s">
        <v>14</v>
      </c>
      <c r="AL327" s="80" t="s">
        <v>63</v>
      </c>
      <c r="AM327" s="80" t="s">
        <v>64</v>
      </c>
      <c r="AN327" s="80" t="str">
        <f>IF(AI327="","",$AN$2)</f>
        <v>C</v>
      </c>
      <c r="AO327" s="80" t="str">
        <f>IF(N327="","",IF(N327&gt;=$AO$1/100,"O","X"))</f>
        <v>O</v>
      </c>
      <c r="AP327" s="80" t="str">
        <f>IF(I327="","",IF(I327&lt;=$AP$1,"O","X"))</f>
        <v>O</v>
      </c>
      <c r="AQ327" s="80" t="str">
        <f>IF(O327="","",IF(O327&lt;=$AQ$1,"O","X"))</f>
        <v>O</v>
      </c>
      <c r="AR327" s="80" t="str">
        <f>IF(M327="","",IF(M327&lt;=$AR$1,"O","X"))</f>
        <v>O</v>
      </c>
      <c r="AS327" s="80" t="s">
        <v>2</v>
      </c>
      <c r="AT327" s="80" t="str">
        <f>IF(OR(F327="",AI327=""),"",IF(AND((F327&lt;=85),(AI327&gt;=15)),"O","X"))</f>
        <v>O</v>
      </c>
      <c r="AU327" s="80" t="str">
        <f>IF(C327="","",IF(C327&gt;=$AU$1,"O","X"))</f>
        <v>O</v>
      </c>
      <c r="AV327" s="80" t="str">
        <f>IF(AO327="","",IF(AND(AO327="O",AP327="O",AR327="O",AT327="O",AU327="O"),"후보","X"))</f>
        <v>후보</v>
      </c>
    </row>
    <row r="328" spans="1:48" s="37" customFormat="1" ht="12" x14ac:dyDescent="0.3">
      <c r="A328" s="75" t="s">
        <v>1554</v>
      </c>
      <c r="B328" s="76" t="s">
        <v>1555</v>
      </c>
      <c r="C328" s="86">
        <v>469</v>
      </c>
      <c r="D328" s="87">
        <v>111.4</v>
      </c>
      <c r="E328" s="88">
        <v>34</v>
      </c>
      <c r="F328" s="87">
        <v>85</v>
      </c>
      <c r="G328" s="17">
        <v>26</v>
      </c>
      <c r="H328" s="89">
        <v>46</v>
      </c>
      <c r="I328" s="90">
        <v>31500</v>
      </c>
      <c r="J328" s="90" t="s">
        <v>70</v>
      </c>
      <c r="K328" s="90">
        <v>25000</v>
      </c>
      <c r="L328" s="90" t="s">
        <v>124</v>
      </c>
      <c r="M328" s="91">
        <f>I328-K328</f>
        <v>6500</v>
      </c>
      <c r="N328" s="4">
        <f>IF(ISERROR(K328/I328),"",K328/I328)</f>
        <v>0.79365079365079361</v>
      </c>
      <c r="O328" s="92">
        <f>I328/E328</f>
        <v>926.47058823529414</v>
      </c>
      <c r="P328" s="92">
        <f>K328/E328</f>
        <v>735.29411764705878</v>
      </c>
      <c r="Q328" s="80">
        <v>3</v>
      </c>
      <c r="R328" s="80">
        <v>2</v>
      </c>
      <c r="S328" s="80" t="s">
        <v>61</v>
      </c>
      <c r="T328" s="5" t="s">
        <v>78</v>
      </c>
      <c r="U328" s="9"/>
      <c r="W328" s="87">
        <f t="shared" si="271"/>
        <v>111.4</v>
      </c>
      <c r="X328" s="88">
        <f t="shared" si="271"/>
        <v>34</v>
      </c>
      <c r="Y328" s="93">
        <f t="shared" si="272"/>
        <v>46</v>
      </c>
      <c r="Z328" s="91">
        <f t="shared" si="272"/>
        <v>31500</v>
      </c>
      <c r="AA328" s="91">
        <f>K328</f>
        <v>25000</v>
      </c>
      <c r="AB328" s="91">
        <f t="shared" si="273"/>
        <v>6500</v>
      </c>
      <c r="AC328" s="4">
        <f t="shared" si="273"/>
        <v>0.79365079365079361</v>
      </c>
      <c r="AD328" s="92">
        <f t="shared" si="273"/>
        <v>926.47058823529414</v>
      </c>
      <c r="AE328" s="80" t="str">
        <f>S328</f>
        <v>계</v>
      </c>
      <c r="AF328" s="80" t="str">
        <f>Q328&amp;"/"&amp;R328</f>
        <v>3/2</v>
      </c>
      <c r="AH328" s="20" t="str">
        <f t="shared" si="270"/>
        <v>옥산면 군산대광로제비앙</v>
      </c>
      <c r="AI328" s="88">
        <f t="shared" si="268"/>
        <v>34</v>
      </c>
      <c r="AJ328" s="80" t="str">
        <f>IF(AI328="","",$AJ$2)</f>
        <v>A-</v>
      </c>
      <c r="AK328" s="80" t="s">
        <v>14</v>
      </c>
      <c r="AL328" s="80" t="s">
        <v>63</v>
      </c>
      <c r="AM328" s="80" t="s">
        <v>64</v>
      </c>
      <c r="AN328" s="80" t="str">
        <f>IF(AI328="","",$AN$2)</f>
        <v>C</v>
      </c>
      <c r="AO328" s="80" t="str">
        <f>IF(N328="","",IF(N328&gt;=$AO$1/100,"O","X"))</f>
        <v>X</v>
      </c>
      <c r="AP328" s="80" t="str">
        <f>IF(I328="","",IF(I328&lt;=$AP$1,"O","X"))</f>
        <v>O</v>
      </c>
      <c r="AQ328" s="80" t="str">
        <f>IF(O328="","",IF(O328&lt;=$AQ$1,"O","X"))</f>
        <v>O</v>
      </c>
      <c r="AR328" s="80" t="str">
        <f>IF(M328="","",IF(M328&lt;=$AR$1,"O","X"))</f>
        <v>X</v>
      </c>
      <c r="AS328" s="80" t="s">
        <v>2</v>
      </c>
      <c r="AT328" s="80" t="str">
        <f>IF(OR(F328="",AI328=""),"",IF(AND((F328&lt;=85),(AI328&gt;=15)),"O","X"))</f>
        <v>O</v>
      </c>
      <c r="AU328" s="80" t="str">
        <f>IF(C328="","",IF(C328&gt;=$AU$1,"O","X"))</f>
        <v>O</v>
      </c>
      <c r="AV328" s="80" t="str">
        <f>IF(AO328="","",IF(AND(AO328="O",AP328="O",AR328="O",AT328="O",AU328="O"),"후보","X"))</f>
        <v>X</v>
      </c>
    </row>
    <row r="329" spans="1:48" s="37" customFormat="1" ht="12" x14ac:dyDescent="0.3">
      <c r="A329" s="75" t="s">
        <v>1554</v>
      </c>
      <c r="B329" s="76" t="s">
        <v>1555</v>
      </c>
      <c r="C329" s="86">
        <v>469</v>
      </c>
      <c r="D329" s="87">
        <v>111.6</v>
      </c>
      <c r="E329" s="88">
        <v>34</v>
      </c>
      <c r="F329" s="87">
        <v>85</v>
      </c>
      <c r="G329" s="17">
        <v>26</v>
      </c>
      <c r="H329" s="89">
        <v>43</v>
      </c>
      <c r="I329" s="90"/>
      <c r="J329" s="90"/>
      <c r="K329" s="90"/>
      <c r="L329" s="90"/>
      <c r="M329" s="91">
        <f>I329-K329</f>
        <v>0</v>
      </c>
      <c r="N329" s="4" t="str">
        <f>IF(ISERROR(K329/I329),"",K329/I329)</f>
        <v/>
      </c>
      <c r="O329" s="92">
        <f>I329/E329</f>
        <v>0</v>
      </c>
      <c r="P329" s="92">
        <f>K329/E329</f>
        <v>0</v>
      </c>
      <c r="Q329" s="80">
        <v>3</v>
      </c>
      <c r="R329" s="80">
        <v>2</v>
      </c>
      <c r="S329" s="80" t="s">
        <v>61</v>
      </c>
      <c r="T329" s="5" t="s">
        <v>79</v>
      </c>
      <c r="U329" s="9"/>
      <c r="W329" s="87">
        <f t="shared" si="271"/>
        <v>111.6</v>
      </c>
      <c r="X329" s="88">
        <f t="shared" si="271"/>
        <v>34</v>
      </c>
      <c r="Y329" s="93">
        <f t="shared" si="272"/>
        <v>43</v>
      </c>
      <c r="Z329" s="91">
        <f t="shared" si="272"/>
        <v>0</v>
      </c>
      <c r="AA329" s="91">
        <f>K329</f>
        <v>0</v>
      </c>
      <c r="AB329" s="91">
        <f t="shared" si="273"/>
        <v>0</v>
      </c>
      <c r="AC329" s="4" t="str">
        <f t="shared" si="273"/>
        <v/>
      </c>
      <c r="AD329" s="92">
        <f t="shared" si="273"/>
        <v>0</v>
      </c>
      <c r="AE329" s="80" t="str">
        <f>S329</f>
        <v>계</v>
      </c>
      <c r="AF329" s="80" t="str">
        <f>Q329&amp;"/"&amp;R329</f>
        <v>3/2</v>
      </c>
      <c r="AH329" s="20" t="str">
        <f t="shared" si="270"/>
        <v>옥산면 군산대광로제비앙</v>
      </c>
      <c r="AI329" s="88">
        <f t="shared" si="268"/>
        <v>34</v>
      </c>
      <c r="AJ329" s="80" t="str">
        <f>IF(AI329="","",$AJ$2)</f>
        <v>A-</v>
      </c>
      <c r="AK329" s="80" t="s">
        <v>14</v>
      </c>
      <c r="AL329" s="80" t="s">
        <v>63</v>
      </c>
      <c r="AM329" s="80" t="s">
        <v>64</v>
      </c>
      <c r="AN329" s="80" t="str">
        <f>IF(AI329="","",$AN$2)</f>
        <v>C</v>
      </c>
      <c r="AO329" s="80" t="str">
        <f>IF(N329="","",IF(N329&gt;=$AO$1/100,"O","X"))</f>
        <v/>
      </c>
      <c r="AP329" s="80" t="str">
        <f>IF(I329="","",IF(I329&lt;=$AP$1,"O","X"))</f>
        <v/>
      </c>
      <c r="AQ329" s="80" t="str">
        <f>IF(O329="","",IF(O329&lt;=$AQ$1,"O","X"))</f>
        <v>O</v>
      </c>
      <c r="AR329" s="80" t="str">
        <f>IF(M329="","",IF(M329&lt;=$AR$1,"O","X"))</f>
        <v>O</v>
      </c>
      <c r="AS329" s="80" t="s">
        <v>2</v>
      </c>
      <c r="AT329" s="80" t="str">
        <f>IF(OR(F329="",AI329=""),"",IF(AND((F329&lt;=85),(AI329&gt;=15)),"O","X"))</f>
        <v>O</v>
      </c>
      <c r="AU329" s="80" t="str">
        <f>IF(C329="","",IF(C329&gt;=$AU$1,"O","X"))</f>
        <v>O</v>
      </c>
      <c r="AV329" s="80" t="str">
        <f>IF(AO329="","",IF(AND(AO329="O",AP329="O",AR329="O",AT329="O",AU329="O"),"후보","X"))</f>
        <v/>
      </c>
    </row>
    <row r="330" spans="1:48" s="37" customFormat="1" ht="12" x14ac:dyDescent="0.3">
      <c r="A330" s="75" t="s">
        <v>1556</v>
      </c>
      <c r="B330" s="76" t="s">
        <v>1557</v>
      </c>
      <c r="C330" s="86">
        <v>210</v>
      </c>
      <c r="D330" s="87">
        <v>126.8</v>
      </c>
      <c r="E330" s="88">
        <v>38</v>
      </c>
      <c r="F330" s="87">
        <v>101.7</v>
      </c>
      <c r="G330" s="17">
        <v>31</v>
      </c>
      <c r="H330" s="89">
        <v>120</v>
      </c>
      <c r="I330" s="90"/>
      <c r="J330" s="90"/>
      <c r="K330" s="90"/>
      <c r="L330" s="90"/>
      <c r="M330" s="91">
        <f>I330-K330</f>
        <v>0</v>
      </c>
      <c r="N330" s="4" t="str">
        <f>IF(ISERROR(K330/I330),"",K330/I330)</f>
        <v/>
      </c>
      <c r="O330" s="92">
        <f>I330/E330</f>
        <v>0</v>
      </c>
      <c r="P330" s="92">
        <f>K330/E330</f>
        <v>0</v>
      </c>
      <c r="Q330" s="80">
        <v>3</v>
      </c>
      <c r="R330" s="80">
        <v>2</v>
      </c>
      <c r="S330" s="80" t="s">
        <v>61</v>
      </c>
      <c r="T330" s="5">
        <v>126</v>
      </c>
      <c r="U330" s="9"/>
      <c r="W330" s="87">
        <f t="shared" si="271"/>
        <v>126.8</v>
      </c>
      <c r="X330" s="88">
        <f t="shared" si="271"/>
        <v>38</v>
      </c>
      <c r="Y330" s="93">
        <f t="shared" si="272"/>
        <v>120</v>
      </c>
      <c r="Z330" s="91">
        <f t="shared" si="272"/>
        <v>0</v>
      </c>
      <c r="AA330" s="91">
        <f>K330</f>
        <v>0</v>
      </c>
      <c r="AB330" s="91">
        <f t="shared" si="273"/>
        <v>0</v>
      </c>
      <c r="AC330" s="4" t="str">
        <f t="shared" si="273"/>
        <v/>
      </c>
      <c r="AD330" s="92">
        <f t="shared" si="273"/>
        <v>0</v>
      </c>
      <c r="AE330" s="80" t="str">
        <f>S330</f>
        <v>계</v>
      </c>
      <c r="AF330" s="80" t="str">
        <f>Q330&amp;"/"&amp;R330</f>
        <v>3/2</v>
      </c>
      <c r="AH330" s="20" t="str">
        <f>IF(A330="","",A330)</f>
        <v>월명동 클래시움</v>
      </c>
      <c r="AI330" s="88">
        <f t="shared" si="268"/>
        <v>38</v>
      </c>
      <c r="AJ330" s="80" t="str">
        <f>IF(AI330="","",$AJ$2)</f>
        <v>A-</v>
      </c>
      <c r="AK330" s="80" t="s">
        <v>14</v>
      </c>
      <c r="AL330" s="80" t="s">
        <v>63</v>
      </c>
      <c r="AM330" s="80" t="s">
        <v>64</v>
      </c>
      <c r="AN330" s="80" t="str">
        <f>IF(AI330="","",$AN$2)</f>
        <v>C</v>
      </c>
      <c r="AO330" s="80" t="str">
        <f>IF(N330="","",IF(N330&gt;=$AO$1/100,"O","X"))</f>
        <v/>
      </c>
      <c r="AP330" s="80" t="str">
        <f>IF(I330="","",IF(I330&lt;=$AP$1,"O","X"))</f>
        <v/>
      </c>
      <c r="AQ330" s="80" t="str">
        <f>IF(O330="","",IF(O330&lt;=$AQ$1,"O","X"))</f>
        <v>O</v>
      </c>
      <c r="AR330" s="80" t="str">
        <f>IF(M330="","",IF(M330&lt;=$AR$1,"O","X"))</f>
        <v>O</v>
      </c>
      <c r="AS330" s="80" t="s">
        <v>2</v>
      </c>
      <c r="AT330" s="80" t="str">
        <f>IF(OR(F330="",AI330=""),"",IF(AND((F330&lt;=85),(AI330&gt;=15)),"O","X"))</f>
        <v>X</v>
      </c>
      <c r="AU330" s="80" t="str">
        <f>IF(C330="","",IF(C330&gt;=$AU$1,"O","X"))</f>
        <v>X</v>
      </c>
      <c r="AV330" s="80" t="str">
        <f>IF(AO330="","",IF(AND(AO330="O",AP330="O",AR330="O",AT330="O",AU330="O"),"후보","X"))</f>
        <v/>
      </c>
    </row>
    <row r="331" spans="1:48" s="37" customFormat="1" ht="12" x14ac:dyDescent="0.3">
      <c r="A331" s="75" t="s">
        <v>1556</v>
      </c>
      <c r="B331" s="76" t="s">
        <v>1557</v>
      </c>
      <c r="C331" s="86">
        <v>210</v>
      </c>
      <c r="D331" s="87">
        <v>165</v>
      </c>
      <c r="E331" s="88">
        <v>50</v>
      </c>
      <c r="F331" s="87">
        <v>142.1</v>
      </c>
      <c r="G331" s="17">
        <v>43</v>
      </c>
      <c r="H331" s="89">
        <v>30</v>
      </c>
      <c r="I331" s="90"/>
      <c r="J331" s="90"/>
      <c r="K331" s="90"/>
      <c r="L331" s="90"/>
      <c r="M331" s="91">
        <f>I331-K331</f>
        <v>0</v>
      </c>
      <c r="N331" s="4" t="str">
        <f>IF(ISERROR(K331/I331),"",K331/I331)</f>
        <v/>
      </c>
      <c r="O331" s="92">
        <f>I331/E331</f>
        <v>0</v>
      </c>
      <c r="P331" s="92">
        <f>K331/E331</f>
        <v>0</v>
      </c>
      <c r="Q331" s="80">
        <v>4</v>
      </c>
      <c r="R331" s="80">
        <v>2</v>
      </c>
      <c r="S331" s="80" t="s">
        <v>61</v>
      </c>
      <c r="T331" s="5">
        <v>164</v>
      </c>
      <c r="U331" s="9"/>
      <c r="W331" s="87">
        <f t="shared" si="271"/>
        <v>165</v>
      </c>
      <c r="X331" s="88">
        <f t="shared" si="271"/>
        <v>50</v>
      </c>
      <c r="Y331" s="93">
        <f t="shared" si="272"/>
        <v>30</v>
      </c>
      <c r="Z331" s="91">
        <f t="shared" si="272"/>
        <v>0</v>
      </c>
      <c r="AA331" s="91">
        <f>K331</f>
        <v>0</v>
      </c>
      <c r="AB331" s="91">
        <f t="shared" si="273"/>
        <v>0</v>
      </c>
      <c r="AC331" s="4" t="str">
        <f t="shared" si="273"/>
        <v/>
      </c>
      <c r="AD331" s="92">
        <f t="shared" si="273"/>
        <v>0</v>
      </c>
      <c r="AE331" s="80" t="str">
        <f>S331</f>
        <v>계</v>
      </c>
      <c r="AF331" s="80" t="str">
        <f>Q331&amp;"/"&amp;R331</f>
        <v>4/2</v>
      </c>
      <c r="AH331" s="20" t="str">
        <f>IF(A331="","",A331)</f>
        <v>월명동 클래시움</v>
      </c>
      <c r="AI331" s="88">
        <f t="shared" si="268"/>
        <v>50</v>
      </c>
      <c r="AJ331" s="80" t="str">
        <f>IF(AI331="","",$AJ$2)</f>
        <v>A-</v>
      </c>
      <c r="AK331" s="80" t="s">
        <v>14</v>
      </c>
      <c r="AL331" s="80" t="s">
        <v>63</v>
      </c>
      <c r="AM331" s="80" t="s">
        <v>64</v>
      </c>
      <c r="AN331" s="80" t="str">
        <f>IF(AI331="","",$AN$2)</f>
        <v>C</v>
      </c>
      <c r="AO331" s="80" t="str">
        <f>IF(N331="","",IF(N331&gt;=$AO$1/100,"O","X"))</f>
        <v/>
      </c>
      <c r="AP331" s="80" t="str">
        <f>IF(I331="","",IF(I331&lt;=$AP$1,"O","X"))</f>
        <v/>
      </c>
      <c r="AQ331" s="80" t="str">
        <f>IF(O331="","",IF(O331&lt;=$AQ$1,"O","X"))</f>
        <v>O</v>
      </c>
      <c r="AR331" s="80" t="str">
        <f>IF(M331="","",IF(M331&lt;=$AR$1,"O","X"))</f>
        <v>O</v>
      </c>
      <c r="AS331" s="80" t="s">
        <v>2</v>
      </c>
      <c r="AT331" s="80" t="str">
        <f>IF(OR(F331="",AI331=""),"",IF(AND((F331&lt;=85),(AI331&gt;=15)),"O","X"))</f>
        <v>X</v>
      </c>
      <c r="AU331" s="80" t="str">
        <f>IF(C331="","",IF(C331&gt;=$AU$1,"O","X"))</f>
        <v>X</v>
      </c>
      <c r="AV331" s="80" t="str">
        <f>IF(AO331="","",IF(AND(AO331="O",AP331="O",AR331="O",AT331="O",AU331="O"),"후보","X"))</f>
        <v/>
      </c>
    </row>
    <row r="332" spans="1:48" s="37" customFormat="1" ht="12" x14ac:dyDescent="0.3">
      <c r="A332" s="75" t="s">
        <v>1556</v>
      </c>
      <c r="B332" s="76" t="s">
        <v>1557</v>
      </c>
      <c r="C332" s="86">
        <v>210</v>
      </c>
      <c r="D332" s="87">
        <v>189.9</v>
      </c>
      <c r="E332" s="88">
        <v>57</v>
      </c>
      <c r="F332" s="87">
        <v>166.5</v>
      </c>
      <c r="G332" s="17">
        <v>50</v>
      </c>
      <c r="H332" s="89">
        <v>45</v>
      </c>
      <c r="I332" s="90"/>
      <c r="J332" s="90"/>
      <c r="K332" s="90"/>
      <c r="L332" s="90"/>
      <c r="M332" s="91">
        <f>I332-K332</f>
        <v>0</v>
      </c>
      <c r="N332" s="4" t="str">
        <f>IF(ISERROR(K332/I332),"",K332/I332)</f>
        <v/>
      </c>
      <c r="O332" s="92">
        <f>I332/E332</f>
        <v>0</v>
      </c>
      <c r="P332" s="92">
        <f>K332/E332</f>
        <v>0</v>
      </c>
      <c r="Q332" s="80">
        <v>4</v>
      </c>
      <c r="R332" s="80">
        <v>2</v>
      </c>
      <c r="S332" s="80" t="s">
        <v>61</v>
      </c>
      <c r="T332" s="5">
        <v>189</v>
      </c>
      <c r="U332" s="9"/>
      <c r="W332" s="87">
        <f t="shared" si="271"/>
        <v>189.9</v>
      </c>
      <c r="X332" s="88">
        <f t="shared" si="271"/>
        <v>57</v>
      </c>
      <c r="Y332" s="93">
        <f t="shared" si="272"/>
        <v>45</v>
      </c>
      <c r="Z332" s="91">
        <f t="shared" si="272"/>
        <v>0</v>
      </c>
      <c r="AA332" s="91">
        <f>K332</f>
        <v>0</v>
      </c>
      <c r="AB332" s="91">
        <f t="shared" si="273"/>
        <v>0</v>
      </c>
      <c r="AC332" s="4" t="str">
        <f t="shared" si="273"/>
        <v/>
      </c>
      <c r="AD332" s="92">
        <f t="shared" si="273"/>
        <v>0</v>
      </c>
      <c r="AE332" s="80" t="str">
        <f>S332</f>
        <v>계</v>
      </c>
      <c r="AF332" s="80" t="str">
        <f>Q332&amp;"/"&amp;R332</f>
        <v>4/2</v>
      </c>
      <c r="AH332" s="20" t="str">
        <f>IF(A332="","",A332)</f>
        <v>월명동 클래시움</v>
      </c>
      <c r="AI332" s="88">
        <f t="shared" si="268"/>
        <v>57</v>
      </c>
      <c r="AJ332" s="80" t="str">
        <f>IF(AI332="","",$AJ$2)</f>
        <v>A-</v>
      </c>
      <c r="AK332" s="80" t="s">
        <v>14</v>
      </c>
      <c r="AL332" s="80" t="s">
        <v>63</v>
      </c>
      <c r="AM332" s="80" t="s">
        <v>64</v>
      </c>
      <c r="AN332" s="80" t="str">
        <f>IF(AI332="","",$AN$2)</f>
        <v>C</v>
      </c>
      <c r="AO332" s="80" t="str">
        <f>IF(N332="","",IF(N332&gt;=$AO$1/100,"O","X"))</f>
        <v/>
      </c>
      <c r="AP332" s="80" t="str">
        <f>IF(I332="","",IF(I332&lt;=$AP$1,"O","X"))</f>
        <v/>
      </c>
      <c r="AQ332" s="80" t="str">
        <f>IF(O332="","",IF(O332&lt;=$AQ$1,"O","X"))</f>
        <v>O</v>
      </c>
      <c r="AR332" s="80" t="str">
        <f>IF(M332="","",IF(M332&lt;=$AR$1,"O","X"))</f>
        <v>O</v>
      </c>
      <c r="AS332" s="80" t="s">
        <v>2</v>
      </c>
      <c r="AT332" s="80" t="str">
        <f>IF(OR(F332="",AI332=""),"",IF(AND((F332&lt;=85),(AI332&gt;=15)),"O","X"))</f>
        <v>X</v>
      </c>
      <c r="AU332" s="80" t="str">
        <f>IF(C332="","",IF(C332&gt;=$AU$1,"O","X"))</f>
        <v>X</v>
      </c>
      <c r="AV332" s="80" t="str">
        <f>IF(AO332="","",IF(AND(AO332="O",AP332="O",AR332="O",AT332="O",AU332="O"),"후보","X"))</f>
        <v/>
      </c>
    </row>
    <row r="333" spans="1:48" s="37" customFormat="1" ht="12" x14ac:dyDescent="0.3">
      <c r="A333" s="75" t="s">
        <v>1556</v>
      </c>
      <c r="B333" s="76" t="s">
        <v>1557</v>
      </c>
      <c r="C333" s="86">
        <v>210</v>
      </c>
      <c r="D333" s="87">
        <v>193.8</v>
      </c>
      <c r="E333" s="88">
        <v>59</v>
      </c>
      <c r="F333" s="87">
        <v>170.4</v>
      </c>
      <c r="G333" s="17">
        <v>52</v>
      </c>
      <c r="H333" s="89">
        <v>15</v>
      </c>
      <c r="I333" s="90"/>
      <c r="J333" s="90"/>
      <c r="K333" s="90"/>
      <c r="L333" s="90"/>
      <c r="M333" s="91">
        <f>I333-K333</f>
        <v>0</v>
      </c>
      <c r="N333" s="4" t="str">
        <f>IF(ISERROR(K333/I333),"",K333/I333)</f>
        <v/>
      </c>
      <c r="O333" s="92">
        <f>I333/E333</f>
        <v>0</v>
      </c>
      <c r="P333" s="92">
        <f>K333/E333</f>
        <v>0</v>
      </c>
      <c r="Q333" s="80">
        <v>4</v>
      </c>
      <c r="R333" s="80">
        <v>2</v>
      </c>
      <c r="S333" s="80" t="s">
        <v>61</v>
      </c>
      <c r="T333" s="5">
        <v>193</v>
      </c>
      <c r="U333" s="9"/>
      <c r="W333" s="87">
        <f t="shared" si="271"/>
        <v>193.8</v>
      </c>
      <c r="X333" s="88">
        <f t="shared" si="271"/>
        <v>59</v>
      </c>
      <c r="Y333" s="93">
        <f t="shared" si="272"/>
        <v>15</v>
      </c>
      <c r="Z333" s="91">
        <f t="shared" si="272"/>
        <v>0</v>
      </c>
      <c r="AA333" s="91">
        <f>K333</f>
        <v>0</v>
      </c>
      <c r="AB333" s="91">
        <f t="shared" si="273"/>
        <v>0</v>
      </c>
      <c r="AC333" s="4" t="str">
        <f t="shared" si="273"/>
        <v/>
      </c>
      <c r="AD333" s="92">
        <f t="shared" si="273"/>
        <v>0</v>
      </c>
      <c r="AE333" s="80" t="str">
        <f>S333</f>
        <v>계</v>
      </c>
      <c r="AF333" s="80" t="str">
        <f>Q333&amp;"/"&amp;R333</f>
        <v>4/2</v>
      </c>
      <c r="AH333" s="20" t="str">
        <f>IF(A333="","",A333)</f>
        <v>월명동 클래시움</v>
      </c>
      <c r="AI333" s="88">
        <f t="shared" si="268"/>
        <v>59</v>
      </c>
      <c r="AJ333" s="80" t="str">
        <f>IF(AI333="","",$AJ$2)</f>
        <v>A-</v>
      </c>
      <c r="AK333" s="80" t="s">
        <v>14</v>
      </c>
      <c r="AL333" s="80" t="s">
        <v>63</v>
      </c>
      <c r="AM333" s="80" t="s">
        <v>64</v>
      </c>
      <c r="AN333" s="80" t="str">
        <f>IF(AI333="","",$AN$2)</f>
        <v>C</v>
      </c>
      <c r="AO333" s="80" t="str">
        <f>IF(N333="","",IF(N333&gt;=$AO$1/100,"O","X"))</f>
        <v/>
      </c>
      <c r="AP333" s="80" t="str">
        <f>IF(I333="","",IF(I333&lt;=$AP$1,"O","X"))</f>
        <v/>
      </c>
      <c r="AQ333" s="80" t="str">
        <f>IF(O333="","",IF(O333&lt;=$AQ$1,"O","X"))</f>
        <v>O</v>
      </c>
      <c r="AR333" s="80" t="str">
        <f>IF(M333="","",IF(M333&lt;=$AR$1,"O","X"))</f>
        <v>O</v>
      </c>
      <c r="AS333" s="80" t="s">
        <v>2</v>
      </c>
      <c r="AT333" s="80" t="str">
        <f>IF(OR(F333="",AI333=""),"",IF(AND((F333&lt;=85),(AI333&gt;=15)),"O","X"))</f>
        <v>X</v>
      </c>
      <c r="AU333" s="80" t="str">
        <f>IF(C333="","",IF(C333&gt;=$AU$1,"O","X"))</f>
        <v>X</v>
      </c>
      <c r="AV333" s="80" t="str">
        <f>IF(AO333="","",IF(AND(AO333="O",AP333="O",AR333="O",AT333="O",AU333="O"),"후보","X"))</f>
        <v/>
      </c>
    </row>
    <row r="334" spans="1:48" s="37" customFormat="1" ht="12" x14ac:dyDescent="0.3">
      <c r="A334" s="75" t="s">
        <v>1558</v>
      </c>
      <c r="B334" s="76" t="s">
        <v>1543</v>
      </c>
      <c r="C334" s="86">
        <v>547</v>
      </c>
      <c r="D334" s="87">
        <v>76.5</v>
      </c>
      <c r="E334" s="88">
        <v>23</v>
      </c>
      <c r="F334" s="87">
        <v>59.7</v>
      </c>
      <c r="G334" s="17">
        <v>18</v>
      </c>
      <c r="H334" s="89">
        <v>48</v>
      </c>
      <c r="I334" s="90"/>
      <c r="J334" s="90"/>
      <c r="K334" s="90"/>
      <c r="L334" s="90"/>
      <c r="M334" s="91">
        <f>I334-K334</f>
        <v>0</v>
      </c>
      <c r="N334" s="4" t="str">
        <f>IF(ISERROR(K334/I334),"",K334/I334)</f>
        <v/>
      </c>
      <c r="O334" s="92">
        <f>I334/E334</f>
        <v>0</v>
      </c>
      <c r="P334" s="92">
        <f>K334/E334</f>
        <v>0</v>
      </c>
      <c r="Q334" s="80">
        <v>2</v>
      </c>
      <c r="R334" s="80">
        <v>1</v>
      </c>
      <c r="S334" s="80" t="s">
        <v>61</v>
      </c>
      <c r="T334" s="5">
        <v>76</v>
      </c>
      <c r="U334" s="9"/>
      <c r="W334" s="87">
        <f t="shared" si="271"/>
        <v>76.5</v>
      </c>
      <c r="X334" s="88">
        <f t="shared" si="271"/>
        <v>23</v>
      </c>
      <c r="Y334" s="93">
        <f t="shared" si="272"/>
        <v>48</v>
      </c>
      <c r="Z334" s="91">
        <f t="shared" si="272"/>
        <v>0</v>
      </c>
      <c r="AA334" s="91">
        <f>K334</f>
        <v>0</v>
      </c>
      <c r="AB334" s="91">
        <f t="shared" si="273"/>
        <v>0</v>
      </c>
      <c r="AC334" s="4" t="str">
        <f t="shared" si="273"/>
        <v/>
      </c>
      <c r="AD334" s="92">
        <f t="shared" si="273"/>
        <v>0</v>
      </c>
      <c r="AE334" s="80" t="str">
        <f>S334</f>
        <v>계</v>
      </c>
      <c r="AF334" s="80" t="str">
        <f>Q334&amp;"/"&amp;R334</f>
        <v>2/1</v>
      </c>
      <c r="AH334" s="20" t="str">
        <f>IF(A334="","",A334)</f>
        <v>장재동 현대세솔</v>
      </c>
      <c r="AI334" s="88">
        <f t="shared" si="268"/>
        <v>23</v>
      </c>
      <c r="AJ334" s="80" t="str">
        <f>IF(AI334="","",$AJ$2)</f>
        <v>A-</v>
      </c>
      <c r="AK334" s="80" t="s">
        <v>14</v>
      </c>
      <c r="AL334" s="80" t="s">
        <v>63</v>
      </c>
      <c r="AM334" s="80" t="s">
        <v>64</v>
      </c>
      <c r="AN334" s="80" t="str">
        <f>IF(AI334="","",$AN$2)</f>
        <v>C</v>
      </c>
      <c r="AO334" s="80" t="str">
        <f>IF(N334="","",IF(N334&gt;=$AO$1/100,"O","X"))</f>
        <v/>
      </c>
      <c r="AP334" s="80" t="str">
        <f>IF(I334="","",IF(I334&lt;=$AP$1,"O","X"))</f>
        <v/>
      </c>
      <c r="AQ334" s="80" t="str">
        <f>IF(O334="","",IF(O334&lt;=$AQ$1,"O","X"))</f>
        <v>O</v>
      </c>
      <c r="AR334" s="80" t="str">
        <f>IF(M334="","",IF(M334&lt;=$AR$1,"O","X"))</f>
        <v>O</v>
      </c>
      <c r="AS334" s="80" t="s">
        <v>2</v>
      </c>
      <c r="AT334" s="80" t="str">
        <f>IF(OR(F334="",AI334=""),"",IF(AND((F334&lt;=85),(AI334&gt;=15)),"O","X"))</f>
        <v>O</v>
      </c>
      <c r="AU334" s="80" t="str">
        <f>IF(C334="","",IF(C334&gt;=$AU$1,"O","X"))</f>
        <v>O</v>
      </c>
      <c r="AV334" s="80" t="str">
        <f>IF(AO334="","",IF(AND(AO334="O",AP334="O",AR334="O",AT334="O",AU334="O"),"후보","X"))</f>
        <v/>
      </c>
    </row>
    <row r="335" spans="1:48" s="37" customFormat="1" ht="12" x14ac:dyDescent="0.3">
      <c r="A335" s="75" t="s">
        <v>1558</v>
      </c>
      <c r="B335" s="76" t="s">
        <v>1543</v>
      </c>
      <c r="C335" s="86">
        <v>547</v>
      </c>
      <c r="D335" s="87">
        <v>82.5</v>
      </c>
      <c r="E335" s="88">
        <v>25</v>
      </c>
      <c r="F335" s="87">
        <v>60</v>
      </c>
      <c r="G335" s="17">
        <v>18</v>
      </c>
      <c r="H335" s="89">
        <v>259</v>
      </c>
      <c r="I335" s="90"/>
      <c r="J335" s="90"/>
      <c r="K335" s="90"/>
      <c r="L335" s="90"/>
      <c r="M335" s="91">
        <f>I335-K335</f>
        <v>0</v>
      </c>
      <c r="N335" s="4" t="str">
        <f>IF(ISERROR(K335/I335),"",K335/I335)</f>
        <v/>
      </c>
      <c r="O335" s="92">
        <f>I335/E335</f>
        <v>0</v>
      </c>
      <c r="P335" s="92">
        <f>K335/E335</f>
        <v>0</v>
      </c>
      <c r="Q335" s="80">
        <v>2</v>
      </c>
      <c r="R335" s="80">
        <v>1</v>
      </c>
      <c r="S335" s="80" t="s">
        <v>61</v>
      </c>
      <c r="T335" s="5">
        <v>82</v>
      </c>
      <c r="U335" s="9"/>
      <c r="W335" s="87">
        <f t="shared" si="271"/>
        <v>82.5</v>
      </c>
      <c r="X335" s="88">
        <f t="shared" si="271"/>
        <v>25</v>
      </c>
      <c r="Y335" s="93">
        <f t="shared" si="272"/>
        <v>259</v>
      </c>
      <c r="Z335" s="91">
        <f t="shared" si="272"/>
        <v>0</v>
      </c>
      <c r="AA335" s="91">
        <f>K335</f>
        <v>0</v>
      </c>
      <c r="AB335" s="91">
        <f t="shared" si="273"/>
        <v>0</v>
      </c>
      <c r="AC335" s="4" t="str">
        <f t="shared" si="273"/>
        <v/>
      </c>
      <c r="AD335" s="92">
        <f t="shared" si="273"/>
        <v>0</v>
      </c>
      <c r="AE335" s="80" t="str">
        <f>S335</f>
        <v>계</v>
      </c>
      <c r="AF335" s="80" t="str">
        <f>Q335&amp;"/"&amp;R335</f>
        <v>2/1</v>
      </c>
      <c r="AH335" s="20" t="str">
        <f>IF(A335="","",A335)</f>
        <v>장재동 현대세솔</v>
      </c>
      <c r="AI335" s="88">
        <f t="shared" si="268"/>
        <v>25</v>
      </c>
      <c r="AJ335" s="80" t="str">
        <f>IF(AI335="","",$AJ$2)</f>
        <v>A-</v>
      </c>
      <c r="AK335" s="80" t="s">
        <v>14</v>
      </c>
      <c r="AL335" s="80" t="s">
        <v>63</v>
      </c>
      <c r="AM335" s="80" t="s">
        <v>64</v>
      </c>
      <c r="AN335" s="80" t="str">
        <f>IF(AI335="","",$AN$2)</f>
        <v>C</v>
      </c>
      <c r="AO335" s="80" t="str">
        <f>IF(N335="","",IF(N335&gt;=$AO$1/100,"O","X"))</f>
        <v/>
      </c>
      <c r="AP335" s="80" t="str">
        <f>IF(I335="","",IF(I335&lt;=$AP$1,"O","X"))</f>
        <v/>
      </c>
      <c r="AQ335" s="80" t="str">
        <f>IF(O335="","",IF(O335&lt;=$AQ$1,"O","X"))</f>
        <v>O</v>
      </c>
      <c r="AR335" s="80" t="str">
        <f>IF(M335="","",IF(M335&lt;=$AR$1,"O","X"))</f>
        <v>O</v>
      </c>
      <c r="AS335" s="80" t="s">
        <v>2</v>
      </c>
      <c r="AT335" s="80" t="str">
        <f>IF(OR(F335="",AI335=""),"",IF(AND((F335&lt;=85),(AI335&gt;=15)),"O","X"))</f>
        <v>O</v>
      </c>
      <c r="AU335" s="80" t="str">
        <f>IF(C335="","",IF(C335&gt;=$AU$1,"O","X"))</f>
        <v>O</v>
      </c>
      <c r="AV335" s="80" t="str">
        <f>IF(AO335="","",IF(AND(AO335="O",AP335="O",AR335="O",AT335="O",AU335="O"),"후보","X"))</f>
        <v/>
      </c>
    </row>
    <row r="336" spans="1:48" s="37" customFormat="1" ht="12" x14ac:dyDescent="0.3">
      <c r="A336" s="75" t="s">
        <v>1558</v>
      </c>
      <c r="B336" s="76" t="s">
        <v>1543</v>
      </c>
      <c r="C336" s="86">
        <v>547</v>
      </c>
      <c r="D336" s="87">
        <v>103.1</v>
      </c>
      <c r="E336" s="88">
        <v>31</v>
      </c>
      <c r="F336" s="87">
        <v>85</v>
      </c>
      <c r="G336" s="17">
        <v>26</v>
      </c>
      <c r="H336" s="89">
        <v>210</v>
      </c>
      <c r="I336" s="90"/>
      <c r="J336" s="90"/>
      <c r="K336" s="90"/>
      <c r="L336" s="90"/>
      <c r="M336" s="91">
        <f>I336-K336</f>
        <v>0</v>
      </c>
      <c r="N336" s="4" t="str">
        <f>IF(ISERROR(K336/I336),"",K336/I336)</f>
        <v/>
      </c>
      <c r="O336" s="92">
        <f>I336/E336</f>
        <v>0</v>
      </c>
      <c r="P336" s="92">
        <f>K336/E336</f>
        <v>0</v>
      </c>
      <c r="Q336" s="80">
        <v>3</v>
      </c>
      <c r="R336" s="80">
        <v>2</v>
      </c>
      <c r="S336" s="80" t="s">
        <v>76</v>
      </c>
      <c r="T336" s="5" t="s">
        <v>152</v>
      </c>
      <c r="U336" s="9"/>
      <c r="W336" s="87">
        <f t="shared" si="271"/>
        <v>103.1</v>
      </c>
      <c r="X336" s="88">
        <f t="shared" si="271"/>
        <v>31</v>
      </c>
      <c r="Y336" s="93">
        <f t="shared" si="272"/>
        <v>210</v>
      </c>
      <c r="Z336" s="91">
        <f t="shared" si="272"/>
        <v>0</v>
      </c>
      <c r="AA336" s="91">
        <f>K336</f>
        <v>0</v>
      </c>
      <c r="AB336" s="91">
        <f t="shared" si="273"/>
        <v>0</v>
      </c>
      <c r="AC336" s="4" t="str">
        <f t="shared" si="273"/>
        <v/>
      </c>
      <c r="AD336" s="92">
        <f t="shared" si="273"/>
        <v>0</v>
      </c>
      <c r="AE336" s="80" t="str">
        <f>S336</f>
        <v>복</v>
      </c>
      <c r="AF336" s="80" t="str">
        <f>Q336&amp;"/"&amp;R336</f>
        <v>3/2</v>
      </c>
      <c r="AH336" s="20" t="str">
        <f>IF(A336="","",A336)</f>
        <v>장재동 현대세솔</v>
      </c>
      <c r="AI336" s="88">
        <f t="shared" si="268"/>
        <v>31</v>
      </c>
      <c r="AJ336" s="80" t="str">
        <f>IF(AI336="","",$AJ$2)</f>
        <v>A-</v>
      </c>
      <c r="AK336" s="80" t="s">
        <v>14</v>
      </c>
      <c r="AL336" s="80" t="s">
        <v>63</v>
      </c>
      <c r="AM336" s="80" t="s">
        <v>64</v>
      </c>
      <c r="AN336" s="80" t="str">
        <f>IF(AI336="","",$AN$2)</f>
        <v>C</v>
      </c>
      <c r="AO336" s="80" t="str">
        <f>IF(N336="","",IF(N336&gt;=$AO$1/100,"O","X"))</f>
        <v/>
      </c>
      <c r="AP336" s="80" t="str">
        <f>IF(I336="","",IF(I336&lt;=$AP$1,"O","X"))</f>
        <v/>
      </c>
      <c r="AQ336" s="80" t="str">
        <f>IF(O336="","",IF(O336&lt;=$AQ$1,"O","X"))</f>
        <v>O</v>
      </c>
      <c r="AR336" s="80" t="str">
        <f>IF(M336="","",IF(M336&lt;=$AR$1,"O","X"))</f>
        <v>O</v>
      </c>
      <c r="AS336" s="80" t="s">
        <v>2</v>
      </c>
      <c r="AT336" s="80" t="str">
        <f>IF(OR(F336="",AI336=""),"",IF(AND((F336&lt;=85),(AI336&gt;=15)),"O","X"))</f>
        <v>O</v>
      </c>
      <c r="AU336" s="80" t="str">
        <f>IF(C336="","",IF(C336&gt;=$AU$1,"O","X"))</f>
        <v>O</v>
      </c>
      <c r="AV336" s="80" t="str">
        <f>IF(AO336="","",IF(AND(AO336="O",AP336="O",AR336="O",AT336="O",AU336="O"),"후보","X"))</f>
        <v/>
      </c>
    </row>
    <row r="337" spans="1:48" s="37" customFormat="1" ht="12" x14ac:dyDescent="0.3">
      <c r="A337" s="75" t="s">
        <v>1558</v>
      </c>
      <c r="B337" s="76" t="s">
        <v>1543</v>
      </c>
      <c r="C337" s="86">
        <v>547</v>
      </c>
      <c r="D337" s="87">
        <v>103.1</v>
      </c>
      <c r="E337" s="88">
        <v>31</v>
      </c>
      <c r="F337" s="87">
        <v>85</v>
      </c>
      <c r="G337" s="17">
        <v>26</v>
      </c>
      <c r="H337" s="89">
        <v>30</v>
      </c>
      <c r="I337" s="90"/>
      <c r="J337" s="90"/>
      <c r="K337" s="90"/>
      <c r="L337" s="90"/>
      <c r="M337" s="91">
        <f>I337-K337</f>
        <v>0</v>
      </c>
      <c r="N337" s="4" t="str">
        <f>IF(ISERROR(K337/I337),"",K337/I337)</f>
        <v/>
      </c>
      <c r="O337" s="92">
        <f>I337/E337</f>
        <v>0</v>
      </c>
      <c r="P337" s="92">
        <f>K337/E337</f>
        <v>0</v>
      </c>
      <c r="Q337" s="80">
        <v>3</v>
      </c>
      <c r="R337" s="80">
        <v>2</v>
      </c>
      <c r="S337" s="80" t="s">
        <v>61</v>
      </c>
      <c r="T337" s="5" t="s">
        <v>134</v>
      </c>
      <c r="U337" s="9"/>
      <c r="W337" s="87">
        <f t="shared" si="271"/>
        <v>103.1</v>
      </c>
      <c r="X337" s="88">
        <f t="shared" si="271"/>
        <v>31</v>
      </c>
      <c r="Y337" s="93">
        <f t="shared" si="272"/>
        <v>30</v>
      </c>
      <c r="Z337" s="91">
        <f t="shared" si="272"/>
        <v>0</v>
      </c>
      <c r="AA337" s="91">
        <f>K337</f>
        <v>0</v>
      </c>
      <c r="AB337" s="91">
        <f t="shared" si="273"/>
        <v>0</v>
      </c>
      <c r="AC337" s="4" t="str">
        <f t="shared" si="273"/>
        <v/>
      </c>
      <c r="AD337" s="92">
        <f t="shared" si="273"/>
        <v>0</v>
      </c>
      <c r="AE337" s="80" t="str">
        <f>S337</f>
        <v>계</v>
      </c>
      <c r="AF337" s="80" t="str">
        <f>Q337&amp;"/"&amp;R337</f>
        <v>3/2</v>
      </c>
      <c r="AH337" s="20" t="str">
        <f>IF(A337="","",A337)</f>
        <v>장재동 현대세솔</v>
      </c>
      <c r="AI337" s="88">
        <f t="shared" si="268"/>
        <v>31</v>
      </c>
      <c r="AJ337" s="80" t="str">
        <f>IF(AI337="","",$AJ$2)</f>
        <v>A-</v>
      </c>
      <c r="AK337" s="80" t="s">
        <v>14</v>
      </c>
      <c r="AL337" s="80" t="s">
        <v>63</v>
      </c>
      <c r="AM337" s="80" t="s">
        <v>64</v>
      </c>
      <c r="AN337" s="80" t="str">
        <f>IF(AI337="","",$AN$2)</f>
        <v>C</v>
      </c>
      <c r="AO337" s="80" t="str">
        <f>IF(N337="","",IF(N337&gt;=$AO$1/100,"O","X"))</f>
        <v/>
      </c>
      <c r="AP337" s="80" t="str">
        <f>IF(I337="","",IF(I337&lt;=$AP$1,"O","X"))</f>
        <v/>
      </c>
      <c r="AQ337" s="80" t="str">
        <f>IF(O337="","",IF(O337&lt;=$AQ$1,"O","X"))</f>
        <v>O</v>
      </c>
      <c r="AR337" s="80" t="str">
        <f>IF(M337="","",IF(M337&lt;=$AR$1,"O","X"))</f>
        <v>O</v>
      </c>
      <c r="AS337" s="80" t="s">
        <v>2</v>
      </c>
      <c r="AT337" s="80" t="str">
        <f>IF(OR(F337="",AI337=""),"",IF(AND((F337&lt;=85),(AI337&gt;=15)),"O","X"))</f>
        <v>O</v>
      </c>
      <c r="AU337" s="80" t="str">
        <f>IF(C337="","",IF(C337&gt;=$AU$1,"O","X"))</f>
        <v>O</v>
      </c>
      <c r="AV337" s="80" t="str">
        <f>IF(AO337="","",IF(AND(AO337="O",AP337="O",AR337="O",AT337="O",AU337="O"),"후보","X"))</f>
        <v/>
      </c>
    </row>
    <row r="338" spans="1:48" s="37" customFormat="1" ht="12" x14ac:dyDescent="0.3">
      <c r="A338" s="75" t="s">
        <v>1559</v>
      </c>
      <c r="B338" s="76" t="s">
        <v>1560</v>
      </c>
      <c r="C338" s="86">
        <v>1400</v>
      </c>
      <c r="D338" s="87">
        <v>82</v>
      </c>
      <c r="E338" s="88">
        <v>25</v>
      </c>
      <c r="F338" s="87">
        <v>60</v>
      </c>
      <c r="G338" s="17">
        <v>18</v>
      </c>
      <c r="H338" s="89">
        <v>189</v>
      </c>
      <c r="I338" s="90">
        <v>33000</v>
      </c>
      <c r="J338" s="90" t="s">
        <v>120</v>
      </c>
      <c r="K338" s="90">
        <v>28000</v>
      </c>
      <c r="L338" s="90" t="s">
        <v>91</v>
      </c>
      <c r="M338" s="91">
        <f t="shared" ref="M338:M347" si="274">I338-K338</f>
        <v>5000</v>
      </c>
      <c r="N338" s="4">
        <f t="shared" ref="N338:N347" si="275">IF(ISERROR(K338/I338),"",K338/I338)</f>
        <v>0.84848484848484851</v>
      </c>
      <c r="O338" s="92">
        <f t="shared" ref="O338:O347" si="276">I338/E338</f>
        <v>1320</v>
      </c>
      <c r="P338" s="92">
        <f t="shared" ref="P338:P347" si="277">K338/E338</f>
        <v>1120</v>
      </c>
      <c r="Q338" s="80">
        <v>3</v>
      </c>
      <c r="R338" s="80">
        <v>2</v>
      </c>
      <c r="S338" s="80" t="s">
        <v>61</v>
      </c>
      <c r="T338" s="5" t="s">
        <v>121</v>
      </c>
      <c r="U338" s="9"/>
      <c r="W338" s="87">
        <f t="shared" si="271"/>
        <v>82</v>
      </c>
      <c r="X338" s="88">
        <f t="shared" si="271"/>
        <v>25</v>
      </c>
      <c r="Y338" s="93">
        <f t="shared" si="272"/>
        <v>189</v>
      </c>
      <c r="Z338" s="91">
        <f t="shared" si="272"/>
        <v>33000</v>
      </c>
      <c r="AA338" s="91">
        <f t="shared" ref="AA338:AA347" si="278">K338</f>
        <v>28000</v>
      </c>
      <c r="AB338" s="91">
        <f t="shared" si="273"/>
        <v>5000</v>
      </c>
      <c r="AC338" s="4">
        <f t="shared" si="273"/>
        <v>0.84848484848484851</v>
      </c>
      <c r="AD338" s="92">
        <f t="shared" si="273"/>
        <v>1320</v>
      </c>
      <c r="AE338" s="80" t="str">
        <f t="shared" ref="AE338:AE347" si="279">S338</f>
        <v>계</v>
      </c>
      <c r="AF338" s="80" t="str">
        <f t="shared" ref="AF338:AF347" si="280">Q338&amp;"/"&amp;R338</f>
        <v>3/2</v>
      </c>
      <c r="AH338" s="20" t="str">
        <f t="shared" ref="AH338:AH386" si="281">IF(A338="","",A338)</f>
        <v>조촌동 군산디오션시티푸르지오</v>
      </c>
      <c r="AI338" s="88">
        <f t="shared" si="268"/>
        <v>25</v>
      </c>
      <c r="AJ338" s="80" t="str">
        <f t="shared" ref="AJ338:AJ347" si="282">IF(AI338="","",$AJ$2)</f>
        <v>A-</v>
      </c>
      <c r="AK338" s="80" t="s">
        <v>14</v>
      </c>
      <c r="AL338" s="80" t="s">
        <v>63</v>
      </c>
      <c r="AM338" s="80" t="s">
        <v>64</v>
      </c>
      <c r="AN338" s="80" t="str">
        <f t="shared" ref="AN338:AN347" si="283">IF(AI338="","",$AN$2)</f>
        <v>C</v>
      </c>
      <c r="AO338" s="80" t="str">
        <f t="shared" ref="AO338:AO347" si="284">IF(N338="","",IF(N338&gt;=$AO$1/100,"O","X"))</f>
        <v>O</v>
      </c>
      <c r="AP338" s="80" t="str">
        <f t="shared" ref="AP338:AP347" si="285">IF(I338="","",IF(I338&lt;=$AP$1,"O","X"))</f>
        <v>O</v>
      </c>
      <c r="AQ338" s="80" t="str">
        <f t="shared" ref="AQ338:AQ347" si="286">IF(O338="","",IF(O338&lt;=$AQ$1,"O","X"))</f>
        <v>X</v>
      </c>
      <c r="AR338" s="80" t="str">
        <f t="shared" ref="AR338:AR347" si="287">IF(M338="","",IF(M338&lt;=$AR$1,"O","X"))</f>
        <v>O</v>
      </c>
      <c r="AS338" s="80" t="s">
        <v>2</v>
      </c>
      <c r="AT338" s="80" t="str">
        <f t="shared" ref="AT338:AT347" si="288">IF(OR(F338="",AI338=""),"",IF(AND((F338&lt;=85),(AI338&gt;=15)),"O","X"))</f>
        <v>O</v>
      </c>
      <c r="AU338" s="80" t="str">
        <f t="shared" ref="AU338:AU347" si="289">IF(C338="","",IF(C338&gt;=$AU$1,"O","X"))</f>
        <v>O</v>
      </c>
      <c r="AV338" s="80" t="str">
        <f t="shared" ref="AV338:AV347" si="290">IF(AO338="","",IF(AND(AO338="O",AP338="O",AR338="O",AT338="O",AU338="O"),"후보","X"))</f>
        <v>후보</v>
      </c>
    </row>
    <row r="339" spans="1:48" s="37" customFormat="1" ht="12" x14ac:dyDescent="0.3">
      <c r="A339" s="75" t="s">
        <v>1559</v>
      </c>
      <c r="B339" s="76" t="s">
        <v>1560</v>
      </c>
      <c r="C339" s="86">
        <v>1400</v>
      </c>
      <c r="D339" s="87">
        <v>82.4</v>
      </c>
      <c r="E339" s="88">
        <v>25</v>
      </c>
      <c r="F339" s="87">
        <v>59.2</v>
      </c>
      <c r="G339" s="17">
        <v>18</v>
      </c>
      <c r="H339" s="89">
        <v>55</v>
      </c>
      <c r="I339" s="90">
        <v>34000</v>
      </c>
      <c r="J339" s="90" t="s">
        <v>1355</v>
      </c>
      <c r="K339" s="90">
        <v>27000</v>
      </c>
      <c r="L339" s="90" t="s">
        <v>113</v>
      </c>
      <c r="M339" s="91">
        <f t="shared" si="274"/>
        <v>7000</v>
      </c>
      <c r="N339" s="4">
        <f t="shared" si="275"/>
        <v>0.79411764705882348</v>
      </c>
      <c r="O339" s="92">
        <f t="shared" si="276"/>
        <v>1360</v>
      </c>
      <c r="P339" s="92">
        <f t="shared" si="277"/>
        <v>1080</v>
      </c>
      <c r="Q339" s="80">
        <v>3</v>
      </c>
      <c r="R339" s="80">
        <v>2</v>
      </c>
      <c r="S339" s="80" t="s">
        <v>61</v>
      </c>
      <c r="T339" s="5" t="s">
        <v>90</v>
      </c>
      <c r="U339" s="9"/>
      <c r="W339" s="87">
        <f t="shared" si="271"/>
        <v>82.4</v>
      </c>
      <c r="X339" s="88">
        <f t="shared" si="271"/>
        <v>25</v>
      </c>
      <c r="Y339" s="93">
        <f t="shared" si="272"/>
        <v>55</v>
      </c>
      <c r="Z339" s="91">
        <f t="shared" si="272"/>
        <v>34000</v>
      </c>
      <c r="AA339" s="91">
        <f t="shared" si="278"/>
        <v>27000</v>
      </c>
      <c r="AB339" s="91">
        <f t="shared" si="273"/>
        <v>7000</v>
      </c>
      <c r="AC339" s="4">
        <f t="shared" si="273"/>
        <v>0.79411764705882348</v>
      </c>
      <c r="AD339" s="92">
        <f t="shared" si="273"/>
        <v>1360</v>
      </c>
      <c r="AE339" s="80" t="str">
        <f t="shared" si="279"/>
        <v>계</v>
      </c>
      <c r="AF339" s="80" t="str">
        <f t="shared" si="280"/>
        <v>3/2</v>
      </c>
      <c r="AH339" s="20" t="str">
        <f t="shared" si="281"/>
        <v>조촌동 군산디오션시티푸르지오</v>
      </c>
      <c r="AI339" s="88">
        <f t="shared" si="268"/>
        <v>25</v>
      </c>
      <c r="AJ339" s="80" t="str">
        <f t="shared" si="282"/>
        <v>A-</v>
      </c>
      <c r="AK339" s="80" t="s">
        <v>14</v>
      </c>
      <c r="AL339" s="80" t="s">
        <v>63</v>
      </c>
      <c r="AM339" s="80" t="s">
        <v>64</v>
      </c>
      <c r="AN339" s="80" t="str">
        <f t="shared" si="283"/>
        <v>C</v>
      </c>
      <c r="AO339" s="80" t="str">
        <f t="shared" si="284"/>
        <v>X</v>
      </c>
      <c r="AP339" s="80" t="str">
        <f t="shared" si="285"/>
        <v>O</v>
      </c>
      <c r="AQ339" s="80" t="str">
        <f t="shared" si="286"/>
        <v>X</v>
      </c>
      <c r="AR339" s="80" t="str">
        <f t="shared" si="287"/>
        <v>X</v>
      </c>
      <c r="AS339" s="80" t="s">
        <v>2</v>
      </c>
      <c r="AT339" s="80" t="str">
        <f t="shared" si="288"/>
        <v>O</v>
      </c>
      <c r="AU339" s="80" t="str">
        <f t="shared" si="289"/>
        <v>O</v>
      </c>
      <c r="AV339" s="80" t="str">
        <f t="shared" si="290"/>
        <v>X</v>
      </c>
    </row>
    <row r="340" spans="1:48" s="37" customFormat="1" ht="12" x14ac:dyDescent="0.3">
      <c r="A340" s="75" t="s">
        <v>1559</v>
      </c>
      <c r="B340" s="76" t="s">
        <v>1560</v>
      </c>
      <c r="C340" s="86">
        <v>1400</v>
      </c>
      <c r="D340" s="87">
        <v>101.7</v>
      </c>
      <c r="E340" s="88">
        <v>31</v>
      </c>
      <c r="F340" s="87">
        <v>74.900000000000006</v>
      </c>
      <c r="G340" s="17">
        <v>23</v>
      </c>
      <c r="H340" s="89">
        <v>279</v>
      </c>
      <c r="I340" s="90">
        <v>44000</v>
      </c>
      <c r="J340" s="90" t="s">
        <v>154</v>
      </c>
      <c r="K340" s="90">
        <v>30000</v>
      </c>
      <c r="L340" s="90" t="s">
        <v>113</v>
      </c>
      <c r="M340" s="91">
        <f t="shared" si="274"/>
        <v>14000</v>
      </c>
      <c r="N340" s="4">
        <f t="shared" si="275"/>
        <v>0.68181818181818177</v>
      </c>
      <c r="O340" s="92">
        <f t="shared" si="276"/>
        <v>1419.3548387096773</v>
      </c>
      <c r="P340" s="92">
        <f t="shared" si="277"/>
        <v>967.74193548387098</v>
      </c>
      <c r="Q340" s="80">
        <v>3</v>
      </c>
      <c r="R340" s="80">
        <v>2</v>
      </c>
      <c r="S340" s="80" t="s">
        <v>61</v>
      </c>
      <c r="T340" s="5" t="s">
        <v>114</v>
      </c>
      <c r="U340" s="9"/>
      <c r="W340" s="87">
        <f t="shared" si="271"/>
        <v>101.7</v>
      </c>
      <c r="X340" s="88">
        <f t="shared" si="271"/>
        <v>31</v>
      </c>
      <c r="Y340" s="93">
        <f t="shared" si="272"/>
        <v>279</v>
      </c>
      <c r="Z340" s="91">
        <f t="shared" si="272"/>
        <v>44000</v>
      </c>
      <c r="AA340" s="91">
        <f t="shared" si="278"/>
        <v>30000</v>
      </c>
      <c r="AB340" s="91">
        <f t="shared" si="273"/>
        <v>14000</v>
      </c>
      <c r="AC340" s="4">
        <f t="shared" si="273"/>
        <v>0.68181818181818177</v>
      </c>
      <c r="AD340" s="92">
        <f t="shared" si="273"/>
        <v>1419.3548387096773</v>
      </c>
      <c r="AE340" s="80" t="str">
        <f t="shared" si="279"/>
        <v>계</v>
      </c>
      <c r="AF340" s="80" t="str">
        <f t="shared" si="280"/>
        <v>3/2</v>
      </c>
      <c r="AH340" s="20" t="str">
        <f t="shared" si="281"/>
        <v>조촌동 군산디오션시티푸르지오</v>
      </c>
      <c r="AI340" s="88">
        <f t="shared" si="268"/>
        <v>31</v>
      </c>
      <c r="AJ340" s="80" t="str">
        <f t="shared" si="282"/>
        <v>A-</v>
      </c>
      <c r="AK340" s="80" t="s">
        <v>14</v>
      </c>
      <c r="AL340" s="80" t="s">
        <v>63</v>
      </c>
      <c r="AM340" s="80" t="s">
        <v>64</v>
      </c>
      <c r="AN340" s="80" t="str">
        <f t="shared" si="283"/>
        <v>C</v>
      </c>
      <c r="AO340" s="80" t="str">
        <f t="shared" si="284"/>
        <v>X</v>
      </c>
      <c r="AP340" s="80" t="str">
        <f t="shared" si="285"/>
        <v>O</v>
      </c>
      <c r="AQ340" s="80" t="str">
        <f t="shared" si="286"/>
        <v>X</v>
      </c>
      <c r="AR340" s="80" t="str">
        <f t="shared" si="287"/>
        <v>X</v>
      </c>
      <c r="AS340" s="80" t="s">
        <v>2</v>
      </c>
      <c r="AT340" s="80" t="str">
        <f t="shared" si="288"/>
        <v>O</v>
      </c>
      <c r="AU340" s="80" t="str">
        <f t="shared" si="289"/>
        <v>O</v>
      </c>
      <c r="AV340" s="80" t="str">
        <f t="shared" si="290"/>
        <v>X</v>
      </c>
    </row>
    <row r="341" spans="1:48" s="37" customFormat="1" ht="12" x14ac:dyDescent="0.3">
      <c r="A341" s="75" t="s">
        <v>1559</v>
      </c>
      <c r="B341" s="76" t="s">
        <v>1560</v>
      </c>
      <c r="C341" s="86">
        <v>1400</v>
      </c>
      <c r="D341" s="87">
        <v>102.3</v>
      </c>
      <c r="E341" s="88">
        <v>31</v>
      </c>
      <c r="F341" s="87">
        <v>74.8</v>
      </c>
      <c r="G341" s="17">
        <v>23</v>
      </c>
      <c r="H341" s="89">
        <v>113</v>
      </c>
      <c r="I341" s="90">
        <v>45000</v>
      </c>
      <c r="J341" s="90" t="s">
        <v>109</v>
      </c>
      <c r="K341" s="90">
        <v>31000</v>
      </c>
      <c r="L341" s="90" t="s">
        <v>120</v>
      </c>
      <c r="M341" s="91">
        <f t="shared" si="274"/>
        <v>14000</v>
      </c>
      <c r="N341" s="4">
        <f t="shared" si="275"/>
        <v>0.68888888888888888</v>
      </c>
      <c r="O341" s="92">
        <f t="shared" si="276"/>
        <v>1451.6129032258063</v>
      </c>
      <c r="P341" s="92">
        <f t="shared" si="277"/>
        <v>1000</v>
      </c>
      <c r="Q341" s="80">
        <v>3</v>
      </c>
      <c r="R341" s="80">
        <v>2</v>
      </c>
      <c r="S341" s="80" t="s">
        <v>61</v>
      </c>
      <c r="T341" s="5" t="s">
        <v>1169</v>
      </c>
      <c r="U341" s="9"/>
      <c r="W341" s="87">
        <f t="shared" si="271"/>
        <v>102.3</v>
      </c>
      <c r="X341" s="88">
        <f t="shared" si="271"/>
        <v>31</v>
      </c>
      <c r="Y341" s="93">
        <f t="shared" si="272"/>
        <v>113</v>
      </c>
      <c r="Z341" s="91">
        <f t="shared" si="272"/>
        <v>45000</v>
      </c>
      <c r="AA341" s="91">
        <f t="shared" si="278"/>
        <v>31000</v>
      </c>
      <c r="AB341" s="91">
        <f t="shared" si="273"/>
        <v>14000</v>
      </c>
      <c r="AC341" s="4">
        <f t="shared" si="273"/>
        <v>0.68888888888888888</v>
      </c>
      <c r="AD341" s="92">
        <f t="shared" si="273"/>
        <v>1451.6129032258063</v>
      </c>
      <c r="AE341" s="80" t="str">
        <f t="shared" si="279"/>
        <v>계</v>
      </c>
      <c r="AF341" s="80" t="str">
        <f t="shared" si="280"/>
        <v>3/2</v>
      </c>
      <c r="AH341" s="20" t="str">
        <f t="shared" si="281"/>
        <v>조촌동 군산디오션시티푸르지오</v>
      </c>
      <c r="AI341" s="88">
        <f t="shared" si="268"/>
        <v>31</v>
      </c>
      <c r="AJ341" s="80" t="str">
        <f t="shared" si="282"/>
        <v>A-</v>
      </c>
      <c r="AK341" s="80" t="s">
        <v>14</v>
      </c>
      <c r="AL341" s="80" t="s">
        <v>63</v>
      </c>
      <c r="AM341" s="80" t="s">
        <v>64</v>
      </c>
      <c r="AN341" s="80" t="str">
        <f t="shared" si="283"/>
        <v>C</v>
      </c>
      <c r="AO341" s="80" t="str">
        <f t="shared" si="284"/>
        <v>X</v>
      </c>
      <c r="AP341" s="80" t="str">
        <f t="shared" si="285"/>
        <v>O</v>
      </c>
      <c r="AQ341" s="80" t="str">
        <f t="shared" si="286"/>
        <v>X</v>
      </c>
      <c r="AR341" s="80" t="str">
        <f t="shared" si="287"/>
        <v>X</v>
      </c>
      <c r="AS341" s="80" t="s">
        <v>2</v>
      </c>
      <c r="AT341" s="80" t="str">
        <f t="shared" si="288"/>
        <v>O</v>
      </c>
      <c r="AU341" s="80" t="str">
        <f t="shared" si="289"/>
        <v>O</v>
      </c>
      <c r="AV341" s="80" t="str">
        <f t="shared" si="290"/>
        <v>X</v>
      </c>
    </row>
    <row r="342" spans="1:48" s="37" customFormat="1" ht="12" x14ac:dyDescent="0.3">
      <c r="A342" s="75" t="s">
        <v>1559</v>
      </c>
      <c r="B342" s="76" t="s">
        <v>1560</v>
      </c>
      <c r="C342" s="86">
        <v>1400</v>
      </c>
      <c r="D342" s="87">
        <v>102.3</v>
      </c>
      <c r="E342" s="88">
        <v>31</v>
      </c>
      <c r="F342" s="87">
        <v>74.8</v>
      </c>
      <c r="G342" s="17">
        <v>23</v>
      </c>
      <c r="H342" s="89">
        <v>110</v>
      </c>
      <c r="I342" s="90">
        <v>45000</v>
      </c>
      <c r="J342" s="90" t="s">
        <v>109</v>
      </c>
      <c r="K342" s="90">
        <v>31000</v>
      </c>
      <c r="L342" s="90" t="s">
        <v>120</v>
      </c>
      <c r="M342" s="91">
        <f t="shared" si="274"/>
        <v>14000</v>
      </c>
      <c r="N342" s="4">
        <f t="shared" si="275"/>
        <v>0.68888888888888888</v>
      </c>
      <c r="O342" s="92">
        <f t="shared" si="276"/>
        <v>1451.6129032258063</v>
      </c>
      <c r="P342" s="92">
        <f t="shared" si="277"/>
        <v>1000</v>
      </c>
      <c r="Q342" s="80">
        <v>3</v>
      </c>
      <c r="R342" s="80">
        <v>2</v>
      </c>
      <c r="S342" s="80" t="s">
        <v>61</v>
      </c>
      <c r="T342" s="5" t="s">
        <v>1170</v>
      </c>
      <c r="U342" s="9"/>
      <c r="W342" s="87">
        <f t="shared" si="271"/>
        <v>102.3</v>
      </c>
      <c r="X342" s="88">
        <f t="shared" si="271"/>
        <v>31</v>
      </c>
      <c r="Y342" s="93">
        <f t="shared" si="272"/>
        <v>110</v>
      </c>
      <c r="Z342" s="91">
        <f t="shared" si="272"/>
        <v>45000</v>
      </c>
      <c r="AA342" s="91">
        <f t="shared" si="278"/>
        <v>31000</v>
      </c>
      <c r="AB342" s="91">
        <f t="shared" si="273"/>
        <v>14000</v>
      </c>
      <c r="AC342" s="4">
        <f t="shared" si="273"/>
        <v>0.68888888888888888</v>
      </c>
      <c r="AD342" s="92">
        <f t="shared" si="273"/>
        <v>1451.6129032258063</v>
      </c>
      <c r="AE342" s="80" t="str">
        <f t="shared" si="279"/>
        <v>계</v>
      </c>
      <c r="AF342" s="80" t="str">
        <f t="shared" si="280"/>
        <v>3/2</v>
      </c>
      <c r="AH342" s="20" t="str">
        <f t="shared" si="281"/>
        <v>조촌동 군산디오션시티푸르지오</v>
      </c>
      <c r="AI342" s="88">
        <f t="shared" si="268"/>
        <v>31</v>
      </c>
      <c r="AJ342" s="80" t="str">
        <f t="shared" si="282"/>
        <v>A-</v>
      </c>
      <c r="AK342" s="80" t="s">
        <v>14</v>
      </c>
      <c r="AL342" s="80" t="s">
        <v>63</v>
      </c>
      <c r="AM342" s="80" t="s">
        <v>64</v>
      </c>
      <c r="AN342" s="80" t="str">
        <f t="shared" si="283"/>
        <v>C</v>
      </c>
      <c r="AO342" s="80" t="str">
        <f t="shared" si="284"/>
        <v>X</v>
      </c>
      <c r="AP342" s="80" t="str">
        <f t="shared" si="285"/>
        <v>O</v>
      </c>
      <c r="AQ342" s="80" t="str">
        <f t="shared" si="286"/>
        <v>X</v>
      </c>
      <c r="AR342" s="80" t="str">
        <f t="shared" si="287"/>
        <v>X</v>
      </c>
      <c r="AS342" s="80" t="s">
        <v>2</v>
      </c>
      <c r="AT342" s="80" t="str">
        <f t="shared" si="288"/>
        <v>O</v>
      </c>
      <c r="AU342" s="80" t="str">
        <f t="shared" si="289"/>
        <v>O</v>
      </c>
      <c r="AV342" s="80" t="str">
        <f t="shared" si="290"/>
        <v>X</v>
      </c>
    </row>
    <row r="343" spans="1:48" s="37" customFormat="1" ht="12" x14ac:dyDescent="0.3">
      <c r="A343" s="75" t="s">
        <v>1559</v>
      </c>
      <c r="B343" s="76" t="s">
        <v>1560</v>
      </c>
      <c r="C343" s="86">
        <v>1400</v>
      </c>
      <c r="D343" s="87">
        <v>114.5</v>
      </c>
      <c r="E343" s="88">
        <v>35</v>
      </c>
      <c r="F343" s="87">
        <v>84.7</v>
      </c>
      <c r="G343" s="17">
        <v>26</v>
      </c>
      <c r="H343" s="89">
        <v>215</v>
      </c>
      <c r="I343" s="90">
        <v>49500</v>
      </c>
      <c r="J343" s="90" t="s">
        <v>109</v>
      </c>
      <c r="K343" s="90">
        <v>35000</v>
      </c>
      <c r="L343" s="90" t="s">
        <v>67</v>
      </c>
      <c r="M343" s="91">
        <f t="shared" si="274"/>
        <v>14500</v>
      </c>
      <c r="N343" s="4">
        <f t="shared" si="275"/>
        <v>0.70707070707070707</v>
      </c>
      <c r="O343" s="92">
        <f t="shared" si="276"/>
        <v>1414.2857142857142</v>
      </c>
      <c r="P343" s="92">
        <f t="shared" si="277"/>
        <v>1000</v>
      </c>
      <c r="Q343" s="80">
        <v>3</v>
      </c>
      <c r="R343" s="80">
        <v>2</v>
      </c>
      <c r="S343" s="80" t="s">
        <v>61</v>
      </c>
      <c r="T343" s="5" t="s">
        <v>110</v>
      </c>
      <c r="U343" s="9"/>
      <c r="W343" s="87">
        <f t="shared" ref="W343:X355" si="291">D343</f>
        <v>114.5</v>
      </c>
      <c r="X343" s="88">
        <f t="shared" si="291"/>
        <v>35</v>
      </c>
      <c r="Y343" s="93">
        <f t="shared" ref="Y343:Z355" si="292">H343</f>
        <v>215</v>
      </c>
      <c r="Z343" s="91">
        <f t="shared" si="292"/>
        <v>49500</v>
      </c>
      <c r="AA343" s="91">
        <f t="shared" si="278"/>
        <v>35000</v>
      </c>
      <c r="AB343" s="91">
        <f t="shared" ref="AB343:AD355" si="293">M343</f>
        <v>14500</v>
      </c>
      <c r="AC343" s="4">
        <f t="shared" si="293"/>
        <v>0.70707070707070707</v>
      </c>
      <c r="AD343" s="92">
        <f t="shared" si="293"/>
        <v>1414.2857142857142</v>
      </c>
      <c r="AE343" s="80" t="str">
        <f t="shared" si="279"/>
        <v>계</v>
      </c>
      <c r="AF343" s="80" t="str">
        <f t="shared" si="280"/>
        <v>3/2</v>
      </c>
      <c r="AH343" s="20" t="str">
        <f t="shared" si="281"/>
        <v>조촌동 군산디오션시티푸르지오</v>
      </c>
      <c r="AI343" s="88">
        <f t="shared" si="268"/>
        <v>35</v>
      </c>
      <c r="AJ343" s="80" t="str">
        <f t="shared" si="282"/>
        <v>A-</v>
      </c>
      <c r="AK343" s="80" t="s">
        <v>14</v>
      </c>
      <c r="AL343" s="80" t="s">
        <v>63</v>
      </c>
      <c r="AM343" s="80" t="s">
        <v>64</v>
      </c>
      <c r="AN343" s="80" t="str">
        <f t="shared" si="283"/>
        <v>C</v>
      </c>
      <c r="AO343" s="80" t="str">
        <f t="shared" si="284"/>
        <v>X</v>
      </c>
      <c r="AP343" s="80" t="str">
        <f t="shared" si="285"/>
        <v>X</v>
      </c>
      <c r="AQ343" s="80" t="str">
        <f t="shared" si="286"/>
        <v>X</v>
      </c>
      <c r="AR343" s="80" t="str">
        <f t="shared" si="287"/>
        <v>X</v>
      </c>
      <c r="AS343" s="80" t="s">
        <v>2</v>
      </c>
      <c r="AT343" s="80" t="str">
        <f t="shared" si="288"/>
        <v>O</v>
      </c>
      <c r="AU343" s="80" t="str">
        <f t="shared" si="289"/>
        <v>O</v>
      </c>
      <c r="AV343" s="80" t="str">
        <f t="shared" si="290"/>
        <v>X</v>
      </c>
    </row>
    <row r="344" spans="1:48" s="37" customFormat="1" ht="12" x14ac:dyDescent="0.3">
      <c r="A344" s="75" t="s">
        <v>1559</v>
      </c>
      <c r="B344" s="76" t="s">
        <v>1560</v>
      </c>
      <c r="C344" s="86">
        <v>1400</v>
      </c>
      <c r="D344" s="87">
        <v>114.3</v>
      </c>
      <c r="E344" s="88">
        <v>35</v>
      </c>
      <c r="F344" s="87">
        <v>84.6</v>
      </c>
      <c r="G344" s="17">
        <v>26</v>
      </c>
      <c r="H344" s="89">
        <v>128</v>
      </c>
      <c r="I344" s="90">
        <v>51000</v>
      </c>
      <c r="J344" s="90" t="s">
        <v>81</v>
      </c>
      <c r="K344" s="90">
        <v>34000</v>
      </c>
      <c r="L344" s="90" t="s">
        <v>60</v>
      </c>
      <c r="M344" s="91">
        <f t="shared" si="274"/>
        <v>17000</v>
      </c>
      <c r="N344" s="4">
        <f t="shared" si="275"/>
        <v>0.66666666666666663</v>
      </c>
      <c r="O344" s="92">
        <f t="shared" si="276"/>
        <v>1457.1428571428571</v>
      </c>
      <c r="P344" s="92">
        <f t="shared" si="277"/>
        <v>971.42857142857144</v>
      </c>
      <c r="Q344" s="80">
        <v>3</v>
      </c>
      <c r="R344" s="80">
        <v>2</v>
      </c>
      <c r="S344" s="80" t="s">
        <v>61</v>
      </c>
      <c r="T344" s="5">
        <v>114</v>
      </c>
      <c r="U344" s="9"/>
      <c r="W344" s="87">
        <f t="shared" si="291"/>
        <v>114.3</v>
      </c>
      <c r="X344" s="88">
        <f t="shared" si="291"/>
        <v>35</v>
      </c>
      <c r="Y344" s="93">
        <f t="shared" si="292"/>
        <v>128</v>
      </c>
      <c r="Z344" s="91">
        <f t="shared" si="292"/>
        <v>51000</v>
      </c>
      <c r="AA344" s="91">
        <f t="shared" si="278"/>
        <v>34000</v>
      </c>
      <c r="AB344" s="91">
        <f t="shared" si="293"/>
        <v>17000</v>
      </c>
      <c r="AC344" s="4">
        <f t="shared" si="293"/>
        <v>0.66666666666666663</v>
      </c>
      <c r="AD344" s="92">
        <f t="shared" si="293"/>
        <v>1457.1428571428571</v>
      </c>
      <c r="AE344" s="80" t="str">
        <f t="shared" si="279"/>
        <v>계</v>
      </c>
      <c r="AF344" s="80" t="str">
        <f t="shared" si="280"/>
        <v>3/2</v>
      </c>
      <c r="AH344" s="20" t="str">
        <f t="shared" si="281"/>
        <v>조촌동 군산디오션시티푸르지오</v>
      </c>
      <c r="AI344" s="88">
        <f t="shared" si="268"/>
        <v>35</v>
      </c>
      <c r="AJ344" s="80" t="str">
        <f t="shared" si="282"/>
        <v>A-</v>
      </c>
      <c r="AK344" s="80" t="s">
        <v>14</v>
      </c>
      <c r="AL344" s="80" t="s">
        <v>63</v>
      </c>
      <c r="AM344" s="80" t="s">
        <v>64</v>
      </c>
      <c r="AN344" s="80" t="str">
        <f t="shared" si="283"/>
        <v>C</v>
      </c>
      <c r="AO344" s="80" t="str">
        <f t="shared" si="284"/>
        <v>X</v>
      </c>
      <c r="AP344" s="80" t="str">
        <f t="shared" si="285"/>
        <v>X</v>
      </c>
      <c r="AQ344" s="80" t="str">
        <f t="shared" si="286"/>
        <v>X</v>
      </c>
      <c r="AR344" s="80" t="str">
        <f t="shared" si="287"/>
        <v>X</v>
      </c>
      <c r="AS344" s="80" t="s">
        <v>2</v>
      </c>
      <c r="AT344" s="80" t="str">
        <f t="shared" si="288"/>
        <v>O</v>
      </c>
      <c r="AU344" s="80" t="str">
        <f t="shared" si="289"/>
        <v>O</v>
      </c>
      <c r="AV344" s="80" t="str">
        <f t="shared" si="290"/>
        <v>X</v>
      </c>
    </row>
    <row r="345" spans="1:48" s="37" customFormat="1" ht="12" x14ac:dyDescent="0.3">
      <c r="A345" s="75" t="s">
        <v>1559</v>
      </c>
      <c r="B345" s="76" t="s">
        <v>1560</v>
      </c>
      <c r="C345" s="86">
        <v>1400</v>
      </c>
      <c r="D345" s="87">
        <v>115.4</v>
      </c>
      <c r="E345" s="88">
        <v>35</v>
      </c>
      <c r="F345" s="87">
        <v>84.6</v>
      </c>
      <c r="G345" s="17">
        <v>26</v>
      </c>
      <c r="H345" s="89">
        <v>135</v>
      </c>
      <c r="I345" s="90"/>
      <c r="J345" s="90"/>
      <c r="K345" s="90"/>
      <c r="L345" s="90"/>
      <c r="M345" s="91">
        <f t="shared" si="274"/>
        <v>0</v>
      </c>
      <c r="N345" s="4" t="str">
        <f t="shared" si="275"/>
        <v/>
      </c>
      <c r="O345" s="92">
        <f t="shared" si="276"/>
        <v>0</v>
      </c>
      <c r="P345" s="92">
        <f t="shared" si="277"/>
        <v>0</v>
      </c>
      <c r="Q345" s="80">
        <v>3</v>
      </c>
      <c r="R345" s="80">
        <v>2</v>
      </c>
      <c r="S345" s="80" t="s">
        <v>61</v>
      </c>
      <c r="T345" s="5" t="s">
        <v>94</v>
      </c>
      <c r="U345" s="9"/>
      <c r="W345" s="87">
        <f t="shared" si="291"/>
        <v>115.4</v>
      </c>
      <c r="X345" s="88">
        <f t="shared" si="291"/>
        <v>35</v>
      </c>
      <c r="Y345" s="93">
        <f t="shared" si="292"/>
        <v>135</v>
      </c>
      <c r="Z345" s="91">
        <f t="shared" si="292"/>
        <v>0</v>
      </c>
      <c r="AA345" s="91">
        <f t="shared" si="278"/>
        <v>0</v>
      </c>
      <c r="AB345" s="91">
        <f t="shared" si="293"/>
        <v>0</v>
      </c>
      <c r="AC345" s="4" t="str">
        <f t="shared" si="293"/>
        <v/>
      </c>
      <c r="AD345" s="92">
        <f t="shared" si="293"/>
        <v>0</v>
      </c>
      <c r="AE345" s="80" t="str">
        <f t="shared" si="279"/>
        <v>계</v>
      </c>
      <c r="AF345" s="80" t="str">
        <f t="shared" si="280"/>
        <v>3/2</v>
      </c>
      <c r="AH345" s="20" t="str">
        <f t="shared" si="281"/>
        <v>조촌동 군산디오션시티푸르지오</v>
      </c>
      <c r="AI345" s="88">
        <f t="shared" si="268"/>
        <v>35</v>
      </c>
      <c r="AJ345" s="80" t="str">
        <f t="shared" si="282"/>
        <v>A-</v>
      </c>
      <c r="AK345" s="80" t="s">
        <v>14</v>
      </c>
      <c r="AL345" s="80" t="s">
        <v>63</v>
      </c>
      <c r="AM345" s="80" t="s">
        <v>64</v>
      </c>
      <c r="AN345" s="80" t="str">
        <f t="shared" si="283"/>
        <v>C</v>
      </c>
      <c r="AO345" s="80" t="str">
        <f t="shared" si="284"/>
        <v/>
      </c>
      <c r="AP345" s="80" t="str">
        <f t="shared" si="285"/>
        <v/>
      </c>
      <c r="AQ345" s="80" t="str">
        <f t="shared" si="286"/>
        <v>O</v>
      </c>
      <c r="AR345" s="80" t="str">
        <f t="shared" si="287"/>
        <v>O</v>
      </c>
      <c r="AS345" s="80" t="s">
        <v>2</v>
      </c>
      <c r="AT345" s="80" t="str">
        <f t="shared" si="288"/>
        <v>O</v>
      </c>
      <c r="AU345" s="80" t="str">
        <f t="shared" si="289"/>
        <v>O</v>
      </c>
      <c r="AV345" s="80" t="str">
        <f t="shared" si="290"/>
        <v/>
      </c>
    </row>
    <row r="346" spans="1:48" s="37" customFormat="1" ht="12" x14ac:dyDescent="0.3">
      <c r="A346" s="75" t="s">
        <v>1559</v>
      </c>
      <c r="B346" s="76" t="s">
        <v>1560</v>
      </c>
      <c r="C346" s="86">
        <v>1400</v>
      </c>
      <c r="D346" s="87">
        <v>115.6</v>
      </c>
      <c r="E346" s="88">
        <v>35</v>
      </c>
      <c r="F346" s="87">
        <v>84</v>
      </c>
      <c r="G346" s="17">
        <v>25</v>
      </c>
      <c r="H346" s="89">
        <v>127</v>
      </c>
      <c r="I346" s="90">
        <v>49800</v>
      </c>
      <c r="J346" s="90" t="s">
        <v>72</v>
      </c>
      <c r="K346" s="90">
        <v>32000</v>
      </c>
      <c r="L346" s="90" t="s">
        <v>70</v>
      </c>
      <c r="M346" s="91">
        <f t="shared" si="274"/>
        <v>17800</v>
      </c>
      <c r="N346" s="4">
        <f t="shared" si="275"/>
        <v>0.64257028112449799</v>
      </c>
      <c r="O346" s="92">
        <f t="shared" si="276"/>
        <v>1422.8571428571429</v>
      </c>
      <c r="P346" s="92">
        <f t="shared" si="277"/>
        <v>914.28571428571433</v>
      </c>
      <c r="Q346" s="80">
        <v>3</v>
      </c>
      <c r="R346" s="80">
        <v>2</v>
      </c>
      <c r="S346" s="80" t="s">
        <v>61</v>
      </c>
      <c r="T346" s="5" t="s">
        <v>141</v>
      </c>
      <c r="U346" s="9"/>
      <c r="W346" s="87">
        <f t="shared" si="291"/>
        <v>115.6</v>
      </c>
      <c r="X346" s="88">
        <f t="shared" si="291"/>
        <v>35</v>
      </c>
      <c r="Y346" s="93">
        <f t="shared" si="292"/>
        <v>127</v>
      </c>
      <c r="Z346" s="91">
        <f t="shared" si="292"/>
        <v>49800</v>
      </c>
      <c r="AA346" s="91">
        <f t="shared" si="278"/>
        <v>32000</v>
      </c>
      <c r="AB346" s="91">
        <f t="shared" si="293"/>
        <v>17800</v>
      </c>
      <c r="AC346" s="4">
        <f t="shared" si="293"/>
        <v>0.64257028112449799</v>
      </c>
      <c r="AD346" s="92">
        <f t="shared" si="293"/>
        <v>1422.8571428571429</v>
      </c>
      <c r="AE346" s="80" t="str">
        <f t="shared" si="279"/>
        <v>계</v>
      </c>
      <c r="AF346" s="80" t="str">
        <f t="shared" si="280"/>
        <v>3/2</v>
      </c>
      <c r="AH346" s="20" t="str">
        <f t="shared" si="281"/>
        <v>조촌동 군산디오션시티푸르지오</v>
      </c>
      <c r="AI346" s="88">
        <f t="shared" si="268"/>
        <v>35</v>
      </c>
      <c r="AJ346" s="80" t="str">
        <f t="shared" si="282"/>
        <v>A-</v>
      </c>
      <c r="AK346" s="80" t="s">
        <v>14</v>
      </c>
      <c r="AL346" s="80" t="s">
        <v>63</v>
      </c>
      <c r="AM346" s="80" t="s">
        <v>64</v>
      </c>
      <c r="AN346" s="80" t="str">
        <f t="shared" si="283"/>
        <v>C</v>
      </c>
      <c r="AO346" s="80" t="str">
        <f t="shared" si="284"/>
        <v>X</v>
      </c>
      <c r="AP346" s="80" t="str">
        <f t="shared" si="285"/>
        <v>X</v>
      </c>
      <c r="AQ346" s="80" t="str">
        <f t="shared" si="286"/>
        <v>X</v>
      </c>
      <c r="AR346" s="80" t="str">
        <f t="shared" si="287"/>
        <v>X</v>
      </c>
      <c r="AS346" s="80" t="s">
        <v>2</v>
      </c>
      <c r="AT346" s="80" t="str">
        <f t="shared" si="288"/>
        <v>O</v>
      </c>
      <c r="AU346" s="80" t="str">
        <f t="shared" si="289"/>
        <v>O</v>
      </c>
      <c r="AV346" s="80" t="str">
        <f t="shared" si="290"/>
        <v>X</v>
      </c>
    </row>
    <row r="347" spans="1:48" s="37" customFormat="1" ht="12" x14ac:dyDescent="0.3">
      <c r="A347" s="75" t="s">
        <v>1559</v>
      </c>
      <c r="B347" s="76" t="s">
        <v>1560</v>
      </c>
      <c r="C347" s="86">
        <v>1400</v>
      </c>
      <c r="D347" s="87">
        <v>134.69999999999999</v>
      </c>
      <c r="E347" s="88">
        <v>41</v>
      </c>
      <c r="F347" s="87">
        <v>99.5</v>
      </c>
      <c r="G347" s="17">
        <v>30</v>
      </c>
      <c r="H347" s="89">
        <v>49</v>
      </c>
      <c r="I347" s="90">
        <v>69000</v>
      </c>
      <c r="J347" s="90" t="s">
        <v>84</v>
      </c>
      <c r="K347" s="90">
        <v>34000</v>
      </c>
      <c r="L347" s="90" t="s">
        <v>60</v>
      </c>
      <c r="M347" s="91">
        <f t="shared" si="274"/>
        <v>35000</v>
      </c>
      <c r="N347" s="4">
        <f t="shared" si="275"/>
        <v>0.49275362318840582</v>
      </c>
      <c r="O347" s="92">
        <f t="shared" si="276"/>
        <v>1682.9268292682927</v>
      </c>
      <c r="P347" s="92">
        <f t="shared" si="277"/>
        <v>829.26829268292681</v>
      </c>
      <c r="Q347" s="80">
        <v>4</v>
      </c>
      <c r="R347" s="80">
        <v>2</v>
      </c>
      <c r="S347" s="80" t="s">
        <v>61</v>
      </c>
      <c r="T347" s="5">
        <v>134</v>
      </c>
      <c r="U347" s="9"/>
      <c r="W347" s="87">
        <f t="shared" si="291"/>
        <v>134.69999999999999</v>
      </c>
      <c r="X347" s="88">
        <f t="shared" si="291"/>
        <v>41</v>
      </c>
      <c r="Y347" s="93">
        <f t="shared" si="292"/>
        <v>49</v>
      </c>
      <c r="Z347" s="91">
        <f t="shared" si="292"/>
        <v>69000</v>
      </c>
      <c r="AA347" s="91">
        <f t="shared" si="278"/>
        <v>34000</v>
      </c>
      <c r="AB347" s="91">
        <f t="shared" si="293"/>
        <v>35000</v>
      </c>
      <c r="AC347" s="4">
        <f t="shared" si="293"/>
        <v>0.49275362318840582</v>
      </c>
      <c r="AD347" s="92">
        <f t="shared" si="293"/>
        <v>1682.9268292682927</v>
      </c>
      <c r="AE347" s="80" t="str">
        <f t="shared" si="279"/>
        <v>계</v>
      </c>
      <c r="AF347" s="80" t="str">
        <f t="shared" si="280"/>
        <v>4/2</v>
      </c>
      <c r="AH347" s="20" t="str">
        <f t="shared" si="281"/>
        <v>조촌동 군산디오션시티푸르지오</v>
      </c>
      <c r="AI347" s="88">
        <f t="shared" si="268"/>
        <v>41</v>
      </c>
      <c r="AJ347" s="80" t="str">
        <f t="shared" si="282"/>
        <v>A-</v>
      </c>
      <c r="AK347" s="80" t="s">
        <v>14</v>
      </c>
      <c r="AL347" s="80" t="s">
        <v>63</v>
      </c>
      <c r="AM347" s="80" t="s">
        <v>64</v>
      </c>
      <c r="AN347" s="80" t="str">
        <f t="shared" si="283"/>
        <v>C</v>
      </c>
      <c r="AO347" s="80" t="str">
        <f t="shared" si="284"/>
        <v>X</v>
      </c>
      <c r="AP347" s="80" t="str">
        <f t="shared" si="285"/>
        <v>X</v>
      </c>
      <c r="AQ347" s="80" t="str">
        <f t="shared" si="286"/>
        <v>X</v>
      </c>
      <c r="AR347" s="80" t="str">
        <f t="shared" si="287"/>
        <v>X</v>
      </c>
      <c r="AS347" s="80" t="s">
        <v>2</v>
      </c>
      <c r="AT347" s="80" t="str">
        <f t="shared" si="288"/>
        <v>X</v>
      </c>
      <c r="AU347" s="80" t="str">
        <f t="shared" si="289"/>
        <v>O</v>
      </c>
      <c r="AV347" s="80" t="str">
        <f t="shared" si="290"/>
        <v>X</v>
      </c>
    </row>
    <row r="348" spans="1:48" s="37" customFormat="1" ht="12" x14ac:dyDescent="0.3">
      <c r="A348" s="75" t="s">
        <v>1561</v>
      </c>
      <c r="B348" s="76" t="s">
        <v>1562</v>
      </c>
      <c r="C348" s="86">
        <v>770</v>
      </c>
      <c r="D348" s="87">
        <v>79.099999999999994</v>
      </c>
      <c r="E348" s="88">
        <v>24</v>
      </c>
      <c r="F348" s="87">
        <v>59.9</v>
      </c>
      <c r="G348" s="17">
        <v>18</v>
      </c>
      <c r="H348" s="89">
        <v>129</v>
      </c>
      <c r="I348" s="90">
        <v>20000</v>
      </c>
      <c r="J348" s="90" t="s">
        <v>95</v>
      </c>
      <c r="K348" s="90">
        <v>17000</v>
      </c>
      <c r="L348" s="90" t="s">
        <v>68</v>
      </c>
      <c r="M348" s="91">
        <f>I348-K348</f>
        <v>3000</v>
      </c>
      <c r="N348" s="4">
        <f>IF(ISERROR(K348/I348),"",K348/I348)</f>
        <v>0.85</v>
      </c>
      <c r="O348" s="92">
        <f>I348/E348</f>
        <v>833.33333333333337</v>
      </c>
      <c r="P348" s="92">
        <f>K348/E348</f>
        <v>708.33333333333337</v>
      </c>
      <c r="Q348" s="80">
        <v>3</v>
      </c>
      <c r="R348" s="80">
        <v>1</v>
      </c>
      <c r="S348" s="80" t="s">
        <v>61</v>
      </c>
      <c r="T348" s="5">
        <v>79</v>
      </c>
      <c r="U348" s="9"/>
      <c r="W348" s="87">
        <f t="shared" si="291"/>
        <v>79.099999999999994</v>
      </c>
      <c r="X348" s="88">
        <f t="shared" si="291"/>
        <v>24</v>
      </c>
      <c r="Y348" s="93">
        <f t="shared" si="292"/>
        <v>129</v>
      </c>
      <c r="Z348" s="91">
        <f t="shared" si="292"/>
        <v>20000</v>
      </c>
      <c r="AA348" s="91">
        <f>K348</f>
        <v>17000</v>
      </c>
      <c r="AB348" s="91">
        <f t="shared" si="293"/>
        <v>3000</v>
      </c>
      <c r="AC348" s="4">
        <f t="shared" si="293"/>
        <v>0.85</v>
      </c>
      <c r="AD348" s="92">
        <f t="shared" si="293"/>
        <v>833.33333333333337</v>
      </c>
      <c r="AE348" s="80" t="str">
        <f>S348</f>
        <v>계</v>
      </c>
      <c r="AF348" s="80" t="str">
        <f>Q348&amp;"/"&amp;R348</f>
        <v>3/1</v>
      </c>
      <c r="AH348" s="20" t="str">
        <f t="shared" si="281"/>
        <v>조촌동 타워써미트</v>
      </c>
      <c r="AI348" s="88">
        <f t="shared" si="268"/>
        <v>24</v>
      </c>
      <c r="AJ348" s="80" t="str">
        <f>IF(AI348="","",$AJ$2)</f>
        <v>A-</v>
      </c>
      <c r="AK348" s="80" t="s">
        <v>14</v>
      </c>
      <c r="AL348" s="80" t="s">
        <v>63</v>
      </c>
      <c r="AM348" s="80" t="s">
        <v>64</v>
      </c>
      <c r="AN348" s="80" t="str">
        <f>IF(AI348="","",$AN$2)</f>
        <v>C</v>
      </c>
      <c r="AO348" s="80" t="str">
        <f>IF(N348="","",IF(N348&gt;=$AO$1/100,"O","X"))</f>
        <v>O</v>
      </c>
      <c r="AP348" s="80" t="str">
        <f>IF(I348="","",IF(I348&lt;=$AP$1,"O","X"))</f>
        <v>O</v>
      </c>
      <c r="AQ348" s="80" t="str">
        <f>IF(O348="","",IF(O348&lt;=$AQ$1,"O","X"))</f>
        <v>O</v>
      </c>
      <c r="AR348" s="80" t="str">
        <f>IF(M348="","",IF(M348&lt;=$AR$1,"O","X"))</f>
        <v>O</v>
      </c>
      <c r="AS348" s="80" t="s">
        <v>2</v>
      </c>
      <c r="AT348" s="80" t="str">
        <f>IF(OR(F348="",AI348=""),"",IF(AND((F348&lt;=85),(AI348&gt;=15)),"O","X"))</f>
        <v>O</v>
      </c>
      <c r="AU348" s="80" t="str">
        <f>IF(C348="","",IF(C348&gt;=$AU$1,"O","X"))</f>
        <v>O</v>
      </c>
      <c r="AV348" s="80" t="str">
        <f>IF(AO348="","",IF(AND(AO348="O",AP348="O",AR348="O",AT348="O",AU348="O"),"후보","X"))</f>
        <v>후보</v>
      </c>
    </row>
    <row r="349" spans="1:48" s="37" customFormat="1" ht="12" x14ac:dyDescent="0.3">
      <c r="A349" s="75" t="s">
        <v>1561</v>
      </c>
      <c r="B349" s="76" t="s">
        <v>1562</v>
      </c>
      <c r="C349" s="86">
        <v>770</v>
      </c>
      <c r="D349" s="87">
        <v>112.1</v>
      </c>
      <c r="E349" s="88">
        <v>34</v>
      </c>
      <c r="F349" s="87">
        <v>85</v>
      </c>
      <c r="G349" s="17">
        <v>26</v>
      </c>
      <c r="H349" s="89">
        <v>277</v>
      </c>
      <c r="I349" s="90">
        <v>28000</v>
      </c>
      <c r="J349" s="90" t="s">
        <v>71</v>
      </c>
      <c r="K349" s="90">
        <v>22000</v>
      </c>
      <c r="L349" s="90" t="s">
        <v>154</v>
      </c>
      <c r="M349" s="91">
        <f>I349-K349</f>
        <v>6000</v>
      </c>
      <c r="N349" s="4">
        <f>IF(ISERROR(K349/I349),"",K349/I349)</f>
        <v>0.7857142857142857</v>
      </c>
      <c r="O349" s="92">
        <f>I349/E349</f>
        <v>823.52941176470586</v>
      </c>
      <c r="P349" s="92">
        <f>K349/E349</f>
        <v>647.05882352941171</v>
      </c>
      <c r="Q349" s="80">
        <v>3</v>
      </c>
      <c r="R349" s="80">
        <v>2</v>
      </c>
      <c r="S349" s="80" t="s">
        <v>61</v>
      </c>
      <c r="T349" s="5" t="s">
        <v>126</v>
      </c>
      <c r="U349" s="9"/>
      <c r="W349" s="87">
        <f t="shared" si="291"/>
        <v>112.1</v>
      </c>
      <c r="X349" s="88">
        <f t="shared" si="291"/>
        <v>34</v>
      </c>
      <c r="Y349" s="93">
        <f t="shared" si="292"/>
        <v>277</v>
      </c>
      <c r="Z349" s="91">
        <f t="shared" si="292"/>
        <v>28000</v>
      </c>
      <c r="AA349" s="91">
        <f>K349</f>
        <v>22000</v>
      </c>
      <c r="AB349" s="91">
        <f t="shared" si="293"/>
        <v>6000</v>
      </c>
      <c r="AC349" s="4">
        <f t="shared" si="293"/>
        <v>0.7857142857142857</v>
      </c>
      <c r="AD349" s="92">
        <f t="shared" si="293"/>
        <v>823.52941176470586</v>
      </c>
      <c r="AE349" s="80" t="str">
        <f>S349</f>
        <v>계</v>
      </c>
      <c r="AF349" s="80" t="str">
        <f>Q349&amp;"/"&amp;R349</f>
        <v>3/2</v>
      </c>
      <c r="AH349" s="20" t="str">
        <f t="shared" si="281"/>
        <v>조촌동 타워써미트</v>
      </c>
      <c r="AI349" s="88">
        <f t="shared" si="268"/>
        <v>34</v>
      </c>
      <c r="AJ349" s="80" t="str">
        <f>IF(AI349="","",$AJ$2)</f>
        <v>A-</v>
      </c>
      <c r="AK349" s="80" t="s">
        <v>14</v>
      </c>
      <c r="AL349" s="80" t="s">
        <v>63</v>
      </c>
      <c r="AM349" s="80" t="s">
        <v>64</v>
      </c>
      <c r="AN349" s="80" t="str">
        <f>IF(AI349="","",$AN$2)</f>
        <v>C</v>
      </c>
      <c r="AO349" s="80" t="str">
        <f>IF(N349="","",IF(N349&gt;=$AO$1/100,"O","X"))</f>
        <v>X</v>
      </c>
      <c r="AP349" s="80" t="str">
        <f>IF(I349="","",IF(I349&lt;=$AP$1,"O","X"))</f>
        <v>O</v>
      </c>
      <c r="AQ349" s="80" t="str">
        <f>IF(O349="","",IF(O349&lt;=$AQ$1,"O","X"))</f>
        <v>O</v>
      </c>
      <c r="AR349" s="80" t="str">
        <f>IF(M349="","",IF(M349&lt;=$AR$1,"O","X"))</f>
        <v>X</v>
      </c>
      <c r="AS349" s="80" t="s">
        <v>2</v>
      </c>
      <c r="AT349" s="80" t="str">
        <f>IF(OR(F349="",AI349=""),"",IF(AND((F349&lt;=85),(AI349&gt;=15)),"O","X"))</f>
        <v>O</v>
      </c>
      <c r="AU349" s="80" t="str">
        <f>IF(C349="","",IF(C349&gt;=$AU$1,"O","X"))</f>
        <v>O</v>
      </c>
      <c r="AV349" s="80" t="str">
        <f>IF(AO349="","",IF(AND(AO349="O",AP349="O",AR349="O",AT349="O",AU349="O"),"후보","X"))</f>
        <v>X</v>
      </c>
    </row>
    <row r="350" spans="1:48" s="37" customFormat="1" ht="12" x14ac:dyDescent="0.3">
      <c r="A350" s="75" t="s">
        <v>1561</v>
      </c>
      <c r="B350" s="76" t="s">
        <v>1562</v>
      </c>
      <c r="C350" s="86">
        <v>770</v>
      </c>
      <c r="D350" s="87">
        <v>112</v>
      </c>
      <c r="E350" s="88">
        <v>34</v>
      </c>
      <c r="F350" s="87">
        <v>84.9</v>
      </c>
      <c r="G350" s="17">
        <v>26</v>
      </c>
      <c r="H350" s="89">
        <v>191</v>
      </c>
      <c r="I350" s="90">
        <v>27000</v>
      </c>
      <c r="J350" s="90" t="s">
        <v>80</v>
      </c>
      <c r="K350" s="90">
        <v>20000</v>
      </c>
      <c r="L350" s="90" t="s">
        <v>60</v>
      </c>
      <c r="M350" s="91">
        <f>I350-K350</f>
        <v>7000</v>
      </c>
      <c r="N350" s="4">
        <f>IF(ISERROR(K350/I350),"",K350/I350)</f>
        <v>0.7407407407407407</v>
      </c>
      <c r="O350" s="92">
        <f>I350/E350</f>
        <v>794.11764705882354</v>
      </c>
      <c r="P350" s="92">
        <f>K350/E350</f>
        <v>588.23529411764707</v>
      </c>
      <c r="Q350" s="80">
        <v>3</v>
      </c>
      <c r="R350" s="80">
        <v>2</v>
      </c>
      <c r="S350" s="80" t="s">
        <v>61</v>
      </c>
      <c r="T350" s="5" t="s">
        <v>140</v>
      </c>
      <c r="U350" s="9"/>
      <c r="W350" s="87">
        <f t="shared" si="291"/>
        <v>112</v>
      </c>
      <c r="X350" s="88">
        <f t="shared" si="291"/>
        <v>34</v>
      </c>
      <c r="Y350" s="93">
        <f t="shared" si="292"/>
        <v>191</v>
      </c>
      <c r="Z350" s="91">
        <f t="shared" si="292"/>
        <v>27000</v>
      </c>
      <c r="AA350" s="91">
        <f>K350</f>
        <v>20000</v>
      </c>
      <c r="AB350" s="91">
        <f t="shared" si="293"/>
        <v>7000</v>
      </c>
      <c r="AC350" s="4">
        <f t="shared" si="293"/>
        <v>0.7407407407407407</v>
      </c>
      <c r="AD350" s="92">
        <f t="shared" si="293"/>
        <v>794.11764705882354</v>
      </c>
      <c r="AE350" s="80" t="str">
        <f>S350</f>
        <v>계</v>
      </c>
      <c r="AF350" s="80" t="str">
        <f>Q350&amp;"/"&amp;R350</f>
        <v>3/2</v>
      </c>
      <c r="AH350" s="20" t="str">
        <f t="shared" si="281"/>
        <v>조촌동 타워써미트</v>
      </c>
      <c r="AI350" s="88">
        <f t="shared" si="268"/>
        <v>34</v>
      </c>
      <c r="AJ350" s="80" t="str">
        <f>IF(AI350="","",$AJ$2)</f>
        <v>A-</v>
      </c>
      <c r="AK350" s="80" t="s">
        <v>14</v>
      </c>
      <c r="AL350" s="80" t="s">
        <v>63</v>
      </c>
      <c r="AM350" s="80" t="s">
        <v>64</v>
      </c>
      <c r="AN350" s="80" t="str">
        <f>IF(AI350="","",$AN$2)</f>
        <v>C</v>
      </c>
      <c r="AO350" s="80" t="str">
        <f>IF(N350="","",IF(N350&gt;=$AO$1/100,"O","X"))</f>
        <v>X</v>
      </c>
      <c r="AP350" s="80" t="str">
        <f>IF(I350="","",IF(I350&lt;=$AP$1,"O","X"))</f>
        <v>O</v>
      </c>
      <c r="AQ350" s="80" t="str">
        <f>IF(O350="","",IF(O350&lt;=$AQ$1,"O","X"))</f>
        <v>O</v>
      </c>
      <c r="AR350" s="80" t="str">
        <f>IF(M350="","",IF(M350&lt;=$AR$1,"O","X"))</f>
        <v>X</v>
      </c>
      <c r="AS350" s="80" t="s">
        <v>2</v>
      </c>
      <c r="AT350" s="80" t="str">
        <f>IF(OR(F350="",AI350=""),"",IF(AND((F350&lt;=85),(AI350&gt;=15)),"O","X"))</f>
        <v>O</v>
      </c>
      <c r="AU350" s="80" t="str">
        <f>IF(C350="","",IF(C350&gt;=$AU$1,"O","X"))</f>
        <v>O</v>
      </c>
      <c r="AV350" s="80" t="str">
        <f>IF(AO350="","",IF(AND(AO350="O",AP350="O",AR350="O",AT350="O",AU350="O"),"후보","X"))</f>
        <v>X</v>
      </c>
    </row>
    <row r="351" spans="1:48" s="37" customFormat="1" ht="12" x14ac:dyDescent="0.3">
      <c r="A351" s="75" t="s">
        <v>1561</v>
      </c>
      <c r="B351" s="76" t="s">
        <v>1562</v>
      </c>
      <c r="C351" s="86">
        <v>770</v>
      </c>
      <c r="D351" s="87">
        <v>112.1</v>
      </c>
      <c r="E351" s="88">
        <v>34</v>
      </c>
      <c r="F351" s="87">
        <v>85</v>
      </c>
      <c r="G351" s="17">
        <v>26</v>
      </c>
      <c r="H351" s="89">
        <v>173</v>
      </c>
      <c r="I351" s="90">
        <v>28000</v>
      </c>
      <c r="J351" s="90" t="s">
        <v>71</v>
      </c>
      <c r="K351" s="90">
        <v>22000</v>
      </c>
      <c r="L351" s="90" t="s">
        <v>154</v>
      </c>
      <c r="M351" s="91">
        <f>I351-K351</f>
        <v>6000</v>
      </c>
      <c r="N351" s="4">
        <f>IF(ISERROR(K351/I351),"",K351/I351)</f>
        <v>0.7857142857142857</v>
      </c>
      <c r="O351" s="92">
        <f>I351/E351</f>
        <v>823.52941176470586</v>
      </c>
      <c r="P351" s="92">
        <f>K351/E351</f>
        <v>647.05882352941171</v>
      </c>
      <c r="Q351" s="80">
        <v>3</v>
      </c>
      <c r="R351" s="80">
        <v>2</v>
      </c>
      <c r="S351" s="80" t="s">
        <v>61</v>
      </c>
      <c r="T351" s="5" t="s">
        <v>768</v>
      </c>
      <c r="U351" s="9"/>
      <c r="W351" s="87">
        <f t="shared" si="291"/>
        <v>112.1</v>
      </c>
      <c r="X351" s="88">
        <f t="shared" si="291"/>
        <v>34</v>
      </c>
      <c r="Y351" s="93">
        <f t="shared" si="292"/>
        <v>173</v>
      </c>
      <c r="Z351" s="91">
        <f t="shared" si="292"/>
        <v>28000</v>
      </c>
      <c r="AA351" s="91">
        <f>K351</f>
        <v>22000</v>
      </c>
      <c r="AB351" s="91">
        <f t="shared" si="293"/>
        <v>6000</v>
      </c>
      <c r="AC351" s="4">
        <f t="shared" si="293"/>
        <v>0.7857142857142857</v>
      </c>
      <c r="AD351" s="92">
        <f t="shared" si="293"/>
        <v>823.52941176470586</v>
      </c>
      <c r="AE351" s="80" t="str">
        <f>S351</f>
        <v>계</v>
      </c>
      <c r="AF351" s="80" t="str">
        <f>Q351&amp;"/"&amp;R351</f>
        <v>3/2</v>
      </c>
      <c r="AH351" s="20" t="str">
        <f t="shared" si="281"/>
        <v>조촌동 타워써미트</v>
      </c>
      <c r="AI351" s="88">
        <f t="shared" si="268"/>
        <v>34</v>
      </c>
      <c r="AJ351" s="80" t="str">
        <f>IF(AI351="","",$AJ$2)</f>
        <v>A-</v>
      </c>
      <c r="AK351" s="80" t="s">
        <v>14</v>
      </c>
      <c r="AL351" s="80" t="s">
        <v>63</v>
      </c>
      <c r="AM351" s="80" t="s">
        <v>64</v>
      </c>
      <c r="AN351" s="80" t="str">
        <f>IF(AI351="","",$AN$2)</f>
        <v>C</v>
      </c>
      <c r="AO351" s="80" t="str">
        <f>IF(N351="","",IF(N351&gt;=$AO$1/100,"O","X"))</f>
        <v>X</v>
      </c>
      <c r="AP351" s="80" t="str">
        <f>IF(I351="","",IF(I351&lt;=$AP$1,"O","X"))</f>
        <v>O</v>
      </c>
      <c r="AQ351" s="80" t="str">
        <f>IF(O351="","",IF(O351&lt;=$AQ$1,"O","X"))</f>
        <v>O</v>
      </c>
      <c r="AR351" s="80" t="str">
        <f>IF(M351="","",IF(M351&lt;=$AR$1,"O","X"))</f>
        <v>X</v>
      </c>
      <c r="AS351" s="80" t="s">
        <v>2</v>
      </c>
      <c r="AT351" s="80" t="str">
        <f>IF(OR(F351="",AI351=""),"",IF(AND((F351&lt;=85),(AI351&gt;=15)),"O","X"))</f>
        <v>O</v>
      </c>
      <c r="AU351" s="80" t="str">
        <f>IF(C351="","",IF(C351&gt;=$AU$1,"O","X"))</f>
        <v>O</v>
      </c>
      <c r="AV351" s="80" t="str">
        <f>IF(AO351="","",IF(AND(AO351="O",AP351="O",AR351="O",AT351="O",AU351="O"),"후보","X"))</f>
        <v>X</v>
      </c>
    </row>
    <row r="352" spans="1:48" s="37" customFormat="1" ht="12" x14ac:dyDescent="0.3">
      <c r="A352" s="75" t="s">
        <v>1563</v>
      </c>
      <c r="B352" s="76" t="s">
        <v>1564</v>
      </c>
      <c r="C352" s="86">
        <v>306</v>
      </c>
      <c r="D352" s="87">
        <v>92.3</v>
      </c>
      <c r="E352" s="88">
        <v>28</v>
      </c>
      <c r="F352" s="87">
        <v>73.8</v>
      </c>
      <c r="G352" s="17">
        <v>22</v>
      </c>
      <c r="H352" s="89">
        <v>72</v>
      </c>
      <c r="I352" s="90">
        <v>14500</v>
      </c>
      <c r="J352" s="90" t="s">
        <v>111</v>
      </c>
      <c r="K352" s="90">
        <v>13500</v>
      </c>
      <c r="L352" s="90" t="s">
        <v>111</v>
      </c>
      <c r="M352" s="91">
        <f>I352-K352</f>
        <v>1000</v>
      </c>
      <c r="N352" s="4">
        <f>IF(ISERROR(K352/I352),"",K352/I352)</f>
        <v>0.93103448275862066</v>
      </c>
      <c r="O352" s="92">
        <f>I352/E352</f>
        <v>517.85714285714289</v>
      </c>
      <c r="P352" s="92">
        <f>K352/E352</f>
        <v>482.14285714285717</v>
      </c>
      <c r="Q352" s="80">
        <v>3</v>
      </c>
      <c r="R352" s="80">
        <v>1</v>
      </c>
      <c r="S352" s="80" t="s">
        <v>61</v>
      </c>
      <c r="T352" s="5">
        <v>92</v>
      </c>
      <c r="U352" s="9"/>
      <c r="W352" s="87">
        <f t="shared" si="291"/>
        <v>92.3</v>
      </c>
      <c r="X352" s="88">
        <f t="shared" si="291"/>
        <v>28</v>
      </c>
      <c r="Y352" s="93">
        <f t="shared" si="292"/>
        <v>72</v>
      </c>
      <c r="Z352" s="91">
        <f t="shared" si="292"/>
        <v>14500</v>
      </c>
      <c r="AA352" s="91">
        <f>K352</f>
        <v>13500</v>
      </c>
      <c r="AB352" s="91">
        <f t="shared" si="293"/>
        <v>1000</v>
      </c>
      <c r="AC352" s="4">
        <f t="shared" si="293"/>
        <v>0.93103448275862066</v>
      </c>
      <c r="AD352" s="92">
        <f t="shared" si="293"/>
        <v>517.85714285714289</v>
      </c>
      <c r="AE352" s="80" t="str">
        <f>S352</f>
        <v>계</v>
      </c>
      <c r="AF352" s="80" t="str">
        <f>Q352&amp;"/"&amp;R352</f>
        <v>3/1</v>
      </c>
      <c r="AH352" s="20" t="str">
        <f t="shared" si="281"/>
        <v>조촌동 삼성</v>
      </c>
      <c r="AI352" s="88">
        <f t="shared" si="268"/>
        <v>28</v>
      </c>
      <c r="AJ352" s="80" t="str">
        <f>IF(AI352="","",$AJ$2)</f>
        <v>A-</v>
      </c>
      <c r="AK352" s="80" t="s">
        <v>14</v>
      </c>
      <c r="AL352" s="80" t="s">
        <v>63</v>
      </c>
      <c r="AM352" s="80" t="s">
        <v>64</v>
      </c>
      <c r="AN352" s="80" t="str">
        <f>IF(AI352="","",$AN$2)</f>
        <v>C</v>
      </c>
      <c r="AO352" s="80" t="str">
        <f>IF(N352="","",IF(N352&gt;=$AO$1/100,"O","X"))</f>
        <v>O</v>
      </c>
      <c r="AP352" s="80" t="str">
        <f>IF(I352="","",IF(I352&lt;=$AP$1,"O","X"))</f>
        <v>O</v>
      </c>
      <c r="AQ352" s="80" t="str">
        <f>IF(O352="","",IF(O352&lt;=$AQ$1,"O","X"))</f>
        <v>O</v>
      </c>
      <c r="AR352" s="80" t="str">
        <f>IF(M352="","",IF(M352&lt;=$AR$1,"O","X"))</f>
        <v>O</v>
      </c>
      <c r="AS352" s="80" t="s">
        <v>2</v>
      </c>
      <c r="AT352" s="80" t="str">
        <f>IF(OR(F352="",AI352=""),"",IF(AND((F352&lt;=85),(AI352&gt;=15)),"O","X"))</f>
        <v>O</v>
      </c>
      <c r="AU352" s="80" t="str">
        <f>IF(C352="","",IF(C352&gt;=$AU$1,"O","X"))</f>
        <v>O</v>
      </c>
      <c r="AV352" s="80" t="str">
        <f>IF(AO352="","",IF(AND(AO352="O",AP352="O",AR352="O",AT352="O",AU352="O"),"후보","X"))</f>
        <v>후보</v>
      </c>
    </row>
    <row r="353" spans="1:48" s="37" customFormat="1" ht="12" x14ac:dyDescent="0.3">
      <c r="A353" s="75" t="s">
        <v>1563</v>
      </c>
      <c r="B353" s="76" t="s">
        <v>1564</v>
      </c>
      <c r="C353" s="86">
        <v>306</v>
      </c>
      <c r="D353" s="87">
        <v>92.2</v>
      </c>
      <c r="E353" s="88">
        <v>28</v>
      </c>
      <c r="F353" s="87">
        <v>73.5</v>
      </c>
      <c r="G353" s="17">
        <v>22</v>
      </c>
      <c r="H353" s="89">
        <v>72</v>
      </c>
      <c r="I353" s="90"/>
      <c r="J353" s="90"/>
      <c r="K353" s="90"/>
      <c r="L353" s="90"/>
      <c r="M353" s="91">
        <f>I353-K353</f>
        <v>0</v>
      </c>
      <c r="N353" s="4" t="str">
        <f>IF(ISERROR(K353/I353),"",K353/I353)</f>
        <v/>
      </c>
      <c r="O353" s="92">
        <f>I353/E353</f>
        <v>0</v>
      </c>
      <c r="P353" s="92">
        <f>K353/E353</f>
        <v>0</v>
      </c>
      <c r="Q353" s="80">
        <v>3</v>
      </c>
      <c r="R353" s="80">
        <v>1</v>
      </c>
      <c r="S353" s="80" t="s">
        <v>61</v>
      </c>
      <c r="T353" s="5" t="s">
        <v>153</v>
      </c>
      <c r="U353" s="9"/>
      <c r="W353" s="87">
        <f t="shared" si="291"/>
        <v>92.2</v>
      </c>
      <c r="X353" s="88">
        <f t="shared" si="291"/>
        <v>28</v>
      </c>
      <c r="Y353" s="93">
        <f t="shared" si="292"/>
        <v>72</v>
      </c>
      <c r="Z353" s="91">
        <f t="shared" si="292"/>
        <v>0</v>
      </c>
      <c r="AA353" s="91">
        <f>K353</f>
        <v>0</v>
      </c>
      <c r="AB353" s="91">
        <f t="shared" si="293"/>
        <v>0</v>
      </c>
      <c r="AC353" s="4" t="str">
        <f t="shared" si="293"/>
        <v/>
      </c>
      <c r="AD353" s="92">
        <f t="shared" si="293"/>
        <v>0</v>
      </c>
      <c r="AE353" s="80" t="str">
        <f>S353</f>
        <v>계</v>
      </c>
      <c r="AF353" s="80" t="str">
        <f>Q353&amp;"/"&amp;R353</f>
        <v>3/1</v>
      </c>
      <c r="AH353" s="20" t="str">
        <f t="shared" si="281"/>
        <v>조촌동 삼성</v>
      </c>
      <c r="AI353" s="88">
        <f t="shared" si="268"/>
        <v>28</v>
      </c>
      <c r="AJ353" s="80" t="str">
        <f>IF(AI353="","",$AJ$2)</f>
        <v>A-</v>
      </c>
      <c r="AK353" s="80" t="s">
        <v>14</v>
      </c>
      <c r="AL353" s="80" t="s">
        <v>63</v>
      </c>
      <c r="AM353" s="80" t="s">
        <v>64</v>
      </c>
      <c r="AN353" s="80" t="str">
        <f>IF(AI353="","",$AN$2)</f>
        <v>C</v>
      </c>
      <c r="AO353" s="80" t="str">
        <f>IF(N353="","",IF(N353&gt;=$AO$1/100,"O","X"))</f>
        <v/>
      </c>
      <c r="AP353" s="80" t="str">
        <f>IF(I353="","",IF(I353&lt;=$AP$1,"O","X"))</f>
        <v/>
      </c>
      <c r="AQ353" s="80" t="str">
        <f>IF(O353="","",IF(O353&lt;=$AQ$1,"O","X"))</f>
        <v>O</v>
      </c>
      <c r="AR353" s="80" t="str">
        <f>IF(M353="","",IF(M353&lt;=$AR$1,"O","X"))</f>
        <v>O</v>
      </c>
      <c r="AS353" s="80" t="s">
        <v>2</v>
      </c>
      <c r="AT353" s="80" t="str">
        <f>IF(OR(F353="",AI353=""),"",IF(AND((F353&lt;=85),(AI353&gt;=15)),"O","X"))</f>
        <v>O</v>
      </c>
      <c r="AU353" s="80" t="str">
        <f>IF(C353="","",IF(C353&gt;=$AU$1,"O","X"))</f>
        <v>O</v>
      </c>
      <c r="AV353" s="80" t="str">
        <f>IF(AO353="","",IF(AND(AO353="O",AP353="O",AR353="O",AT353="O",AU353="O"),"후보","X"))</f>
        <v/>
      </c>
    </row>
    <row r="354" spans="1:48" s="37" customFormat="1" ht="12" x14ac:dyDescent="0.3">
      <c r="A354" s="75" t="s">
        <v>1563</v>
      </c>
      <c r="B354" s="76" t="s">
        <v>1564</v>
      </c>
      <c r="C354" s="86">
        <v>306</v>
      </c>
      <c r="D354" s="87">
        <v>104.6</v>
      </c>
      <c r="E354" s="88">
        <v>32</v>
      </c>
      <c r="F354" s="87">
        <v>85</v>
      </c>
      <c r="G354" s="17">
        <v>26</v>
      </c>
      <c r="H354" s="89">
        <v>132</v>
      </c>
      <c r="I354" s="90">
        <v>16500</v>
      </c>
      <c r="J354" s="90" t="s">
        <v>72</v>
      </c>
      <c r="K354" s="90"/>
      <c r="L354" s="90"/>
      <c r="M354" s="91">
        <f>I354-K354</f>
        <v>16500</v>
      </c>
      <c r="N354" s="4">
        <f>IF(ISERROR(K354/I354),"",K354/I354)</f>
        <v>0</v>
      </c>
      <c r="O354" s="92">
        <f>I354/E354</f>
        <v>515.625</v>
      </c>
      <c r="P354" s="92">
        <f>K354/E354</f>
        <v>0</v>
      </c>
      <c r="Q354" s="80">
        <v>3</v>
      </c>
      <c r="R354" s="80">
        <v>2</v>
      </c>
      <c r="S354" s="80" t="s">
        <v>61</v>
      </c>
      <c r="T354" s="5">
        <v>104</v>
      </c>
      <c r="U354" s="9"/>
      <c r="W354" s="87">
        <f t="shared" si="291"/>
        <v>104.6</v>
      </c>
      <c r="X354" s="88">
        <f t="shared" si="291"/>
        <v>32</v>
      </c>
      <c r="Y354" s="93">
        <f t="shared" si="292"/>
        <v>132</v>
      </c>
      <c r="Z354" s="91">
        <f t="shared" si="292"/>
        <v>16500</v>
      </c>
      <c r="AA354" s="91">
        <f>K354</f>
        <v>0</v>
      </c>
      <c r="AB354" s="91">
        <f t="shared" si="293"/>
        <v>16500</v>
      </c>
      <c r="AC354" s="4">
        <f t="shared" si="293"/>
        <v>0</v>
      </c>
      <c r="AD354" s="92">
        <f t="shared" si="293"/>
        <v>515.625</v>
      </c>
      <c r="AE354" s="80" t="str">
        <f>S354</f>
        <v>계</v>
      </c>
      <c r="AF354" s="80" t="str">
        <f>Q354&amp;"/"&amp;R354</f>
        <v>3/2</v>
      </c>
      <c r="AH354" s="20" t="str">
        <f t="shared" si="281"/>
        <v>조촌동 삼성</v>
      </c>
      <c r="AI354" s="88">
        <f t="shared" si="268"/>
        <v>32</v>
      </c>
      <c r="AJ354" s="80" t="str">
        <f>IF(AI354="","",$AJ$2)</f>
        <v>A-</v>
      </c>
      <c r="AK354" s="80" t="s">
        <v>14</v>
      </c>
      <c r="AL354" s="80" t="s">
        <v>63</v>
      </c>
      <c r="AM354" s="80" t="s">
        <v>64</v>
      </c>
      <c r="AN354" s="80" t="str">
        <f>IF(AI354="","",$AN$2)</f>
        <v>C</v>
      </c>
      <c r="AO354" s="80" t="str">
        <f>IF(N354="","",IF(N354&gt;=$AO$1/100,"O","X"))</f>
        <v>X</v>
      </c>
      <c r="AP354" s="80" t="str">
        <f>IF(I354="","",IF(I354&lt;=$AP$1,"O","X"))</f>
        <v>O</v>
      </c>
      <c r="AQ354" s="80" t="str">
        <f>IF(O354="","",IF(O354&lt;=$AQ$1,"O","X"))</f>
        <v>O</v>
      </c>
      <c r="AR354" s="80" t="str">
        <f>IF(M354="","",IF(M354&lt;=$AR$1,"O","X"))</f>
        <v>X</v>
      </c>
      <c r="AS354" s="80" t="s">
        <v>2</v>
      </c>
      <c r="AT354" s="80" t="str">
        <f>IF(OR(F354="",AI354=""),"",IF(AND((F354&lt;=85),(AI354&gt;=15)),"O","X"))</f>
        <v>O</v>
      </c>
      <c r="AU354" s="80" t="str">
        <f>IF(C354="","",IF(C354&gt;=$AU$1,"O","X"))</f>
        <v>O</v>
      </c>
      <c r="AV354" s="80" t="str">
        <f>IF(AO354="","",IF(AND(AO354="O",AP354="O",AR354="O",AT354="O",AU354="O"),"후보","X"))</f>
        <v>X</v>
      </c>
    </row>
    <row r="355" spans="1:48" s="37" customFormat="1" ht="12" x14ac:dyDescent="0.3">
      <c r="A355" s="75" t="s">
        <v>1563</v>
      </c>
      <c r="B355" s="76" t="s">
        <v>1564</v>
      </c>
      <c r="C355" s="86">
        <v>306</v>
      </c>
      <c r="D355" s="87">
        <v>104.5</v>
      </c>
      <c r="E355" s="88">
        <v>32</v>
      </c>
      <c r="F355" s="87">
        <v>84.9</v>
      </c>
      <c r="G355" s="17">
        <v>26</v>
      </c>
      <c r="H355" s="89">
        <v>30</v>
      </c>
      <c r="I355" s="90">
        <v>18500</v>
      </c>
      <c r="J355" s="90" t="s">
        <v>84</v>
      </c>
      <c r="K355" s="90"/>
      <c r="L355" s="90"/>
      <c r="M355" s="91">
        <f>I355-K355</f>
        <v>18500</v>
      </c>
      <c r="N355" s="4">
        <f>IF(ISERROR(K355/I355),"",K355/I355)</f>
        <v>0</v>
      </c>
      <c r="O355" s="92">
        <f>I355/E355</f>
        <v>578.125</v>
      </c>
      <c r="P355" s="92">
        <f>K355/E355</f>
        <v>0</v>
      </c>
      <c r="Q355" s="80">
        <v>3</v>
      </c>
      <c r="R355" s="80">
        <v>2</v>
      </c>
      <c r="S355" s="80" t="s">
        <v>61</v>
      </c>
      <c r="T355" s="5" t="s">
        <v>1184</v>
      </c>
      <c r="U355" s="9"/>
      <c r="W355" s="87">
        <f t="shared" si="291"/>
        <v>104.5</v>
      </c>
      <c r="X355" s="88">
        <f t="shared" si="291"/>
        <v>32</v>
      </c>
      <c r="Y355" s="93">
        <f t="shared" si="292"/>
        <v>30</v>
      </c>
      <c r="Z355" s="91">
        <f t="shared" si="292"/>
        <v>18500</v>
      </c>
      <c r="AA355" s="91">
        <f>K355</f>
        <v>0</v>
      </c>
      <c r="AB355" s="91">
        <f t="shared" si="293"/>
        <v>18500</v>
      </c>
      <c r="AC355" s="4">
        <f t="shared" si="293"/>
        <v>0</v>
      </c>
      <c r="AD355" s="92">
        <f t="shared" si="293"/>
        <v>578.125</v>
      </c>
      <c r="AE355" s="80" t="str">
        <f>S355</f>
        <v>계</v>
      </c>
      <c r="AF355" s="80" t="str">
        <f>Q355&amp;"/"&amp;R355</f>
        <v>3/2</v>
      </c>
      <c r="AH355" s="20" t="str">
        <f t="shared" si="281"/>
        <v>조촌동 삼성</v>
      </c>
      <c r="AI355" s="88">
        <f t="shared" si="268"/>
        <v>32</v>
      </c>
      <c r="AJ355" s="80" t="str">
        <f>IF(AI355="","",$AJ$2)</f>
        <v>A-</v>
      </c>
      <c r="AK355" s="80" t="s">
        <v>14</v>
      </c>
      <c r="AL355" s="80" t="s">
        <v>63</v>
      </c>
      <c r="AM355" s="80" t="s">
        <v>64</v>
      </c>
      <c r="AN355" s="80" t="str">
        <f>IF(AI355="","",$AN$2)</f>
        <v>C</v>
      </c>
      <c r="AO355" s="80" t="str">
        <f>IF(N355="","",IF(N355&gt;=$AO$1/100,"O","X"))</f>
        <v>X</v>
      </c>
      <c r="AP355" s="80" t="str">
        <f>IF(I355="","",IF(I355&lt;=$AP$1,"O","X"))</f>
        <v>O</v>
      </c>
      <c r="AQ355" s="80" t="str">
        <f>IF(O355="","",IF(O355&lt;=$AQ$1,"O","X"))</f>
        <v>O</v>
      </c>
      <c r="AR355" s="80" t="str">
        <f>IF(M355="","",IF(M355&lt;=$AR$1,"O","X"))</f>
        <v>X</v>
      </c>
      <c r="AS355" s="80" t="s">
        <v>2</v>
      </c>
      <c r="AT355" s="80" t="str">
        <f>IF(OR(F355="",AI355=""),"",IF(AND((F355&lt;=85),(AI355&gt;=15)),"O","X"))</f>
        <v>O</v>
      </c>
      <c r="AU355" s="80" t="str">
        <f>IF(C355="","",IF(C355&gt;=$AU$1,"O","X"))</f>
        <v>O</v>
      </c>
      <c r="AV355" s="80" t="str">
        <f>IF(AO355="","",IF(AND(AO355="O",AP355="O",AR355="O",AT355="O",AU355="O"),"후보","X"))</f>
        <v>X</v>
      </c>
    </row>
    <row r="356" spans="1:48" s="37" customFormat="1" ht="12" x14ac:dyDescent="0.3">
      <c r="A356" s="75" t="s">
        <v>1565</v>
      </c>
      <c r="B356" s="76" t="s">
        <v>1566</v>
      </c>
      <c r="C356" s="86">
        <v>402</v>
      </c>
      <c r="D356" s="87">
        <v>53.7</v>
      </c>
      <c r="E356" s="88">
        <v>16</v>
      </c>
      <c r="F356" s="87">
        <v>40</v>
      </c>
      <c r="G356" s="17">
        <v>12</v>
      </c>
      <c r="H356" s="89">
        <v>402</v>
      </c>
      <c r="I356" s="90"/>
      <c r="J356" s="90"/>
      <c r="K356" s="90"/>
      <c r="L356" s="90"/>
      <c r="M356" s="91">
        <f>I356-K356</f>
        <v>0</v>
      </c>
      <c r="N356" s="4" t="str">
        <f>IF(ISERROR(K356/I356),"",K356/I356)</f>
        <v/>
      </c>
      <c r="O356" s="92">
        <f>I356/E356</f>
        <v>0</v>
      </c>
      <c r="P356" s="92">
        <f>K356/E356</f>
        <v>0</v>
      </c>
      <c r="Q356" s="80">
        <v>2</v>
      </c>
      <c r="R356" s="80">
        <v>1</v>
      </c>
      <c r="S356" s="80" t="s">
        <v>61</v>
      </c>
      <c r="T356" s="5">
        <v>53</v>
      </c>
      <c r="U356" s="9"/>
      <c r="W356" s="87">
        <f>D356</f>
        <v>53.7</v>
      </c>
      <c r="X356" s="88">
        <f>E356</f>
        <v>16</v>
      </c>
      <c r="Y356" s="93">
        <f>H356</f>
        <v>402</v>
      </c>
      <c r="Z356" s="91">
        <f>I356</f>
        <v>0</v>
      </c>
      <c r="AA356" s="91">
        <f>K356</f>
        <v>0</v>
      </c>
      <c r="AB356" s="91">
        <f>M356</f>
        <v>0</v>
      </c>
      <c r="AC356" s="4" t="str">
        <f>N356</f>
        <v/>
      </c>
      <c r="AD356" s="92">
        <f>O356</f>
        <v>0</v>
      </c>
      <c r="AE356" s="80" t="str">
        <f>S356</f>
        <v>계</v>
      </c>
      <c r="AF356" s="80" t="str">
        <f>Q356&amp;"/"&amp;R356</f>
        <v>2/1</v>
      </c>
      <c r="AH356" s="20" t="str">
        <f t="shared" si="281"/>
        <v>조촌동 부향하나로</v>
      </c>
      <c r="AI356" s="88">
        <f t="shared" si="268"/>
        <v>16</v>
      </c>
      <c r="AJ356" s="80" t="str">
        <f>IF(AI356="","",$AJ$2)</f>
        <v>A-</v>
      </c>
      <c r="AK356" s="80" t="s">
        <v>14</v>
      </c>
      <c r="AL356" s="80" t="s">
        <v>63</v>
      </c>
      <c r="AM356" s="80" t="s">
        <v>64</v>
      </c>
      <c r="AN356" s="80" t="str">
        <f>IF(AI356="","",$AN$2)</f>
        <v>C</v>
      </c>
      <c r="AO356" s="80" t="str">
        <f>IF(N356="","",IF(N356&gt;=$AO$1/100,"O","X"))</f>
        <v/>
      </c>
      <c r="AP356" s="80" t="str">
        <f>IF(I356="","",IF(I356&lt;=$AP$1,"O","X"))</f>
        <v/>
      </c>
      <c r="AQ356" s="80" t="str">
        <f>IF(O356="","",IF(O356&lt;=$AQ$1,"O","X"))</f>
        <v>O</v>
      </c>
      <c r="AR356" s="80" t="str">
        <f>IF(M356="","",IF(M356&lt;=$AR$1,"O","X"))</f>
        <v>O</v>
      </c>
      <c r="AS356" s="80" t="s">
        <v>2</v>
      </c>
      <c r="AT356" s="80" t="str">
        <f>IF(OR(F356="",AI356=""),"",IF(AND((F356&lt;=85),(AI356&gt;=15)),"O","X"))</f>
        <v>O</v>
      </c>
      <c r="AU356" s="80" t="str">
        <f>IF(C356="","",IF(C356&gt;=$AU$1,"O","X"))</f>
        <v>O</v>
      </c>
      <c r="AV356" s="80" t="str">
        <f>IF(AO356="","",IF(AND(AO356="O",AP356="O",AR356="O",AT356="O",AU356="O"),"후보","X"))</f>
        <v/>
      </c>
    </row>
    <row r="357" spans="1:48" s="37" customFormat="1" ht="12" x14ac:dyDescent="0.3">
      <c r="A357" s="75" t="s">
        <v>1567</v>
      </c>
      <c r="B357" s="76" t="s">
        <v>1568</v>
      </c>
      <c r="C357" s="86">
        <v>854</v>
      </c>
      <c r="D357" s="87">
        <v>80.5</v>
      </c>
      <c r="E357" s="88">
        <v>24</v>
      </c>
      <c r="F357" s="87">
        <v>59.9</v>
      </c>
      <c r="G357" s="17">
        <v>18</v>
      </c>
      <c r="H357" s="89">
        <v>174</v>
      </c>
      <c r="I357" s="90">
        <v>32000</v>
      </c>
      <c r="J357" s="90" t="s">
        <v>70</v>
      </c>
      <c r="K357" s="90">
        <v>25000</v>
      </c>
      <c r="L357" s="90" t="s">
        <v>65</v>
      </c>
      <c r="M357" s="91">
        <f t="shared" ref="M357:M362" si="294">I357-K357</f>
        <v>7000</v>
      </c>
      <c r="N357" s="4">
        <f t="shared" ref="N357:N362" si="295">IF(ISERROR(K357/I357),"",K357/I357)</f>
        <v>0.78125</v>
      </c>
      <c r="O357" s="92">
        <f t="shared" ref="O357:O362" si="296">I357/E357</f>
        <v>1333.3333333333333</v>
      </c>
      <c r="P357" s="92">
        <f t="shared" ref="P357:P362" si="297">K357/E357</f>
        <v>1041.6666666666667</v>
      </c>
      <c r="Q357" s="80">
        <v>3</v>
      </c>
      <c r="R357" s="80">
        <v>2</v>
      </c>
      <c r="S357" s="80" t="s">
        <v>61</v>
      </c>
      <c r="T357" s="5">
        <v>80</v>
      </c>
      <c r="U357" s="9"/>
      <c r="W357" s="87">
        <f t="shared" ref="W357:X362" si="298">D357</f>
        <v>80.5</v>
      </c>
      <c r="X357" s="88">
        <f t="shared" si="298"/>
        <v>24</v>
      </c>
      <c r="Y357" s="93">
        <f t="shared" ref="Y357:Z362" si="299">H357</f>
        <v>174</v>
      </c>
      <c r="Z357" s="91">
        <f t="shared" si="299"/>
        <v>32000</v>
      </c>
      <c r="AA357" s="91">
        <f t="shared" ref="AA357:AA362" si="300">K357</f>
        <v>25000</v>
      </c>
      <c r="AB357" s="91">
        <f t="shared" ref="AB357:AD372" si="301">M357</f>
        <v>7000</v>
      </c>
      <c r="AC357" s="4">
        <f t="shared" si="301"/>
        <v>0.78125</v>
      </c>
      <c r="AD357" s="92">
        <f t="shared" si="301"/>
        <v>1333.3333333333333</v>
      </c>
      <c r="AE357" s="80" t="str">
        <f t="shared" ref="AE357:AE362" si="302">S357</f>
        <v>계</v>
      </c>
      <c r="AF357" s="80" t="str">
        <f t="shared" ref="AF357:AF362" si="303">Q357&amp;"/"&amp;R357</f>
        <v>3/2</v>
      </c>
      <c r="AH357" s="20" t="str">
        <f t="shared" si="281"/>
        <v>조촌동 e편한세상군산디오션시티</v>
      </c>
      <c r="AI357" s="88">
        <f t="shared" si="268"/>
        <v>24</v>
      </c>
      <c r="AJ357" s="80" t="str">
        <f t="shared" ref="AJ357:AJ362" si="304">IF(AI357="","",$AJ$2)</f>
        <v>A-</v>
      </c>
      <c r="AK357" s="80" t="s">
        <v>14</v>
      </c>
      <c r="AL357" s="80" t="s">
        <v>63</v>
      </c>
      <c r="AM357" s="80" t="s">
        <v>64</v>
      </c>
      <c r="AN357" s="80" t="str">
        <f t="shared" ref="AN357:AN362" si="305">IF(AI357="","",$AN$2)</f>
        <v>C</v>
      </c>
      <c r="AO357" s="80" t="str">
        <f t="shared" ref="AO357:AO362" si="306">IF(N357="","",IF(N357&gt;=$AO$1/100,"O","X"))</f>
        <v>X</v>
      </c>
      <c r="AP357" s="80" t="str">
        <f t="shared" ref="AP357:AP362" si="307">IF(I357="","",IF(I357&lt;=$AP$1,"O","X"))</f>
        <v>O</v>
      </c>
      <c r="AQ357" s="80" t="str">
        <f t="shared" ref="AQ357:AQ362" si="308">IF(O357="","",IF(O357&lt;=$AQ$1,"O","X"))</f>
        <v>X</v>
      </c>
      <c r="AR357" s="80" t="str">
        <f t="shared" ref="AR357:AR362" si="309">IF(M357="","",IF(M357&lt;=$AR$1,"O","X"))</f>
        <v>X</v>
      </c>
      <c r="AS357" s="80" t="s">
        <v>2</v>
      </c>
      <c r="AT357" s="80" t="str">
        <f t="shared" ref="AT357:AT362" si="310">IF(OR(F357="",AI357=""),"",IF(AND((F357&lt;=85),(AI357&gt;=15)),"O","X"))</f>
        <v>O</v>
      </c>
      <c r="AU357" s="80" t="str">
        <f t="shared" ref="AU357:AU362" si="311">IF(C357="","",IF(C357&gt;=$AU$1,"O","X"))</f>
        <v>O</v>
      </c>
      <c r="AV357" s="80" t="str">
        <f t="shared" ref="AV357:AV362" si="312">IF(AO357="","",IF(AND(AO357="O",AP357="O",AR357="O",AT357="O",AU357="O"),"후보","X"))</f>
        <v>X</v>
      </c>
    </row>
    <row r="358" spans="1:48" s="37" customFormat="1" ht="12" x14ac:dyDescent="0.3">
      <c r="A358" s="75" t="s">
        <v>1567</v>
      </c>
      <c r="B358" s="76" t="s">
        <v>1568</v>
      </c>
      <c r="C358" s="86">
        <v>854</v>
      </c>
      <c r="D358" s="87">
        <v>100.4</v>
      </c>
      <c r="E358" s="88">
        <v>30</v>
      </c>
      <c r="F358" s="87">
        <v>75</v>
      </c>
      <c r="G358" s="17">
        <v>23</v>
      </c>
      <c r="H358" s="89">
        <v>174</v>
      </c>
      <c r="I358" s="90">
        <v>40000</v>
      </c>
      <c r="J358" s="90" t="s">
        <v>60</v>
      </c>
      <c r="K358" s="90">
        <v>29000</v>
      </c>
      <c r="L358" s="90" t="s">
        <v>60</v>
      </c>
      <c r="M358" s="91">
        <f t="shared" si="294"/>
        <v>11000</v>
      </c>
      <c r="N358" s="4">
        <f t="shared" si="295"/>
        <v>0.72499999999999998</v>
      </c>
      <c r="O358" s="92">
        <f t="shared" si="296"/>
        <v>1333.3333333333333</v>
      </c>
      <c r="P358" s="92">
        <f t="shared" si="297"/>
        <v>966.66666666666663</v>
      </c>
      <c r="Q358" s="80">
        <v>3</v>
      </c>
      <c r="R358" s="80">
        <v>2</v>
      </c>
      <c r="S358" s="80" t="s">
        <v>61</v>
      </c>
      <c r="T358" s="5" t="s">
        <v>116</v>
      </c>
      <c r="U358" s="9"/>
      <c r="W358" s="87">
        <f t="shared" si="298"/>
        <v>100.4</v>
      </c>
      <c r="X358" s="88">
        <f t="shared" si="298"/>
        <v>30</v>
      </c>
      <c r="Y358" s="93">
        <f t="shared" si="299"/>
        <v>174</v>
      </c>
      <c r="Z358" s="91">
        <f t="shared" si="299"/>
        <v>40000</v>
      </c>
      <c r="AA358" s="91">
        <f t="shared" si="300"/>
        <v>29000</v>
      </c>
      <c r="AB358" s="91">
        <f t="shared" si="301"/>
        <v>11000</v>
      </c>
      <c r="AC358" s="4">
        <f t="shared" si="301"/>
        <v>0.72499999999999998</v>
      </c>
      <c r="AD358" s="92">
        <f t="shared" si="301"/>
        <v>1333.3333333333333</v>
      </c>
      <c r="AE358" s="80" t="str">
        <f t="shared" si="302"/>
        <v>계</v>
      </c>
      <c r="AF358" s="80" t="str">
        <f t="shared" si="303"/>
        <v>3/2</v>
      </c>
      <c r="AH358" s="20" t="str">
        <f t="shared" si="281"/>
        <v>조촌동 e편한세상군산디오션시티</v>
      </c>
      <c r="AI358" s="88">
        <f t="shared" si="268"/>
        <v>30</v>
      </c>
      <c r="AJ358" s="80" t="str">
        <f t="shared" si="304"/>
        <v>A-</v>
      </c>
      <c r="AK358" s="80" t="s">
        <v>14</v>
      </c>
      <c r="AL358" s="80" t="s">
        <v>63</v>
      </c>
      <c r="AM358" s="80" t="s">
        <v>64</v>
      </c>
      <c r="AN358" s="80" t="str">
        <f t="shared" si="305"/>
        <v>C</v>
      </c>
      <c r="AO358" s="80" t="str">
        <f t="shared" si="306"/>
        <v>X</v>
      </c>
      <c r="AP358" s="80" t="str">
        <f t="shared" si="307"/>
        <v>O</v>
      </c>
      <c r="AQ358" s="80" t="str">
        <f t="shared" si="308"/>
        <v>X</v>
      </c>
      <c r="AR358" s="80" t="str">
        <f t="shared" si="309"/>
        <v>X</v>
      </c>
      <c r="AS358" s="80" t="s">
        <v>2</v>
      </c>
      <c r="AT358" s="80" t="str">
        <f t="shared" si="310"/>
        <v>O</v>
      </c>
      <c r="AU358" s="80" t="str">
        <f t="shared" si="311"/>
        <v>O</v>
      </c>
      <c r="AV358" s="80" t="str">
        <f t="shared" si="312"/>
        <v>X</v>
      </c>
    </row>
    <row r="359" spans="1:48" s="37" customFormat="1" ht="12" x14ac:dyDescent="0.3">
      <c r="A359" s="75" t="s">
        <v>1567</v>
      </c>
      <c r="B359" s="76" t="s">
        <v>1568</v>
      </c>
      <c r="C359" s="86">
        <v>854</v>
      </c>
      <c r="D359" s="87">
        <v>100.1</v>
      </c>
      <c r="E359" s="88">
        <v>30</v>
      </c>
      <c r="F359" s="87">
        <v>75</v>
      </c>
      <c r="G359" s="17">
        <v>23</v>
      </c>
      <c r="H359" s="89">
        <v>84</v>
      </c>
      <c r="I359" s="90">
        <v>42500</v>
      </c>
      <c r="J359" s="90" t="s">
        <v>72</v>
      </c>
      <c r="K359" s="90"/>
      <c r="L359" s="90"/>
      <c r="M359" s="91">
        <f t="shared" si="294"/>
        <v>42500</v>
      </c>
      <c r="N359" s="4">
        <f t="shared" si="295"/>
        <v>0</v>
      </c>
      <c r="O359" s="92">
        <f t="shared" si="296"/>
        <v>1416.6666666666667</v>
      </c>
      <c r="P359" s="92">
        <f t="shared" si="297"/>
        <v>0</v>
      </c>
      <c r="Q359" s="80">
        <v>3</v>
      </c>
      <c r="R359" s="80">
        <v>2</v>
      </c>
      <c r="S359" s="80" t="s">
        <v>61</v>
      </c>
      <c r="T359" s="5" t="s">
        <v>115</v>
      </c>
      <c r="U359" s="9"/>
      <c r="W359" s="87">
        <f t="shared" si="298"/>
        <v>100.1</v>
      </c>
      <c r="X359" s="88">
        <f t="shared" si="298"/>
        <v>30</v>
      </c>
      <c r="Y359" s="93">
        <f t="shared" si="299"/>
        <v>84</v>
      </c>
      <c r="Z359" s="91">
        <f t="shared" si="299"/>
        <v>42500</v>
      </c>
      <c r="AA359" s="91">
        <f t="shared" si="300"/>
        <v>0</v>
      </c>
      <c r="AB359" s="91">
        <f t="shared" si="301"/>
        <v>42500</v>
      </c>
      <c r="AC359" s="4">
        <f t="shared" si="301"/>
        <v>0</v>
      </c>
      <c r="AD359" s="92">
        <f t="shared" si="301"/>
        <v>1416.6666666666667</v>
      </c>
      <c r="AE359" s="80" t="str">
        <f t="shared" si="302"/>
        <v>계</v>
      </c>
      <c r="AF359" s="80" t="str">
        <f t="shared" si="303"/>
        <v>3/2</v>
      </c>
      <c r="AH359" s="20" t="str">
        <f t="shared" si="281"/>
        <v>조촌동 e편한세상군산디오션시티</v>
      </c>
      <c r="AI359" s="88">
        <f t="shared" si="268"/>
        <v>30</v>
      </c>
      <c r="AJ359" s="80" t="str">
        <f t="shared" si="304"/>
        <v>A-</v>
      </c>
      <c r="AK359" s="80" t="s">
        <v>14</v>
      </c>
      <c r="AL359" s="80" t="s">
        <v>63</v>
      </c>
      <c r="AM359" s="80" t="s">
        <v>64</v>
      </c>
      <c r="AN359" s="80" t="str">
        <f t="shared" si="305"/>
        <v>C</v>
      </c>
      <c r="AO359" s="80" t="str">
        <f t="shared" si="306"/>
        <v>X</v>
      </c>
      <c r="AP359" s="80" t="str">
        <f t="shared" si="307"/>
        <v>O</v>
      </c>
      <c r="AQ359" s="80" t="str">
        <f t="shared" si="308"/>
        <v>X</v>
      </c>
      <c r="AR359" s="80" t="str">
        <f t="shared" si="309"/>
        <v>X</v>
      </c>
      <c r="AS359" s="80" t="s">
        <v>2</v>
      </c>
      <c r="AT359" s="80" t="str">
        <f t="shared" si="310"/>
        <v>O</v>
      </c>
      <c r="AU359" s="80" t="str">
        <f t="shared" si="311"/>
        <v>O</v>
      </c>
      <c r="AV359" s="80" t="str">
        <f t="shared" si="312"/>
        <v>X</v>
      </c>
    </row>
    <row r="360" spans="1:48" s="37" customFormat="1" ht="12" x14ac:dyDescent="0.3">
      <c r="A360" s="75" t="s">
        <v>1567</v>
      </c>
      <c r="B360" s="76" t="s">
        <v>1568</v>
      </c>
      <c r="C360" s="86">
        <v>854</v>
      </c>
      <c r="D360" s="87">
        <v>113.2</v>
      </c>
      <c r="E360" s="88">
        <v>34</v>
      </c>
      <c r="F360" s="87">
        <v>85</v>
      </c>
      <c r="G360" s="17">
        <v>26</v>
      </c>
      <c r="H360" s="89">
        <v>253</v>
      </c>
      <c r="I360" s="90">
        <v>50000</v>
      </c>
      <c r="J360" s="90" t="s">
        <v>68</v>
      </c>
      <c r="K360" s="90">
        <v>35000</v>
      </c>
      <c r="L360" s="90" t="s">
        <v>80</v>
      </c>
      <c r="M360" s="91">
        <f t="shared" si="294"/>
        <v>15000</v>
      </c>
      <c r="N360" s="4">
        <f t="shared" si="295"/>
        <v>0.7</v>
      </c>
      <c r="O360" s="92">
        <f t="shared" si="296"/>
        <v>1470.5882352941176</v>
      </c>
      <c r="P360" s="92">
        <f t="shared" si="297"/>
        <v>1029.4117647058824</v>
      </c>
      <c r="Q360" s="80">
        <v>3</v>
      </c>
      <c r="R360" s="80">
        <v>2</v>
      </c>
      <c r="S360" s="80" t="s">
        <v>61</v>
      </c>
      <c r="T360" s="5" t="s">
        <v>108</v>
      </c>
      <c r="U360" s="9"/>
      <c r="W360" s="87">
        <f t="shared" si="298"/>
        <v>113.2</v>
      </c>
      <c r="X360" s="88">
        <f t="shared" si="298"/>
        <v>34</v>
      </c>
      <c r="Y360" s="93">
        <f t="shared" si="299"/>
        <v>253</v>
      </c>
      <c r="Z360" s="91">
        <f t="shared" si="299"/>
        <v>50000</v>
      </c>
      <c r="AA360" s="91">
        <f t="shared" si="300"/>
        <v>35000</v>
      </c>
      <c r="AB360" s="91">
        <f t="shared" si="301"/>
        <v>15000</v>
      </c>
      <c r="AC360" s="4">
        <f t="shared" si="301"/>
        <v>0.7</v>
      </c>
      <c r="AD360" s="92">
        <f t="shared" si="301"/>
        <v>1470.5882352941176</v>
      </c>
      <c r="AE360" s="80" t="str">
        <f t="shared" si="302"/>
        <v>계</v>
      </c>
      <c r="AF360" s="80" t="str">
        <f t="shared" si="303"/>
        <v>3/2</v>
      </c>
      <c r="AH360" s="20" t="str">
        <f t="shared" si="281"/>
        <v>조촌동 e편한세상군산디오션시티</v>
      </c>
      <c r="AI360" s="88">
        <f t="shared" si="268"/>
        <v>34</v>
      </c>
      <c r="AJ360" s="80" t="str">
        <f t="shared" si="304"/>
        <v>A-</v>
      </c>
      <c r="AK360" s="80" t="s">
        <v>14</v>
      </c>
      <c r="AL360" s="80" t="s">
        <v>63</v>
      </c>
      <c r="AM360" s="80" t="s">
        <v>64</v>
      </c>
      <c r="AN360" s="80" t="str">
        <f t="shared" si="305"/>
        <v>C</v>
      </c>
      <c r="AO360" s="80" t="str">
        <f t="shared" si="306"/>
        <v>X</v>
      </c>
      <c r="AP360" s="80" t="str">
        <f t="shared" si="307"/>
        <v>X</v>
      </c>
      <c r="AQ360" s="80" t="str">
        <f t="shared" si="308"/>
        <v>X</v>
      </c>
      <c r="AR360" s="80" t="str">
        <f t="shared" si="309"/>
        <v>X</v>
      </c>
      <c r="AS360" s="80" t="s">
        <v>2</v>
      </c>
      <c r="AT360" s="80" t="str">
        <f t="shared" si="310"/>
        <v>O</v>
      </c>
      <c r="AU360" s="80" t="str">
        <f t="shared" si="311"/>
        <v>O</v>
      </c>
      <c r="AV360" s="80" t="str">
        <f t="shared" si="312"/>
        <v>X</v>
      </c>
    </row>
    <row r="361" spans="1:48" s="37" customFormat="1" ht="12" x14ac:dyDescent="0.3">
      <c r="A361" s="75" t="s">
        <v>1567</v>
      </c>
      <c r="B361" s="76" t="s">
        <v>1568</v>
      </c>
      <c r="C361" s="86">
        <v>854</v>
      </c>
      <c r="D361" s="87">
        <v>113.9</v>
      </c>
      <c r="E361" s="88">
        <v>34</v>
      </c>
      <c r="F361" s="87">
        <v>84.8</v>
      </c>
      <c r="G361" s="17">
        <v>26</v>
      </c>
      <c r="H361" s="89">
        <v>82</v>
      </c>
      <c r="I361" s="90">
        <v>45500</v>
      </c>
      <c r="J361" s="90" t="s">
        <v>60</v>
      </c>
      <c r="K361" s="90">
        <v>32000</v>
      </c>
      <c r="L361" s="90" t="s">
        <v>109</v>
      </c>
      <c r="M361" s="91">
        <f t="shared" si="294"/>
        <v>13500</v>
      </c>
      <c r="N361" s="4">
        <f t="shared" si="295"/>
        <v>0.70329670329670335</v>
      </c>
      <c r="O361" s="92">
        <f t="shared" si="296"/>
        <v>1338.2352941176471</v>
      </c>
      <c r="P361" s="92">
        <f t="shared" si="297"/>
        <v>941.17647058823525</v>
      </c>
      <c r="Q361" s="80">
        <v>3</v>
      </c>
      <c r="R361" s="80">
        <v>2</v>
      </c>
      <c r="S361" s="80" t="s">
        <v>61</v>
      </c>
      <c r="T361" s="5" t="s">
        <v>267</v>
      </c>
      <c r="U361" s="9"/>
      <c r="W361" s="87">
        <f t="shared" si="298"/>
        <v>113.9</v>
      </c>
      <c r="X361" s="88">
        <f t="shared" si="298"/>
        <v>34</v>
      </c>
      <c r="Y361" s="93">
        <f t="shared" si="299"/>
        <v>82</v>
      </c>
      <c r="Z361" s="91">
        <f t="shared" si="299"/>
        <v>45500</v>
      </c>
      <c r="AA361" s="91">
        <f t="shared" si="300"/>
        <v>32000</v>
      </c>
      <c r="AB361" s="91">
        <f t="shared" si="301"/>
        <v>13500</v>
      </c>
      <c r="AC361" s="4">
        <f t="shared" si="301"/>
        <v>0.70329670329670335</v>
      </c>
      <c r="AD361" s="92">
        <f t="shared" si="301"/>
        <v>1338.2352941176471</v>
      </c>
      <c r="AE361" s="80" t="str">
        <f t="shared" si="302"/>
        <v>계</v>
      </c>
      <c r="AF361" s="80" t="str">
        <f t="shared" si="303"/>
        <v>3/2</v>
      </c>
      <c r="AH361" s="20" t="str">
        <f t="shared" si="281"/>
        <v>조촌동 e편한세상군산디오션시티</v>
      </c>
      <c r="AI361" s="88">
        <f t="shared" si="268"/>
        <v>34</v>
      </c>
      <c r="AJ361" s="80" t="str">
        <f t="shared" si="304"/>
        <v>A-</v>
      </c>
      <c r="AK361" s="80" t="s">
        <v>14</v>
      </c>
      <c r="AL361" s="80" t="s">
        <v>63</v>
      </c>
      <c r="AM361" s="80" t="s">
        <v>64</v>
      </c>
      <c r="AN361" s="80" t="str">
        <f t="shared" si="305"/>
        <v>C</v>
      </c>
      <c r="AO361" s="80" t="str">
        <f t="shared" si="306"/>
        <v>X</v>
      </c>
      <c r="AP361" s="80" t="str">
        <f t="shared" si="307"/>
        <v>X</v>
      </c>
      <c r="AQ361" s="80" t="str">
        <f t="shared" si="308"/>
        <v>X</v>
      </c>
      <c r="AR361" s="80" t="str">
        <f t="shared" si="309"/>
        <v>X</v>
      </c>
      <c r="AS361" s="80" t="s">
        <v>2</v>
      </c>
      <c r="AT361" s="80" t="str">
        <f t="shared" si="310"/>
        <v>O</v>
      </c>
      <c r="AU361" s="80" t="str">
        <f t="shared" si="311"/>
        <v>O</v>
      </c>
      <c r="AV361" s="80" t="str">
        <f t="shared" si="312"/>
        <v>X</v>
      </c>
    </row>
    <row r="362" spans="1:48" s="37" customFormat="1" ht="12" x14ac:dyDescent="0.3">
      <c r="A362" s="75" t="s">
        <v>1748</v>
      </c>
      <c r="B362" s="76" t="s">
        <v>1749</v>
      </c>
      <c r="C362" s="86">
        <v>854</v>
      </c>
      <c r="D362" s="87">
        <v>140.30000000000001</v>
      </c>
      <c r="E362" s="88">
        <v>42</v>
      </c>
      <c r="F362" s="87">
        <v>106.4</v>
      </c>
      <c r="G362" s="17">
        <v>32</v>
      </c>
      <c r="H362" s="89">
        <v>87</v>
      </c>
      <c r="I362" s="90"/>
      <c r="J362" s="90"/>
      <c r="K362" s="90"/>
      <c r="L362" s="90"/>
      <c r="M362" s="91">
        <f t="shared" si="294"/>
        <v>0</v>
      </c>
      <c r="N362" s="4" t="str">
        <f t="shared" si="295"/>
        <v/>
      </c>
      <c r="O362" s="92">
        <f t="shared" si="296"/>
        <v>0</v>
      </c>
      <c r="P362" s="92">
        <f t="shared" si="297"/>
        <v>0</v>
      </c>
      <c r="Q362" s="80">
        <v>4</v>
      </c>
      <c r="R362" s="80">
        <v>2</v>
      </c>
      <c r="S362" s="80" t="s">
        <v>61</v>
      </c>
      <c r="T362" s="5">
        <v>140</v>
      </c>
      <c r="U362" s="9"/>
      <c r="W362" s="87">
        <f t="shared" si="298"/>
        <v>140.30000000000001</v>
      </c>
      <c r="X362" s="88">
        <f t="shared" si="298"/>
        <v>42</v>
      </c>
      <c r="Y362" s="93">
        <f t="shared" si="299"/>
        <v>87</v>
      </c>
      <c r="Z362" s="91">
        <f t="shared" si="299"/>
        <v>0</v>
      </c>
      <c r="AA362" s="91">
        <f t="shared" si="300"/>
        <v>0</v>
      </c>
      <c r="AB362" s="91">
        <f t="shared" si="301"/>
        <v>0</v>
      </c>
      <c r="AC362" s="4" t="str">
        <f t="shared" si="301"/>
        <v/>
      </c>
      <c r="AD362" s="92">
        <f t="shared" si="301"/>
        <v>0</v>
      </c>
      <c r="AE362" s="80" t="str">
        <f t="shared" si="302"/>
        <v>계</v>
      </c>
      <c r="AF362" s="80" t="str">
        <f t="shared" si="303"/>
        <v>4/2</v>
      </c>
      <c r="AH362" s="20" t="str">
        <f t="shared" si="281"/>
        <v>조촌동 e편한세상군산디오션시티</v>
      </c>
      <c r="AI362" s="88">
        <f t="shared" si="268"/>
        <v>42</v>
      </c>
      <c r="AJ362" s="80" t="str">
        <f t="shared" si="304"/>
        <v>A-</v>
      </c>
      <c r="AK362" s="80" t="s">
        <v>14</v>
      </c>
      <c r="AL362" s="80" t="s">
        <v>63</v>
      </c>
      <c r="AM362" s="80" t="s">
        <v>64</v>
      </c>
      <c r="AN362" s="80" t="str">
        <f t="shared" si="305"/>
        <v>C</v>
      </c>
      <c r="AO362" s="80" t="str">
        <f t="shared" si="306"/>
        <v/>
      </c>
      <c r="AP362" s="80" t="str">
        <f t="shared" si="307"/>
        <v/>
      </c>
      <c r="AQ362" s="80" t="str">
        <f t="shared" si="308"/>
        <v>O</v>
      </c>
      <c r="AR362" s="80" t="str">
        <f t="shared" si="309"/>
        <v>O</v>
      </c>
      <c r="AS362" s="80" t="s">
        <v>2</v>
      </c>
      <c r="AT362" s="80" t="str">
        <f t="shared" si="310"/>
        <v>X</v>
      </c>
      <c r="AU362" s="80" t="str">
        <f t="shared" si="311"/>
        <v>O</v>
      </c>
      <c r="AV362" s="80" t="str">
        <f t="shared" si="312"/>
        <v/>
      </c>
    </row>
    <row r="363" spans="1:48" s="37" customFormat="1" ht="12" x14ac:dyDescent="0.3">
      <c r="A363" s="75" t="s">
        <v>1569</v>
      </c>
      <c r="B363" s="76" t="s">
        <v>1750</v>
      </c>
      <c r="C363" s="86">
        <v>270</v>
      </c>
      <c r="D363" s="87">
        <v>66.599999999999994</v>
      </c>
      <c r="E363" s="88">
        <v>20</v>
      </c>
      <c r="F363" s="87">
        <v>49.1</v>
      </c>
      <c r="G363" s="17">
        <v>15</v>
      </c>
      <c r="H363" s="89">
        <v>150</v>
      </c>
      <c r="I363" s="90"/>
      <c r="J363" s="90"/>
      <c r="K363" s="90"/>
      <c r="L363" s="90"/>
      <c r="M363" s="91">
        <f>I363-K363</f>
        <v>0</v>
      </c>
      <c r="N363" s="4" t="str">
        <f>IF(ISERROR(K363/I363),"",K363/I363)</f>
        <v/>
      </c>
      <c r="O363" s="92">
        <f>I363/E363</f>
        <v>0</v>
      </c>
      <c r="P363" s="92">
        <f>K363/E363</f>
        <v>0</v>
      </c>
      <c r="Q363" s="80">
        <v>2</v>
      </c>
      <c r="R363" s="80">
        <v>1</v>
      </c>
      <c r="S363" s="80" t="s">
        <v>76</v>
      </c>
      <c r="T363" s="5">
        <v>66</v>
      </c>
      <c r="U363" s="9"/>
      <c r="W363" s="87">
        <f>D363</f>
        <v>66.599999999999994</v>
      </c>
      <c r="X363" s="88">
        <f>E363</f>
        <v>20</v>
      </c>
      <c r="Y363" s="93">
        <f>H363</f>
        <v>150</v>
      </c>
      <c r="Z363" s="91">
        <f>I363</f>
        <v>0</v>
      </c>
      <c r="AA363" s="91">
        <f>K363</f>
        <v>0</v>
      </c>
      <c r="AB363" s="91">
        <f t="shared" si="301"/>
        <v>0</v>
      </c>
      <c r="AC363" s="4" t="str">
        <f t="shared" si="301"/>
        <v/>
      </c>
      <c r="AD363" s="92">
        <f t="shared" si="301"/>
        <v>0</v>
      </c>
      <c r="AE363" s="80" t="str">
        <f>S363</f>
        <v>복</v>
      </c>
      <c r="AF363" s="80" t="str">
        <f>Q363&amp;"/"&amp;R363</f>
        <v>2/1</v>
      </c>
      <c r="AH363" s="20" t="str">
        <f t="shared" si="281"/>
        <v>조촌동 시영</v>
      </c>
      <c r="AI363" s="88">
        <f t="shared" si="268"/>
        <v>20</v>
      </c>
      <c r="AJ363" s="80" t="str">
        <f>IF(AI363="","",$AJ$2)</f>
        <v>A-</v>
      </c>
      <c r="AK363" s="80" t="s">
        <v>14</v>
      </c>
      <c r="AL363" s="80" t="s">
        <v>63</v>
      </c>
      <c r="AM363" s="80" t="s">
        <v>64</v>
      </c>
      <c r="AN363" s="80" t="str">
        <f>IF(AI363="","",$AN$2)</f>
        <v>C</v>
      </c>
      <c r="AO363" s="80" t="str">
        <f>IF(N363="","",IF(N363&gt;=$AO$1/100,"O","X"))</f>
        <v/>
      </c>
      <c r="AP363" s="80" t="str">
        <f>IF(I363="","",IF(I363&lt;=$AP$1,"O","X"))</f>
        <v/>
      </c>
      <c r="AQ363" s="80" t="str">
        <f>IF(O363="","",IF(O363&lt;=$AQ$1,"O","X"))</f>
        <v>O</v>
      </c>
      <c r="AR363" s="80" t="str">
        <f>IF(M363="","",IF(M363&lt;=$AR$1,"O","X"))</f>
        <v>O</v>
      </c>
      <c r="AS363" s="80" t="s">
        <v>2</v>
      </c>
      <c r="AT363" s="80" t="str">
        <f>IF(OR(F363="",AI363=""),"",IF(AND((F363&lt;=85),(AI363&gt;=15)),"O","X"))</f>
        <v>O</v>
      </c>
      <c r="AU363" s="80" t="str">
        <f>IF(C363="","",IF(C363&gt;=$AU$1,"O","X"))</f>
        <v>X</v>
      </c>
      <c r="AV363" s="80" t="str">
        <f>IF(AO363="","",IF(AND(AO363="O",AP363="O",AR363="O",AT363="O",AU363="O"),"후보","X"))</f>
        <v/>
      </c>
    </row>
    <row r="364" spans="1:48" s="37" customFormat="1" ht="12" x14ac:dyDescent="0.3">
      <c r="A364" s="75" t="s">
        <v>1569</v>
      </c>
      <c r="B364" s="76" t="s">
        <v>1426</v>
      </c>
      <c r="C364" s="86">
        <v>270</v>
      </c>
      <c r="D364" s="87">
        <v>79.400000000000006</v>
      </c>
      <c r="E364" s="88">
        <v>24</v>
      </c>
      <c r="F364" s="87">
        <v>59.4</v>
      </c>
      <c r="G364" s="17">
        <v>18</v>
      </c>
      <c r="H364" s="89">
        <v>120</v>
      </c>
      <c r="I364" s="90"/>
      <c r="J364" s="90"/>
      <c r="K364" s="90"/>
      <c r="L364" s="90"/>
      <c r="M364" s="91">
        <f>I364-K364</f>
        <v>0</v>
      </c>
      <c r="N364" s="4" t="str">
        <f>IF(ISERROR(K364/I364),"",K364/I364)</f>
        <v/>
      </c>
      <c r="O364" s="92">
        <f>I364/E364</f>
        <v>0</v>
      </c>
      <c r="P364" s="92">
        <f>K364/E364</f>
        <v>0</v>
      </c>
      <c r="Q364" s="80">
        <v>3</v>
      </c>
      <c r="R364" s="80">
        <v>1</v>
      </c>
      <c r="S364" s="80" t="s">
        <v>76</v>
      </c>
      <c r="T364" s="5">
        <v>79</v>
      </c>
      <c r="U364" s="9"/>
      <c r="W364" s="87">
        <f>D364</f>
        <v>79.400000000000006</v>
      </c>
      <c r="X364" s="88">
        <f>E364</f>
        <v>24</v>
      </c>
      <c r="Y364" s="93">
        <f>H364</f>
        <v>120</v>
      </c>
      <c r="Z364" s="91">
        <f>I364</f>
        <v>0</v>
      </c>
      <c r="AA364" s="91">
        <f>K364</f>
        <v>0</v>
      </c>
      <c r="AB364" s="91">
        <f t="shared" si="301"/>
        <v>0</v>
      </c>
      <c r="AC364" s="4" t="str">
        <f t="shared" si="301"/>
        <v/>
      </c>
      <c r="AD364" s="92">
        <f t="shared" si="301"/>
        <v>0</v>
      </c>
      <c r="AE364" s="80" t="str">
        <f>S364</f>
        <v>복</v>
      </c>
      <c r="AF364" s="80" t="str">
        <f>Q364&amp;"/"&amp;R364</f>
        <v>3/1</v>
      </c>
      <c r="AH364" s="20" t="str">
        <f t="shared" si="281"/>
        <v>조촌동 시영</v>
      </c>
      <c r="AI364" s="88">
        <f t="shared" si="268"/>
        <v>24</v>
      </c>
      <c r="AJ364" s="80" t="str">
        <f>IF(AI364="","",$AJ$2)</f>
        <v>A-</v>
      </c>
      <c r="AK364" s="80" t="s">
        <v>14</v>
      </c>
      <c r="AL364" s="80" t="s">
        <v>63</v>
      </c>
      <c r="AM364" s="80" t="s">
        <v>64</v>
      </c>
      <c r="AN364" s="80" t="str">
        <f>IF(AI364="","",$AN$2)</f>
        <v>C</v>
      </c>
      <c r="AO364" s="80" t="str">
        <f>IF(N364="","",IF(N364&gt;=$AO$1/100,"O","X"))</f>
        <v/>
      </c>
      <c r="AP364" s="80" t="str">
        <f>IF(I364="","",IF(I364&lt;=$AP$1,"O","X"))</f>
        <v/>
      </c>
      <c r="AQ364" s="80" t="str">
        <f>IF(O364="","",IF(O364&lt;=$AQ$1,"O","X"))</f>
        <v>O</v>
      </c>
      <c r="AR364" s="80" t="str">
        <f>IF(M364="","",IF(M364&lt;=$AR$1,"O","X"))</f>
        <v>O</v>
      </c>
      <c r="AS364" s="80" t="s">
        <v>2</v>
      </c>
      <c r="AT364" s="80" t="str">
        <f>IF(OR(F364="",AI364=""),"",IF(AND((F364&lt;=85),(AI364&gt;=15)),"O","X"))</f>
        <v>O</v>
      </c>
      <c r="AU364" s="80" t="str">
        <f>IF(C364="","",IF(C364&gt;=$AU$1,"O","X"))</f>
        <v>X</v>
      </c>
      <c r="AV364" s="80" t="str">
        <f>IF(AO364="","",IF(AND(AO364="O",AP364="O",AR364="O",AT364="O",AU364="O"),"후보","X"))</f>
        <v/>
      </c>
    </row>
    <row r="365" spans="1:48" s="37" customFormat="1" ht="12" x14ac:dyDescent="0.3">
      <c r="A365" s="75" t="s">
        <v>1751</v>
      </c>
      <c r="B365" s="76" t="s">
        <v>1571</v>
      </c>
      <c r="C365" s="86">
        <v>771</v>
      </c>
      <c r="D365" s="87">
        <v>109.6</v>
      </c>
      <c r="E365" s="88">
        <v>33</v>
      </c>
      <c r="F365" s="87">
        <v>85</v>
      </c>
      <c r="G365" s="17">
        <v>26</v>
      </c>
      <c r="H365" s="89">
        <v>442</v>
      </c>
      <c r="I365" s="90"/>
      <c r="J365" s="90"/>
      <c r="K365" s="90"/>
      <c r="L365" s="90"/>
      <c r="M365" s="91">
        <f t="shared" ref="M365:M371" si="313">I365-K365</f>
        <v>0</v>
      </c>
      <c r="N365" s="4" t="str">
        <f t="shared" ref="N365:N371" si="314">IF(ISERROR(K365/I365),"",K365/I365)</f>
        <v/>
      </c>
      <c r="O365" s="92">
        <f t="shared" ref="O365:O371" si="315">I365/E365</f>
        <v>0</v>
      </c>
      <c r="P365" s="92">
        <f t="shared" ref="P365:P371" si="316">K365/E365</f>
        <v>0</v>
      </c>
      <c r="Q365" s="80">
        <v>3</v>
      </c>
      <c r="R365" s="80">
        <v>2</v>
      </c>
      <c r="S365" s="80" t="s">
        <v>61</v>
      </c>
      <c r="T365" s="5" t="s">
        <v>123</v>
      </c>
      <c r="U365" s="9"/>
      <c r="W365" s="87">
        <f t="shared" ref="W365:X371" si="317">D365</f>
        <v>109.6</v>
      </c>
      <c r="X365" s="88">
        <f t="shared" si="317"/>
        <v>33</v>
      </c>
      <c r="Y365" s="93">
        <f t="shared" ref="Y365:Z371" si="318">H365</f>
        <v>442</v>
      </c>
      <c r="Z365" s="91">
        <f t="shared" si="318"/>
        <v>0</v>
      </c>
      <c r="AA365" s="91">
        <f t="shared" ref="AA365:AA371" si="319">K365</f>
        <v>0</v>
      </c>
      <c r="AB365" s="91">
        <f t="shared" si="301"/>
        <v>0</v>
      </c>
      <c r="AC365" s="4" t="str">
        <f t="shared" si="301"/>
        <v/>
      </c>
      <c r="AD365" s="92">
        <f t="shared" si="301"/>
        <v>0</v>
      </c>
      <c r="AE365" s="80" t="str">
        <f t="shared" ref="AE365:AE371" si="320">S365</f>
        <v>계</v>
      </c>
      <c r="AF365" s="80" t="str">
        <f t="shared" ref="AF365:AF371" si="321">Q365&amp;"/"&amp;R365</f>
        <v>3/2</v>
      </c>
      <c r="AH365" s="20" t="str">
        <f t="shared" si="281"/>
        <v>조촌동 더샵디오션시티2차</v>
      </c>
      <c r="AI365" s="88">
        <f t="shared" si="268"/>
        <v>33</v>
      </c>
      <c r="AJ365" s="80" t="str">
        <f t="shared" ref="AJ365:AJ371" si="322">IF(AI365="","",$AJ$2)</f>
        <v>A-</v>
      </c>
      <c r="AK365" s="80" t="s">
        <v>14</v>
      </c>
      <c r="AL365" s="80" t="s">
        <v>63</v>
      </c>
      <c r="AM365" s="80" t="s">
        <v>64</v>
      </c>
      <c r="AN365" s="80" t="str">
        <f t="shared" ref="AN365:AN371" si="323">IF(AI365="","",$AN$2)</f>
        <v>C</v>
      </c>
      <c r="AO365" s="80" t="str">
        <f t="shared" ref="AO365:AO371" si="324">IF(N365="","",IF(N365&gt;=$AO$1/100,"O","X"))</f>
        <v/>
      </c>
      <c r="AP365" s="80" t="str">
        <f t="shared" ref="AP365:AP371" si="325">IF(I365="","",IF(I365&lt;=$AP$1,"O","X"))</f>
        <v/>
      </c>
      <c r="AQ365" s="80" t="str">
        <f t="shared" ref="AQ365:AQ371" si="326">IF(O365="","",IF(O365&lt;=$AQ$1,"O","X"))</f>
        <v>O</v>
      </c>
      <c r="AR365" s="80" t="str">
        <f t="shared" ref="AR365:AR371" si="327">IF(M365="","",IF(M365&lt;=$AR$1,"O","X"))</f>
        <v>O</v>
      </c>
      <c r="AS365" s="80" t="s">
        <v>2</v>
      </c>
      <c r="AT365" s="80" t="str">
        <f t="shared" ref="AT365:AT371" si="328">IF(OR(F365="",AI365=""),"",IF(AND((F365&lt;=85),(AI365&gt;=15)),"O","X"))</f>
        <v>O</v>
      </c>
      <c r="AU365" s="80" t="str">
        <f t="shared" ref="AU365:AU371" si="329">IF(C365="","",IF(C365&gt;=$AU$1,"O","X"))</f>
        <v>O</v>
      </c>
      <c r="AV365" s="80" t="str">
        <f t="shared" ref="AV365:AV371" si="330">IF(AO365="","",IF(AND(AO365="O",AP365="O",AR365="O",AT365="O",AU365="O"),"후보","X"))</f>
        <v/>
      </c>
    </row>
    <row r="366" spans="1:48" s="37" customFormat="1" ht="12" x14ac:dyDescent="0.3">
      <c r="A366" s="75" t="s">
        <v>1570</v>
      </c>
      <c r="B366" s="76" t="s">
        <v>1571</v>
      </c>
      <c r="C366" s="86">
        <v>771</v>
      </c>
      <c r="D366" s="87">
        <v>109.7</v>
      </c>
      <c r="E366" s="88">
        <v>33</v>
      </c>
      <c r="F366" s="87">
        <v>85</v>
      </c>
      <c r="G366" s="17">
        <v>26</v>
      </c>
      <c r="H366" s="89">
        <v>111</v>
      </c>
      <c r="I366" s="90"/>
      <c r="J366" s="90"/>
      <c r="K366" s="90"/>
      <c r="L366" s="90"/>
      <c r="M366" s="91">
        <f t="shared" si="313"/>
        <v>0</v>
      </c>
      <c r="N366" s="4" t="str">
        <f t="shared" si="314"/>
        <v/>
      </c>
      <c r="O366" s="92">
        <f t="shared" si="315"/>
        <v>0</v>
      </c>
      <c r="P366" s="92">
        <f t="shared" si="316"/>
        <v>0</v>
      </c>
      <c r="Q366" s="80">
        <v>3</v>
      </c>
      <c r="R366" s="80">
        <v>2</v>
      </c>
      <c r="S366" s="80" t="s">
        <v>61</v>
      </c>
      <c r="T366" s="5" t="s">
        <v>1203</v>
      </c>
      <c r="U366" s="9"/>
      <c r="W366" s="87">
        <f t="shared" si="317"/>
        <v>109.7</v>
      </c>
      <c r="X366" s="88">
        <f t="shared" si="317"/>
        <v>33</v>
      </c>
      <c r="Y366" s="93">
        <f t="shared" si="318"/>
        <v>111</v>
      </c>
      <c r="Z366" s="91">
        <f t="shared" si="318"/>
        <v>0</v>
      </c>
      <c r="AA366" s="91">
        <f t="shared" si="319"/>
        <v>0</v>
      </c>
      <c r="AB366" s="91">
        <f t="shared" si="301"/>
        <v>0</v>
      </c>
      <c r="AC366" s="4" t="str">
        <f t="shared" si="301"/>
        <v/>
      </c>
      <c r="AD366" s="92">
        <f t="shared" si="301"/>
        <v>0</v>
      </c>
      <c r="AE366" s="80" t="str">
        <f t="shared" si="320"/>
        <v>계</v>
      </c>
      <c r="AF366" s="80" t="str">
        <f t="shared" si="321"/>
        <v>3/2</v>
      </c>
      <c r="AH366" s="20" t="str">
        <f t="shared" si="281"/>
        <v>조촌동 더샵디오션시티2차</v>
      </c>
      <c r="AI366" s="88">
        <f t="shared" si="268"/>
        <v>33</v>
      </c>
      <c r="AJ366" s="80" t="str">
        <f t="shared" si="322"/>
        <v>A-</v>
      </c>
      <c r="AK366" s="80" t="s">
        <v>14</v>
      </c>
      <c r="AL366" s="80" t="s">
        <v>63</v>
      </c>
      <c r="AM366" s="80" t="s">
        <v>64</v>
      </c>
      <c r="AN366" s="80" t="str">
        <f t="shared" si="323"/>
        <v>C</v>
      </c>
      <c r="AO366" s="80" t="str">
        <f t="shared" si="324"/>
        <v/>
      </c>
      <c r="AP366" s="80" t="str">
        <f t="shared" si="325"/>
        <v/>
      </c>
      <c r="AQ366" s="80" t="str">
        <f t="shared" si="326"/>
        <v>O</v>
      </c>
      <c r="AR366" s="80" t="str">
        <f t="shared" si="327"/>
        <v>O</v>
      </c>
      <c r="AS366" s="80" t="s">
        <v>2</v>
      </c>
      <c r="AT366" s="80" t="str">
        <f t="shared" si="328"/>
        <v>O</v>
      </c>
      <c r="AU366" s="80" t="str">
        <f t="shared" si="329"/>
        <v>O</v>
      </c>
      <c r="AV366" s="80" t="str">
        <f t="shared" si="330"/>
        <v/>
      </c>
    </row>
    <row r="367" spans="1:48" s="37" customFormat="1" ht="12" x14ac:dyDescent="0.3">
      <c r="A367" s="75" t="s">
        <v>1751</v>
      </c>
      <c r="B367" s="76" t="s">
        <v>1571</v>
      </c>
      <c r="C367" s="86">
        <v>771</v>
      </c>
      <c r="D367" s="87">
        <v>109.7</v>
      </c>
      <c r="E367" s="88">
        <v>33</v>
      </c>
      <c r="F367" s="87">
        <v>85</v>
      </c>
      <c r="G367" s="17">
        <v>26</v>
      </c>
      <c r="H367" s="89">
        <v>36</v>
      </c>
      <c r="I367" s="90"/>
      <c r="J367" s="90"/>
      <c r="K367" s="90"/>
      <c r="L367" s="90"/>
      <c r="M367" s="91">
        <f t="shared" si="313"/>
        <v>0</v>
      </c>
      <c r="N367" s="4" t="str">
        <f t="shared" si="314"/>
        <v/>
      </c>
      <c r="O367" s="92">
        <f t="shared" si="315"/>
        <v>0</v>
      </c>
      <c r="P367" s="92">
        <f t="shared" si="316"/>
        <v>0</v>
      </c>
      <c r="Q367" s="80">
        <v>3</v>
      </c>
      <c r="R367" s="80">
        <v>2</v>
      </c>
      <c r="S367" s="80" t="s">
        <v>61</v>
      </c>
      <c r="T367" s="5" t="s">
        <v>1204</v>
      </c>
      <c r="U367" s="9"/>
      <c r="W367" s="87">
        <f t="shared" si="317"/>
        <v>109.7</v>
      </c>
      <c r="X367" s="88">
        <f t="shared" si="317"/>
        <v>33</v>
      </c>
      <c r="Y367" s="93">
        <f t="shared" si="318"/>
        <v>36</v>
      </c>
      <c r="Z367" s="91">
        <f t="shared" si="318"/>
        <v>0</v>
      </c>
      <c r="AA367" s="91">
        <f t="shared" si="319"/>
        <v>0</v>
      </c>
      <c r="AB367" s="91">
        <f t="shared" si="301"/>
        <v>0</v>
      </c>
      <c r="AC367" s="4" t="str">
        <f t="shared" si="301"/>
        <v/>
      </c>
      <c r="AD367" s="92">
        <f t="shared" si="301"/>
        <v>0</v>
      </c>
      <c r="AE367" s="80" t="str">
        <f t="shared" si="320"/>
        <v>계</v>
      </c>
      <c r="AF367" s="80" t="str">
        <f t="shared" si="321"/>
        <v>3/2</v>
      </c>
      <c r="AH367" s="20" t="str">
        <f t="shared" si="281"/>
        <v>조촌동 더샵디오션시티2차</v>
      </c>
      <c r="AI367" s="88">
        <f t="shared" si="268"/>
        <v>33</v>
      </c>
      <c r="AJ367" s="80" t="str">
        <f t="shared" si="322"/>
        <v>A-</v>
      </c>
      <c r="AK367" s="80" t="s">
        <v>14</v>
      </c>
      <c r="AL367" s="80" t="s">
        <v>63</v>
      </c>
      <c r="AM367" s="80" t="s">
        <v>64</v>
      </c>
      <c r="AN367" s="80" t="str">
        <f t="shared" si="323"/>
        <v>C</v>
      </c>
      <c r="AO367" s="80" t="str">
        <f t="shared" si="324"/>
        <v/>
      </c>
      <c r="AP367" s="80" t="str">
        <f t="shared" si="325"/>
        <v/>
      </c>
      <c r="AQ367" s="80" t="str">
        <f t="shared" si="326"/>
        <v>O</v>
      </c>
      <c r="AR367" s="80" t="str">
        <f t="shared" si="327"/>
        <v>O</v>
      </c>
      <c r="AS367" s="80" t="s">
        <v>2</v>
      </c>
      <c r="AT367" s="80" t="str">
        <f t="shared" si="328"/>
        <v>O</v>
      </c>
      <c r="AU367" s="80" t="str">
        <f t="shared" si="329"/>
        <v>O</v>
      </c>
      <c r="AV367" s="80" t="str">
        <f t="shared" si="330"/>
        <v/>
      </c>
    </row>
    <row r="368" spans="1:48" s="37" customFormat="1" ht="12" x14ac:dyDescent="0.3">
      <c r="A368" s="75" t="s">
        <v>1752</v>
      </c>
      <c r="B368" s="76" t="s">
        <v>1571</v>
      </c>
      <c r="C368" s="86">
        <v>771</v>
      </c>
      <c r="D368" s="87">
        <v>135.4</v>
      </c>
      <c r="E368" s="88">
        <v>41</v>
      </c>
      <c r="F368" s="87">
        <v>107</v>
      </c>
      <c r="G368" s="17">
        <v>32</v>
      </c>
      <c r="H368" s="89">
        <v>125</v>
      </c>
      <c r="I368" s="90"/>
      <c r="J368" s="90"/>
      <c r="K368" s="90"/>
      <c r="L368" s="90"/>
      <c r="M368" s="91">
        <f t="shared" si="313"/>
        <v>0</v>
      </c>
      <c r="N368" s="4" t="str">
        <f t="shared" si="314"/>
        <v/>
      </c>
      <c r="O368" s="92">
        <f t="shared" si="315"/>
        <v>0</v>
      </c>
      <c r="P368" s="92">
        <f t="shared" si="316"/>
        <v>0</v>
      </c>
      <c r="Q368" s="80">
        <v>4</v>
      </c>
      <c r="R368" s="80">
        <v>2</v>
      </c>
      <c r="S368" s="80" t="s">
        <v>61</v>
      </c>
      <c r="T368" s="5">
        <v>135</v>
      </c>
      <c r="U368" s="9"/>
      <c r="W368" s="87">
        <f t="shared" si="317"/>
        <v>135.4</v>
      </c>
      <c r="X368" s="88">
        <f t="shared" si="317"/>
        <v>41</v>
      </c>
      <c r="Y368" s="93">
        <f t="shared" si="318"/>
        <v>125</v>
      </c>
      <c r="Z368" s="91">
        <f t="shared" si="318"/>
        <v>0</v>
      </c>
      <c r="AA368" s="91">
        <f t="shared" si="319"/>
        <v>0</v>
      </c>
      <c r="AB368" s="91">
        <f t="shared" si="301"/>
        <v>0</v>
      </c>
      <c r="AC368" s="4" t="str">
        <f t="shared" si="301"/>
        <v/>
      </c>
      <c r="AD368" s="92">
        <f t="shared" si="301"/>
        <v>0</v>
      </c>
      <c r="AE368" s="80" t="str">
        <f t="shared" si="320"/>
        <v>계</v>
      </c>
      <c r="AF368" s="80" t="str">
        <f t="shared" si="321"/>
        <v>4/2</v>
      </c>
      <c r="AH368" s="20" t="str">
        <f t="shared" si="281"/>
        <v>조촌동 더샵디오션시티2차</v>
      </c>
      <c r="AI368" s="88">
        <f t="shared" si="268"/>
        <v>41</v>
      </c>
      <c r="AJ368" s="80" t="str">
        <f t="shared" si="322"/>
        <v>A-</v>
      </c>
      <c r="AK368" s="80" t="s">
        <v>14</v>
      </c>
      <c r="AL368" s="80" t="s">
        <v>63</v>
      </c>
      <c r="AM368" s="80" t="s">
        <v>64</v>
      </c>
      <c r="AN368" s="80" t="str">
        <f t="shared" si="323"/>
        <v>C</v>
      </c>
      <c r="AO368" s="80" t="str">
        <f t="shared" si="324"/>
        <v/>
      </c>
      <c r="AP368" s="80" t="str">
        <f t="shared" si="325"/>
        <v/>
      </c>
      <c r="AQ368" s="80" t="str">
        <f t="shared" si="326"/>
        <v>O</v>
      </c>
      <c r="AR368" s="80" t="str">
        <f t="shared" si="327"/>
        <v>O</v>
      </c>
      <c r="AS368" s="80" t="s">
        <v>2</v>
      </c>
      <c r="AT368" s="80" t="str">
        <f t="shared" si="328"/>
        <v>X</v>
      </c>
      <c r="AU368" s="80" t="str">
        <f t="shared" si="329"/>
        <v>O</v>
      </c>
      <c r="AV368" s="80" t="str">
        <f t="shared" si="330"/>
        <v/>
      </c>
    </row>
    <row r="369" spans="1:48" s="37" customFormat="1" ht="12" x14ac:dyDescent="0.3">
      <c r="A369" s="75" t="s">
        <v>1751</v>
      </c>
      <c r="B369" s="76" t="s">
        <v>1753</v>
      </c>
      <c r="C369" s="86">
        <v>771</v>
      </c>
      <c r="D369" s="87">
        <v>158</v>
      </c>
      <c r="E369" s="88">
        <v>48</v>
      </c>
      <c r="F369" s="87">
        <v>124.9</v>
      </c>
      <c r="G369" s="17">
        <v>38</v>
      </c>
      <c r="H369" s="89">
        <v>54</v>
      </c>
      <c r="I369" s="90"/>
      <c r="J369" s="90"/>
      <c r="K369" s="90"/>
      <c r="L369" s="90"/>
      <c r="M369" s="91">
        <f t="shared" si="313"/>
        <v>0</v>
      </c>
      <c r="N369" s="4" t="str">
        <f t="shared" si="314"/>
        <v/>
      </c>
      <c r="O369" s="92">
        <f t="shared" si="315"/>
        <v>0</v>
      </c>
      <c r="P369" s="92">
        <f t="shared" si="316"/>
        <v>0</v>
      </c>
      <c r="Q369" s="80">
        <v>4</v>
      </c>
      <c r="R369" s="80">
        <v>2</v>
      </c>
      <c r="S369" s="80" t="s">
        <v>61</v>
      </c>
      <c r="T369" s="5">
        <v>158</v>
      </c>
      <c r="U369" s="9"/>
      <c r="W369" s="87">
        <f t="shared" si="317"/>
        <v>158</v>
      </c>
      <c r="X369" s="88">
        <f t="shared" si="317"/>
        <v>48</v>
      </c>
      <c r="Y369" s="93">
        <f t="shared" si="318"/>
        <v>54</v>
      </c>
      <c r="Z369" s="91">
        <f t="shared" si="318"/>
        <v>0</v>
      </c>
      <c r="AA369" s="91">
        <f t="shared" si="319"/>
        <v>0</v>
      </c>
      <c r="AB369" s="91">
        <f t="shared" si="301"/>
        <v>0</v>
      </c>
      <c r="AC369" s="4" t="str">
        <f t="shared" si="301"/>
        <v/>
      </c>
      <c r="AD369" s="92">
        <f t="shared" si="301"/>
        <v>0</v>
      </c>
      <c r="AE369" s="80" t="str">
        <f t="shared" si="320"/>
        <v>계</v>
      </c>
      <c r="AF369" s="80" t="str">
        <f t="shared" si="321"/>
        <v>4/2</v>
      </c>
      <c r="AH369" s="20" t="str">
        <f t="shared" si="281"/>
        <v>조촌동 더샵디오션시티2차</v>
      </c>
      <c r="AI369" s="88">
        <f t="shared" si="268"/>
        <v>48</v>
      </c>
      <c r="AJ369" s="80" t="str">
        <f t="shared" si="322"/>
        <v>A-</v>
      </c>
      <c r="AK369" s="80" t="s">
        <v>14</v>
      </c>
      <c r="AL369" s="80" t="s">
        <v>63</v>
      </c>
      <c r="AM369" s="80" t="s">
        <v>64</v>
      </c>
      <c r="AN369" s="80" t="str">
        <f t="shared" si="323"/>
        <v>C</v>
      </c>
      <c r="AO369" s="80" t="str">
        <f t="shared" si="324"/>
        <v/>
      </c>
      <c r="AP369" s="80" t="str">
        <f t="shared" si="325"/>
        <v/>
      </c>
      <c r="AQ369" s="80" t="str">
        <f t="shared" si="326"/>
        <v>O</v>
      </c>
      <c r="AR369" s="80" t="str">
        <f t="shared" si="327"/>
        <v>O</v>
      </c>
      <c r="AS369" s="80" t="s">
        <v>2</v>
      </c>
      <c r="AT369" s="80" t="str">
        <f t="shared" si="328"/>
        <v>X</v>
      </c>
      <c r="AU369" s="80" t="str">
        <f t="shared" si="329"/>
        <v>O</v>
      </c>
      <c r="AV369" s="80" t="str">
        <f t="shared" si="330"/>
        <v/>
      </c>
    </row>
    <row r="370" spans="1:48" s="37" customFormat="1" ht="12" x14ac:dyDescent="0.3">
      <c r="A370" s="75" t="s">
        <v>1754</v>
      </c>
      <c r="B370" s="76" t="s">
        <v>1571</v>
      </c>
      <c r="C370" s="86">
        <v>771</v>
      </c>
      <c r="D370" s="87">
        <v>184.4</v>
      </c>
      <c r="E370" s="88">
        <v>56</v>
      </c>
      <c r="F370" s="87">
        <v>143.1</v>
      </c>
      <c r="G370" s="17">
        <v>43</v>
      </c>
      <c r="H370" s="89">
        <v>1</v>
      </c>
      <c r="I370" s="90"/>
      <c r="J370" s="90"/>
      <c r="K370" s="90"/>
      <c r="L370" s="90"/>
      <c r="M370" s="91">
        <f t="shared" si="313"/>
        <v>0</v>
      </c>
      <c r="N370" s="4" t="str">
        <f t="shared" si="314"/>
        <v/>
      </c>
      <c r="O370" s="92">
        <f t="shared" si="315"/>
        <v>0</v>
      </c>
      <c r="P370" s="92">
        <f t="shared" si="316"/>
        <v>0</v>
      </c>
      <c r="Q370" s="80">
        <v>4</v>
      </c>
      <c r="R370" s="80">
        <v>3</v>
      </c>
      <c r="S370" s="80" t="s">
        <v>61</v>
      </c>
      <c r="T370" s="5">
        <v>184</v>
      </c>
      <c r="U370" s="9"/>
      <c r="W370" s="87">
        <f t="shared" si="317"/>
        <v>184.4</v>
      </c>
      <c r="X370" s="88">
        <f t="shared" si="317"/>
        <v>56</v>
      </c>
      <c r="Y370" s="93">
        <f t="shared" si="318"/>
        <v>1</v>
      </c>
      <c r="Z370" s="91">
        <f t="shared" si="318"/>
        <v>0</v>
      </c>
      <c r="AA370" s="91">
        <f t="shared" si="319"/>
        <v>0</v>
      </c>
      <c r="AB370" s="91">
        <f t="shared" si="301"/>
        <v>0</v>
      </c>
      <c r="AC370" s="4" t="str">
        <f t="shared" si="301"/>
        <v/>
      </c>
      <c r="AD370" s="92">
        <f t="shared" si="301"/>
        <v>0</v>
      </c>
      <c r="AE370" s="80" t="str">
        <f t="shared" si="320"/>
        <v>계</v>
      </c>
      <c r="AF370" s="80" t="str">
        <f t="shared" si="321"/>
        <v>4/3</v>
      </c>
      <c r="AH370" s="20" t="str">
        <f t="shared" si="281"/>
        <v>조촌동 더샵디오션시티2차</v>
      </c>
      <c r="AI370" s="88">
        <f t="shared" si="268"/>
        <v>56</v>
      </c>
      <c r="AJ370" s="80" t="str">
        <f t="shared" si="322"/>
        <v>A-</v>
      </c>
      <c r="AK370" s="80" t="s">
        <v>14</v>
      </c>
      <c r="AL370" s="80" t="s">
        <v>63</v>
      </c>
      <c r="AM370" s="80" t="s">
        <v>64</v>
      </c>
      <c r="AN370" s="80" t="str">
        <f t="shared" si="323"/>
        <v>C</v>
      </c>
      <c r="AO370" s="80" t="str">
        <f t="shared" si="324"/>
        <v/>
      </c>
      <c r="AP370" s="80" t="str">
        <f t="shared" si="325"/>
        <v/>
      </c>
      <c r="AQ370" s="80" t="str">
        <f t="shared" si="326"/>
        <v>O</v>
      </c>
      <c r="AR370" s="80" t="str">
        <f t="shared" si="327"/>
        <v>O</v>
      </c>
      <c r="AS370" s="80" t="s">
        <v>2</v>
      </c>
      <c r="AT370" s="80" t="str">
        <f t="shared" si="328"/>
        <v>X</v>
      </c>
      <c r="AU370" s="80" t="str">
        <f t="shared" si="329"/>
        <v>O</v>
      </c>
      <c r="AV370" s="80" t="str">
        <f t="shared" si="330"/>
        <v/>
      </c>
    </row>
    <row r="371" spans="1:48" s="37" customFormat="1" ht="12" x14ac:dyDescent="0.3">
      <c r="A371" s="75" t="s">
        <v>1752</v>
      </c>
      <c r="B371" s="76" t="s">
        <v>1753</v>
      </c>
      <c r="C371" s="86">
        <v>771</v>
      </c>
      <c r="D371" s="87">
        <v>197.5</v>
      </c>
      <c r="E371" s="88">
        <v>60</v>
      </c>
      <c r="F371" s="87">
        <v>155</v>
      </c>
      <c r="G371" s="17">
        <v>47</v>
      </c>
      <c r="H371" s="89">
        <v>2</v>
      </c>
      <c r="I371" s="90"/>
      <c r="J371" s="90"/>
      <c r="K371" s="90"/>
      <c r="L371" s="90"/>
      <c r="M371" s="91">
        <f t="shared" si="313"/>
        <v>0</v>
      </c>
      <c r="N371" s="4" t="str">
        <f t="shared" si="314"/>
        <v/>
      </c>
      <c r="O371" s="92">
        <f t="shared" si="315"/>
        <v>0</v>
      </c>
      <c r="P371" s="92">
        <f t="shared" si="316"/>
        <v>0</v>
      </c>
      <c r="Q371" s="80">
        <v>5</v>
      </c>
      <c r="R371" s="80">
        <v>3</v>
      </c>
      <c r="S371" s="80" t="s">
        <v>61</v>
      </c>
      <c r="T371" s="5">
        <v>197</v>
      </c>
      <c r="U371" s="9"/>
      <c r="W371" s="87">
        <f t="shared" si="317"/>
        <v>197.5</v>
      </c>
      <c r="X371" s="88">
        <f t="shared" si="317"/>
        <v>60</v>
      </c>
      <c r="Y371" s="93">
        <f t="shared" si="318"/>
        <v>2</v>
      </c>
      <c r="Z371" s="91">
        <f t="shared" si="318"/>
        <v>0</v>
      </c>
      <c r="AA371" s="91">
        <f t="shared" si="319"/>
        <v>0</v>
      </c>
      <c r="AB371" s="91">
        <f t="shared" si="301"/>
        <v>0</v>
      </c>
      <c r="AC371" s="4" t="str">
        <f t="shared" si="301"/>
        <v/>
      </c>
      <c r="AD371" s="92">
        <f t="shared" si="301"/>
        <v>0</v>
      </c>
      <c r="AE371" s="80" t="str">
        <f t="shared" si="320"/>
        <v>계</v>
      </c>
      <c r="AF371" s="80" t="str">
        <f t="shared" si="321"/>
        <v>5/3</v>
      </c>
      <c r="AH371" s="20" t="str">
        <f t="shared" si="281"/>
        <v>조촌동 더샵디오션시티2차</v>
      </c>
      <c r="AI371" s="88">
        <f t="shared" si="268"/>
        <v>60</v>
      </c>
      <c r="AJ371" s="80" t="str">
        <f t="shared" si="322"/>
        <v>A-</v>
      </c>
      <c r="AK371" s="80" t="s">
        <v>14</v>
      </c>
      <c r="AL371" s="80" t="s">
        <v>63</v>
      </c>
      <c r="AM371" s="80" t="s">
        <v>64</v>
      </c>
      <c r="AN371" s="80" t="str">
        <f t="shared" si="323"/>
        <v>C</v>
      </c>
      <c r="AO371" s="80" t="str">
        <f t="shared" si="324"/>
        <v/>
      </c>
      <c r="AP371" s="80" t="str">
        <f t="shared" si="325"/>
        <v/>
      </c>
      <c r="AQ371" s="80" t="str">
        <f t="shared" si="326"/>
        <v>O</v>
      </c>
      <c r="AR371" s="80" t="str">
        <f t="shared" si="327"/>
        <v>O</v>
      </c>
      <c r="AS371" s="80" t="s">
        <v>2</v>
      </c>
      <c r="AT371" s="80" t="str">
        <f t="shared" si="328"/>
        <v>X</v>
      </c>
      <c r="AU371" s="80" t="str">
        <f t="shared" si="329"/>
        <v>O</v>
      </c>
      <c r="AV371" s="80" t="str">
        <f t="shared" si="330"/>
        <v/>
      </c>
    </row>
    <row r="372" spans="1:48" s="37" customFormat="1" ht="12" x14ac:dyDescent="0.3">
      <c r="A372" s="75" t="s">
        <v>1755</v>
      </c>
      <c r="B372" s="76" t="s">
        <v>1573</v>
      </c>
      <c r="C372" s="86">
        <v>383</v>
      </c>
      <c r="D372" s="87">
        <v>60.5</v>
      </c>
      <c r="E372" s="88">
        <v>18</v>
      </c>
      <c r="F372" s="87">
        <v>47.6</v>
      </c>
      <c r="G372" s="17">
        <v>14</v>
      </c>
      <c r="H372" s="89">
        <v>120</v>
      </c>
      <c r="I372" s="90">
        <v>6400</v>
      </c>
      <c r="J372" s="90" t="s">
        <v>65</v>
      </c>
      <c r="K372" s="90"/>
      <c r="L372" s="90"/>
      <c r="M372" s="91">
        <f>I372-K372</f>
        <v>6400</v>
      </c>
      <c r="N372" s="4">
        <f>IF(ISERROR(K372/I372),"",K372/I372)</f>
        <v>0</v>
      </c>
      <c r="O372" s="92">
        <f>I372/E372</f>
        <v>355.55555555555554</v>
      </c>
      <c r="P372" s="92">
        <f>K372/E372</f>
        <v>0</v>
      </c>
      <c r="Q372" s="80">
        <v>3</v>
      </c>
      <c r="R372" s="80">
        <v>1</v>
      </c>
      <c r="S372" s="80" t="s">
        <v>61</v>
      </c>
      <c r="T372" s="5">
        <v>60</v>
      </c>
      <c r="U372" s="9"/>
      <c r="W372" s="87">
        <f>D372</f>
        <v>60.5</v>
      </c>
      <c r="X372" s="88">
        <f>E372</f>
        <v>18</v>
      </c>
      <c r="Y372" s="93">
        <f>H372</f>
        <v>120</v>
      </c>
      <c r="Z372" s="91">
        <f>I372</f>
        <v>6400</v>
      </c>
      <c r="AA372" s="91">
        <f>K372</f>
        <v>0</v>
      </c>
      <c r="AB372" s="91">
        <f t="shared" si="301"/>
        <v>6400</v>
      </c>
      <c r="AC372" s="4">
        <f t="shared" si="301"/>
        <v>0</v>
      </c>
      <c r="AD372" s="92">
        <f t="shared" si="301"/>
        <v>355.55555555555554</v>
      </c>
      <c r="AE372" s="80" t="str">
        <f>S372</f>
        <v>계</v>
      </c>
      <c r="AF372" s="80" t="str">
        <f>Q372&amp;"/"&amp;R372</f>
        <v>3/1</v>
      </c>
      <c r="AH372" s="20" t="str">
        <f t="shared" si="281"/>
        <v>조촌동 동신개나리</v>
      </c>
      <c r="AI372" s="88">
        <f t="shared" si="268"/>
        <v>18</v>
      </c>
      <c r="AJ372" s="80" t="str">
        <f>IF(AI372="","",$AJ$2)</f>
        <v>A-</v>
      </c>
      <c r="AK372" s="80" t="s">
        <v>14</v>
      </c>
      <c r="AL372" s="80" t="s">
        <v>63</v>
      </c>
      <c r="AM372" s="80" t="s">
        <v>64</v>
      </c>
      <c r="AN372" s="80" t="str">
        <f>IF(AI372="","",$AN$2)</f>
        <v>C</v>
      </c>
      <c r="AO372" s="80" t="str">
        <f>IF(N372="","",IF(N372&gt;=$AO$1/100,"O","X"))</f>
        <v>X</v>
      </c>
      <c r="AP372" s="80" t="str">
        <f>IF(I372="","",IF(I372&lt;=$AP$1,"O","X"))</f>
        <v>O</v>
      </c>
      <c r="AQ372" s="80" t="str">
        <f>IF(O372="","",IF(O372&lt;=$AQ$1,"O","X"))</f>
        <v>O</v>
      </c>
      <c r="AR372" s="80" t="str">
        <f>IF(M372="","",IF(M372&lt;=$AR$1,"O","X"))</f>
        <v>X</v>
      </c>
      <c r="AS372" s="80" t="s">
        <v>2</v>
      </c>
      <c r="AT372" s="80" t="str">
        <f>IF(OR(F372="",AI372=""),"",IF(AND((F372&lt;=85),(AI372&gt;=15)),"O","X"))</f>
        <v>O</v>
      </c>
      <c r="AU372" s="80" t="str">
        <f>IF(C372="","",IF(C372&gt;=$AU$1,"O","X"))</f>
        <v>O</v>
      </c>
      <c r="AV372" s="80" t="str">
        <f>IF(AO372="","",IF(AND(AO372="O",AP372="O",AR372="O",AT372="O",AU372="O"),"후보","X"))</f>
        <v>X</v>
      </c>
    </row>
    <row r="373" spans="1:48" s="37" customFormat="1" ht="12" x14ac:dyDescent="0.3">
      <c r="A373" s="75" t="s">
        <v>1755</v>
      </c>
      <c r="B373" s="76" t="s">
        <v>1756</v>
      </c>
      <c r="C373" s="86">
        <v>383</v>
      </c>
      <c r="D373" s="87">
        <v>76</v>
      </c>
      <c r="E373" s="88">
        <v>23</v>
      </c>
      <c r="F373" s="87">
        <v>59.8</v>
      </c>
      <c r="G373" s="17">
        <v>18</v>
      </c>
      <c r="H373" s="89">
        <v>263</v>
      </c>
      <c r="I373" s="90">
        <v>8500</v>
      </c>
      <c r="J373" s="90" t="s">
        <v>74</v>
      </c>
      <c r="K373" s="90"/>
      <c r="L373" s="90"/>
      <c r="M373" s="91">
        <f>I373-K373</f>
        <v>8500</v>
      </c>
      <c r="N373" s="4">
        <f>IF(ISERROR(K373/I373),"",K373/I373)</f>
        <v>0</v>
      </c>
      <c r="O373" s="92">
        <f>I373/E373</f>
        <v>369.56521739130437</v>
      </c>
      <c r="P373" s="92">
        <f>K373/E373</f>
        <v>0</v>
      </c>
      <c r="Q373" s="80">
        <v>3</v>
      </c>
      <c r="R373" s="80">
        <v>1</v>
      </c>
      <c r="S373" s="80" t="s">
        <v>61</v>
      </c>
      <c r="T373" s="5">
        <v>76</v>
      </c>
      <c r="U373" s="9"/>
      <c r="W373" s="87">
        <f>D373</f>
        <v>76</v>
      </c>
      <c r="X373" s="88">
        <f>E373</f>
        <v>23</v>
      </c>
      <c r="Y373" s="93">
        <f>H373</f>
        <v>263</v>
      </c>
      <c r="Z373" s="91">
        <f>I373</f>
        <v>8500</v>
      </c>
      <c r="AA373" s="91">
        <f>K373</f>
        <v>0</v>
      </c>
      <c r="AB373" s="91">
        <f t="shared" ref="AB373:AD385" si="331">M373</f>
        <v>8500</v>
      </c>
      <c r="AC373" s="4">
        <f t="shared" si="331"/>
        <v>0</v>
      </c>
      <c r="AD373" s="92">
        <f t="shared" si="331"/>
        <v>369.56521739130437</v>
      </c>
      <c r="AE373" s="80" t="str">
        <f>S373</f>
        <v>계</v>
      </c>
      <c r="AF373" s="80" t="str">
        <f>Q373&amp;"/"&amp;R373</f>
        <v>3/1</v>
      </c>
      <c r="AH373" s="20" t="str">
        <f t="shared" si="281"/>
        <v>조촌동 동신개나리</v>
      </c>
      <c r="AI373" s="88">
        <f t="shared" si="268"/>
        <v>23</v>
      </c>
      <c r="AJ373" s="80" t="str">
        <f>IF(AI373="","",$AJ$2)</f>
        <v>A-</v>
      </c>
      <c r="AK373" s="80" t="s">
        <v>14</v>
      </c>
      <c r="AL373" s="80" t="s">
        <v>63</v>
      </c>
      <c r="AM373" s="80" t="s">
        <v>64</v>
      </c>
      <c r="AN373" s="80" t="str">
        <f>IF(AI373="","",$AN$2)</f>
        <v>C</v>
      </c>
      <c r="AO373" s="80" t="str">
        <f>IF(N373="","",IF(N373&gt;=$AO$1/100,"O","X"))</f>
        <v>X</v>
      </c>
      <c r="AP373" s="80" t="str">
        <f>IF(I373="","",IF(I373&lt;=$AP$1,"O","X"))</f>
        <v>O</v>
      </c>
      <c r="AQ373" s="80" t="str">
        <f>IF(O373="","",IF(O373&lt;=$AQ$1,"O","X"))</f>
        <v>O</v>
      </c>
      <c r="AR373" s="80" t="str">
        <f>IF(M373="","",IF(M373&lt;=$AR$1,"O","X"))</f>
        <v>X</v>
      </c>
      <c r="AS373" s="80" t="s">
        <v>2</v>
      </c>
      <c r="AT373" s="80" t="str">
        <f>IF(OR(F373="",AI373=""),"",IF(AND((F373&lt;=85),(AI373&gt;=15)),"O","X"))</f>
        <v>O</v>
      </c>
      <c r="AU373" s="80" t="str">
        <f>IF(C373="","",IF(C373&gt;=$AU$1,"O","X"))</f>
        <v>O</v>
      </c>
      <c r="AV373" s="80" t="str">
        <f>IF(AO373="","",IF(AND(AO373="O",AP373="O",AR373="O",AT373="O",AU373="O"),"후보","X"))</f>
        <v>X</v>
      </c>
    </row>
    <row r="374" spans="1:48" s="37" customFormat="1" ht="12" x14ac:dyDescent="0.3">
      <c r="A374" s="75" t="s">
        <v>1757</v>
      </c>
      <c r="B374" s="76" t="s">
        <v>1758</v>
      </c>
      <c r="C374" s="86">
        <v>480</v>
      </c>
      <c r="D374" s="87">
        <v>110.7</v>
      </c>
      <c r="E374" s="88">
        <v>33</v>
      </c>
      <c r="F374" s="87">
        <v>84.9</v>
      </c>
      <c r="G374" s="17">
        <v>26</v>
      </c>
      <c r="H374" s="89">
        <v>251</v>
      </c>
      <c r="I374" s="90">
        <v>27500</v>
      </c>
      <c r="J374" s="90" t="s">
        <v>84</v>
      </c>
      <c r="K374" s="90">
        <v>24000</v>
      </c>
      <c r="L374" s="90" t="s">
        <v>96</v>
      </c>
      <c r="M374" s="91">
        <f>I374-K374</f>
        <v>3500</v>
      </c>
      <c r="N374" s="4">
        <f>IF(ISERROR(K374/I374),"",K374/I374)</f>
        <v>0.87272727272727268</v>
      </c>
      <c r="O374" s="92">
        <f>I374/E374</f>
        <v>833.33333333333337</v>
      </c>
      <c r="P374" s="92">
        <f>K374/E374</f>
        <v>727.27272727272725</v>
      </c>
      <c r="Q374" s="80">
        <v>3</v>
      </c>
      <c r="R374" s="80">
        <v>2</v>
      </c>
      <c r="S374" s="80" t="s">
        <v>61</v>
      </c>
      <c r="T374" s="5" t="s">
        <v>62</v>
      </c>
      <c r="U374" s="9"/>
      <c r="W374" s="87">
        <f>D374</f>
        <v>110.7</v>
      </c>
      <c r="X374" s="88">
        <f>E374</f>
        <v>33</v>
      </c>
      <c r="Y374" s="93">
        <f>H374</f>
        <v>251</v>
      </c>
      <c r="Z374" s="91">
        <f>I374</f>
        <v>27500</v>
      </c>
      <c r="AA374" s="91">
        <f>K374</f>
        <v>24000</v>
      </c>
      <c r="AB374" s="91">
        <f t="shared" si="331"/>
        <v>3500</v>
      </c>
      <c r="AC374" s="4">
        <f t="shared" si="331"/>
        <v>0.87272727272727268</v>
      </c>
      <c r="AD374" s="92">
        <f t="shared" si="331"/>
        <v>833.33333333333337</v>
      </c>
      <c r="AE374" s="80" t="str">
        <f>S374</f>
        <v>계</v>
      </c>
      <c r="AF374" s="80" t="str">
        <f>Q374&amp;"/"&amp;R374</f>
        <v>3/2</v>
      </c>
      <c r="AH374" s="20" t="str">
        <f t="shared" si="281"/>
        <v>조촌동 센트럴파크</v>
      </c>
      <c r="AI374" s="88">
        <f t="shared" si="268"/>
        <v>33</v>
      </c>
      <c r="AJ374" s="80" t="str">
        <f>IF(AI374="","",$AJ$2)</f>
        <v>A-</v>
      </c>
      <c r="AK374" s="80" t="s">
        <v>14</v>
      </c>
      <c r="AL374" s="80" t="s">
        <v>63</v>
      </c>
      <c r="AM374" s="80" t="s">
        <v>64</v>
      </c>
      <c r="AN374" s="80" t="str">
        <f>IF(AI374="","",$AN$2)</f>
        <v>C</v>
      </c>
      <c r="AO374" s="80" t="str">
        <f>IF(N374="","",IF(N374&gt;=$AO$1/100,"O","X"))</f>
        <v>O</v>
      </c>
      <c r="AP374" s="80" t="str">
        <f>IF(I374="","",IF(I374&lt;=$AP$1,"O","X"))</f>
        <v>O</v>
      </c>
      <c r="AQ374" s="80" t="str">
        <f>IF(O374="","",IF(O374&lt;=$AQ$1,"O","X"))</f>
        <v>O</v>
      </c>
      <c r="AR374" s="80" t="str">
        <f>IF(M374="","",IF(M374&lt;=$AR$1,"O","X"))</f>
        <v>O</v>
      </c>
      <c r="AS374" s="80" t="s">
        <v>2</v>
      </c>
      <c r="AT374" s="80" t="str">
        <f>IF(OR(F374="",AI374=""),"",IF(AND((F374&lt;=85),(AI374&gt;=15)),"O","X"))</f>
        <v>O</v>
      </c>
      <c r="AU374" s="80" t="str">
        <f>IF(C374="","",IF(C374&gt;=$AU$1,"O","X"))</f>
        <v>O</v>
      </c>
      <c r="AV374" s="80" t="str">
        <f>IF(AO374="","",IF(AND(AO374="O",AP374="O",AR374="O",AT374="O",AU374="O"),"후보","X"))</f>
        <v>후보</v>
      </c>
    </row>
    <row r="375" spans="1:48" s="37" customFormat="1" ht="12" x14ac:dyDescent="0.3">
      <c r="A375" s="75" t="s">
        <v>1574</v>
      </c>
      <c r="B375" s="76" t="s">
        <v>1575</v>
      </c>
      <c r="C375" s="86">
        <v>480</v>
      </c>
      <c r="D375" s="87">
        <v>110.2</v>
      </c>
      <c r="E375" s="88">
        <v>33</v>
      </c>
      <c r="F375" s="87">
        <v>85</v>
      </c>
      <c r="G375" s="17">
        <v>26</v>
      </c>
      <c r="H375" s="89">
        <v>229</v>
      </c>
      <c r="I375" s="90">
        <v>27000</v>
      </c>
      <c r="J375" s="90" t="s">
        <v>80</v>
      </c>
      <c r="K375" s="90">
        <v>25000</v>
      </c>
      <c r="L375" s="90" t="s">
        <v>81</v>
      </c>
      <c r="M375" s="91">
        <f>I375-K375</f>
        <v>2000</v>
      </c>
      <c r="N375" s="4">
        <f>IF(ISERROR(K375/I375),"",K375/I375)</f>
        <v>0.92592592592592593</v>
      </c>
      <c r="O375" s="92">
        <f>I375/E375</f>
        <v>818.18181818181813</v>
      </c>
      <c r="P375" s="92">
        <f>K375/E375</f>
        <v>757.57575757575762</v>
      </c>
      <c r="Q375" s="80">
        <v>3</v>
      </c>
      <c r="R375" s="80">
        <v>2</v>
      </c>
      <c r="S375" s="80" t="s">
        <v>61</v>
      </c>
      <c r="T375" s="5" t="s">
        <v>97</v>
      </c>
      <c r="U375" s="9"/>
      <c r="W375" s="87">
        <f>D375</f>
        <v>110.2</v>
      </c>
      <c r="X375" s="88">
        <f>E375</f>
        <v>33</v>
      </c>
      <c r="Y375" s="93">
        <f>H375</f>
        <v>229</v>
      </c>
      <c r="Z375" s="91">
        <f>I375</f>
        <v>27000</v>
      </c>
      <c r="AA375" s="91">
        <f>K375</f>
        <v>25000</v>
      </c>
      <c r="AB375" s="91">
        <f t="shared" si="331"/>
        <v>2000</v>
      </c>
      <c r="AC375" s="4">
        <f t="shared" si="331"/>
        <v>0.92592592592592593</v>
      </c>
      <c r="AD375" s="92">
        <f t="shared" si="331"/>
        <v>818.18181818181813</v>
      </c>
      <c r="AE375" s="80" t="str">
        <f>S375</f>
        <v>계</v>
      </c>
      <c r="AF375" s="80" t="str">
        <f>Q375&amp;"/"&amp;R375</f>
        <v>3/2</v>
      </c>
      <c r="AH375" s="20" t="str">
        <f t="shared" si="281"/>
        <v>조촌동 센트럴파크</v>
      </c>
      <c r="AI375" s="88">
        <f t="shared" si="268"/>
        <v>33</v>
      </c>
      <c r="AJ375" s="80" t="str">
        <f>IF(AI375="","",$AJ$2)</f>
        <v>A-</v>
      </c>
      <c r="AK375" s="80" t="s">
        <v>14</v>
      </c>
      <c r="AL375" s="80" t="s">
        <v>63</v>
      </c>
      <c r="AM375" s="80" t="s">
        <v>64</v>
      </c>
      <c r="AN375" s="80" t="str">
        <f>IF(AI375="","",$AN$2)</f>
        <v>C</v>
      </c>
      <c r="AO375" s="80" t="str">
        <f>IF(N375="","",IF(N375&gt;=$AO$1/100,"O","X"))</f>
        <v>O</v>
      </c>
      <c r="AP375" s="80" t="str">
        <f>IF(I375="","",IF(I375&lt;=$AP$1,"O","X"))</f>
        <v>O</v>
      </c>
      <c r="AQ375" s="80" t="str">
        <f>IF(O375="","",IF(O375&lt;=$AQ$1,"O","X"))</f>
        <v>O</v>
      </c>
      <c r="AR375" s="80" t="str">
        <f>IF(M375="","",IF(M375&lt;=$AR$1,"O","X"))</f>
        <v>O</v>
      </c>
      <c r="AS375" s="80" t="s">
        <v>2</v>
      </c>
      <c r="AT375" s="80" t="str">
        <f>IF(OR(F375="",AI375=""),"",IF(AND((F375&lt;=85),(AI375&gt;=15)),"O","X"))</f>
        <v>O</v>
      </c>
      <c r="AU375" s="80" t="str">
        <f>IF(C375="","",IF(C375&gt;=$AU$1,"O","X"))</f>
        <v>O</v>
      </c>
      <c r="AV375" s="80" t="str">
        <f>IF(AO375="","",IF(AND(AO375="O",AP375="O",AR375="O",AT375="O",AU375="O"),"후보","X"))</f>
        <v>후보</v>
      </c>
    </row>
    <row r="376" spans="1:48" s="37" customFormat="1" ht="12" x14ac:dyDescent="0.3">
      <c r="A376" s="75" t="s">
        <v>1759</v>
      </c>
      <c r="B376" s="76" t="s">
        <v>1577</v>
      </c>
      <c r="C376" s="86">
        <v>560</v>
      </c>
      <c r="D376" s="87">
        <v>91.9</v>
      </c>
      <c r="E376" s="88">
        <v>28</v>
      </c>
      <c r="F376" s="87">
        <v>75.099999999999994</v>
      </c>
      <c r="G376" s="17">
        <v>23</v>
      </c>
      <c r="H376" s="89">
        <v>112</v>
      </c>
      <c r="I376" s="90">
        <v>14000</v>
      </c>
      <c r="J376" s="90" t="s">
        <v>68</v>
      </c>
      <c r="K376" s="90"/>
      <c r="L376" s="90"/>
      <c r="M376" s="91">
        <f>I376-K376</f>
        <v>14000</v>
      </c>
      <c r="N376" s="4">
        <f>IF(ISERROR(K376/I376),"",K376/I376)</f>
        <v>0</v>
      </c>
      <c r="O376" s="92">
        <f>I376/E376</f>
        <v>500</v>
      </c>
      <c r="P376" s="92">
        <f>K376/E376</f>
        <v>0</v>
      </c>
      <c r="Q376" s="80">
        <v>3</v>
      </c>
      <c r="R376" s="80">
        <v>1</v>
      </c>
      <c r="S376" s="80" t="s">
        <v>61</v>
      </c>
      <c r="T376" s="5">
        <v>91</v>
      </c>
      <c r="U376" s="9"/>
      <c r="W376" s="87">
        <f t="shared" ref="W376:X385" si="332">D376</f>
        <v>91.9</v>
      </c>
      <c r="X376" s="88">
        <f t="shared" si="332"/>
        <v>28</v>
      </c>
      <c r="Y376" s="93">
        <f t="shared" ref="Y376:Z385" si="333">H376</f>
        <v>112</v>
      </c>
      <c r="Z376" s="91">
        <f t="shared" si="333"/>
        <v>14000</v>
      </c>
      <c r="AA376" s="91">
        <f>K376</f>
        <v>0</v>
      </c>
      <c r="AB376" s="91">
        <f t="shared" si="331"/>
        <v>14000</v>
      </c>
      <c r="AC376" s="4">
        <f t="shared" si="331"/>
        <v>0</v>
      </c>
      <c r="AD376" s="92">
        <f t="shared" si="331"/>
        <v>500</v>
      </c>
      <c r="AE376" s="80" t="str">
        <f>S376</f>
        <v>계</v>
      </c>
      <c r="AF376" s="80" t="str">
        <f>Q376&amp;"/"&amp;R376</f>
        <v>3/1</v>
      </c>
      <c r="AH376" s="20" t="str">
        <f t="shared" si="281"/>
        <v>조촌동 현대</v>
      </c>
      <c r="AI376" s="88">
        <f t="shared" si="268"/>
        <v>28</v>
      </c>
      <c r="AJ376" s="80" t="str">
        <f>IF(AI376="","",$AJ$2)</f>
        <v>A-</v>
      </c>
      <c r="AK376" s="80" t="s">
        <v>14</v>
      </c>
      <c r="AL376" s="80" t="s">
        <v>63</v>
      </c>
      <c r="AM376" s="80" t="s">
        <v>64</v>
      </c>
      <c r="AN376" s="80" t="str">
        <f>IF(AI376="","",$AN$2)</f>
        <v>C</v>
      </c>
      <c r="AO376" s="80" t="str">
        <f>IF(N376="","",IF(N376&gt;=$AO$1/100,"O","X"))</f>
        <v>X</v>
      </c>
      <c r="AP376" s="80" t="str">
        <f>IF(I376="","",IF(I376&lt;=$AP$1,"O","X"))</f>
        <v>O</v>
      </c>
      <c r="AQ376" s="80" t="str">
        <f>IF(O376="","",IF(O376&lt;=$AQ$1,"O","X"))</f>
        <v>O</v>
      </c>
      <c r="AR376" s="80" t="str">
        <f>IF(M376="","",IF(M376&lt;=$AR$1,"O","X"))</f>
        <v>X</v>
      </c>
      <c r="AS376" s="80" t="s">
        <v>2</v>
      </c>
      <c r="AT376" s="80" t="str">
        <f>IF(OR(F376="",AI376=""),"",IF(AND((F376&lt;=85),(AI376&gt;=15)),"O","X"))</f>
        <v>O</v>
      </c>
      <c r="AU376" s="80" t="str">
        <f>IF(C376="","",IF(C376&gt;=$AU$1,"O","X"))</f>
        <v>O</v>
      </c>
      <c r="AV376" s="80" t="str">
        <f>IF(AO376="","",IF(AND(AO376="O",AP376="O",AR376="O",AT376="O",AU376="O"),"후보","X"))</f>
        <v>X</v>
      </c>
    </row>
    <row r="377" spans="1:48" s="37" customFormat="1" ht="12" x14ac:dyDescent="0.3">
      <c r="A377" s="75" t="s">
        <v>1760</v>
      </c>
      <c r="B377" s="76" t="s">
        <v>1577</v>
      </c>
      <c r="C377" s="86">
        <v>560</v>
      </c>
      <c r="D377" s="87">
        <v>91.8</v>
      </c>
      <c r="E377" s="88">
        <v>28</v>
      </c>
      <c r="F377" s="87">
        <v>75</v>
      </c>
      <c r="G377" s="17">
        <v>23</v>
      </c>
      <c r="H377" s="89">
        <v>28</v>
      </c>
      <c r="I377" s="90"/>
      <c r="J377" s="90"/>
      <c r="K377" s="90"/>
      <c r="L377" s="90"/>
      <c r="M377" s="91">
        <f>I377-K377</f>
        <v>0</v>
      </c>
      <c r="N377" s="4" t="str">
        <f>IF(ISERROR(K377/I377),"",K377/I377)</f>
        <v/>
      </c>
      <c r="O377" s="92">
        <f>I377/E377</f>
        <v>0</v>
      </c>
      <c r="P377" s="92">
        <f>K377/E377</f>
        <v>0</v>
      </c>
      <c r="Q377" s="80">
        <v>3</v>
      </c>
      <c r="R377" s="80">
        <v>1</v>
      </c>
      <c r="S377" s="80" t="s">
        <v>61</v>
      </c>
      <c r="T377" s="5">
        <v>91</v>
      </c>
      <c r="U377" s="9"/>
      <c r="W377" s="87">
        <f t="shared" si="332"/>
        <v>91.8</v>
      </c>
      <c r="X377" s="88">
        <f t="shared" si="332"/>
        <v>28</v>
      </c>
      <c r="Y377" s="93">
        <f t="shared" si="333"/>
        <v>28</v>
      </c>
      <c r="Z377" s="91">
        <f t="shared" si="333"/>
        <v>0</v>
      </c>
      <c r="AA377" s="91">
        <f>K377</f>
        <v>0</v>
      </c>
      <c r="AB377" s="91">
        <f t="shared" si="331"/>
        <v>0</v>
      </c>
      <c r="AC377" s="4" t="str">
        <f t="shared" si="331"/>
        <v/>
      </c>
      <c r="AD377" s="92">
        <f t="shared" si="331"/>
        <v>0</v>
      </c>
      <c r="AE377" s="80" t="str">
        <f>S377</f>
        <v>계</v>
      </c>
      <c r="AF377" s="80" t="str">
        <f>Q377&amp;"/"&amp;R377</f>
        <v>3/1</v>
      </c>
      <c r="AH377" s="20" t="str">
        <f t="shared" si="281"/>
        <v>조촌동 현대</v>
      </c>
      <c r="AI377" s="88">
        <f t="shared" si="268"/>
        <v>28</v>
      </c>
      <c r="AJ377" s="80" t="str">
        <f>IF(AI377="","",$AJ$2)</f>
        <v>A-</v>
      </c>
      <c r="AK377" s="80" t="s">
        <v>14</v>
      </c>
      <c r="AL377" s="80" t="s">
        <v>63</v>
      </c>
      <c r="AM377" s="80" t="s">
        <v>64</v>
      </c>
      <c r="AN377" s="80" t="str">
        <f>IF(AI377="","",$AN$2)</f>
        <v>C</v>
      </c>
      <c r="AO377" s="80" t="str">
        <f>IF(N377="","",IF(N377&gt;=$AO$1/100,"O","X"))</f>
        <v/>
      </c>
      <c r="AP377" s="80" t="str">
        <f>IF(I377="","",IF(I377&lt;=$AP$1,"O","X"))</f>
        <v/>
      </c>
      <c r="AQ377" s="80" t="str">
        <f>IF(O377="","",IF(O377&lt;=$AQ$1,"O","X"))</f>
        <v>O</v>
      </c>
      <c r="AR377" s="80" t="str">
        <f>IF(M377="","",IF(M377&lt;=$AR$1,"O","X"))</f>
        <v>O</v>
      </c>
      <c r="AS377" s="80" t="s">
        <v>2</v>
      </c>
      <c r="AT377" s="80" t="str">
        <f>IF(OR(F377="",AI377=""),"",IF(AND((F377&lt;=85),(AI377&gt;=15)),"O","X"))</f>
        <v>O</v>
      </c>
      <c r="AU377" s="80" t="str">
        <f>IF(C377="","",IF(C377&gt;=$AU$1,"O","X"))</f>
        <v>O</v>
      </c>
      <c r="AV377" s="80" t="str">
        <f>IF(AO377="","",IF(AND(AO377="O",AP377="O",AR377="O",AT377="O",AU377="O"),"후보","X"))</f>
        <v/>
      </c>
    </row>
    <row r="378" spans="1:48" s="37" customFormat="1" ht="12" x14ac:dyDescent="0.3">
      <c r="A378" s="75" t="s">
        <v>1576</v>
      </c>
      <c r="B378" s="76" t="s">
        <v>1761</v>
      </c>
      <c r="C378" s="86">
        <v>560</v>
      </c>
      <c r="D378" s="87">
        <v>103.9</v>
      </c>
      <c r="E378" s="88">
        <v>31</v>
      </c>
      <c r="F378" s="87">
        <v>85</v>
      </c>
      <c r="G378" s="17">
        <v>26</v>
      </c>
      <c r="H378" s="89">
        <v>420</v>
      </c>
      <c r="I378" s="90">
        <v>17000</v>
      </c>
      <c r="J378" s="90" t="s">
        <v>65</v>
      </c>
      <c r="K378" s="90"/>
      <c r="L378" s="90"/>
      <c r="M378" s="91">
        <f>I378-K378</f>
        <v>17000</v>
      </c>
      <c r="N378" s="4">
        <f>IF(ISERROR(K378/I378),"",K378/I378)</f>
        <v>0</v>
      </c>
      <c r="O378" s="92">
        <f>I378/E378</f>
        <v>548.38709677419354</v>
      </c>
      <c r="P378" s="92">
        <f>K378/E378</f>
        <v>0</v>
      </c>
      <c r="Q378" s="80">
        <v>3</v>
      </c>
      <c r="R378" s="80">
        <v>2</v>
      </c>
      <c r="S378" s="80" t="s">
        <v>61</v>
      </c>
      <c r="T378" s="5">
        <v>103</v>
      </c>
      <c r="U378" s="9"/>
      <c r="W378" s="87">
        <f t="shared" si="332"/>
        <v>103.9</v>
      </c>
      <c r="X378" s="88">
        <f t="shared" si="332"/>
        <v>31</v>
      </c>
      <c r="Y378" s="93">
        <f t="shared" si="333"/>
        <v>420</v>
      </c>
      <c r="Z378" s="91">
        <f t="shared" si="333"/>
        <v>17000</v>
      </c>
      <c r="AA378" s="91">
        <f>K378</f>
        <v>0</v>
      </c>
      <c r="AB378" s="91">
        <f t="shared" si="331"/>
        <v>17000</v>
      </c>
      <c r="AC378" s="4">
        <f t="shared" si="331"/>
        <v>0</v>
      </c>
      <c r="AD378" s="92">
        <f t="shared" si="331"/>
        <v>548.38709677419354</v>
      </c>
      <c r="AE378" s="80" t="str">
        <f>S378</f>
        <v>계</v>
      </c>
      <c r="AF378" s="80" t="str">
        <f>Q378&amp;"/"&amp;R378</f>
        <v>3/2</v>
      </c>
      <c r="AH378" s="20" t="str">
        <f t="shared" si="281"/>
        <v>조촌동 현대</v>
      </c>
      <c r="AI378" s="88">
        <f t="shared" si="268"/>
        <v>31</v>
      </c>
      <c r="AJ378" s="80" t="str">
        <f>IF(AI378="","",$AJ$2)</f>
        <v>A-</v>
      </c>
      <c r="AK378" s="80" t="s">
        <v>14</v>
      </c>
      <c r="AL378" s="80" t="s">
        <v>63</v>
      </c>
      <c r="AM378" s="80" t="s">
        <v>64</v>
      </c>
      <c r="AN378" s="80" t="str">
        <f>IF(AI378="","",$AN$2)</f>
        <v>C</v>
      </c>
      <c r="AO378" s="80" t="str">
        <f>IF(N378="","",IF(N378&gt;=$AO$1/100,"O","X"))</f>
        <v>X</v>
      </c>
      <c r="AP378" s="80" t="str">
        <f>IF(I378="","",IF(I378&lt;=$AP$1,"O","X"))</f>
        <v>O</v>
      </c>
      <c r="AQ378" s="80" t="str">
        <f>IF(O378="","",IF(O378&lt;=$AQ$1,"O","X"))</f>
        <v>O</v>
      </c>
      <c r="AR378" s="80" t="str">
        <f>IF(M378="","",IF(M378&lt;=$AR$1,"O","X"))</f>
        <v>X</v>
      </c>
      <c r="AS378" s="80" t="s">
        <v>2</v>
      </c>
      <c r="AT378" s="80" t="str">
        <f>IF(OR(F378="",AI378=""),"",IF(AND((F378&lt;=85),(AI378&gt;=15)),"O","X"))</f>
        <v>O</v>
      </c>
      <c r="AU378" s="80" t="str">
        <f>IF(C378="","",IF(C378&gt;=$AU$1,"O","X"))</f>
        <v>O</v>
      </c>
      <c r="AV378" s="80" t="str">
        <f>IF(AO378="","",IF(AND(AO378="O",AP378="O",AR378="O",AT378="O",AU378="O"),"후보","X"))</f>
        <v>X</v>
      </c>
    </row>
    <row r="379" spans="1:48" s="37" customFormat="1" ht="12" x14ac:dyDescent="0.3">
      <c r="A379" s="75" t="s">
        <v>1762</v>
      </c>
      <c r="B379" s="76" t="s">
        <v>1579</v>
      </c>
      <c r="C379" s="86">
        <v>973</v>
      </c>
      <c r="D379" s="87">
        <v>79.5</v>
      </c>
      <c r="E379" s="88">
        <v>24</v>
      </c>
      <c r="F379" s="87">
        <v>60</v>
      </c>
      <c r="G379" s="17">
        <v>18</v>
      </c>
      <c r="H379" s="89">
        <v>171</v>
      </c>
      <c r="I379" s="90"/>
      <c r="J379" s="90"/>
      <c r="K379" s="90">
        <v>27000</v>
      </c>
      <c r="L379" s="90" t="s">
        <v>65</v>
      </c>
      <c r="M379" s="91">
        <f t="shared" ref="M379:M385" si="334">I379-K379</f>
        <v>-27000</v>
      </c>
      <c r="N379" s="4" t="str">
        <f t="shared" ref="N379:N385" si="335">IF(ISERROR(K379/I379),"",K379/I379)</f>
        <v/>
      </c>
      <c r="O379" s="92">
        <f t="shared" ref="O379:O385" si="336">I379/E379</f>
        <v>0</v>
      </c>
      <c r="P379" s="92">
        <f t="shared" ref="P379:P385" si="337">K379/E379</f>
        <v>1125</v>
      </c>
      <c r="Q379" s="80">
        <v>3</v>
      </c>
      <c r="R379" s="80">
        <v>2</v>
      </c>
      <c r="S379" s="80" t="s">
        <v>61</v>
      </c>
      <c r="T379" s="5" t="s">
        <v>136</v>
      </c>
      <c r="U379" s="9"/>
      <c r="W379" s="87">
        <f t="shared" si="332"/>
        <v>79.5</v>
      </c>
      <c r="X379" s="88">
        <f t="shared" si="332"/>
        <v>24</v>
      </c>
      <c r="Y379" s="93">
        <f t="shared" si="333"/>
        <v>171</v>
      </c>
      <c r="Z379" s="91">
        <f t="shared" si="333"/>
        <v>0</v>
      </c>
      <c r="AA379" s="91">
        <f t="shared" ref="AA379:AA385" si="338">K379</f>
        <v>27000</v>
      </c>
      <c r="AB379" s="91">
        <f t="shared" si="331"/>
        <v>-27000</v>
      </c>
      <c r="AC379" s="4" t="str">
        <f t="shared" si="331"/>
        <v/>
      </c>
      <c r="AD379" s="92">
        <f t="shared" si="331"/>
        <v>0</v>
      </c>
      <c r="AE379" s="80" t="str">
        <f t="shared" ref="AE379:AE385" si="339">S379</f>
        <v>계</v>
      </c>
      <c r="AF379" s="80" t="str">
        <f t="shared" ref="AF379:AF385" si="340">Q379&amp;"/"&amp;R379</f>
        <v>3/2</v>
      </c>
      <c r="AH379" s="20" t="str">
        <f t="shared" si="281"/>
        <v>조촌동 더샵디오션시티</v>
      </c>
      <c r="AI379" s="88">
        <f t="shared" si="268"/>
        <v>24</v>
      </c>
      <c r="AJ379" s="80" t="str">
        <f t="shared" ref="AJ379:AJ385" si="341">IF(AI379="","",$AJ$2)</f>
        <v>A-</v>
      </c>
      <c r="AK379" s="80" t="s">
        <v>14</v>
      </c>
      <c r="AL379" s="80" t="s">
        <v>63</v>
      </c>
      <c r="AM379" s="80" t="s">
        <v>64</v>
      </c>
      <c r="AN379" s="80" t="str">
        <f t="shared" ref="AN379:AN385" si="342">IF(AI379="","",$AN$2)</f>
        <v>C</v>
      </c>
      <c r="AO379" s="80" t="str">
        <f t="shared" ref="AO379:AO385" si="343">IF(N379="","",IF(N379&gt;=$AO$1/100,"O","X"))</f>
        <v/>
      </c>
      <c r="AP379" s="80" t="str">
        <f t="shared" ref="AP379:AP385" si="344">IF(I379="","",IF(I379&lt;=$AP$1,"O","X"))</f>
        <v/>
      </c>
      <c r="AQ379" s="80" t="str">
        <f t="shared" ref="AQ379:AQ385" si="345">IF(O379="","",IF(O379&lt;=$AQ$1,"O","X"))</f>
        <v>O</v>
      </c>
      <c r="AR379" s="80" t="str">
        <f t="shared" ref="AR379:AR385" si="346">IF(M379="","",IF(M379&lt;=$AR$1,"O","X"))</f>
        <v>O</v>
      </c>
      <c r="AS379" s="80" t="s">
        <v>2</v>
      </c>
      <c r="AT379" s="80" t="str">
        <f t="shared" ref="AT379:AT385" si="347">IF(OR(F379="",AI379=""),"",IF(AND((F379&lt;=85),(AI379&gt;=15)),"O","X"))</f>
        <v>O</v>
      </c>
      <c r="AU379" s="80" t="str">
        <f t="shared" ref="AU379:AU385" si="348">IF(C379="","",IF(C379&gt;=$AU$1,"O","X"))</f>
        <v>O</v>
      </c>
      <c r="AV379" s="80" t="str">
        <f t="shared" ref="AV379:AV385" si="349">IF(AO379="","",IF(AND(AO379="O",AP379="O",AR379="O",AT379="O",AU379="O"),"후보","X"))</f>
        <v/>
      </c>
    </row>
    <row r="380" spans="1:48" s="37" customFormat="1" ht="12" x14ac:dyDescent="0.3">
      <c r="A380" s="75" t="s">
        <v>1578</v>
      </c>
      <c r="B380" s="76" t="s">
        <v>1579</v>
      </c>
      <c r="C380" s="86">
        <v>973</v>
      </c>
      <c r="D380" s="87">
        <v>79.5</v>
      </c>
      <c r="E380" s="88">
        <v>24</v>
      </c>
      <c r="F380" s="87">
        <v>60</v>
      </c>
      <c r="G380" s="17">
        <v>18</v>
      </c>
      <c r="H380" s="89">
        <v>58</v>
      </c>
      <c r="I380" s="90"/>
      <c r="J380" s="90"/>
      <c r="K380" s="90">
        <v>27000</v>
      </c>
      <c r="L380" s="90" t="s">
        <v>65</v>
      </c>
      <c r="M380" s="91">
        <f t="shared" si="334"/>
        <v>-27000</v>
      </c>
      <c r="N380" s="4" t="str">
        <f t="shared" si="335"/>
        <v/>
      </c>
      <c r="O380" s="92">
        <f t="shared" si="336"/>
        <v>0</v>
      </c>
      <c r="P380" s="92">
        <f t="shared" si="337"/>
        <v>1125</v>
      </c>
      <c r="Q380" s="80">
        <v>3</v>
      </c>
      <c r="R380" s="80">
        <v>2</v>
      </c>
      <c r="S380" s="80" t="s">
        <v>61</v>
      </c>
      <c r="T380" s="5" t="s">
        <v>963</v>
      </c>
      <c r="U380" s="9"/>
      <c r="W380" s="87">
        <f t="shared" si="332"/>
        <v>79.5</v>
      </c>
      <c r="X380" s="88">
        <f t="shared" si="332"/>
        <v>24</v>
      </c>
      <c r="Y380" s="93">
        <f t="shared" si="333"/>
        <v>58</v>
      </c>
      <c r="Z380" s="91">
        <f t="shared" si="333"/>
        <v>0</v>
      </c>
      <c r="AA380" s="91">
        <f t="shared" si="338"/>
        <v>27000</v>
      </c>
      <c r="AB380" s="91">
        <f t="shared" si="331"/>
        <v>-27000</v>
      </c>
      <c r="AC380" s="4" t="str">
        <f t="shared" si="331"/>
        <v/>
      </c>
      <c r="AD380" s="92">
        <f t="shared" si="331"/>
        <v>0</v>
      </c>
      <c r="AE380" s="80" t="str">
        <f t="shared" si="339"/>
        <v>계</v>
      </c>
      <c r="AF380" s="80" t="str">
        <f t="shared" si="340"/>
        <v>3/2</v>
      </c>
      <c r="AH380" s="20" t="str">
        <f t="shared" si="281"/>
        <v>조촌동 더샵디오션시티</v>
      </c>
      <c r="AI380" s="88">
        <f t="shared" si="268"/>
        <v>24</v>
      </c>
      <c r="AJ380" s="80" t="str">
        <f t="shared" si="341"/>
        <v>A-</v>
      </c>
      <c r="AK380" s="80" t="s">
        <v>14</v>
      </c>
      <c r="AL380" s="80" t="s">
        <v>63</v>
      </c>
      <c r="AM380" s="80" t="s">
        <v>64</v>
      </c>
      <c r="AN380" s="80" t="str">
        <f t="shared" si="342"/>
        <v>C</v>
      </c>
      <c r="AO380" s="80" t="str">
        <f t="shared" si="343"/>
        <v/>
      </c>
      <c r="AP380" s="80" t="str">
        <f t="shared" si="344"/>
        <v/>
      </c>
      <c r="AQ380" s="80" t="str">
        <f t="shared" si="345"/>
        <v>O</v>
      </c>
      <c r="AR380" s="80" t="str">
        <f t="shared" si="346"/>
        <v>O</v>
      </c>
      <c r="AS380" s="80" t="s">
        <v>2</v>
      </c>
      <c r="AT380" s="80" t="str">
        <f t="shared" si="347"/>
        <v>O</v>
      </c>
      <c r="AU380" s="80" t="str">
        <f t="shared" si="348"/>
        <v>O</v>
      </c>
      <c r="AV380" s="80" t="str">
        <f t="shared" si="349"/>
        <v/>
      </c>
    </row>
    <row r="381" spans="1:48" s="37" customFormat="1" ht="12" x14ac:dyDescent="0.3">
      <c r="A381" s="75" t="s">
        <v>1763</v>
      </c>
      <c r="B381" s="76" t="s">
        <v>1764</v>
      </c>
      <c r="C381" s="86">
        <v>973</v>
      </c>
      <c r="D381" s="87">
        <v>110.7</v>
      </c>
      <c r="E381" s="88">
        <v>33</v>
      </c>
      <c r="F381" s="87">
        <v>85</v>
      </c>
      <c r="G381" s="17">
        <v>26</v>
      </c>
      <c r="H381" s="89">
        <v>492</v>
      </c>
      <c r="I381" s="90"/>
      <c r="J381" s="90"/>
      <c r="K381" s="90">
        <v>37000</v>
      </c>
      <c r="L381" s="90" t="s">
        <v>88</v>
      </c>
      <c r="M381" s="91">
        <f t="shared" si="334"/>
        <v>-37000</v>
      </c>
      <c r="N381" s="4" t="str">
        <f t="shared" si="335"/>
        <v/>
      </c>
      <c r="O381" s="92">
        <f t="shared" si="336"/>
        <v>0</v>
      </c>
      <c r="P381" s="92">
        <f t="shared" si="337"/>
        <v>1121.2121212121212</v>
      </c>
      <c r="Q381" s="80">
        <v>3</v>
      </c>
      <c r="R381" s="80">
        <v>2</v>
      </c>
      <c r="S381" s="80" t="s">
        <v>61</v>
      </c>
      <c r="T381" s="5" t="s">
        <v>62</v>
      </c>
      <c r="U381" s="9"/>
      <c r="W381" s="87">
        <f t="shared" si="332"/>
        <v>110.7</v>
      </c>
      <c r="X381" s="88">
        <f t="shared" si="332"/>
        <v>33</v>
      </c>
      <c r="Y381" s="93">
        <f t="shared" si="333"/>
        <v>492</v>
      </c>
      <c r="Z381" s="91">
        <f t="shared" si="333"/>
        <v>0</v>
      </c>
      <c r="AA381" s="91">
        <f t="shared" si="338"/>
        <v>37000</v>
      </c>
      <c r="AB381" s="91">
        <f t="shared" si="331"/>
        <v>-37000</v>
      </c>
      <c r="AC381" s="4" t="str">
        <f t="shared" si="331"/>
        <v/>
      </c>
      <c r="AD381" s="92">
        <f t="shared" si="331"/>
        <v>0</v>
      </c>
      <c r="AE381" s="80" t="str">
        <f t="shared" si="339"/>
        <v>계</v>
      </c>
      <c r="AF381" s="80" t="str">
        <f t="shared" si="340"/>
        <v>3/2</v>
      </c>
      <c r="AH381" s="20" t="str">
        <f t="shared" si="281"/>
        <v>조촌동 더샵디오션시티</v>
      </c>
      <c r="AI381" s="88">
        <f t="shared" si="268"/>
        <v>33</v>
      </c>
      <c r="AJ381" s="80" t="str">
        <f t="shared" si="341"/>
        <v>A-</v>
      </c>
      <c r="AK381" s="80" t="s">
        <v>14</v>
      </c>
      <c r="AL381" s="80" t="s">
        <v>63</v>
      </c>
      <c r="AM381" s="80" t="s">
        <v>64</v>
      </c>
      <c r="AN381" s="80" t="str">
        <f t="shared" si="342"/>
        <v>C</v>
      </c>
      <c r="AO381" s="80" t="str">
        <f t="shared" si="343"/>
        <v/>
      </c>
      <c r="AP381" s="80" t="str">
        <f t="shared" si="344"/>
        <v/>
      </c>
      <c r="AQ381" s="80" t="str">
        <f t="shared" si="345"/>
        <v>O</v>
      </c>
      <c r="AR381" s="80" t="str">
        <f t="shared" si="346"/>
        <v>O</v>
      </c>
      <c r="AS381" s="80" t="s">
        <v>2</v>
      </c>
      <c r="AT381" s="80" t="str">
        <f t="shared" si="347"/>
        <v>O</v>
      </c>
      <c r="AU381" s="80" t="str">
        <f t="shared" si="348"/>
        <v>O</v>
      </c>
      <c r="AV381" s="80" t="str">
        <f t="shared" si="349"/>
        <v/>
      </c>
    </row>
    <row r="382" spans="1:48" s="37" customFormat="1" ht="12" x14ac:dyDescent="0.3">
      <c r="A382" s="75" t="s">
        <v>1765</v>
      </c>
      <c r="B382" s="76" t="s">
        <v>1579</v>
      </c>
      <c r="C382" s="86">
        <v>973</v>
      </c>
      <c r="D382" s="87">
        <v>111</v>
      </c>
      <c r="E382" s="88">
        <v>34</v>
      </c>
      <c r="F382" s="87">
        <v>85</v>
      </c>
      <c r="G382" s="17">
        <v>26</v>
      </c>
      <c r="H382" s="89">
        <v>81</v>
      </c>
      <c r="I382" s="90"/>
      <c r="J382" s="90"/>
      <c r="K382" s="90">
        <v>33000</v>
      </c>
      <c r="L382" s="90" t="s">
        <v>84</v>
      </c>
      <c r="M382" s="91">
        <f t="shared" si="334"/>
        <v>-33000</v>
      </c>
      <c r="N382" s="4" t="str">
        <f t="shared" si="335"/>
        <v/>
      </c>
      <c r="O382" s="92">
        <f t="shared" si="336"/>
        <v>0</v>
      </c>
      <c r="P382" s="92">
        <f t="shared" si="337"/>
        <v>970.58823529411768</v>
      </c>
      <c r="Q382" s="80">
        <v>3</v>
      </c>
      <c r="R382" s="80">
        <v>2</v>
      </c>
      <c r="S382" s="80" t="s">
        <v>61</v>
      </c>
      <c r="T382" s="5" t="s">
        <v>97</v>
      </c>
      <c r="U382" s="9"/>
      <c r="W382" s="87">
        <f t="shared" si="332"/>
        <v>111</v>
      </c>
      <c r="X382" s="88">
        <f t="shared" si="332"/>
        <v>34</v>
      </c>
      <c r="Y382" s="93">
        <f t="shared" si="333"/>
        <v>81</v>
      </c>
      <c r="Z382" s="91">
        <f t="shared" si="333"/>
        <v>0</v>
      </c>
      <c r="AA382" s="91">
        <f t="shared" si="338"/>
        <v>33000</v>
      </c>
      <c r="AB382" s="91">
        <f t="shared" si="331"/>
        <v>-33000</v>
      </c>
      <c r="AC382" s="4" t="str">
        <f t="shared" si="331"/>
        <v/>
      </c>
      <c r="AD382" s="92">
        <f t="shared" si="331"/>
        <v>0</v>
      </c>
      <c r="AE382" s="80" t="str">
        <f t="shared" si="339"/>
        <v>계</v>
      </c>
      <c r="AF382" s="80" t="str">
        <f t="shared" si="340"/>
        <v>3/2</v>
      </c>
      <c r="AH382" s="20" t="str">
        <f t="shared" si="281"/>
        <v>조촌동 더샵디오션시티</v>
      </c>
      <c r="AI382" s="88">
        <f t="shared" si="268"/>
        <v>34</v>
      </c>
      <c r="AJ382" s="80" t="str">
        <f t="shared" si="341"/>
        <v>A-</v>
      </c>
      <c r="AK382" s="80" t="s">
        <v>14</v>
      </c>
      <c r="AL382" s="80" t="s">
        <v>63</v>
      </c>
      <c r="AM382" s="80" t="s">
        <v>64</v>
      </c>
      <c r="AN382" s="80" t="str">
        <f t="shared" si="342"/>
        <v>C</v>
      </c>
      <c r="AO382" s="80" t="str">
        <f t="shared" si="343"/>
        <v/>
      </c>
      <c r="AP382" s="80" t="str">
        <f t="shared" si="344"/>
        <v/>
      </c>
      <c r="AQ382" s="80" t="str">
        <f t="shared" si="345"/>
        <v>O</v>
      </c>
      <c r="AR382" s="80" t="str">
        <f t="shared" si="346"/>
        <v>O</v>
      </c>
      <c r="AS382" s="80" t="s">
        <v>2</v>
      </c>
      <c r="AT382" s="80" t="str">
        <f t="shared" si="347"/>
        <v>O</v>
      </c>
      <c r="AU382" s="80" t="str">
        <f t="shared" si="348"/>
        <v>O</v>
      </c>
      <c r="AV382" s="80" t="str">
        <f t="shared" si="349"/>
        <v/>
      </c>
    </row>
    <row r="383" spans="1:48" s="37" customFormat="1" ht="12" x14ac:dyDescent="0.3">
      <c r="A383" s="75" t="s">
        <v>1578</v>
      </c>
      <c r="B383" s="76" t="s">
        <v>1579</v>
      </c>
      <c r="C383" s="86">
        <v>973</v>
      </c>
      <c r="D383" s="87">
        <v>134.19999999999999</v>
      </c>
      <c r="E383" s="88">
        <v>41</v>
      </c>
      <c r="F383" s="87">
        <v>104</v>
      </c>
      <c r="G383" s="17">
        <v>31</v>
      </c>
      <c r="H383" s="89">
        <v>112</v>
      </c>
      <c r="I383" s="90"/>
      <c r="J383" s="90"/>
      <c r="K383" s="90">
        <v>43000</v>
      </c>
      <c r="L383" s="90" t="s">
        <v>67</v>
      </c>
      <c r="M383" s="91">
        <f t="shared" si="334"/>
        <v>-43000</v>
      </c>
      <c r="N383" s="4" t="str">
        <f t="shared" si="335"/>
        <v/>
      </c>
      <c r="O383" s="92">
        <f t="shared" si="336"/>
        <v>0</v>
      </c>
      <c r="P383" s="92">
        <f t="shared" si="337"/>
        <v>1048.780487804878</v>
      </c>
      <c r="Q383" s="80">
        <v>4</v>
      </c>
      <c r="R383" s="80">
        <v>2</v>
      </c>
      <c r="S383" s="80" t="s">
        <v>61</v>
      </c>
      <c r="T383" s="5">
        <v>134</v>
      </c>
      <c r="U383" s="9"/>
      <c r="W383" s="87">
        <f t="shared" si="332"/>
        <v>134.19999999999999</v>
      </c>
      <c r="X383" s="88">
        <f t="shared" si="332"/>
        <v>41</v>
      </c>
      <c r="Y383" s="93">
        <f t="shared" si="333"/>
        <v>112</v>
      </c>
      <c r="Z383" s="91">
        <f t="shared" si="333"/>
        <v>0</v>
      </c>
      <c r="AA383" s="91">
        <f t="shared" si="338"/>
        <v>43000</v>
      </c>
      <c r="AB383" s="91">
        <f t="shared" si="331"/>
        <v>-43000</v>
      </c>
      <c r="AC383" s="4" t="str">
        <f t="shared" si="331"/>
        <v/>
      </c>
      <c r="AD383" s="92">
        <f t="shared" si="331"/>
        <v>0</v>
      </c>
      <c r="AE383" s="80" t="str">
        <f t="shared" si="339"/>
        <v>계</v>
      </c>
      <c r="AF383" s="80" t="str">
        <f t="shared" si="340"/>
        <v>4/2</v>
      </c>
      <c r="AH383" s="20" t="str">
        <f t="shared" si="281"/>
        <v>조촌동 더샵디오션시티</v>
      </c>
      <c r="AI383" s="88">
        <f t="shared" si="268"/>
        <v>41</v>
      </c>
      <c r="AJ383" s="80" t="str">
        <f t="shared" si="341"/>
        <v>A-</v>
      </c>
      <c r="AK383" s="80" t="s">
        <v>14</v>
      </c>
      <c r="AL383" s="80" t="s">
        <v>63</v>
      </c>
      <c r="AM383" s="80" t="s">
        <v>64</v>
      </c>
      <c r="AN383" s="80" t="str">
        <f t="shared" si="342"/>
        <v>C</v>
      </c>
      <c r="AO383" s="80" t="str">
        <f t="shared" si="343"/>
        <v/>
      </c>
      <c r="AP383" s="80" t="str">
        <f t="shared" si="344"/>
        <v/>
      </c>
      <c r="AQ383" s="80" t="str">
        <f t="shared" si="345"/>
        <v>O</v>
      </c>
      <c r="AR383" s="80" t="str">
        <f t="shared" si="346"/>
        <v>O</v>
      </c>
      <c r="AS383" s="80" t="s">
        <v>2</v>
      </c>
      <c r="AT383" s="80" t="str">
        <f t="shared" si="347"/>
        <v>X</v>
      </c>
      <c r="AU383" s="80" t="str">
        <f t="shared" si="348"/>
        <v>O</v>
      </c>
      <c r="AV383" s="80" t="str">
        <f t="shared" si="349"/>
        <v/>
      </c>
    </row>
    <row r="384" spans="1:48" s="37" customFormat="1" ht="12" x14ac:dyDescent="0.3">
      <c r="A384" s="75" t="s">
        <v>1765</v>
      </c>
      <c r="B384" s="76" t="s">
        <v>1766</v>
      </c>
      <c r="C384" s="86">
        <v>973</v>
      </c>
      <c r="D384" s="87">
        <v>153.19999999999999</v>
      </c>
      <c r="E384" s="88">
        <v>46</v>
      </c>
      <c r="F384" s="87">
        <v>119</v>
      </c>
      <c r="G384" s="17">
        <v>36</v>
      </c>
      <c r="H384" s="89">
        <v>56</v>
      </c>
      <c r="I384" s="90"/>
      <c r="J384" s="90"/>
      <c r="K384" s="90">
        <v>50000</v>
      </c>
      <c r="L384" s="90" t="s">
        <v>68</v>
      </c>
      <c r="M384" s="91">
        <f t="shared" si="334"/>
        <v>-50000</v>
      </c>
      <c r="N384" s="4" t="str">
        <f t="shared" si="335"/>
        <v/>
      </c>
      <c r="O384" s="92">
        <f t="shared" si="336"/>
        <v>0</v>
      </c>
      <c r="P384" s="92">
        <f t="shared" si="337"/>
        <v>1086.9565217391305</v>
      </c>
      <c r="Q384" s="80">
        <v>4</v>
      </c>
      <c r="R384" s="80">
        <v>2</v>
      </c>
      <c r="S384" s="80" t="s">
        <v>61</v>
      </c>
      <c r="T384" s="5">
        <v>153</v>
      </c>
      <c r="U384" s="9"/>
      <c r="W384" s="87">
        <f t="shared" si="332"/>
        <v>153.19999999999999</v>
      </c>
      <c r="X384" s="88">
        <f t="shared" si="332"/>
        <v>46</v>
      </c>
      <c r="Y384" s="93">
        <f t="shared" si="333"/>
        <v>56</v>
      </c>
      <c r="Z384" s="91">
        <f t="shared" si="333"/>
        <v>0</v>
      </c>
      <c r="AA384" s="91">
        <f t="shared" si="338"/>
        <v>50000</v>
      </c>
      <c r="AB384" s="91">
        <f t="shared" si="331"/>
        <v>-50000</v>
      </c>
      <c r="AC384" s="4" t="str">
        <f t="shared" si="331"/>
        <v/>
      </c>
      <c r="AD384" s="92">
        <f t="shared" si="331"/>
        <v>0</v>
      </c>
      <c r="AE384" s="80" t="str">
        <f t="shared" si="339"/>
        <v>계</v>
      </c>
      <c r="AF384" s="80" t="str">
        <f t="shared" si="340"/>
        <v>4/2</v>
      </c>
      <c r="AH384" s="20" t="str">
        <f t="shared" si="281"/>
        <v>조촌동 더샵디오션시티</v>
      </c>
      <c r="AI384" s="88">
        <f t="shared" si="268"/>
        <v>46</v>
      </c>
      <c r="AJ384" s="80" t="str">
        <f t="shared" si="341"/>
        <v>A-</v>
      </c>
      <c r="AK384" s="80" t="s">
        <v>14</v>
      </c>
      <c r="AL384" s="80" t="s">
        <v>63</v>
      </c>
      <c r="AM384" s="80" t="s">
        <v>64</v>
      </c>
      <c r="AN384" s="80" t="str">
        <f t="shared" si="342"/>
        <v>C</v>
      </c>
      <c r="AO384" s="80" t="str">
        <f t="shared" si="343"/>
        <v/>
      </c>
      <c r="AP384" s="80" t="str">
        <f t="shared" si="344"/>
        <v/>
      </c>
      <c r="AQ384" s="80" t="str">
        <f t="shared" si="345"/>
        <v>O</v>
      </c>
      <c r="AR384" s="80" t="str">
        <f t="shared" si="346"/>
        <v>O</v>
      </c>
      <c r="AS384" s="80" t="s">
        <v>2</v>
      </c>
      <c r="AT384" s="80" t="str">
        <f t="shared" si="347"/>
        <v>X</v>
      </c>
      <c r="AU384" s="80" t="str">
        <f t="shared" si="348"/>
        <v>O</v>
      </c>
      <c r="AV384" s="80" t="str">
        <f t="shared" si="349"/>
        <v/>
      </c>
    </row>
    <row r="385" spans="1:51" s="37" customFormat="1" ht="12" x14ac:dyDescent="0.3">
      <c r="A385" s="75" t="s">
        <v>1578</v>
      </c>
      <c r="B385" s="76" t="s">
        <v>1579</v>
      </c>
      <c r="C385" s="86">
        <v>973</v>
      </c>
      <c r="D385" s="87">
        <v>192.2</v>
      </c>
      <c r="E385" s="88">
        <v>58</v>
      </c>
      <c r="F385" s="87">
        <v>146</v>
      </c>
      <c r="G385" s="17">
        <v>44</v>
      </c>
      <c r="H385" s="89">
        <v>3</v>
      </c>
      <c r="I385" s="90"/>
      <c r="J385" s="90"/>
      <c r="K385" s="90"/>
      <c r="L385" s="90"/>
      <c r="M385" s="91">
        <f t="shared" si="334"/>
        <v>0</v>
      </c>
      <c r="N385" s="4" t="str">
        <f t="shared" si="335"/>
        <v/>
      </c>
      <c r="O385" s="92">
        <f t="shared" si="336"/>
        <v>0</v>
      </c>
      <c r="P385" s="92">
        <f t="shared" si="337"/>
        <v>0</v>
      </c>
      <c r="Q385" s="80">
        <v>4</v>
      </c>
      <c r="R385" s="80">
        <v>3</v>
      </c>
      <c r="S385" s="80" t="s">
        <v>61</v>
      </c>
      <c r="T385" s="5">
        <v>192</v>
      </c>
      <c r="U385" s="9"/>
      <c r="W385" s="87">
        <f t="shared" si="332"/>
        <v>192.2</v>
      </c>
      <c r="X385" s="88">
        <f t="shared" si="332"/>
        <v>58</v>
      </c>
      <c r="Y385" s="93">
        <f t="shared" si="333"/>
        <v>3</v>
      </c>
      <c r="Z385" s="91">
        <f t="shared" si="333"/>
        <v>0</v>
      </c>
      <c r="AA385" s="91">
        <f t="shared" si="338"/>
        <v>0</v>
      </c>
      <c r="AB385" s="91">
        <f t="shared" si="331"/>
        <v>0</v>
      </c>
      <c r="AC385" s="4" t="str">
        <f t="shared" si="331"/>
        <v/>
      </c>
      <c r="AD385" s="92">
        <f t="shared" si="331"/>
        <v>0</v>
      </c>
      <c r="AE385" s="80" t="str">
        <f t="shared" si="339"/>
        <v>계</v>
      </c>
      <c r="AF385" s="80" t="str">
        <f t="shared" si="340"/>
        <v>4/3</v>
      </c>
      <c r="AH385" s="20" t="str">
        <f t="shared" si="281"/>
        <v>조촌동 더샵디오션시티</v>
      </c>
      <c r="AI385" s="88">
        <f t="shared" si="268"/>
        <v>58</v>
      </c>
      <c r="AJ385" s="80" t="str">
        <f t="shared" si="341"/>
        <v>A-</v>
      </c>
      <c r="AK385" s="80" t="s">
        <v>14</v>
      </c>
      <c r="AL385" s="80" t="s">
        <v>63</v>
      </c>
      <c r="AM385" s="80" t="s">
        <v>64</v>
      </c>
      <c r="AN385" s="80" t="str">
        <f t="shared" si="342"/>
        <v>C</v>
      </c>
      <c r="AO385" s="80" t="str">
        <f t="shared" si="343"/>
        <v/>
      </c>
      <c r="AP385" s="80" t="str">
        <f t="shared" si="344"/>
        <v/>
      </c>
      <c r="AQ385" s="80" t="str">
        <f t="shared" si="345"/>
        <v>O</v>
      </c>
      <c r="AR385" s="80" t="str">
        <f t="shared" si="346"/>
        <v>O</v>
      </c>
      <c r="AS385" s="80" t="s">
        <v>2</v>
      </c>
      <c r="AT385" s="80" t="str">
        <f t="shared" si="347"/>
        <v>X</v>
      </c>
      <c r="AU385" s="80" t="str">
        <f t="shared" si="348"/>
        <v>O</v>
      </c>
      <c r="AV385" s="80" t="str">
        <f t="shared" si="349"/>
        <v/>
      </c>
    </row>
    <row r="386" spans="1:51" s="37" customFormat="1" ht="12" x14ac:dyDescent="0.3">
      <c r="A386" s="75" t="s">
        <v>1767</v>
      </c>
      <c r="B386" s="76" t="s">
        <v>1768</v>
      </c>
      <c r="C386" s="86">
        <v>1400</v>
      </c>
      <c r="D386" s="87">
        <v>82</v>
      </c>
      <c r="E386" s="88">
        <v>25</v>
      </c>
      <c r="F386" s="87">
        <v>60</v>
      </c>
      <c r="G386" s="17">
        <v>18</v>
      </c>
      <c r="H386" s="89">
        <v>189</v>
      </c>
      <c r="I386" s="90"/>
      <c r="J386" s="90"/>
      <c r="K386" s="90"/>
      <c r="L386" s="90"/>
      <c r="M386" s="91">
        <f>I386-K386</f>
        <v>0</v>
      </c>
      <c r="N386" s="4" t="str">
        <f>IF(ISERROR(K386/I386),"",K386/I386)</f>
        <v/>
      </c>
      <c r="O386" s="92">
        <f>I386/E386</f>
        <v>0</v>
      </c>
      <c r="P386" s="92">
        <f>K386/E386</f>
        <v>0</v>
      </c>
      <c r="Q386" s="80">
        <v>3</v>
      </c>
      <c r="R386" s="80">
        <v>2</v>
      </c>
      <c r="S386" s="80" t="s">
        <v>61</v>
      </c>
      <c r="T386" s="5" t="s">
        <v>121</v>
      </c>
      <c r="U386" s="9"/>
      <c r="W386" s="87">
        <f>D386</f>
        <v>82</v>
      </c>
      <c r="X386" s="88">
        <f>E386</f>
        <v>25</v>
      </c>
      <c r="Y386" s="93">
        <f>H386</f>
        <v>189</v>
      </c>
      <c r="Z386" s="91">
        <f>I386</f>
        <v>0</v>
      </c>
      <c r="AA386" s="91">
        <f>K386</f>
        <v>0</v>
      </c>
      <c r="AB386" s="91">
        <f>M386</f>
        <v>0</v>
      </c>
      <c r="AC386" s="4" t="str">
        <f>N386</f>
        <v/>
      </c>
      <c r="AD386" s="92">
        <f>O386</f>
        <v>0</v>
      </c>
      <c r="AE386" s="80" t="str">
        <f>S386</f>
        <v>계</v>
      </c>
      <c r="AF386" s="80" t="str">
        <f>Q386&amp;"/"&amp;R386</f>
        <v>3/2</v>
      </c>
      <c r="AH386" s="20" t="str">
        <f t="shared" si="281"/>
        <v>조촌동 세경</v>
      </c>
      <c r="AI386" s="88">
        <f t="shared" si="268"/>
        <v>25</v>
      </c>
      <c r="AJ386" s="80" t="str">
        <f>IF(AI386="","",$AJ$2)</f>
        <v>A-</v>
      </c>
      <c r="AK386" s="80" t="s">
        <v>14</v>
      </c>
      <c r="AL386" s="80" t="s">
        <v>63</v>
      </c>
      <c r="AM386" s="80" t="s">
        <v>64</v>
      </c>
      <c r="AN386" s="80" t="str">
        <f>IF(AI386="","",$AN$2)</f>
        <v>C</v>
      </c>
      <c r="AO386" s="80" t="str">
        <f>IF(N386="","",IF(N386&gt;=$AO$1/100,"O","X"))</f>
        <v/>
      </c>
      <c r="AP386" s="80" t="str">
        <f>IF(I386="","",IF(I386&lt;=$AP$1,"O","X"))</f>
        <v/>
      </c>
      <c r="AQ386" s="80" t="str">
        <f>IF(O386="","",IF(O386&lt;=$AQ$1,"O","X"))</f>
        <v>O</v>
      </c>
      <c r="AR386" s="80" t="str">
        <f>IF(M386="","",IF(M386&lt;=$AR$1,"O","X"))</f>
        <v>O</v>
      </c>
      <c r="AS386" s="80" t="s">
        <v>2</v>
      </c>
      <c r="AT386" s="80" t="str">
        <f>IF(OR(F386="",AI386=""),"",IF(AND((F386&lt;=85),(AI386&gt;=15)),"O","X"))</f>
        <v>O</v>
      </c>
      <c r="AU386" s="80" t="str">
        <f>IF(C386="","",IF(C386&gt;=$AU$1,"O","X"))</f>
        <v>O</v>
      </c>
      <c r="AV386" s="80" t="str">
        <f>IF(AO386="","",IF(AND(AO386="O",AP386="O",AR386="O",AT386="O",AU386="O"),"후보","X"))</f>
        <v/>
      </c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94"/>
      <c r="AY387" s="94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94"/>
      <c r="AY388" s="94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94"/>
      <c r="AY389" s="94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94"/>
      <c r="AY390" s="94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94"/>
      <c r="AY391" s="94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94"/>
      <c r="AY392" s="94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94"/>
      <c r="AY393" s="94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94"/>
      <c r="AY394" s="94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94"/>
      <c r="AY395" s="94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94"/>
      <c r="AY396" s="94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94"/>
      <c r="AY397" s="94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94"/>
      <c r="AY398" s="94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94"/>
      <c r="AY399" s="94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94"/>
      <c r="AY400" s="94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94"/>
      <c r="AY401" s="94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94"/>
      <c r="AY402" s="94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94"/>
      <c r="AY403" s="94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94"/>
      <c r="AY404" s="94"/>
      <c r="AZ404" s="94"/>
      <c r="BA404" s="80" t="s">
        <v>98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94"/>
      <c r="AY405" s="94"/>
      <c r="AZ405" s="94"/>
      <c r="BA405" s="80" t="s">
        <v>99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94"/>
      <c r="AY406" s="94"/>
      <c r="AZ406" s="94"/>
      <c r="BA406" s="80" t="s">
        <v>100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94"/>
      <c r="AY407" s="94"/>
      <c r="AZ407" s="94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94"/>
      <c r="AY408" s="94"/>
      <c r="AZ408" s="94"/>
      <c r="BA408" s="80"/>
      <c r="BB408" s="80" t="s">
        <v>101</v>
      </c>
      <c r="BC408" s="80" t="s">
        <v>102</v>
      </c>
      <c r="BD408" s="80" t="s">
        <v>103</v>
      </c>
      <c r="BE408" s="80" t="s">
        <v>104</v>
      </c>
      <c r="BF408" s="80" t="s">
        <v>100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94"/>
      <c r="AY409" s="94"/>
      <c r="BA409" s="80" t="s">
        <v>98</v>
      </c>
      <c r="BB409" s="96" t="e">
        <v>#DIV/0!</v>
      </c>
      <c r="BC409" s="96" t="e">
        <v>#DIV/0!</v>
      </c>
      <c r="BD409" s="96" t="e">
        <v>#DIV/0!</v>
      </c>
      <c r="BE409" s="96" t="e">
        <v>#DIV/0!</v>
      </c>
      <c r="BF409" s="96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4"/>
      <c r="AY410" s="94"/>
      <c r="BA410" s="80" t="s">
        <v>99</v>
      </c>
      <c r="BB410" s="96" t="e">
        <v>#DIV/0!</v>
      </c>
      <c r="BC410" s="96" t="e">
        <v>#DIV/0!</v>
      </c>
      <c r="BD410" s="96" t="e">
        <v>#DIV/0!</v>
      </c>
      <c r="BE410" s="96" t="e">
        <v>#DIV/0!</v>
      </c>
      <c r="BF410" s="96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4"/>
      <c r="AY411" s="94"/>
      <c r="BA411" s="80" t="s">
        <v>100</v>
      </c>
      <c r="BB411" s="96" t="e">
        <v>#DIV/0!</v>
      </c>
      <c r="BC411" s="96" t="e">
        <v>#DIV/0!</v>
      </c>
      <c r="BD411" s="96" t="e">
        <v>#DIV/0!</v>
      </c>
      <c r="BE411" s="96" t="e">
        <v>#DIV/0!</v>
      </c>
      <c r="BF411" s="96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4"/>
      <c r="AY412" s="94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4"/>
      <c r="AY413" s="94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4"/>
      <c r="AY414" s="94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4"/>
      <c r="AY415" s="94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4"/>
      <c r="AY416" s="94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4"/>
      <c r="AY417" s="94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4"/>
      <c r="AY418" s="94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4"/>
      <c r="AY419" s="94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4"/>
      <c r="AY420" s="94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4"/>
      <c r="AY421" s="94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4"/>
      <c r="AY422" s="94"/>
      <c r="AZ422" s="94"/>
      <c r="BA422" s="80" t="s">
        <v>98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4"/>
      <c r="AY423" s="94"/>
      <c r="AZ423" s="94"/>
      <c r="BA423" s="80" t="s">
        <v>99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4"/>
      <c r="AY424" s="94"/>
      <c r="AZ424" s="94"/>
      <c r="BA424" s="72" t="s">
        <v>105</v>
      </c>
      <c r="BB424" s="97">
        <v>0</v>
      </c>
      <c r="BC424" s="97">
        <v>0</v>
      </c>
      <c r="BD424" s="97">
        <v>0</v>
      </c>
      <c r="BE424" s="97">
        <v>0</v>
      </c>
      <c r="BF424" s="97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4"/>
      <c r="AY425" s="94"/>
      <c r="AZ425" s="94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4"/>
      <c r="AY426" s="94"/>
      <c r="AZ426" s="94"/>
      <c r="BA426" s="80" t="s">
        <v>106</v>
      </c>
      <c r="BB426" s="96" t="e">
        <v>#DIV/0!</v>
      </c>
      <c r="BC426" s="96" t="e">
        <v>#DIV/0!</v>
      </c>
      <c r="BD426" s="96" t="e">
        <v>#DIV/0!</v>
      </c>
      <c r="BE426" s="96" t="e">
        <v>#DIV/0!</v>
      </c>
      <c r="BF426" s="96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4"/>
      <c r="AY427" s="94"/>
      <c r="BA427" s="80" t="s">
        <v>99</v>
      </c>
      <c r="BB427" s="96" t="e">
        <v>#DIV/0!</v>
      </c>
      <c r="BC427" s="96" t="e">
        <v>#DIV/0!</v>
      </c>
      <c r="BD427" s="96" t="e">
        <v>#DIV/0!</v>
      </c>
      <c r="BE427" s="96" t="e">
        <v>#DIV/0!</v>
      </c>
      <c r="BF427" s="96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4"/>
      <c r="AY428" s="94"/>
      <c r="BA428" s="72" t="s">
        <v>105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4"/>
      <c r="AY429" s="94"/>
      <c r="BA429" s="80" t="s">
        <v>100</v>
      </c>
      <c r="BB429" s="96" t="e">
        <v>#DIV/0!</v>
      </c>
      <c r="BC429" s="96" t="e">
        <v>#DIV/0!</v>
      </c>
      <c r="BD429" s="96" t="e">
        <v>#DIV/0!</v>
      </c>
      <c r="BE429" s="96" t="e">
        <v>#DIV/0!</v>
      </c>
      <c r="BF429" s="96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4"/>
      <c r="AY430" s="94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4"/>
      <c r="AY431" s="94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4"/>
      <c r="AY432" s="94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4"/>
      <c r="AY433" s="94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4"/>
      <c r="AY434" s="94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4"/>
      <c r="AY435" s="94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4"/>
      <c r="AY436" s="94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4"/>
      <c r="AY437" s="94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4"/>
      <c r="AY438" s="94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4"/>
      <c r="AY439" s="94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4"/>
      <c r="AY440" s="94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4"/>
      <c r="AY441" s="94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4"/>
      <c r="AY442" s="94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4"/>
      <c r="AY443" s="94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4"/>
      <c r="AY444" s="94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4"/>
      <c r="AY445" s="94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4"/>
      <c r="AY446" s="94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4"/>
      <c r="AY447" s="94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4"/>
      <c r="AY448" s="94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4"/>
      <c r="AY449" s="94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4"/>
      <c r="AY450" s="94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4"/>
      <c r="AY451" s="94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4"/>
      <c r="AY452" s="94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4"/>
      <c r="AY453" s="94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4"/>
      <c r="AY454" s="94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4"/>
      <c r="AY455" s="94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4"/>
      <c r="AY456" s="94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4"/>
      <c r="AY457" s="94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4"/>
      <c r="AY458" s="94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4"/>
      <c r="AY459" s="94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4"/>
      <c r="AY460" s="94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4"/>
      <c r="AY461" s="94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4"/>
      <c r="AY462" s="94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4"/>
      <c r="AY463" s="94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4"/>
      <c r="AY464" s="94"/>
      <c r="AZ464" s="94"/>
      <c r="BA464" s="80" t="s">
        <v>98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4"/>
      <c r="AY465" s="94"/>
      <c r="AZ465" s="94"/>
      <c r="BA465" s="80" t="s">
        <v>99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4"/>
      <c r="AY466" s="94"/>
      <c r="AZ466" s="94"/>
      <c r="BA466" s="72" t="s">
        <v>105</v>
      </c>
      <c r="BB466" s="97">
        <v>0</v>
      </c>
      <c r="BC466" s="97">
        <v>0</v>
      </c>
      <c r="BD466" s="97">
        <v>0</v>
      </c>
      <c r="BE466" s="97">
        <v>0</v>
      </c>
      <c r="BF466" s="97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4"/>
      <c r="AY467" s="94"/>
      <c r="AZ467" s="94"/>
      <c r="BA467" s="80" t="s">
        <v>100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4"/>
      <c r="AY468" s="94"/>
      <c r="AZ468" s="94"/>
      <c r="BA468" s="80"/>
      <c r="BB468" s="80" t="s">
        <v>101</v>
      </c>
      <c r="BC468" s="80" t="s">
        <v>102</v>
      </c>
      <c r="BD468" s="80" t="s">
        <v>103</v>
      </c>
      <c r="BE468" s="80" t="s">
        <v>104</v>
      </c>
      <c r="BF468" s="80" t="s">
        <v>100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4"/>
      <c r="AY469" s="94"/>
      <c r="AZ469" s="94"/>
      <c r="BA469" s="80" t="s">
        <v>106</v>
      </c>
      <c r="BB469" s="96" t="e">
        <v>#DIV/0!</v>
      </c>
      <c r="BC469" s="96" t="e">
        <v>#DIV/0!</v>
      </c>
      <c r="BD469" s="96" t="e">
        <v>#DIV/0!</v>
      </c>
      <c r="BE469" s="96" t="e">
        <v>#DIV/0!</v>
      </c>
      <c r="BF469" s="96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4"/>
      <c r="AY470" s="94"/>
      <c r="BA470" s="80" t="s">
        <v>98</v>
      </c>
      <c r="BB470" s="96" t="e">
        <v>#DIV/0!</v>
      </c>
      <c r="BC470" s="96" t="e">
        <v>#DIV/0!</v>
      </c>
      <c r="BD470" s="96" t="e">
        <v>#DIV/0!</v>
      </c>
      <c r="BE470" s="96" t="e">
        <v>#DIV/0!</v>
      </c>
      <c r="BF470" s="96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4"/>
      <c r="AY471" s="94"/>
      <c r="BA471" s="72" t="s">
        <v>105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4"/>
      <c r="AY472" s="94"/>
      <c r="BA472" s="80" t="s">
        <v>100</v>
      </c>
      <c r="BB472" s="96" t="e">
        <v>#DIV/0!</v>
      </c>
      <c r="BC472" s="96" t="e">
        <v>#DIV/0!</v>
      </c>
      <c r="BD472" s="96" t="e">
        <v>#DIV/0!</v>
      </c>
      <c r="BE472" s="96" t="e">
        <v>#DIV/0!</v>
      </c>
      <c r="BF472" s="96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4"/>
      <c r="AY473" s="94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4"/>
      <c r="AY474" s="94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4"/>
      <c r="AY475" s="94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4"/>
      <c r="AY476" s="94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4"/>
      <c r="AY477" s="94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4"/>
      <c r="AY478" s="94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4"/>
      <c r="AY479" s="94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4"/>
      <c r="AY480" s="94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4"/>
      <c r="AY481" s="94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4"/>
      <c r="AY482" s="94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4"/>
      <c r="AY483" s="94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4"/>
      <c r="AY484" s="94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4"/>
      <c r="AY485" s="94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4"/>
      <c r="AY486" s="94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4"/>
      <c r="AY487" s="94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4"/>
      <c r="AY488" s="94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4"/>
      <c r="AY489" s="94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4"/>
      <c r="AY490" s="94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4"/>
      <c r="AY491" s="94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4"/>
      <c r="AY492" s="94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4"/>
      <c r="AY493" s="94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4"/>
      <c r="AY494" s="94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4"/>
      <c r="AY495" s="94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4"/>
      <c r="AY496" s="94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4"/>
      <c r="AY497" s="94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4"/>
      <c r="AY498" s="94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4"/>
      <c r="AY499" s="94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4"/>
      <c r="AY500" s="94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4"/>
      <c r="AY501" s="94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4"/>
      <c r="AY502" s="94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4"/>
      <c r="AY503" s="94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4"/>
      <c r="AY504" s="94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4"/>
      <c r="AY505" s="94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4"/>
      <c r="AY506" s="94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4"/>
      <c r="AY507" s="94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4"/>
      <c r="AY508" s="94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4"/>
      <c r="AY509" s="94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4"/>
      <c r="AY510" s="94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4"/>
      <c r="AY511" s="94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4"/>
      <c r="AY512" s="94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4"/>
      <c r="AY513" s="94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4"/>
      <c r="AY514" s="94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4"/>
      <c r="AY515" s="94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4"/>
      <c r="AY516" s="94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4"/>
      <c r="AY517" s="94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4"/>
      <c r="AY518" s="94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4"/>
      <c r="AY519" s="94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4"/>
      <c r="AY520" s="94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4"/>
      <c r="AY521" s="94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4"/>
      <c r="AY522" s="94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4"/>
      <c r="AY523" s="94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4"/>
      <c r="AY524" s="94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4"/>
      <c r="AY525" s="94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4"/>
      <c r="AY526" s="94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4"/>
      <c r="AY527" s="94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4"/>
      <c r="AY528" s="94"/>
      <c r="AZ528" s="94"/>
      <c r="BA528" s="80" t="s">
        <v>98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4"/>
      <c r="AY529" s="94"/>
      <c r="AZ529" s="94"/>
      <c r="BA529" s="80" t="s">
        <v>99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4"/>
      <c r="AY530" s="94"/>
      <c r="AZ530" s="94"/>
      <c r="BA530" s="80" t="s">
        <v>100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4"/>
      <c r="AY531" s="94"/>
      <c r="AZ531" s="94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4"/>
      <c r="AY532" s="94"/>
      <c r="AZ532" s="94"/>
      <c r="BA532" s="80"/>
      <c r="BB532" s="80" t="s">
        <v>101</v>
      </c>
      <c r="BC532" s="80" t="s">
        <v>102</v>
      </c>
      <c r="BD532" s="80" t="s">
        <v>103</v>
      </c>
      <c r="BE532" s="80" t="s">
        <v>104</v>
      </c>
      <c r="BF532" s="80" t="s">
        <v>100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4"/>
      <c r="AY533" s="94"/>
      <c r="BA533" s="80" t="s">
        <v>98</v>
      </c>
      <c r="BB533" s="96" t="e">
        <v>#DIV/0!</v>
      </c>
      <c r="BC533" s="96" t="e">
        <v>#DIV/0!</v>
      </c>
      <c r="BD533" s="96" t="e">
        <v>#DIV/0!</v>
      </c>
      <c r="BE533" s="96" t="e">
        <v>#DIV/0!</v>
      </c>
      <c r="BF533" s="96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4"/>
      <c r="AY534" s="94"/>
      <c r="BA534" s="80" t="s">
        <v>99</v>
      </c>
      <c r="BB534" s="96" t="e">
        <v>#DIV/0!</v>
      </c>
      <c r="BC534" s="96" t="e">
        <v>#DIV/0!</v>
      </c>
      <c r="BD534" s="96" t="e">
        <v>#DIV/0!</v>
      </c>
      <c r="BE534" s="96" t="e">
        <v>#DIV/0!</v>
      </c>
      <c r="BF534" s="96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4"/>
      <c r="AY535" s="94"/>
      <c r="BA535" s="80" t="s">
        <v>100</v>
      </c>
      <c r="BB535" s="96" t="e">
        <v>#DIV/0!</v>
      </c>
      <c r="BC535" s="96" t="e">
        <v>#DIV/0!</v>
      </c>
      <c r="BD535" s="96" t="e">
        <v>#DIV/0!</v>
      </c>
      <c r="BE535" s="96" t="e">
        <v>#DIV/0!</v>
      </c>
      <c r="BF535" s="96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4"/>
      <c r="AY536" s="94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4"/>
      <c r="AY537" s="94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4"/>
      <c r="AY538" s="94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4693" priority="114688" operator="lessThan">
      <formula>15.1</formula>
    </cfRule>
    <cfRule type="cellIs" dxfId="14692" priority="114689" operator="lessThan">
      <formula>18.1</formula>
    </cfRule>
    <cfRule type="cellIs" dxfId="14691" priority="114690" operator="lessThan">
      <formula>21.1</formula>
    </cfRule>
    <cfRule type="cellIs" dxfId="14690" priority="114691" operator="lessThan">
      <formula>24.1</formula>
    </cfRule>
    <cfRule type="cellIs" dxfId="14689" priority="114692" operator="lessThan">
      <formula>30</formula>
    </cfRule>
    <cfRule type="cellIs" dxfId="14688" priority="114693" operator="lessThan">
      <formula>34.1</formula>
    </cfRule>
  </conditionalFormatting>
  <conditionalFormatting sqref="Z3">
    <cfRule type="colorScale" priority="114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4687" priority="114685" operator="greaterThan">
      <formula>0.9</formula>
    </cfRule>
    <cfRule type="cellIs" dxfId="14686" priority="114686" operator="greaterThan">
      <formula>0.85</formula>
    </cfRule>
  </conditionalFormatting>
  <conditionalFormatting sqref="N2">
    <cfRule type="cellIs" dxfId="14685" priority="114683" operator="greaterThan">
      <formula>0.9</formula>
    </cfRule>
    <cfRule type="cellIs" dxfId="14684" priority="114684" operator="greaterThan">
      <formula>0.85</formula>
    </cfRule>
  </conditionalFormatting>
  <conditionalFormatting sqref="AV348">
    <cfRule type="expression" dxfId="14683" priority="701">
      <formula>AV348="X"</formula>
    </cfRule>
    <cfRule type="expression" dxfId="14682" priority="702">
      <formula>AV348="후보"</formula>
    </cfRule>
  </conditionalFormatting>
  <conditionalFormatting sqref="AC348">
    <cfRule type="cellIs" dxfId="14681" priority="699" operator="greaterThan">
      <formula>0.9</formula>
    </cfRule>
    <cfRule type="cellIs" dxfId="14680" priority="700" operator="greaterThan">
      <formula>0.85</formula>
    </cfRule>
  </conditionalFormatting>
  <conditionalFormatting sqref="N348">
    <cfRule type="cellIs" dxfId="14679" priority="697" operator="greaterThan">
      <formula>0.9</formula>
    </cfRule>
    <cfRule type="cellIs" dxfId="14678" priority="698" operator="greaterThan">
      <formula>0.85</formula>
    </cfRule>
  </conditionalFormatting>
  <conditionalFormatting sqref="E348">
    <cfRule type="expression" dxfId="14677" priority="693">
      <formula>AND(IF(OR($Q348=1,$Q348=2),1,0),IF($X348&lt;=20,1,0))</formula>
    </cfRule>
    <cfRule type="expression" dxfId="14676" priority="694">
      <formula>AND(IF($Q348=2,1,0),IF($X348&lt;30,1,0))</formula>
    </cfRule>
    <cfRule type="expression" dxfId="14675" priority="695">
      <formula>AND(IF($Q348=3,1,0),IF($X348&lt;30,1,0))</formula>
    </cfRule>
    <cfRule type="expression" dxfId="14674" priority="696">
      <formula>AND(IF($Q348=3,1,IF($Q348=4,1,0)),IF($F348&lt;=85,1,0))</formula>
    </cfRule>
  </conditionalFormatting>
  <conditionalFormatting sqref="X348">
    <cfRule type="expression" dxfId="14673" priority="689">
      <formula>AND(IF(OR($Q348=1,$Q348=2),1,0),IF($X348&lt;=20,1,0))</formula>
    </cfRule>
    <cfRule type="expression" dxfId="14672" priority="690">
      <formula>AND(IF($Q348=2,1,0),IF($X348&lt;30,1,0))</formula>
    </cfRule>
    <cfRule type="expression" dxfId="14671" priority="691">
      <formula>AND(IF($Q348=3,1,0),IF($X348&lt;30,1,0))</formula>
    </cfRule>
    <cfRule type="expression" dxfId="14670" priority="692">
      <formula>AND(IF($Q348=3,1,IF($Q348=4,1,0)),IF($F348&lt;=85,1,0))</formula>
    </cfRule>
  </conditionalFormatting>
  <conditionalFormatting sqref="AI348">
    <cfRule type="expression" dxfId="14669" priority="685">
      <formula>AND(IF(OR($Q348=1,$Q348=2),1,0),IF($X348&lt;=20,1,0))</formula>
    </cfRule>
    <cfRule type="expression" dxfId="14668" priority="686">
      <formula>AND(IF($Q348=2,1,0),IF($X348&lt;30,1,0))</formula>
    </cfRule>
    <cfRule type="expression" dxfId="14667" priority="687">
      <formula>AND(IF($Q348=3,1,0),IF($X348&lt;30,1,0))</formula>
    </cfRule>
    <cfRule type="expression" dxfId="14666" priority="688">
      <formula>AND(IF($Q348=3,1,IF($Q348=4,1,0)),IF($F348&lt;=85,1,0))</formula>
    </cfRule>
  </conditionalFormatting>
  <conditionalFormatting sqref="AV349">
    <cfRule type="expression" dxfId="14665" priority="683">
      <formula>AV349="X"</formula>
    </cfRule>
    <cfRule type="expression" dxfId="14664" priority="684">
      <formula>AV349="후보"</formula>
    </cfRule>
  </conditionalFormatting>
  <conditionalFormatting sqref="AC349">
    <cfRule type="cellIs" dxfId="14663" priority="681" operator="greaterThan">
      <formula>0.9</formula>
    </cfRule>
    <cfRule type="cellIs" dxfId="14662" priority="682" operator="greaterThan">
      <formula>0.85</formula>
    </cfRule>
  </conditionalFormatting>
  <conditionalFormatting sqref="N349">
    <cfRule type="cellIs" dxfId="14661" priority="679" operator="greaterThan">
      <formula>0.9</formula>
    </cfRule>
    <cfRule type="cellIs" dxfId="14660" priority="680" operator="greaterThan">
      <formula>0.85</formula>
    </cfRule>
  </conditionalFormatting>
  <conditionalFormatting sqref="E349">
    <cfRule type="expression" dxfId="14659" priority="675">
      <formula>AND(IF(OR($Q349=1,$Q349=2),1,0),IF($X349&lt;=20,1,0))</formula>
    </cfRule>
    <cfRule type="expression" dxfId="14658" priority="676">
      <formula>AND(IF($Q349=2,1,0),IF($X349&lt;30,1,0))</formula>
    </cfRule>
    <cfRule type="expression" dxfId="14657" priority="677">
      <formula>AND(IF($Q349=3,1,0),IF($X349&lt;30,1,0))</formula>
    </cfRule>
    <cfRule type="expression" dxfId="14656" priority="678">
      <formula>AND(IF($Q349=3,1,IF($Q349=4,1,0)),IF($F349&lt;=85,1,0))</formula>
    </cfRule>
  </conditionalFormatting>
  <conditionalFormatting sqref="X349">
    <cfRule type="expression" dxfId="14655" priority="671">
      <formula>AND(IF(OR($Q349=1,$Q349=2),1,0),IF($X349&lt;=20,1,0))</formula>
    </cfRule>
    <cfRule type="expression" dxfId="14654" priority="672">
      <formula>AND(IF($Q349=2,1,0),IF($X349&lt;30,1,0))</formula>
    </cfRule>
    <cfRule type="expression" dxfId="14653" priority="673">
      <formula>AND(IF($Q349=3,1,0),IF($X349&lt;30,1,0))</formula>
    </cfRule>
    <cfRule type="expression" dxfId="14652" priority="674">
      <formula>AND(IF($Q349=3,1,IF($Q349=4,1,0)),IF($F349&lt;=85,1,0))</formula>
    </cfRule>
  </conditionalFormatting>
  <conditionalFormatting sqref="AI349">
    <cfRule type="expression" dxfId="14651" priority="667">
      <formula>AND(IF(OR($Q349=1,$Q349=2),1,0),IF($X349&lt;=20,1,0))</formula>
    </cfRule>
    <cfRule type="expression" dxfId="14650" priority="668">
      <formula>AND(IF($Q349=2,1,0),IF($X349&lt;30,1,0))</formula>
    </cfRule>
    <cfRule type="expression" dxfId="14649" priority="669">
      <formula>AND(IF($Q349=3,1,0),IF($X349&lt;30,1,0))</formula>
    </cfRule>
    <cfRule type="expression" dxfId="14648" priority="670">
      <formula>AND(IF($Q349=3,1,IF($Q349=4,1,0)),IF($F349&lt;=85,1,0))</formula>
    </cfRule>
  </conditionalFormatting>
  <conditionalFormatting sqref="AV350">
    <cfRule type="expression" dxfId="14647" priority="665">
      <formula>AV350="X"</formula>
    </cfRule>
    <cfRule type="expression" dxfId="14646" priority="666">
      <formula>AV350="후보"</formula>
    </cfRule>
  </conditionalFormatting>
  <conditionalFormatting sqref="AC350">
    <cfRule type="cellIs" dxfId="14645" priority="663" operator="greaterThan">
      <formula>0.9</formula>
    </cfRule>
    <cfRule type="cellIs" dxfId="14644" priority="664" operator="greaterThan">
      <formula>0.85</formula>
    </cfRule>
  </conditionalFormatting>
  <conditionalFormatting sqref="N350">
    <cfRule type="cellIs" dxfId="14643" priority="661" operator="greaterThan">
      <formula>0.9</formula>
    </cfRule>
    <cfRule type="cellIs" dxfId="14642" priority="662" operator="greaterThan">
      <formula>0.85</formula>
    </cfRule>
  </conditionalFormatting>
  <conditionalFormatting sqref="E350">
    <cfRule type="expression" dxfId="14641" priority="657">
      <formula>AND(IF(OR($Q350=1,$Q350=2),1,0),IF($X350&lt;=20,1,0))</formula>
    </cfRule>
    <cfRule type="expression" dxfId="14640" priority="658">
      <formula>AND(IF($Q350=2,1,0),IF($X350&lt;30,1,0))</formula>
    </cfRule>
    <cfRule type="expression" dxfId="14639" priority="659">
      <formula>AND(IF($Q350=3,1,0),IF($X350&lt;30,1,0))</formula>
    </cfRule>
    <cfRule type="expression" dxfId="14638" priority="660">
      <formula>AND(IF($Q350=3,1,IF($Q350=4,1,0)),IF($F350&lt;=85,1,0))</formula>
    </cfRule>
  </conditionalFormatting>
  <conditionalFormatting sqref="X350">
    <cfRule type="expression" dxfId="14637" priority="653">
      <formula>AND(IF(OR($Q350=1,$Q350=2),1,0),IF($X350&lt;=20,1,0))</formula>
    </cfRule>
    <cfRule type="expression" dxfId="14636" priority="654">
      <formula>AND(IF($Q350=2,1,0),IF($X350&lt;30,1,0))</formula>
    </cfRule>
    <cfRule type="expression" dxfId="14635" priority="655">
      <formula>AND(IF($Q350=3,1,0),IF($X350&lt;30,1,0))</formula>
    </cfRule>
    <cfRule type="expression" dxfId="14634" priority="656">
      <formula>AND(IF($Q350=3,1,IF($Q350=4,1,0)),IF($F350&lt;=85,1,0))</formula>
    </cfRule>
  </conditionalFormatting>
  <conditionalFormatting sqref="AI350">
    <cfRule type="expression" dxfId="14633" priority="649">
      <formula>AND(IF(OR($Q350=1,$Q350=2),1,0),IF($X350&lt;=20,1,0))</formula>
    </cfRule>
    <cfRule type="expression" dxfId="14632" priority="650">
      <formula>AND(IF($Q350=2,1,0),IF($X350&lt;30,1,0))</formula>
    </cfRule>
    <cfRule type="expression" dxfId="14631" priority="651">
      <formula>AND(IF($Q350=3,1,0),IF($X350&lt;30,1,0))</formula>
    </cfRule>
    <cfRule type="expression" dxfId="14630" priority="652">
      <formula>AND(IF($Q350=3,1,IF($Q350=4,1,0)),IF($F350&lt;=85,1,0))</formula>
    </cfRule>
  </conditionalFormatting>
  <conditionalFormatting sqref="AV351">
    <cfRule type="expression" dxfId="14629" priority="647">
      <formula>AV351="X"</formula>
    </cfRule>
    <cfRule type="expression" dxfId="14628" priority="648">
      <formula>AV351="후보"</formula>
    </cfRule>
  </conditionalFormatting>
  <conditionalFormatting sqref="AC351">
    <cfRule type="cellIs" dxfId="14627" priority="645" operator="greaterThan">
      <formula>0.9</formula>
    </cfRule>
    <cfRule type="cellIs" dxfId="14626" priority="646" operator="greaterThan">
      <formula>0.85</formula>
    </cfRule>
  </conditionalFormatting>
  <conditionalFormatting sqref="N351">
    <cfRule type="cellIs" dxfId="14625" priority="643" operator="greaterThan">
      <formula>0.9</formula>
    </cfRule>
    <cfRule type="cellIs" dxfId="14624" priority="644" operator="greaterThan">
      <formula>0.85</formula>
    </cfRule>
  </conditionalFormatting>
  <conditionalFormatting sqref="E351">
    <cfRule type="expression" dxfId="14623" priority="639">
      <formula>AND(IF(OR($Q351=1,$Q351=2),1,0),IF($X351&lt;=20,1,0))</formula>
    </cfRule>
    <cfRule type="expression" dxfId="14622" priority="640">
      <formula>AND(IF($Q351=2,1,0),IF($X351&lt;30,1,0))</formula>
    </cfRule>
    <cfRule type="expression" dxfId="14621" priority="641">
      <formula>AND(IF($Q351=3,1,0),IF($X351&lt;30,1,0))</formula>
    </cfRule>
    <cfRule type="expression" dxfId="14620" priority="642">
      <formula>AND(IF($Q351=3,1,IF($Q351=4,1,0)),IF($F351&lt;=85,1,0))</formula>
    </cfRule>
  </conditionalFormatting>
  <conditionalFormatting sqref="X351">
    <cfRule type="expression" dxfId="14619" priority="635">
      <formula>AND(IF(OR($Q351=1,$Q351=2),1,0),IF($X351&lt;=20,1,0))</formula>
    </cfRule>
    <cfRule type="expression" dxfId="14618" priority="636">
      <formula>AND(IF($Q351=2,1,0),IF($X351&lt;30,1,0))</formula>
    </cfRule>
    <cfRule type="expression" dxfId="14617" priority="637">
      <formula>AND(IF($Q351=3,1,0),IF($X351&lt;30,1,0))</formula>
    </cfRule>
    <cfRule type="expression" dxfId="14616" priority="638">
      <formula>AND(IF($Q351=3,1,IF($Q351=4,1,0)),IF($F351&lt;=85,1,0))</formula>
    </cfRule>
  </conditionalFormatting>
  <conditionalFormatting sqref="AI351">
    <cfRule type="expression" dxfId="14615" priority="631">
      <formula>AND(IF(OR($Q351=1,$Q351=2),1,0),IF($X351&lt;=20,1,0))</formula>
    </cfRule>
    <cfRule type="expression" dxfId="14614" priority="632">
      <formula>AND(IF($Q351=2,1,0),IF($X351&lt;30,1,0))</formula>
    </cfRule>
    <cfRule type="expression" dxfId="14613" priority="633">
      <formula>AND(IF($Q351=3,1,0),IF($X351&lt;30,1,0))</formula>
    </cfRule>
    <cfRule type="expression" dxfId="14612" priority="634">
      <formula>AND(IF($Q351=3,1,IF($Q351=4,1,0)),IF($F351&lt;=85,1,0))</formula>
    </cfRule>
  </conditionalFormatting>
  <conditionalFormatting sqref="AV352">
    <cfRule type="expression" dxfId="14611" priority="629">
      <formula>AV352="X"</formula>
    </cfRule>
    <cfRule type="expression" dxfId="14610" priority="630">
      <formula>AV352="후보"</formula>
    </cfRule>
  </conditionalFormatting>
  <conditionalFormatting sqref="AC352">
    <cfRule type="cellIs" dxfId="14609" priority="627" operator="greaterThan">
      <formula>0.9</formula>
    </cfRule>
    <cfRule type="cellIs" dxfId="14608" priority="628" operator="greaterThan">
      <formula>0.85</formula>
    </cfRule>
  </conditionalFormatting>
  <conditionalFormatting sqref="N352">
    <cfRule type="cellIs" dxfId="14607" priority="625" operator="greaterThan">
      <formula>0.9</formula>
    </cfRule>
    <cfRule type="cellIs" dxfId="14606" priority="626" operator="greaterThan">
      <formula>0.85</formula>
    </cfRule>
  </conditionalFormatting>
  <conditionalFormatting sqref="E352">
    <cfRule type="expression" dxfId="14605" priority="621">
      <formula>AND(IF(OR($Q352=1,$Q352=2),1,0),IF($X352&lt;=20,1,0))</formula>
    </cfRule>
    <cfRule type="expression" dxfId="14604" priority="622">
      <formula>AND(IF($Q352=2,1,0),IF($X352&lt;30,1,0))</formula>
    </cfRule>
    <cfRule type="expression" dxfId="14603" priority="623">
      <formula>AND(IF($Q352=3,1,0),IF($X352&lt;30,1,0))</formula>
    </cfRule>
    <cfRule type="expression" dxfId="14602" priority="624">
      <formula>AND(IF($Q352=3,1,IF($Q352=4,1,0)),IF($F352&lt;=85,1,0))</formula>
    </cfRule>
  </conditionalFormatting>
  <conditionalFormatting sqref="X352">
    <cfRule type="expression" dxfId="14601" priority="617">
      <formula>AND(IF(OR($Q352=1,$Q352=2),1,0),IF($X352&lt;=20,1,0))</formula>
    </cfRule>
    <cfRule type="expression" dxfId="14600" priority="618">
      <formula>AND(IF($Q352=2,1,0),IF($X352&lt;30,1,0))</formula>
    </cfRule>
    <cfRule type="expression" dxfId="14599" priority="619">
      <formula>AND(IF($Q352=3,1,0),IF($X352&lt;30,1,0))</formula>
    </cfRule>
    <cfRule type="expression" dxfId="14598" priority="620">
      <formula>AND(IF($Q352=3,1,IF($Q352=4,1,0)),IF($F352&lt;=85,1,0))</formula>
    </cfRule>
  </conditionalFormatting>
  <conditionalFormatting sqref="AI352">
    <cfRule type="expression" dxfId="14597" priority="613">
      <formula>AND(IF(OR($Q352=1,$Q352=2),1,0),IF($X352&lt;=20,1,0))</formula>
    </cfRule>
    <cfRule type="expression" dxfId="14596" priority="614">
      <formula>AND(IF($Q352=2,1,0),IF($X352&lt;30,1,0))</formula>
    </cfRule>
    <cfRule type="expression" dxfId="14595" priority="615">
      <formula>AND(IF($Q352=3,1,0),IF($X352&lt;30,1,0))</formula>
    </cfRule>
    <cfRule type="expression" dxfId="14594" priority="616">
      <formula>AND(IF($Q352=3,1,IF($Q352=4,1,0)),IF($F352&lt;=85,1,0))</formula>
    </cfRule>
  </conditionalFormatting>
  <conditionalFormatting sqref="AV353">
    <cfRule type="expression" dxfId="14593" priority="611">
      <formula>AV353="X"</formula>
    </cfRule>
    <cfRule type="expression" dxfId="14592" priority="612">
      <formula>AV353="후보"</formula>
    </cfRule>
  </conditionalFormatting>
  <conditionalFormatting sqref="AC353">
    <cfRule type="cellIs" dxfId="14591" priority="609" operator="greaterThan">
      <formula>0.9</formula>
    </cfRule>
    <cfRule type="cellIs" dxfId="14590" priority="610" operator="greaterThan">
      <formula>0.85</formula>
    </cfRule>
  </conditionalFormatting>
  <conditionalFormatting sqref="N353">
    <cfRule type="cellIs" dxfId="14589" priority="607" operator="greaterThan">
      <formula>0.9</formula>
    </cfRule>
    <cfRule type="cellIs" dxfId="14588" priority="608" operator="greaterThan">
      <formula>0.85</formula>
    </cfRule>
  </conditionalFormatting>
  <conditionalFormatting sqref="E353">
    <cfRule type="expression" dxfId="14587" priority="603">
      <formula>AND(IF(OR($Q353=1,$Q353=2),1,0),IF($X353&lt;=20,1,0))</formula>
    </cfRule>
    <cfRule type="expression" dxfId="14586" priority="604">
      <formula>AND(IF($Q353=2,1,0),IF($X353&lt;30,1,0))</formula>
    </cfRule>
    <cfRule type="expression" dxfId="14585" priority="605">
      <formula>AND(IF($Q353=3,1,0),IF($X353&lt;30,1,0))</formula>
    </cfRule>
    <cfRule type="expression" dxfId="14584" priority="606">
      <formula>AND(IF($Q353=3,1,IF($Q353=4,1,0)),IF($F353&lt;=85,1,0))</formula>
    </cfRule>
  </conditionalFormatting>
  <conditionalFormatting sqref="X353">
    <cfRule type="expression" dxfId="14583" priority="599">
      <formula>AND(IF(OR($Q353=1,$Q353=2),1,0),IF($X353&lt;=20,1,0))</formula>
    </cfRule>
    <cfRule type="expression" dxfId="14582" priority="600">
      <formula>AND(IF($Q353=2,1,0),IF($X353&lt;30,1,0))</formula>
    </cfRule>
    <cfRule type="expression" dxfId="14581" priority="601">
      <formula>AND(IF($Q353=3,1,0),IF($X353&lt;30,1,0))</formula>
    </cfRule>
    <cfRule type="expression" dxfId="14580" priority="602">
      <formula>AND(IF($Q353=3,1,IF($Q353=4,1,0)),IF($F353&lt;=85,1,0))</formula>
    </cfRule>
  </conditionalFormatting>
  <conditionalFormatting sqref="AI353">
    <cfRule type="expression" dxfId="14579" priority="595">
      <formula>AND(IF(OR($Q353=1,$Q353=2),1,0),IF($X353&lt;=20,1,0))</formula>
    </cfRule>
    <cfRule type="expression" dxfId="14578" priority="596">
      <formula>AND(IF($Q353=2,1,0),IF($X353&lt;30,1,0))</formula>
    </cfRule>
    <cfRule type="expression" dxfId="14577" priority="597">
      <formula>AND(IF($Q353=3,1,0),IF($X353&lt;30,1,0))</formula>
    </cfRule>
    <cfRule type="expression" dxfId="14576" priority="598">
      <formula>AND(IF($Q353=3,1,IF($Q353=4,1,0)),IF($F353&lt;=85,1,0))</formula>
    </cfRule>
  </conditionalFormatting>
  <conditionalFormatting sqref="AV354">
    <cfRule type="expression" dxfId="14575" priority="593">
      <formula>AV354="X"</formula>
    </cfRule>
    <cfRule type="expression" dxfId="14574" priority="594">
      <formula>AV354="후보"</formula>
    </cfRule>
  </conditionalFormatting>
  <conditionalFormatting sqref="AC354">
    <cfRule type="cellIs" dxfId="14573" priority="591" operator="greaterThan">
      <formula>0.9</formula>
    </cfRule>
    <cfRule type="cellIs" dxfId="14572" priority="592" operator="greaterThan">
      <formula>0.85</formula>
    </cfRule>
  </conditionalFormatting>
  <conditionalFormatting sqref="N354">
    <cfRule type="cellIs" dxfId="14571" priority="589" operator="greaterThan">
      <formula>0.9</formula>
    </cfRule>
    <cfRule type="cellIs" dxfId="14570" priority="590" operator="greaterThan">
      <formula>0.85</formula>
    </cfRule>
  </conditionalFormatting>
  <conditionalFormatting sqref="E354">
    <cfRule type="expression" dxfId="14569" priority="585">
      <formula>AND(IF(OR($Q354=1,$Q354=2),1,0),IF($X354&lt;=20,1,0))</formula>
    </cfRule>
    <cfRule type="expression" dxfId="14568" priority="586">
      <formula>AND(IF($Q354=2,1,0),IF($X354&lt;30,1,0))</formula>
    </cfRule>
    <cfRule type="expression" dxfId="14567" priority="587">
      <formula>AND(IF($Q354=3,1,0),IF($X354&lt;30,1,0))</formula>
    </cfRule>
    <cfRule type="expression" dxfId="14566" priority="588">
      <formula>AND(IF($Q354=3,1,IF($Q354=4,1,0)),IF($F354&lt;=85,1,0))</formula>
    </cfRule>
  </conditionalFormatting>
  <conditionalFormatting sqref="X354">
    <cfRule type="expression" dxfId="14565" priority="581">
      <formula>AND(IF(OR($Q354=1,$Q354=2),1,0),IF($X354&lt;=20,1,0))</formula>
    </cfRule>
    <cfRule type="expression" dxfId="14564" priority="582">
      <formula>AND(IF($Q354=2,1,0),IF($X354&lt;30,1,0))</formula>
    </cfRule>
    <cfRule type="expression" dxfId="14563" priority="583">
      <formula>AND(IF($Q354=3,1,0),IF($X354&lt;30,1,0))</formula>
    </cfRule>
    <cfRule type="expression" dxfId="14562" priority="584">
      <formula>AND(IF($Q354=3,1,IF($Q354=4,1,0)),IF($F354&lt;=85,1,0))</formula>
    </cfRule>
  </conditionalFormatting>
  <conditionalFormatting sqref="AI354">
    <cfRule type="expression" dxfId="14561" priority="577">
      <formula>AND(IF(OR($Q354=1,$Q354=2),1,0),IF($X354&lt;=20,1,0))</formula>
    </cfRule>
    <cfRule type="expression" dxfId="14560" priority="578">
      <formula>AND(IF($Q354=2,1,0),IF($X354&lt;30,1,0))</formula>
    </cfRule>
    <cfRule type="expression" dxfId="14559" priority="579">
      <formula>AND(IF($Q354=3,1,0),IF($X354&lt;30,1,0))</formula>
    </cfRule>
    <cfRule type="expression" dxfId="14558" priority="580">
      <formula>AND(IF($Q354=3,1,IF($Q354=4,1,0)),IF($F354&lt;=85,1,0))</formula>
    </cfRule>
  </conditionalFormatting>
  <conditionalFormatting sqref="AV355">
    <cfRule type="expression" dxfId="14557" priority="575">
      <formula>AV355="X"</formula>
    </cfRule>
    <cfRule type="expression" dxfId="14556" priority="576">
      <formula>AV355="후보"</formula>
    </cfRule>
  </conditionalFormatting>
  <conditionalFormatting sqref="AC355">
    <cfRule type="cellIs" dxfId="14555" priority="573" operator="greaterThan">
      <formula>0.9</formula>
    </cfRule>
    <cfRule type="cellIs" dxfId="14554" priority="574" operator="greaterThan">
      <formula>0.85</formula>
    </cfRule>
  </conditionalFormatting>
  <conditionalFormatting sqref="N355">
    <cfRule type="cellIs" dxfId="14553" priority="571" operator="greaterThan">
      <formula>0.9</formula>
    </cfRule>
    <cfRule type="cellIs" dxfId="14552" priority="572" operator="greaterThan">
      <formula>0.85</formula>
    </cfRule>
  </conditionalFormatting>
  <conditionalFormatting sqref="E355">
    <cfRule type="expression" dxfId="14551" priority="567">
      <formula>AND(IF(OR($Q355=1,$Q355=2),1,0),IF($X355&lt;=20,1,0))</formula>
    </cfRule>
    <cfRule type="expression" dxfId="14550" priority="568">
      <formula>AND(IF($Q355=2,1,0),IF($X355&lt;30,1,0))</formula>
    </cfRule>
    <cfRule type="expression" dxfId="14549" priority="569">
      <formula>AND(IF($Q355=3,1,0),IF($X355&lt;30,1,0))</formula>
    </cfRule>
    <cfRule type="expression" dxfId="14548" priority="570">
      <formula>AND(IF($Q355=3,1,IF($Q355=4,1,0)),IF($F355&lt;=85,1,0))</formula>
    </cfRule>
  </conditionalFormatting>
  <conditionalFormatting sqref="X355">
    <cfRule type="expression" dxfId="14547" priority="563">
      <formula>AND(IF(OR($Q355=1,$Q355=2),1,0),IF($X355&lt;=20,1,0))</formula>
    </cfRule>
    <cfRule type="expression" dxfId="14546" priority="564">
      <formula>AND(IF($Q355=2,1,0),IF($X355&lt;30,1,0))</formula>
    </cfRule>
    <cfRule type="expression" dxfId="14545" priority="565">
      <formula>AND(IF($Q355=3,1,0),IF($X355&lt;30,1,0))</formula>
    </cfRule>
    <cfRule type="expression" dxfId="14544" priority="566">
      <formula>AND(IF($Q355=3,1,IF($Q355=4,1,0)),IF($F355&lt;=85,1,0))</formula>
    </cfRule>
  </conditionalFormatting>
  <conditionalFormatting sqref="AI355">
    <cfRule type="expression" dxfId="14543" priority="559">
      <formula>AND(IF(OR($Q355=1,$Q355=2),1,0),IF($X355&lt;=20,1,0))</formula>
    </cfRule>
    <cfRule type="expression" dxfId="14542" priority="560">
      <formula>AND(IF($Q355=2,1,0),IF($X355&lt;30,1,0))</formula>
    </cfRule>
    <cfRule type="expression" dxfId="14541" priority="561">
      <formula>AND(IF($Q355=3,1,0),IF($X355&lt;30,1,0))</formula>
    </cfRule>
    <cfRule type="expression" dxfId="14540" priority="562">
      <formula>AND(IF($Q355=3,1,IF($Q355=4,1,0)),IF($F355&lt;=85,1,0))</formula>
    </cfRule>
  </conditionalFormatting>
  <conditionalFormatting sqref="AV356">
    <cfRule type="expression" dxfId="14539" priority="557">
      <formula>AV356="X"</formula>
    </cfRule>
    <cfRule type="expression" dxfId="14538" priority="558">
      <formula>AV356="후보"</formula>
    </cfRule>
  </conditionalFormatting>
  <conditionalFormatting sqref="AC356">
    <cfRule type="cellIs" dxfId="14537" priority="555" operator="greaterThan">
      <formula>0.9</formula>
    </cfRule>
    <cfRule type="cellIs" dxfId="14536" priority="556" operator="greaterThan">
      <formula>0.85</formula>
    </cfRule>
  </conditionalFormatting>
  <conditionalFormatting sqref="N356">
    <cfRule type="cellIs" dxfId="14535" priority="553" operator="greaterThan">
      <formula>0.9</formula>
    </cfRule>
    <cfRule type="cellIs" dxfId="14534" priority="554" operator="greaterThan">
      <formula>0.85</formula>
    </cfRule>
  </conditionalFormatting>
  <conditionalFormatting sqref="E356">
    <cfRule type="expression" dxfId="14533" priority="549">
      <formula>AND(IF(OR($Q356=1,$Q356=2),1,0),IF($X356&lt;=20,1,0))</formula>
    </cfRule>
    <cfRule type="expression" dxfId="14532" priority="550">
      <formula>AND(IF($Q356=2,1,0),IF($X356&lt;30,1,0))</formula>
    </cfRule>
    <cfRule type="expression" dxfId="14531" priority="551">
      <formula>AND(IF($Q356=3,1,0),IF($X356&lt;30,1,0))</formula>
    </cfRule>
    <cfRule type="expression" dxfId="14530" priority="552">
      <formula>AND(IF($Q356=3,1,IF($Q356=4,1,0)),IF($F356&lt;=85,1,0))</formula>
    </cfRule>
  </conditionalFormatting>
  <conditionalFormatting sqref="X356">
    <cfRule type="expression" dxfId="14529" priority="545">
      <formula>AND(IF(OR($Q356=1,$Q356=2),1,0),IF($X356&lt;=20,1,0))</formula>
    </cfRule>
    <cfRule type="expression" dxfId="14528" priority="546">
      <formula>AND(IF($Q356=2,1,0),IF($X356&lt;30,1,0))</formula>
    </cfRule>
    <cfRule type="expression" dxfId="14527" priority="547">
      <formula>AND(IF($Q356=3,1,0),IF($X356&lt;30,1,0))</formula>
    </cfRule>
    <cfRule type="expression" dxfId="14526" priority="548">
      <formula>AND(IF($Q356=3,1,IF($Q356=4,1,0)),IF($F356&lt;=85,1,0))</formula>
    </cfRule>
  </conditionalFormatting>
  <conditionalFormatting sqref="AI356">
    <cfRule type="expression" dxfId="14525" priority="541">
      <formula>AND(IF(OR($Q356=1,$Q356=2),1,0),IF($X356&lt;=20,1,0))</formula>
    </cfRule>
    <cfRule type="expression" dxfId="14524" priority="542">
      <formula>AND(IF($Q356=2,1,0),IF($X356&lt;30,1,0))</formula>
    </cfRule>
    <cfRule type="expression" dxfId="14523" priority="543">
      <formula>AND(IF($Q356=3,1,0),IF($X356&lt;30,1,0))</formula>
    </cfRule>
    <cfRule type="expression" dxfId="14522" priority="544">
      <formula>AND(IF($Q356=3,1,IF($Q356=4,1,0)),IF($F356&lt;=85,1,0))</formula>
    </cfRule>
  </conditionalFormatting>
  <conditionalFormatting sqref="AV357">
    <cfRule type="expression" dxfId="14521" priority="539">
      <formula>AV357="X"</formula>
    </cfRule>
    <cfRule type="expression" dxfId="14520" priority="540">
      <formula>AV357="후보"</formula>
    </cfRule>
  </conditionalFormatting>
  <conditionalFormatting sqref="AC357">
    <cfRule type="cellIs" dxfId="14519" priority="537" operator="greaterThan">
      <formula>0.9</formula>
    </cfRule>
    <cfRule type="cellIs" dxfId="14518" priority="538" operator="greaterThan">
      <formula>0.85</formula>
    </cfRule>
  </conditionalFormatting>
  <conditionalFormatting sqref="N357">
    <cfRule type="cellIs" dxfId="14517" priority="535" operator="greaterThan">
      <formula>0.9</formula>
    </cfRule>
    <cfRule type="cellIs" dxfId="14516" priority="536" operator="greaterThan">
      <formula>0.85</formula>
    </cfRule>
  </conditionalFormatting>
  <conditionalFormatting sqref="E357">
    <cfRule type="expression" dxfId="14515" priority="531">
      <formula>AND(IF(OR($Q357=1,$Q357=2),1,0),IF($X357&lt;=20,1,0))</formula>
    </cfRule>
    <cfRule type="expression" dxfId="14514" priority="532">
      <formula>AND(IF($Q357=2,1,0),IF($X357&lt;30,1,0))</formula>
    </cfRule>
    <cfRule type="expression" dxfId="14513" priority="533">
      <formula>AND(IF($Q357=3,1,0),IF($X357&lt;30,1,0))</formula>
    </cfRule>
    <cfRule type="expression" dxfId="14512" priority="534">
      <formula>AND(IF($Q357=3,1,IF($Q357=4,1,0)),IF($F357&lt;=85,1,0))</formula>
    </cfRule>
  </conditionalFormatting>
  <conditionalFormatting sqref="X357">
    <cfRule type="expression" dxfId="14511" priority="527">
      <formula>AND(IF(OR($Q357=1,$Q357=2),1,0),IF($X357&lt;=20,1,0))</formula>
    </cfRule>
    <cfRule type="expression" dxfId="14510" priority="528">
      <formula>AND(IF($Q357=2,1,0),IF($X357&lt;30,1,0))</formula>
    </cfRule>
    <cfRule type="expression" dxfId="14509" priority="529">
      <formula>AND(IF($Q357=3,1,0),IF($X357&lt;30,1,0))</formula>
    </cfRule>
    <cfRule type="expression" dxfId="14508" priority="530">
      <formula>AND(IF($Q357=3,1,IF($Q357=4,1,0)),IF($F357&lt;=85,1,0))</formula>
    </cfRule>
  </conditionalFormatting>
  <conditionalFormatting sqref="AI357">
    <cfRule type="expression" dxfId="14507" priority="523">
      <formula>AND(IF(OR($Q357=1,$Q357=2),1,0),IF($X357&lt;=20,1,0))</formula>
    </cfRule>
    <cfRule type="expression" dxfId="14506" priority="524">
      <formula>AND(IF($Q357=2,1,0),IF($X357&lt;30,1,0))</formula>
    </cfRule>
    <cfRule type="expression" dxfId="14505" priority="525">
      <formula>AND(IF($Q357=3,1,0),IF($X357&lt;30,1,0))</formula>
    </cfRule>
    <cfRule type="expression" dxfId="14504" priority="526">
      <formula>AND(IF($Q357=3,1,IF($Q357=4,1,0)),IF($F357&lt;=85,1,0))</formula>
    </cfRule>
  </conditionalFormatting>
  <conditionalFormatting sqref="AV358">
    <cfRule type="expression" dxfId="14503" priority="521">
      <formula>AV358="X"</formula>
    </cfRule>
    <cfRule type="expression" dxfId="14502" priority="522">
      <formula>AV358="후보"</formula>
    </cfRule>
  </conditionalFormatting>
  <conditionalFormatting sqref="AC358">
    <cfRule type="cellIs" dxfId="14501" priority="519" operator="greaterThan">
      <formula>0.9</formula>
    </cfRule>
    <cfRule type="cellIs" dxfId="14500" priority="520" operator="greaterThan">
      <formula>0.85</formula>
    </cfRule>
  </conditionalFormatting>
  <conditionalFormatting sqref="N358">
    <cfRule type="cellIs" dxfId="14499" priority="517" operator="greaterThan">
      <formula>0.9</formula>
    </cfRule>
    <cfRule type="cellIs" dxfId="14498" priority="518" operator="greaterThan">
      <formula>0.85</formula>
    </cfRule>
  </conditionalFormatting>
  <conditionalFormatting sqref="E358">
    <cfRule type="expression" dxfId="14497" priority="513">
      <formula>AND(IF(OR($Q358=1,$Q358=2),1,0),IF($X358&lt;=20,1,0))</formula>
    </cfRule>
    <cfRule type="expression" dxfId="14496" priority="514">
      <formula>AND(IF($Q358=2,1,0),IF($X358&lt;30,1,0))</formula>
    </cfRule>
    <cfRule type="expression" dxfId="14495" priority="515">
      <formula>AND(IF($Q358=3,1,0),IF($X358&lt;30,1,0))</formula>
    </cfRule>
    <cfRule type="expression" dxfId="14494" priority="516">
      <formula>AND(IF($Q358=3,1,IF($Q358=4,1,0)),IF($F358&lt;=85,1,0))</formula>
    </cfRule>
  </conditionalFormatting>
  <conditionalFormatting sqref="X358">
    <cfRule type="expression" dxfId="14493" priority="509">
      <formula>AND(IF(OR($Q358=1,$Q358=2),1,0),IF($X358&lt;=20,1,0))</formula>
    </cfRule>
    <cfRule type="expression" dxfId="14492" priority="510">
      <formula>AND(IF($Q358=2,1,0),IF($X358&lt;30,1,0))</formula>
    </cfRule>
    <cfRule type="expression" dxfId="14491" priority="511">
      <formula>AND(IF($Q358=3,1,0),IF($X358&lt;30,1,0))</formula>
    </cfRule>
    <cfRule type="expression" dxfId="14490" priority="512">
      <formula>AND(IF($Q358=3,1,IF($Q358=4,1,0)),IF($F358&lt;=85,1,0))</formula>
    </cfRule>
  </conditionalFormatting>
  <conditionalFormatting sqref="AI358">
    <cfRule type="expression" dxfId="14489" priority="505">
      <formula>AND(IF(OR($Q358=1,$Q358=2),1,0),IF($X358&lt;=20,1,0))</formula>
    </cfRule>
    <cfRule type="expression" dxfId="14488" priority="506">
      <formula>AND(IF($Q358=2,1,0),IF($X358&lt;30,1,0))</formula>
    </cfRule>
    <cfRule type="expression" dxfId="14487" priority="507">
      <formula>AND(IF($Q358=3,1,0),IF($X358&lt;30,1,0))</formula>
    </cfRule>
    <cfRule type="expression" dxfId="14486" priority="508">
      <formula>AND(IF($Q358=3,1,IF($Q358=4,1,0)),IF($F358&lt;=85,1,0))</formula>
    </cfRule>
  </conditionalFormatting>
  <conditionalFormatting sqref="AV359">
    <cfRule type="expression" dxfId="14485" priority="503">
      <formula>AV359="X"</formula>
    </cfRule>
    <cfRule type="expression" dxfId="14484" priority="504">
      <formula>AV359="후보"</formula>
    </cfRule>
  </conditionalFormatting>
  <conditionalFormatting sqref="AC359">
    <cfRule type="cellIs" dxfId="14483" priority="501" operator="greaterThan">
      <formula>0.9</formula>
    </cfRule>
    <cfRule type="cellIs" dxfId="14482" priority="502" operator="greaterThan">
      <formula>0.85</formula>
    </cfRule>
  </conditionalFormatting>
  <conditionalFormatting sqref="N359">
    <cfRule type="cellIs" dxfId="14481" priority="499" operator="greaterThan">
      <formula>0.9</formula>
    </cfRule>
    <cfRule type="cellIs" dxfId="14480" priority="500" operator="greaterThan">
      <formula>0.85</formula>
    </cfRule>
  </conditionalFormatting>
  <conditionalFormatting sqref="E359">
    <cfRule type="expression" dxfId="14479" priority="495">
      <formula>AND(IF(OR($Q359=1,$Q359=2),1,0),IF($X359&lt;=20,1,0))</formula>
    </cfRule>
    <cfRule type="expression" dxfId="14478" priority="496">
      <formula>AND(IF($Q359=2,1,0),IF($X359&lt;30,1,0))</formula>
    </cfRule>
    <cfRule type="expression" dxfId="14477" priority="497">
      <formula>AND(IF($Q359=3,1,0),IF($X359&lt;30,1,0))</formula>
    </cfRule>
    <cfRule type="expression" dxfId="14476" priority="498">
      <formula>AND(IF($Q359=3,1,IF($Q359=4,1,0)),IF($F359&lt;=85,1,0))</formula>
    </cfRule>
  </conditionalFormatting>
  <conditionalFormatting sqref="X359">
    <cfRule type="expression" dxfId="14475" priority="491">
      <formula>AND(IF(OR($Q359=1,$Q359=2),1,0),IF($X359&lt;=20,1,0))</formula>
    </cfRule>
    <cfRule type="expression" dxfId="14474" priority="492">
      <formula>AND(IF($Q359=2,1,0),IF($X359&lt;30,1,0))</formula>
    </cfRule>
    <cfRule type="expression" dxfId="14473" priority="493">
      <formula>AND(IF($Q359=3,1,0),IF($X359&lt;30,1,0))</formula>
    </cfRule>
    <cfRule type="expression" dxfId="14472" priority="494">
      <formula>AND(IF($Q359=3,1,IF($Q359=4,1,0)),IF($F359&lt;=85,1,0))</formula>
    </cfRule>
  </conditionalFormatting>
  <conditionalFormatting sqref="AI359">
    <cfRule type="expression" dxfId="14471" priority="487">
      <formula>AND(IF(OR($Q359=1,$Q359=2),1,0),IF($X359&lt;=20,1,0))</formula>
    </cfRule>
    <cfRule type="expression" dxfId="14470" priority="488">
      <formula>AND(IF($Q359=2,1,0),IF($X359&lt;30,1,0))</formula>
    </cfRule>
    <cfRule type="expression" dxfId="14469" priority="489">
      <formula>AND(IF($Q359=3,1,0),IF($X359&lt;30,1,0))</formula>
    </cfRule>
    <cfRule type="expression" dxfId="14468" priority="490">
      <formula>AND(IF($Q359=3,1,IF($Q359=4,1,0)),IF($F359&lt;=85,1,0))</formula>
    </cfRule>
  </conditionalFormatting>
  <conditionalFormatting sqref="AV360">
    <cfRule type="expression" dxfId="14467" priority="485">
      <formula>AV360="X"</formula>
    </cfRule>
    <cfRule type="expression" dxfId="14466" priority="486">
      <formula>AV360="후보"</formula>
    </cfRule>
  </conditionalFormatting>
  <conditionalFormatting sqref="AC360">
    <cfRule type="cellIs" dxfId="14465" priority="483" operator="greaterThan">
      <formula>0.9</formula>
    </cfRule>
    <cfRule type="cellIs" dxfId="14464" priority="484" operator="greaterThan">
      <formula>0.85</formula>
    </cfRule>
  </conditionalFormatting>
  <conditionalFormatting sqref="N360">
    <cfRule type="cellIs" dxfId="14463" priority="481" operator="greaterThan">
      <formula>0.9</formula>
    </cfRule>
    <cfRule type="cellIs" dxfId="14462" priority="482" operator="greaterThan">
      <formula>0.85</formula>
    </cfRule>
  </conditionalFormatting>
  <conditionalFormatting sqref="E360">
    <cfRule type="expression" dxfId="14461" priority="477">
      <formula>AND(IF(OR($Q360=1,$Q360=2),1,0),IF($X360&lt;=20,1,0))</formula>
    </cfRule>
    <cfRule type="expression" dxfId="14460" priority="478">
      <formula>AND(IF($Q360=2,1,0),IF($X360&lt;30,1,0))</formula>
    </cfRule>
    <cfRule type="expression" dxfId="14459" priority="479">
      <formula>AND(IF($Q360=3,1,0),IF($X360&lt;30,1,0))</formula>
    </cfRule>
    <cfRule type="expression" dxfId="14458" priority="480">
      <formula>AND(IF($Q360=3,1,IF($Q360=4,1,0)),IF($F360&lt;=85,1,0))</formula>
    </cfRule>
  </conditionalFormatting>
  <conditionalFormatting sqref="X360">
    <cfRule type="expression" dxfId="14457" priority="473">
      <formula>AND(IF(OR($Q360=1,$Q360=2),1,0),IF($X360&lt;=20,1,0))</formula>
    </cfRule>
    <cfRule type="expression" dxfId="14456" priority="474">
      <formula>AND(IF($Q360=2,1,0),IF($X360&lt;30,1,0))</formula>
    </cfRule>
    <cfRule type="expression" dxfId="14455" priority="475">
      <formula>AND(IF($Q360=3,1,0),IF($X360&lt;30,1,0))</formula>
    </cfRule>
    <cfRule type="expression" dxfId="14454" priority="476">
      <formula>AND(IF($Q360=3,1,IF($Q360=4,1,0)),IF($F360&lt;=85,1,0))</formula>
    </cfRule>
  </conditionalFormatting>
  <conditionalFormatting sqref="AI360">
    <cfRule type="expression" dxfId="14453" priority="469">
      <formula>AND(IF(OR($Q360=1,$Q360=2),1,0),IF($X360&lt;=20,1,0))</formula>
    </cfRule>
    <cfRule type="expression" dxfId="14452" priority="470">
      <formula>AND(IF($Q360=2,1,0),IF($X360&lt;30,1,0))</formula>
    </cfRule>
    <cfRule type="expression" dxfId="14451" priority="471">
      <formula>AND(IF($Q360=3,1,0),IF($X360&lt;30,1,0))</formula>
    </cfRule>
    <cfRule type="expression" dxfId="14450" priority="472">
      <formula>AND(IF($Q360=3,1,IF($Q360=4,1,0)),IF($F360&lt;=85,1,0))</formula>
    </cfRule>
  </conditionalFormatting>
  <conditionalFormatting sqref="AV361">
    <cfRule type="expression" dxfId="14449" priority="467">
      <formula>AV361="X"</formula>
    </cfRule>
    <cfRule type="expression" dxfId="14448" priority="468">
      <formula>AV361="후보"</formula>
    </cfRule>
  </conditionalFormatting>
  <conditionalFormatting sqref="AC361">
    <cfRule type="cellIs" dxfId="14447" priority="465" operator="greaterThan">
      <formula>0.9</formula>
    </cfRule>
    <cfRule type="cellIs" dxfId="14446" priority="466" operator="greaterThan">
      <formula>0.85</formula>
    </cfRule>
  </conditionalFormatting>
  <conditionalFormatting sqref="N361">
    <cfRule type="cellIs" dxfId="14445" priority="463" operator="greaterThan">
      <formula>0.9</formula>
    </cfRule>
    <cfRule type="cellIs" dxfId="14444" priority="464" operator="greaterThan">
      <formula>0.85</formula>
    </cfRule>
  </conditionalFormatting>
  <conditionalFormatting sqref="E361">
    <cfRule type="expression" dxfId="14443" priority="459">
      <formula>AND(IF(OR($Q361=1,$Q361=2),1,0),IF($X361&lt;=20,1,0))</formula>
    </cfRule>
    <cfRule type="expression" dxfId="14442" priority="460">
      <formula>AND(IF($Q361=2,1,0),IF($X361&lt;30,1,0))</formula>
    </cfRule>
    <cfRule type="expression" dxfId="14441" priority="461">
      <formula>AND(IF($Q361=3,1,0),IF($X361&lt;30,1,0))</formula>
    </cfRule>
    <cfRule type="expression" dxfId="14440" priority="462">
      <formula>AND(IF($Q361=3,1,IF($Q361=4,1,0)),IF($F361&lt;=85,1,0))</formula>
    </cfRule>
  </conditionalFormatting>
  <conditionalFormatting sqref="X361">
    <cfRule type="expression" dxfId="14439" priority="455">
      <formula>AND(IF(OR($Q361=1,$Q361=2),1,0),IF($X361&lt;=20,1,0))</formula>
    </cfRule>
    <cfRule type="expression" dxfId="14438" priority="456">
      <formula>AND(IF($Q361=2,1,0),IF($X361&lt;30,1,0))</formula>
    </cfRule>
    <cfRule type="expression" dxfId="14437" priority="457">
      <formula>AND(IF($Q361=3,1,0),IF($X361&lt;30,1,0))</formula>
    </cfRule>
    <cfRule type="expression" dxfId="14436" priority="458">
      <formula>AND(IF($Q361=3,1,IF($Q361=4,1,0)),IF($F361&lt;=85,1,0))</formula>
    </cfRule>
  </conditionalFormatting>
  <conditionalFormatting sqref="AI361">
    <cfRule type="expression" dxfId="14435" priority="451">
      <formula>AND(IF(OR($Q361=1,$Q361=2),1,0),IF($X361&lt;=20,1,0))</formula>
    </cfRule>
    <cfRule type="expression" dxfId="14434" priority="452">
      <formula>AND(IF($Q361=2,1,0),IF($X361&lt;30,1,0))</formula>
    </cfRule>
    <cfRule type="expression" dxfId="14433" priority="453">
      <formula>AND(IF($Q361=3,1,0),IF($X361&lt;30,1,0))</formula>
    </cfRule>
    <cfRule type="expression" dxfId="14432" priority="454">
      <formula>AND(IF($Q361=3,1,IF($Q361=4,1,0)),IF($F361&lt;=85,1,0))</formula>
    </cfRule>
  </conditionalFormatting>
  <conditionalFormatting sqref="AV362">
    <cfRule type="expression" dxfId="14431" priority="449">
      <formula>AV362="X"</formula>
    </cfRule>
    <cfRule type="expression" dxfId="14430" priority="450">
      <formula>AV362="후보"</formula>
    </cfRule>
  </conditionalFormatting>
  <conditionalFormatting sqref="AC362">
    <cfRule type="cellIs" dxfId="14429" priority="447" operator="greaterThan">
      <formula>0.9</formula>
    </cfRule>
    <cfRule type="cellIs" dxfId="14428" priority="448" operator="greaterThan">
      <formula>0.85</formula>
    </cfRule>
  </conditionalFormatting>
  <conditionalFormatting sqref="N362">
    <cfRule type="cellIs" dxfId="14427" priority="445" operator="greaterThan">
      <formula>0.9</formula>
    </cfRule>
    <cfRule type="cellIs" dxfId="14426" priority="446" operator="greaterThan">
      <formula>0.85</formula>
    </cfRule>
  </conditionalFormatting>
  <conditionalFormatting sqref="E362">
    <cfRule type="expression" dxfId="14425" priority="441">
      <formula>AND(IF(OR($Q362=1,$Q362=2),1,0),IF($X362&lt;=20,1,0))</formula>
    </cfRule>
    <cfRule type="expression" dxfId="14424" priority="442">
      <formula>AND(IF($Q362=2,1,0),IF($X362&lt;30,1,0))</formula>
    </cfRule>
    <cfRule type="expression" dxfId="14423" priority="443">
      <formula>AND(IF($Q362=3,1,0),IF($X362&lt;30,1,0))</formula>
    </cfRule>
    <cfRule type="expression" dxfId="14422" priority="444">
      <formula>AND(IF($Q362=3,1,IF($Q362=4,1,0)),IF($F362&lt;=85,1,0))</formula>
    </cfRule>
  </conditionalFormatting>
  <conditionalFormatting sqref="X362">
    <cfRule type="expression" dxfId="14421" priority="437">
      <formula>AND(IF(OR($Q362=1,$Q362=2),1,0),IF($X362&lt;=20,1,0))</formula>
    </cfRule>
    <cfRule type="expression" dxfId="14420" priority="438">
      <formula>AND(IF($Q362=2,1,0),IF($X362&lt;30,1,0))</formula>
    </cfRule>
    <cfRule type="expression" dxfId="14419" priority="439">
      <formula>AND(IF($Q362=3,1,0),IF($X362&lt;30,1,0))</formula>
    </cfRule>
    <cfRule type="expression" dxfId="14418" priority="440">
      <formula>AND(IF($Q362=3,1,IF($Q362=4,1,0)),IF($F362&lt;=85,1,0))</formula>
    </cfRule>
  </conditionalFormatting>
  <conditionalFormatting sqref="AI362">
    <cfRule type="expression" dxfId="14417" priority="433">
      <formula>AND(IF(OR($Q362=1,$Q362=2),1,0),IF($X362&lt;=20,1,0))</formula>
    </cfRule>
    <cfRule type="expression" dxfId="14416" priority="434">
      <formula>AND(IF($Q362=2,1,0),IF($X362&lt;30,1,0))</formula>
    </cfRule>
    <cfRule type="expression" dxfId="14415" priority="435">
      <formula>AND(IF($Q362=3,1,0),IF($X362&lt;30,1,0))</formula>
    </cfRule>
    <cfRule type="expression" dxfId="14414" priority="436">
      <formula>AND(IF($Q362=3,1,IF($Q362=4,1,0)),IF($F362&lt;=85,1,0))</formula>
    </cfRule>
  </conditionalFormatting>
  <conditionalFormatting sqref="AV363">
    <cfRule type="expression" dxfId="14413" priority="431">
      <formula>AV363="X"</formula>
    </cfRule>
    <cfRule type="expression" dxfId="14412" priority="432">
      <formula>AV363="후보"</formula>
    </cfRule>
  </conditionalFormatting>
  <conditionalFormatting sqref="AC363">
    <cfRule type="cellIs" dxfId="14411" priority="429" operator="greaterThan">
      <formula>0.9</formula>
    </cfRule>
    <cfRule type="cellIs" dxfId="14410" priority="430" operator="greaterThan">
      <formula>0.85</formula>
    </cfRule>
  </conditionalFormatting>
  <conditionalFormatting sqref="N363">
    <cfRule type="cellIs" dxfId="14409" priority="427" operator="greaterThan">
      <formula>0.9</formula>
    </cfRule>
    <cfRule type="cellIs" dxfId="14408" priority="428" operator="greaterThan">
      <formula>0.85</formula>
    </cfRule>
  </conditionalFormatting>
  <conditionalFormatting sqref="E363">
    <cfRule type="expression" dxfId="14407" priority="423">
      <formula>AND(IF(OR($Q363=1,$Q363=2),1,0),IF($X363&lt;=20,1,0))</formula>
    </cfRule>
    <cfRule type="expression" dxfId="14406" priority="424">
      <formula>AND(IF($Q363=2,1,0),IF($X363&lt;30,1,0))</formula>
    </cfRule>
    <cfRule type="expression" dxfId="14405" priority="425">
      <formula>AND(IF($Q363=3,1,0),IF($X363&lt;30,1,0))</formula>
    </cfRule>
    <cfRule type="expression" dxfId="14404" priority="426">
      <formula>AND(IF($Q363=3,1,IF($Q363=4,1,0)),IF($F363&lt;=85,1,0))</formula>
    </cfRule>
  </conditionalFormatting>
  <conditionalFormatting sqref="X363">
    <cfRule type="expression" dxfId="14403" priority="419">
      <formula>AND(IF(OR($Q363=1,$Q363=2),1,0),IF($X363&lt;=20,1,0))</formula>
    </cfRule>
    <cfRule type="expression" dxfId="14402" priority="420">
      <formula>AND(IF($Q363=2,1,0),IF($X363&lt;30,1,0))</formula>
    </cfRule>
    <cfRule type="expression" dxfId="14401" priority="421">
      <formula>AND(IF($Q363=3,1,0),IF($X363&lt;30,1,0))</formula>
    </cfRule>
    <cfRule type="expression" dxfId="14400" priority="422">
      <formula>AND(IF($Q363=3,1,IF($Q363=4,1,0)),IF($F363&lt;=85,1,0))</formula>
    </cfRule>
  </conditionalFormatting>
  <conditionalFormatting sqref="AI363">
    <cfRule type="expression" dxfId="14399" priority="415">
      <formula>AND(IF(OR($Q363=1,$Q363=2),1,0),IF($X363&lt;=20,1,0))</formula>
    </cfRule>
    <cfRule type="expression" dxfId="14398" priority="416">
      <formula>AND(IF($Q363=2,1,0),IF($X363&lt;30,1,0))</formula>
    </cfRule>
    <cfRule type="expression" dxfId="14397" priority="417">
      <formula>AND(IF($Q363=3,1,0),IF($X363&lt;30,1,0))</formula>
    </cfRule>
    <cfRule type="expression" dxfId="14396" priority="418">
      <formula>AND(IF($Q363=3,1,IF($Q363=4,1,0)),IF($F363&lt;=85,1,0))</formula>
    </cfRule>
  </conditionalFormatting>
  <conditionalFormatting sqref="AV364">
    <cfRule type="expression" dxfId="14395" priority="413">
      <formula>AV364="X"</formula>
    </cfRule>
    <cfRule type="expression" dxfId="14394" priority="414">
      <formula>AV364="후보"</formula>
    </cfRule>
  </conditionalFormatting>
  <conditionalFormatting sqref="AC364">
    <cfRule type="cellIs" dxfId="14393" priority="411" operator="greaterThan">
      <formula>0.9</formula>
    </cfRule>
    <cfRule type="cellIs" dxfId="14392" priority="412" operator="greaterThan">
      <formula>0.85</formula>
    </cfRule>
  </conditionalFormatting>
  <conditionalFormatting sqref="N364">
    <cfRule type="cellIs" dxfId="14391" priority="409" operator="greaterThan">
      <formula>0.9</formula>
    </cfRule>
    <cfRule type="cellIs" dxfId="14390" priority="410" operator="greaterThan">
      <formula>0.85</formula>
    </cfRule>
  </conditionalFormatting>
  <conditionalFormatting sqref="E364">
    <cfRule type="expression" dxfId="14389" priority="405">
      <formula>AND(IF(OR($Q364=1,$Q364=2),1,0),IF($X364&lt;=20,1,0))</formula>
    </cfRule>
    <cfRule type="expression" dxfId="14388" priority="406">
      <formula>AND(IF($Q364=2,1,0),IF($X364&lt;30,1,0))</formula>
    </cfRule>
    <cfRule type="expression" dxfId="14387" priority="407">
      <formula>AND(IF($Q364=3,1,0),IF($X364&lt;30,1,0))</formula>
    </cfRule>
    <cfRule type="expression" dxfId="14386" priority="408">
      <formula>AND(IF($Q364=3,1,IF($Q364=4,1,0)),IF($F364&lt;=85,1,0))</formula>
    </cfRule>
  </conditionalFormatting>
  <conditionalFormatting sqref="X364">
    <cfRule type="expression" dxfId="14385" priority="401">
      <formula>AND(IF(OR($Q364=1,$Q364=2),1,0),IF($X364&lt;=20,1,0))</formula>
    </cfRule>
    <cfRule type="expression" dxfId="14384" priority="402">
      <formula>AND(IF($Q364=2,1,0),IF($X364&lt;30,1,0))</formula>
    </cfRule>
    <cfRule type="expression" dxfId="14383" priority="403">
      <formula>AND(IF($Q364=3,1,0),IF($X364&lt;30,1,0))</formula>
    </cfRule>
    <cfRule type="expression" dxfId="14382" priority="404">
      <formula>AND(IF($Q364=3,1,IF($Q364=4,1,0)),IF($F364&lt;=85,1,0))</formula>
    </cfRule>
  </conditionalFormatting>
  <conditionalFormatting sqref="AI364">
    <cfRule type="expression" dxfId="14381" priority="397">
      <formula>AND(IF(OR($Q364=1,$Q364=2),1,0),IF($X364&lt;=20,1,0))</formula>
    </cfRule>
    <cfRule type="expression" dxfId="14380" priority="398">
      <formula>AND(IF($Q364=2,1,0),IF($X364&lt;30,1,0))</formula>
    </cfRule>
    <cfRule type="expression" dxfId="14379" priority="399">
      <formula>AND(IF($Q364=3,1,0),IF($X364&lt;30,1,0))</formula>
    </cfRule>
    <cfRule type="expression" dxfId="14378" priority="400">
      <formula>AND(IF($Q364=3,1,IF($Q364=4,1,0)),IF($F364&lt;=85,1,0))</formula>
    </cfRule>
  </conditionalFormatting>
  <conditionalFormatting sqref="AV365">
    <cfRule type="expression" dxfId="14377" priority="395">
      <formula>AV365="X"</formula>
    </cfRule>
    <cfRule type="expression" dxfId="14376" priority="396">
      <formula>AV365="후보"</formula>
    </cfRule>
  </conditionalFormatting>
  <conditionalFormatting sqref="AC365">
    <cfRule type="cellIs" dxfId="14375" priority="393" operator="greaterThan">
      <formula>0.9</formula>
    </cfRule>
    <cfRule type="cellIs" dxfId="14374" priority="394" operator="greaterThan">
      <formula>0.85</formula>
    </cfRule>
  </conditionalFormatting>
  <conditionalFormatting sqref="N365">
    <cfRule type="cellIs" dxfId="14373" priority="391" operator="greaterThan">
      <formula>0.9</formula>
    </cfRule>
    <cfRule type="cellIs" dxfId="14372" priority="392" operator="greaterThan">
      <formula>0.85</formula>
    </cfRule>
  </conditionalFormatting>
  <conditionalFormatting sqref="E365">
    <cfRule type="expression" dxfId="14371" priority="387">
      <formula>AND(IF(OR($Q365=1,$Q365=2),1,0),IF($X365&lt;=20,1,0))</formula>
    </cfRule>
    <cfRule type="expression" dxfId="14370" priority="388">
      <formula>AND(IF($Q365=2,1,0),IF($X365&lt;30,1,0))</formula>
    </cfRule>
    <cfRule type="expression" dxfId="14369" priority="389">
      <formula>AND(IF($Q365=3,1,0),IF($X365&lt;30,1,0))</formula>
    </cfRule>
    <cfRule type="expression" dxfId="14368" priority="390">
      <formula>AND(IF($Q365=3,1,IF($Q365=4,1,0)),IF($F365&lt;=85,1,0))</formula>
    </cfRule>
  </conditionalFormatting>
  <conditionalFormatting sqref="X365">
    <cfRule type="expression" dxfId="14367" priority="383">
      <formula>AND(IF(OR($Q365=1,$Q365=2),1,0),IF($X365&lt;=20,1,0))</formula>
    </cfRule>
    <cfRule type="expression" dxfId="14366" priority="384">
      <formula>AND(IF($Q365=2,1,0),IF($X365&lt;30,1,0))</formula>
    </cfRule>
    <cfRule type="expression" dxfId="14365" priority="385">
      <formula>AND(IF($Q365=3,1,0),IF($X365&lt;30,1,0))</formula>
    </cfRule>
    <cfRule type="expression" dxfId="14364" priority="386">
      <formula>AND(IF($Q365=3,1,IF($Q365=4,1,0)),IF($F365&lt;=85,1,0))</formula>
    </cfRule>
  </conditionalFormatting>
  <conditionalFormatting sqref="AI365">
    <cfRule type="expression" dxfId="14363" priority="379">
      <formula>AND(IF(OR($Q365=1,$Q365=2),1,0),IF($X365&lt;=20,1,0))</formula>
    </cfRule>
    <cfRule type="expression" dxfId="14362" priority="380">
      <formula>AND(IF($Q365=2,1,0),IF($X365&lt;30,1,0))</formula>
    </cfRule>
    <cfRule type="expression" dxfId="14361" priority="381">
      <formula>AND(IF($Q365=3,1,0),IF($X365&lt;30,1,0))</formula>
    </cfRule>
    <cfRule type="expression" dxfId="14360" priority="382">
      <formula>AND(IF($Q365=3,1,IF($Q365=4,1,0)),IF($F365&lt;=85,1,0))</formula>
    </cfRule>
  </conditionalFormatting>
  <conditionalFormatting sqref="AV366">
    <cfRule type="expression" dxfId="14359" priority="377">
      <formula>AV366="X"</formula>
    </cfRule>
    <cfRule type="expression" dxfId="14358" priority="378">
      <formula>AV366="후보"</formula>
    </cfRule>
  </conditionalFormatting>
  <conditionalFormatting sqref="AC366">
    <cfRule type="cellIs" dxfId="14357" priority="375" operator="greaterThan">
      <formula>0.9</formula>
    </cfRule>
    <cfRule type="cellIs" dxfId="14356" priority="376" operator="greaterThan">
      <formula>0.85</formula>
    </cfRule>
  </conditionalFormatting>
  <conditionalFormatting sqref="N366">
    <cfRule type="cellIs" dxfId="14355" priority="373" operator="greaterThan">
      <formula>0.9</formula>
    </cfRule>
    <cfRule type="cellIs" dxfId="14354" priority="374" operator="greaterThan">
      <formula>0.85</formula>
    </cfRule>
  </conditionalFormatting>
  <conditionalFormatting sqref="E366">
    <cfRule type="expression" dxfId="14353" priority="369">
      <formula>AND(IF(OR($Q366=1,$Q366=2),1,0),IF($X366&lt;=20,1,0))</formula>
    </cfRule>
    <cfRule type="expression" dxfId="14352" priority="370">
      <formula>AND(IF($Q366=2,1,0),IF($X366&lt;30,1,0))</formula>
    </cfRule>
    <cfRule type="expression" dxfId="14351" priority="371">
      <formula>AND(IF($Q366=3,1,0),IF($X366&lt;30,1,0))</formula>
    </cfRule>
    <cfRule type="expression" dxfId="14350" priority="372">
      <formula>AND(IF($Q366=3,1,IF($Q366=4,1,0)),IF($F366&lt;=85,1,0))</formula>
    </cfRule>
  </conditionalFormatting>
  <conditionalFormatting sqref="X366">
    <cfRule type="expression" dxfId="14349" priority="365">
      <formula>AND(IF(OR($Q366=1,$Q366=2),1,0),IF($X366&lt;=20,1,0))</formula>
    </cfRule>
    <cfRule type="expression" dxfId="14348" priority="366">
      <formula>AND(IF($Q366=2,1,0),IF($X366&lt;30,1,0))</formula>
    </cfRule>
    <cfRule type="expression" dxfId="14347" priority="367">
      <formula>AND(IF($Q366=3,1,0),IF($X366&lt;30,1,0))</formula>
    </cfRule>
    <cfRule type="expression" dxfId="14346" priority="368">
      <formula>AND(IF($Q366=3,1,IF($Q366=4,1,0)),IF($F366&lt;=85,1,0))</formula>
    </cfRule>
  </conditionalFormatting>
  <conditionalFormatting sqref="AI366">
    <cfRule type="expression" dxfId="14345" priority="361">
      <formula>AND(IF(OR($Q366=1,$Q366=2),1,0),IF($X366&lt;=20,1,0))</formula>
    </cfRule>
    <cfRule type="expression" dxfId="14344" priority="362">
      <formula>AND(IF($Q366=2,1,0),IF($X366&lt;30,1,0))</formula>
    </cfRule>
    <cfRule type="expression" dxfId="14343" priority="363">
      <formula>AND(IF($Q366=3,1,0),IF($X366&lt;30,1,0))</formula>
    </cfRule>
    <cfRule type="expression" dxfId="14342" priority="364">
      <formula>AND(IF($Q366=3,1,IF($Q366=4,1,0)),IF($F366&lt;=85,1,0))</formula>
    </cfRule>
  </conditionalFormatting>
  <conditionalFormatting sqref="AV367">
    <cfRule type="expression" dxfId="14341" priority="359">
      <formula>AV367="X"</formula>
    </cfRule>
    <cfRule type="expression" dxfId="14340" priority="360">
      <formula>AV367="후보"</formula>
    </cfRule>
  </conditionalFormatting>
  <conditionalFormatting sqref="AC367">
    <cfRule type="cellIs" dxfId="14339" priority="357" operator="greaterThan">
      <formula>0.9</formula>
    </cfRule>
    <cfRule type="cellIs" dxfId="14338" priority="358" operator="greaterThan">
      <formula>0.85</formula>
    </cfRule>
  </conditionalFormatting>
  <conditionalFormatting sqref="N367">
    <cfRule type="cellIs" dxfId="14337" priority="355" operator="greaterThan">
      <formula>0.9</formula>
    </cfRule>
    <cfRule type="cellIs" dxfId="14336" priority="356" operator="greaterThan">
      <formula>0.85</formula>
    </cfRule>
  </conditionalFormatting>
  <conditionalFormatting sqref="E367">
    <cfRule type="expression" dxfId="14335" priority="351">
      <formula>AND(IF(OR($Q367=1,$Q367=2),1,0),IF($X367&lt;=20,1,0))</formula>
    </cfRule>
    <cfRule type="expression" dxfId="14334" priority="352">
      <formula>AND(IF($Q367=2,1,0),IF($X367&lt;30,1,0))</formula>
    </cfRule>
    <cfRule type="expression" dxfId="14333" priority="353">
      <formula>AND(IF($Q367=3,1,0),IF($X367&lt;30,1,0))</formula>
    </cfRule>
    <cfRule type="expression" dxfId="14332" priority="354">
      <formula>AND(IF($Q367=3,1,IF($Q367=4,1,0)),IF($F367&lt;=85,1,0))</formula>
    </cfRule>
  </conditionalFormatting>
  <conditionalFormatting sqref="X367">
    <cfRule type="expression" dxfId="14331" priority="347">
      <formula>AND(IF(OR($Q367=1,$Q367=2),1,0),IF($X367&lt;=20,1,0))</formula>
    </cfRule>
    <cfRule type="expression" dxfId="14330" priority="348">
      <formula>AND(IF($Q367=2,1,0),IF($X367&lt;30,1,0))</formula>
    </cfRule>
    <cfRule type="expression" dxfId="14329" priority="349">
      <formula>AND(IF($Q367=3,1,0),IF($X367&lt;30,1,0))</formula>
    </cfRule>
    <cfRule type="expression" dxfId="14328" priority="350">
      <formula>AND(IF($Q367=3,1,IF($Q367=4,1,0)),IF($F367&lt;=85,1,0))</formula>
    </cfRule>
  </conditionalFormatting>
  <conditionalFormatting sqref="AI367">
    <cfRule type="expression" dxfId="14327" priority="343">
      <formula>AND(IF(OR($Q367=1,$Q367=2),1,0),IF($X367&lt;=20,1,0))</formula>
    </cfRule>
    <cfRule type="expression" dxfId="14326" priority="344">
      <formula>AND(IF($Q367=2,1,0),IF($X367&lt;30,1,0))</formula>
    </cfRule>
    <cfRule type="expression" dxfId="14325" priority="345">
      <formula>AND(IF($Q367=3,1,0),IF($X367&lt;30,1,0))</formula>
    </cfRule>
    <cfRule type="expression" dxfId="14324" priority="346">
      <formula>AND(IF($Q367=3,1,IF($Q367=4,1,0)),IF($F367&lt;=85,1,0))</formula>
    </cfRule>
  </conditionalFormatting>
  <conditionalFormatting sqref="AV368">
    <cfRule type="expression" dxfId="14323" priority="341">
      <formula>AV368="X"</formula>
    </cfRule>
    <cfRule type="expression" dxfId="14322" priority="342">
      <formula>AV368="후보"</formula>
    </cfRule>
  </conditionalFormatting>
  <conditionalFormatting sqref="AC368">
    <cfRule type="cellIs" dxfId="14321" priority="339" operator="greaterThan">
      <formula>0.9</formula>
    </cfRule>
    <cfRule type="cellIs" dxfId="14320" priority="340" operator="greaterThan">
      <formula>0.85</formula>
    </cfRule>
  </conditionalFormatting>
  <conditionalFormatting sqref="N368">
    <cfRule type="cellIs" dxfId="14319" priority="337" operator="greaterThan">
      <formula>0.9</formula>
    </cfRule>
    <cfRule type="cellIs" dxfId="14318" priority="338" operator="greaterThan">
      <formula>0.85</formula>
    </cfRule>
  </conditionalFormatting>
  <conditionalFormatting sqref="E368">
    <cfRule type="expression" dxfId="14317" priority="333">
      <formula>AND(IF(OR($Q368=1,$Q368=2),1,0),IF($X368&lt;=20,1,0))</formula>
    </cfRule>
    <cfRule type="expression" dxfId="14316" priority="334">
      <formula>AND(IF($Q368=2,1,0),IF($X368&lt;30,1,0))</formula>
    </cfRule>
    <cfRule type="expression" dxfId="14315" priority="335">
      <formula>AND(IF($Q368=3,1,0),IF($X368&lt;30,1,0))</formula>
    </cfRule>
    <cfRule type="expression" dxfId="14314" priority="336">
      <formula>AND(IF($Q368=3,1,IF($Q368=4,1,0)),IF($F368&lt;=85,1,0))</formula>
    </cfRule>
  </conditionalFormatting>
  <conditionalFormatting sqref="X368">
    <cfRule type="expression" dxfId="14313" priority="329">
      <formula>AND(IF(OR($Q368=1,$Q368=2),1,0),IF($X368&lt;=20,1,0))</formula>
    </cfRule>
    <cfRule type="expression" dxfId="14312" priority="330">
      <formula>AND(IF($Q368=2,1,0),IF($X368&lt;30,1,0))</formula>
    </cfRule>
    <cfRule type="expression" dxfId="14311" priority="331">
      <formula>AND(IF($Q368=3,1,0),IF($X368&lt;30,1,0))</formula>
    </cfRule>
    <cfRule type="expression" dxfId="14310" priority="332">
      <formula>AND(IF($Q368=3,1,IF($Q368=4,1,0)),IF($F368&lt;=85,1,0))</formula>
    </cfRule>
  </conditionalFormatting>
  <conditionalFormatting sqref="AI368">
    <cfRule type="expression" dxfId="14309" priority="325">
      <formula>AND(IF(OR($Q368=1,$Q368=2),1,0),IF($X368&lt;=20,1,0))</formula>
    </cfRule>
    <cfRule type="expression" dxfId="14308" priority="326">
      <formula>AND(IF($Q368=2,1,0),IF($X368&lt;30,1,0))</formula>
    </cfRule>
    <cfRule type="expression" dxfId="14307" priority="327">
      <formula>AND(IF($Q368=3,1,0),IF($X368&lt;30,1,0))</formula>
    </cfRule>
    <cfRule type="expression" dxfId="14306" priority="328">
      <formula>AND(IF($Q368=3,1,IF($Q368=4,1,0)),IF($F368&lt;=85,1,0))</formula>
    </cfRule>
  </conditionalFormatting>
  <conditionalFormatting sqref="AV369">
    <cfRule type="expression" dxfId="14305" priority="323">
      <formula>AV369="X"</formula>
    </cfRule>
    <cfRule type="expression" dxfId="14304" priority="324">
      <formula>AV369="후보"</formula>
    </cfRule>
  </conditionalFormatting>
  <conditionalFormatting sqref="AC369">
    <cfRule type="cellIs" dxfId="14303" priority="321" operator="greaterThan">
      <formula>0.9</formula>
    </cfRule>
    <cfRule type="cellIs" dxfId="14302" priority="322" operator="greaterThan">
      <formula>0.85</formula>
    </cfRule>
  </conditionalFormatting>
  <conditionalFormatting sqref="N369">
    <cfRule type="cellIs" dxfId="14301" priority="319" operator="greaterThan">
      <formula>0.9</formula>
    </cfRule>
    <cfRule type="cellIs" dxfId="14300" priority="320" operator="greaterThan">
      <formula>0.85</formula>
    </cfRule>
  </conditionalFormatting>
  <conditionalFormatting sqref="E369">
    <cfRule type="expression" dxfId="14299" priority="315">
      <formula>AND(IF(OR($Q369=1,$Q369=2),1,0),IF($X369&lt;=20,1,0))</formula>
    </cfRule>
    <cfRule type="expression" dxfId="14298" priority="316">
      <formula>AND(IF($Q369=2,1,0),IF($X369&lt;30,1,0))</formula>
    </cfRule>
    <cfRule type="expression" dxfId="14297" priority="317">
      <formula>AND(IF($Q369=3,1,0),IF($X369&lt;30,1,0))</formula>
    </cfRule>
    <cfRule type="expression" dxfId="14296" priority="318">
      <formula>AND(IF($Q369=3,1,IF($Q369=4,1,0)),IF($F369&lt;=85,1,0))</formula>
    </cfRule>
  </conditionalFormatting>
  <conditionalFormatting sqref="X369">
    <cfRule type="expression" dxfId="14295" priority="311">
      <formula>AND(IF(OR($Q369=1,$Q369=2),1,0),IF($X369&lt;=20,1,0))</formula>
    </cfRule>
    <cfRule type="expression" dxfId="14294" priority="312">
      <formula>AND(IF($Q369=2,1,0),IF($X369&lt;30,1,0))</formula>
    </cfRule>
    <cfRule type="expression" dxfId="14293" priority="313">
      <formula>AND(IF($Q369=3,1,0),IF($X369&lt;30,1,0))</formula>
    </cfRule>
    <cfRule type="expression" dxfId="14292" priority="314">
      <formula>AND(IF($Q369=3,1,IF($Q369=4,1,0)),IF($F369&lt;=85,1,0))</formula>
    </cfRule>
  </conditionalFormatting>
  <conditionalFormatting sqref="AI369">
    <cfRule type="expression" dxfId="14291" priority="307">
      <formula>AND(IF(OR($Q369=1,$Q369=2),1,0),IF($X369&lt;=20,1,0))</formula>
    </cfRule>
    <cfRule type="expression" dxfId="14290" priority="308">
      <formula>AND(IF($Q369=2,1,0),IF($X369&lt;30,1,0))</formula>
    </cfRule>
    <cfRule type="expression" dxfId="14289" priority="309">
      <formula>AND(IF($Q369=3,1,0),IF($X369&lt;30,1,0))</formula>
    </cfRule>
    <cfRule type="expression" dxfId="14288" priority="310">
      <formula>AND(IF($Q369=3,1,IF($Q369=4,1,0)),IF($F369&lt;=85,1,0))</formula>
    </cfRule>
  </conditionalFormatting>
  <conditionalFormatting sqref="AV370">
    <cfRule type="expression" dxfId="14287" priority="305">
      <formula>AV370="X"</formula>
    </cfRule>
    <cfRule type="expression" dxfId="14286" priority="306">
      <formula>AV370="후보"</formula>
    </cfRule>
  </conditionalFormatting>
  <conditionalFormatting sqref="AC370">
    <cfRule type="cellIs" dxfId="14285" priority="303" operator="greaterThan">
      <formula>0.9</formula>
    </cfRule>
    <cfRule type="cellIs" dxfId="14284" priority="304" operator="greaterThan">
      <formula>0.85</formula>
    </cfRule>
  </conditionalFormatting>
  <conditionalFormatting sqref="N370">
    <cfRule type="cellIs" dxfId="14283" priority="301" operator="greaterThan">
      <formula>0.9</formula>
    </cfRule>
    <cfRule type="cellIs" dxfId="14282" priority="302" operator="greaterThan">
      <formula>0.85</formula>
    </cfRule>
  </conditionalFormatting>
  <conditionalFormatting sqref="E370">
    <cfRule type="expression" dxfId="14281" priority="297">
      <formula>AND(IF(OR($Q370=1,$Q370=2),1,0),IF($X370&lt;=20,1,0))</formula>
    </cfRule>
    <cfRule type="expression" dxfId="14280" priority="298">
      <formula>AND(IF($Q370=2,1,0),IF($X370&lt;30,1,0))</formula>
    </cfRule>
    <cfRule type="expression" dxfId="14279" priority="299">
      <formula>AND(IF($Q370=3,1,0),IF($X370&lt;30,1,0))</formula>
    </cfRule>
    <cfRule type="expression" dxfId="14278" priority="300">
      <formula>AND(IF($Q370=3,1,IF($Q370=4,1,0)),IF($F370&lt;=85,1,0))</formula>
    </cfRule>
  </conditionalFormatting>
  <conditionalFormatting sqref="X370">
    <cfRule type="expression" dxfId="14277" priority="293">
      <formula>AND(IF(OR($Q370=1,$Q370=2),1,0),IF($X370&lt;=20,1,0))</formula>
    </cfRule>
    <cfRule type="expression" dxfId="14276" priority="294">
      <formula>AND(IF($Q370=2,1,0),IF($X370&lt;30,1,0))</formula>
    </cfRule>
    <cfRule type="expression" dxfId="14275" priority="295">
      <formula>AND(IF($Q370=3,1,0),IF($X370&lt;30,1,0))</formula>
    </cfRule>
    <cfRule type="expression" dxfId="14274" priority="296">
      <formula>AND(IF($Q370=3,1,IF($Q370=4,1,0)),IF($F370&lt;=85,1,0))</formula>
    </cfRule>
  </conditionalFormatting>
  <conditionalFormatting sqref="AI370">
    <cfRule type="expression" dxfId="14273" priority="289">
      <formula>AND(IF(OR($Q370=1,$Q370=2),1,0),IF($X370&lt;=20,1,0))</formula>
    </cfRule>
    <cfRule type="expression" dxfId="14272" priority="290">
      <formula>AND(IF($Q370=2,1,0),IF($X370&lt;30,1,0))</formula>
    </cfRule>
    <cfRule type="expression" dxfId="14271" priority="291">
      <formula>AND(IF($Q370=3,1,0),IF($X370&lt;30,1,0))</formula>
    </cfRule>
    <cfRule type="expression" dxfId="14270" priority="292">
      <formula>AND(IF($Q370=3,1,IF($Q370=4,1,0)),IF($F370&lt;=85,1,0))</formula>
    </cfRule>
  </conditionalFormatting>
  <conditionalFormatting sqref="AV371">
    <cfRule type="expression" dxfId="14269" priority="287">
      <formula>AV371="X"</formula>
    </cfRule>
    <cfRule type="expression" dxfId="14268" priority="288">
      <formula>AV371="후보"</formula>
    </cfRule>
  </conditionalFormatting>
  <conditionalFormatting sqref="AC371">
    <cfRule type="cellIs" dxfId="14267" priority="285" operator="greaterThan">
      <formula>0.9</formula>
    </cfRule>
    <cfRule type="cellIs" dxfId="14266" priority="286" operator="greaterThan">
      <formula>0.85</formula>
    </cfRule>
  </conditionalFormatting>
  <conditionalFormatting sqref="N371">
    <cfRule type="cellIs" dxfId="14265" priority="283" operator="greaterThan">
      <formula>0.9</formula>
    </cfRule>
    <cfRule type="cellIs" dxfId="14264" priority="284" operator="greaterThan">
      <formula>0.85</formula>
    </cfRule>
  </conditionalFormatting>
  <conditionalFormatting sqref="E371">
    <cfRule type="expression" dxfId="14263" priority="279">
      <formula>AND(IF(OR($Q371=1,$Q371=2),1,0),IF($X371&lt;=20,1,0))</formula>
    </cfRule>
    <cfRule type="expression" dxfId="14262" priority="280">
      <formula>AND(IF($Q371=2,1,0),IF($X371&lt;30,1,0))</formula>
    </cfRule>
    <cfRule type="expression" dxfId="14261" priority="281">
      <formula>AND(IF($Q371=3,1,0),IF($X371&lt;30,1,0))</formula>
    </cfRule>
    <cfRule type="expression" dxfId="14260" priority="282">
      <formula>AND(IF($Q371=3,1,IF($Q371=4,1,0)),IF($F371&lt;=85,1,0))</formula>
    </cfRule>
  </conditionalFormatting>
  <conditionalFormatting sqref="X371">
    <cfRule type="expression" dxfId="14259" priority="275">
      <formula>AND(IF(OR($Q371=1,$Q371=2),1,0),IF($X371&lt;=20,1,0))</formula>
    </cfRule>
    <cfRule type="expression" dxfId="14258" priority="276">
      <formula>AND(IF($Q371=2,1,0),IF($X371&lt;30,1,0))</formula>
    </cfRule>
    <cfRule type="expression" dxfId="14257" priority="277">
      <formula>AND(IF($Q371=3,1,0),IF($X371&lt;30,1,0))</formula>
    </cfRule>
    <cfRule type="expression" dxfId="14256" priority="278">
      <formula>AND(IF($Q371=3,1,IF($Q371=4,1,0)),IF($F371&lt;=85,1,0))</formula>
    </cfRule>
  </conditionalFormatting>
  <conditionalFormatting sqref="AI371">
    <cfRule type="expression" dxfId="14255" priority="271">
      <formula>AND(IF(OR($Q371=1,$Q371=2),1,0),IF($X371&lt;=20,1,0))</formula>
    </cfRule>
    <cfRule type="expression" dxfId="14254" priority="272">
      <formula>AND(IF($Q371=2,1,0),IF($X371&lt;30,1,0))</formula>
    </cfRule>
    <cfRule type="expression" dxfId="14253" priority="273">
      <formula>AND(IF($Q371=3,1,0),IF($X371&lt;30,1,0))</formula>
    </cfRule>
    <cfRule type="expression" dxfId="14252" priority="274">
      <formula>AND(IF($Q371=3,1,IF($Q371=4,1,0)),IF($F371&lt;=85,1,0))</formula>
    </cfRule>
  </conditionalFormatting>
  <conditionalFormatting sqref="AV372">
    <cfRule type="expression" dxfId="14251" priority="269">
      <formula>AV372="X"</formula>
    </cfRule>
    <cfRule type="expression" dxfId="14250" priority="270">
      <formula>AV372="후보"</formula>
    </cfRule>
  </conditionalFormatting>
  <conditionalFormatting sqref="AC372">
    <cfRule type="cellIs" dxfId="14249" priority="267" operator="greaterThan">
      <formula>0.9</formula>
    </cfRule>
    <cfRule type="cellIs" dxfId="14248" priority="268" operator="greaterThan">
      <formula>0.85</formula>
    </cfRule>
  </conditionalFormatting>
  <conditionalFormatting sqref="N372">
    <cfRule type="cellIs" dxfId="14247" priority="265" operator="greaterThan">
      <formula>0.9</formula>
    </cfRule>
    <cfRule type="cellIs" dxfId="14246" priority="266" operator="greaterThan">
      <formula>0.85</formula>
    </cfRule>
  </conditionalFormatting>
  <conditionalFormatting sqref="E372">
    <cfRule type="expression" dxfId="14245" priority="261">
      <formula>AND(IF(OR($Q372=1,$Q372=2),1,0),IF($X372&lt;=20,1,0))</formula>
    </cfRule>
    <cfRule type="expression" dxfId="14244" priority="262">
      <formula>AND(IF($Q372=2,1,0),IF($X372&lt;30,1,0))</formula>
    </cfRule>
    <cfRule type="expression" dxfId="14243" priority="263">
      <formula>AND(IF($Q372=3,1,0),IF($X372&lt;30,1,0))</formula>
    </cfRule>
    <cfRule type="expression" dxfId="14242" priority="264">
      <formula>AND(IF($Q372=3,1,IF($Q372=4,1,0)),IF($F372&lt;=85,1,0))</formula>
    </cfRule>
  </conditionalFormatting>
  <conditionalFormatting sqref="X372">
    <cfRule type="expression" dxfId="14241" priority="257">
      <formula>AND(IF(OR($Q372=1,$Q372=2),1,0),IF($X372&lt;=20,1,0))</formula>
    </cfRule>
    <cfRule type="expression" dxfId="14240" priority="258">
      <formula>AND(IF($Q372=2,1,0),IF($X372&lt;30,1,0))</formula>
    </cfRule>
    <cfRule type="expression" dxfId="14239" priority="259">
      <formula>AND(IF($Q372=3,1,0),IF($X372&lt;30,1,0))</formula>
    </cfRule>
    <cfRule type="expression" dxfId="14238" priority="260">
      <formula>AND(IF($Q372=3,1,IF($Q372=4,1,0)),IF($F372&lt;=85,1,0))</formula>
    </cfRule>
  </conditionalFormatting>
  <conditionalFormatting sqref="AI372">
    <cfRule type="expression" dxfId="14237" priority="253">
      <formula>AND(IF(OR($Q372=1,$Q372=2),1,0),IF($X372&lt;=20,1,0))</formula>
    </cfRule>
    <cfRule type="expression" dxfId="14236" priority="254">
      <formula>AND(IF($Q372=2,1,0),IF($X372&lt;30,1,0))</formula>
    </cfRule>
    <cfRule type="expression" dxfId="14235" priority="255">
      <formula>AND(IF($Q372=3,1,0),IF($X372&lt;30,1,0))</formula>
    </cfRule>
    <cfRule type="expression" dxfId="14234" priority="256">
      <formula>AND(IF($Q372=3,1,IF($Q372=4,1,0)),IF($F372&lt;=85,1,0))</formula>
    </cfRule>
  </conditionalFormatting>
  <conditionalFormatting sqref="AV373">
    <cfRule type="expression" dxfId="14233" priority="251">
      <formula>AV373="X"</formula>
    </cfRule>
    <cfRule type="expression" dxfId="14232" priority="252">
      <formula>AV373="후보"</formula>
    </cfRule>
  </conditionalFormatting>
  <conditionalFormatting sqref="AC373">
    <cfRule type="cellIs" dxfId="14231" priority="249" operator="greaterThan">
      <formula>0.9</formula>
    </cfRule>
    <cfRule type="cellIs" dxfId="14230" priority="250" operator="greaterThan">
      <formula>0.85</formula>
    </cfRule>
  </conditionalFormatting>
  <conditionalFormatting sqref="N373">
    <cfRule type="cellIs" dxfId="14229" priority="247" operator="greaterThan">
      <formula>0.9</formula>
    </cfRule>
    <cfRule type="cellIs" dxfId="14228" priority="248" operator="greaterThan">
      <formula>0.85</formula>
    </cfRule>
  </conditionalFormatting>
  <conditionalFormatting sqref="E373">
    <cfRule type="expression" dxfId="14227" priority="243">
      <formula>AND(IF(OR($Q373=1,$Q373=2),1,0),IF($X373&lt;=20,1,0))</formula>
    </cfRule>
    <cfRule type="expression" dxfId="14226" priority="244">
      <formula>AND(IF($Q373=2,1,0),IF($X373&lt;30,1,0))</formula>
    </cfRule>
    <cfRule type="expression" dxfId="14225" priority="245">
      <formula>AND(IF($Q373=3,1,0),IF($X373&lt;30,1,0))</formula>
    </cfRule>
    <cfRule type="expression" dxfId="14224" priority="246">
      <formula>AND(IF($Q373=3,1,IF($Q373=4,1,0)),IF($F373&lt;=85,1,0))</formula>
    </cfRule>
  </conditionalFormatting>
  <conditionalFormatting sqref="X373">
    <cfRule type="expression" dxfId="14223" priority="239">
      <formula>AND(IF(OR($Q373=1,$Q373=2),1,0),IF($X373&lt;=20,1,0))</formula>
    </cfRule>
    <cfRule type="expression" dxfId="14222" priority="240">
      <formula>AND(IF($Q373=2,1,0),IF($X373&lt;30,1,0))</formula>
    </cfRule>
    <cfRule type="expression" dxfId="14221" priority="241">
      <formula>AND(IF($Q373=3,1,0),IF($X373&lt;30,1,0))</formula>
    </cfRule>
    <cfRule type="expression" dxfId="14220" priority="242">
      <formula>AND(IF($Q373=3,1,IF($Q373=4,1,0)),IF($F373&lt;=85,1,0))</formula>
    </cfRule>
  </conditionalFormatting>
  <conditionalFormatting sqref="AI373">
    <cfRule type="expression" dxfId="14219" priority="235">
      <formula>AND(IF(OR($Q373=1,$Q373=2),1,0),IF($X373&lt;=20,1,0))</formula>
    </cfRule>
    <cfRule type="expression" dxfId="14218" priority="236">
      <formula>AND(IF($Q373=2,1,0),IF($X373&lt;30,1,0))</formula>
    </cfRule>
    <cfRule type="expression" dxfId="14217" priority="237">
      <formula>AND(IF($Q373=3,1,0),IF($X373&lt;30,1,0))</formula>
    </cfRule>
    <cfRule type="expression" dxfId="14216" priority="238">
      <formula>AND(IF($Q373=3,1,IF($Q373=4,1,0)),IF($F373&lt;=85,1,0))</formula>
    </cfRule>
  </conditionalFormatting>
  <conditionalFormatting sqref="AV374">
    <cfRule type="expression" dxfId="14215" priority="233">
      <formula>AV374="X"</formula>
    </cfRule>
    <cfRule type="expression" dxfId="14214" priority="234">
      <formula>AV374="후보"</formula>
    </cfRule>
  </conditionalFormatting>
  <conditionalFormatting sqref="AC374">
    <cfRule type="cellIs" dxfId="14213" priority="231" operator="greaterThan">
      <formula>0.9</formula>
    </cfRule>
    <cfRule type="cellIs" dxfId="14212" priority="232" operator="greaterThan">
      <formula>0.85</formula>
    </cfRule>
  </conditionalFormatting>
  <conditionalFormatting sqref="N374">
    <cfRule type="cellIs" dxfId="14211" priority="229" operator="greaterThan">
      <formula>0.9</formula>
    </cfRule>
    <cfRule type="cellIs" dxfId="14210" priority="230" operator="greaterThan">
      <formula>0.85</formula>
    </cfRule>
  </conditionalFormatting>
  <conditionalFormatting sqref="E374">
    <cfRule type="expression" dxfId="14209" priority="225">
      <formula>AND(IF(OR($Q374=1,$Q374=2),1,0),IF($X374&lt;=20,1,0))</formula>
    </cfRule>
    <cfRule type="expression" dxfId="14208" priority="226">
      <formula>AND(IF($Q374=2,1,0),IF($X374&lt;30,1,0))</formula>
    </cfRule>
    <cfRule type="expression" dxfId="14207" priority="227">
      <formula>AND(IF($Q374=3,1,0),IF($X374&lt;30,1,0))</formula>
    </cfRule>
    <cfRule type="expression" dxfId="14206" priority="228">
      <formula>AND(IF($Q374=3,1,IF($Q374=4,1,0)),IF($F374&lt;=85,1,0))</formula>
    </cfRule>
  </conditionalFormatting>
  <conditionalFormatting sqref="X374">
    <cfRule type="expression" dxfId="14205" priority="221">
      <formula>AND(IF(OR($Q374=1,$Q374=2),1,0),IF($X374&lt;=20,1,0))</formula>
    </cfRule>
    <cfRule type="expression" dxfId="14204" priority="222">
      <formula>AND(IF($Q374=2,1,0),IF($X374&lt;30,1,0))</formula>
    </cfRule>
    <cfRule type="expression" dxfId="14203" priority="223">
      <formula>AND(IF($Q374=3,1,0),IF($X374&lt;30,1,0))</formula>
    </cfRule>
    <cfRule type="expression" dxfId="14202" priority="224">
      <formula>AND(IF($Q374=3,1,IF($Q374=4,1,0)),IF($F374&lt;=85,1,0))</formula>
    </cfRule>
  </conditionalFormatting>
  <conditionalFormatting sqref="AI374">
    <cfRule type="expression" dxfId="14201" priority="217">
      <formula>AND(IF(OR($Q374=1,$Q374=2),1,0),IF($X374&lt;=20,1,0))</formula>
    </cfRule>
    <cfRule type="expression" dxfId="14200" priority="218">
      <formula>AND(IF($Q374=2,1,0),IF($X374&lt;30,1,0))</formula>
    </cfRule>
    <cfRule type="expression" dxfId="14199" priority="219">
      <formula>AND(IF($Q374=3,1,0),IF($X374&lt;30,1,0))</formula>
    </cfRule>
    <cfRule type="expression" dxfId="14198" priority="220">
      <formula>AND(IF($Q374=3,1,IF($Q374=4,1,0)),IF($F374&lt;=85,1,0))</formula>
    </cfRule>
  </conditionalFormatting>
  <conditionalFormatting sqref="AV375">
    <cfRule type="expression" dxfId="14197" priority="215">
      <formula>AV375="X"</formula>
    </cfRule>
    <cfRule type="expression" dxfId="14196" priority="216">
      <formula>AV375="후보"</formula>
    </cfRule>
  </conditionalFormatting>
  <conditionalFormatting sqref="AC375">
    <cfRule type="cellIs" dxfId="14195" priority="213" operator="greaterThan">
      <formula>0.9</formula>
    </cfRule>
    <cfRule type="cellIs" dxfId="14194" priority="214" operator="greaterThan">
      <formula>0.85</formula>
    </cfRule>
  </conditionalFormatting>
  <conditionalFormatting sqref="N375">
    <cfRule type="cellIs" dxfId="14193" priority="211" operator="greaterThan">
      <formula>0.9</formula>
    </cfRule>
    <cfRule type="cellIs" dxfId="14192" priority="212" operator="greaterThan">
      <formula>0.85</formula>
    </cfRule>
  </conditionalFormatting>
  <conditionalFormatting sqref="E375">
    <cfRule type="expression" dxfId="14191" priority="207">
      <formula>AND(IF(OR($Q375=1,$Q375=2),1,0),IF($X375&lt;=20,1,0))</formula>
    </cfRule>
    <cfRule type="expression" dxfId="14190" priority="208">
      <formula>AND(IF($Q375=2,1,0),IF($X375&lt;30,1,0))</formula>
    </cfRule>
    <cfRule type="expression" dxfId="14189" priority="209">
      <formula>AND(IF($Q375=3,1,0),IF($X375&lt;30,1,0))</formula>
    </cfRule>
    <cfRule type="expression" dxfId="14188" priority="210">
      <formula>AND(IF($Q375=3,1,IF($Q375=4,1,0)),IF($F375&lt;=85,1,0))</formula>
    </cfRule>
  </conditionalFormatting>
  <conditionalFormatting sqref="X375">
    <cfRule type="expression" dxfId="14187" priority="203">
      <formula>AND(IF(OR($Q375=1,$Q375=2),1,0),IF($X375&lt;=20,1,0))</formula>
    </cfRule>
    <cfRule type="expression" dxfId="14186" priority="204">
      <formula>AND(IF($Q375=2,1,0),IF($X375&lt;30,1,0))</formula>
    </cfRule>
    <cfRule type="expression" dxfId="14185" priority="205">
      <formula>AND(IF($Q375=3,1,0),IF($X375&lt;30,1,0))</formula>
    </cfRule>
    <cfRule type="expression" dxfId="14184" priority="206">
      <formula>AND(IF($Q375=3,1,IF($Q375=4,1,0)),IF($F375&lt;=85,1,0))</formula>
    </cfRule>
  </conditionalFormatting>
  <conditionalFormatting sqref="AI375">
    <cfRule type="expression" dxfId="14183" priority="199">
      <formula>AND(IF(OR($Q375=1,$Q375=2),1,0),IF($X375&lt;=20,1,0))</formula>
    </cfRule>
    <cfRule type="expression" dxfId="14182" priority="200">
      <formula>AND(IF($Q375=2,1,0),IF($X375&lt;30,1,0))</formula>
    </cfRule>
    <cfRule type="expression" dxfId="14181" priority="201">
      <formula>AND(IF($Q375=3,1,0),IF($X375&lt;30,1,0))</formula>
    </cfRule>
    <cfRule type="expression" dxfId="14180" priority="202">
      <formula>AND(IF($Q375=3,1,IF($Q375=4,1,0)),IF($F375&lt;=85,1,0))</formula>
    </cfRule>
  </conditionalFormatting>
  <conditionalFormatting sqref="AV376">
    <cfRule type="expression" dxfId="14179" priority="197">
      <formula>AV376="X"</formula>
    </cfRule>
    <cfRule type="expression" dxfId="14178" priority="198">
      <formula>AV376="후보"</formula>
    </cfRule>
  </conditionalFormatting>
  <conditionalFormatting sqref="AC376">
    <cfRule type="cellIs" dxfId="14177" priority="195" operator="greaterThan">
      <formula>0.9</formula>
    </cfRule>
    <cfRule type="cellIs" dxfId="14176" priority="196" operator="greaterThan">
      <formula>0.85</formula>
    </cfRule>
  </conditionalFormatting>
  <conditionalFormatting sqref="N376">
    <cfRule type="cellIs" dxfId="14175" priority="193" operator="greaterThan">
      <formula>0.9</formula>
    </cfRule>
    <cfRule type="cellIs" dxfId="14174" priority="194" operator="greaterThan">
      <formula>0.85</formula>
    </cfRule>
  </conditionalFormatting>
  <conditionalFormatting sqref="E376">
    <cfRule type="expression" dxfId="14173" priority="189">
      <formula>AND(IF(OR($Q376=1,$Q376=2),1,0),IF($X376&lt;=20,1,0))</formula>
    </cfRule>
    <cfRule type="expression" dxfId="14172" priority="190">
      <formula>AND(IF($Q376=2,1,0),IF($X376&lt;30,1,0))</formula>
    </cfRule>
    <cfRule type="expression" dxfId="14171" priority="191">
      <formula>AND(IF($Q376=3,1,0),IF($X376&lt;30,1,0))</formula>
    </cfRule>
    <cfRule type="expression" dxfId="14170" priority="192">
      <formula>AND(IF($Q376=3,1,IF($Q376=4,1,0)),IF($F376&lt;=85,1,0))</formula>
    </cfRule>
  </conditionalFormatting>
  <conditionalFormatting sqref="X376">
    <cfRule type="expression" dxfId="14169" priority="185">
      <formula>AND(IF(OR($Q376=1,$Q376=2),1,0),IF($X376&lt;=20,1,0))</formula>
    </cfRule>
    <cfRule type="expression" dxfId="14168" priority="186">
      <formula>AND(IF($Q376=2,1,0),IF($X376&lt;30,1,0))</formula>
    </cfRule>
    <cfRule type="expression" dxfId="14167" priority="187">
      <formula>AND(IF($Q376=3,1,0),IF($X376&lt;30,1,0))</formula>
    </cfRule>
    <cfRule type="expression" dxfId="14166" priority="188">
      <formula>AND(IF($Q376=3,1,IF($Q376=4,1,0)),IF($F376&lt;=85,1,0))</formula>
    </cfRule>
  </conditionalFormatting>
  <conditionalFormatting sqref="AI376">
    <cfRule type="expression" dxfId="14165" priority="181">
      <formula>AND(IF(OR($Q376=1,$Q376=2),1,0),IF($X376&lt;=20,1,0))</formula>
    </cfRule>
    <cfRule type="expression" dxfId="14164" priority="182">
      <formula>AND(IF($Q376=2,1,0),IF($X376&lt;30,1,0))</formula>
    </cfRule>
    <cfRule type="expression" dxfId="14163" priority="183">
      <formula>AND(IF($Q376=3,1,0),IF($X376&lt;30,1,0))</formula>
    </cfRule>
    <cfRule type="expression" dxfId="14162" priority="184">
      <formula>AND(IF($Q376=3,1,IF($Q376=4,1,0)),IF($F376&lt;=85,1,0))</formula>
    </cfRule>
  </conditionalFormatting>
  <conditionalFormatting sqref="AV377">
    <cfRule type="expression" dxfId="14161" priority="179">
      <formula>AV377="X"</formula>
    </cfRule>
    <cfRule type="expression" dxfId="14160" priority="180">
      <formula>AV377="후보"</formula>
    </cfRule>
  </conditionalFormatting>
  <conditionalFormatting sqref="AC377">
    <cfRule type="cellIs" dxfId="14159" priority="177" operator="greaterThan">
      <formula>0.9</formula>
    </cfRule>
    <cfRule type="cellIs" dxfId="14158" priority="178" operator="greaterThan">
      <formula>0.85</formula>
    </cfRule>
  </conditionalFormatting>
  <conditionalFormatting sqref="N377">
    <cfRule type="cellIs" dxfId="14157" priority="175" operator="greaterThan">
      <formula>0.9</formula>
    </cfRule>
    <cfRule type="cellIs" dxfId="14156" priority="176" operator="greaterThan">
      <formula>0.85</formula>
    </cfRule>
  </conditionalFormatting>
  <conditionalFormatting sqref="E377">
    <cfRule type="expression" dxfId="14155" priority="171">
      <formula>AND(IF(OR($Q377=1,$Q377=2),1,0),IF($X377&lt;=20,1,0))</formula>
    </cfRule>
    <cfRule type="expression" dxfId="14154" priority="172">
      <formula>AND(IF($Q377=2,1,0),IF($X377&lt;30,1,0))</formula>
    </cfRule>
    <cfRule type="expression" dxfId="14153" priority="173">
      <formula>AND(IF($Q377=3,1,0),IF($X377&lt;30,1,0))</formula>
    </cfRule>
    <cfRule type="expression" dxfId="14152" priority="174">
      <formula>AND(IF($Q377=3,1,IF($Q377=4,1,0)),IF($F377&lt;=85,1,0))</formula>
    </cfRule>
  </conditionalFormatting>
  <conditionalFormatting sqref="X377">
    <cfRule type="expression" dxfId="14151" priority="167">
      <formula>AND(IF(OR($Q377=1,$Q377=2),1,0),IF($X377&lt;=20,1,0))</formula>
    </cfRule>
    <cfRule type="expression" dxfId="14150" priority="168">
      <formula>AND(IF($Q377=2,1,0),IF($X377&lt;30,1,0))</formula>
    </cfRule>
    <cfRule type="expression" dxfId="14149" priority="169">
      <formula>AND(IF($Q377=3,1,0),IF($X377&lt;30,1,0))</formula>
    </cfRule>
    <cfRule type="expression" dxfId="14148" priority="170">
      <formula>AND(IF($Q377=3,1,IF($Q377=4,1,0)),IF($F377&lt;=85,1,0))</formula>
    </cfRule>
  </conditionalFormatting>
  <conditionalFormatting sqref="AI377">
    <cfRule type="expression" dxfId="14147" priority="163">
      <formula>AND(IF(OR($Q377=1,$Q377=2),1,0),IF($X377&lt;=20,1,0))</formula>
    </cfRule>
    <cfRule type="expression" dxfId="14146" priority="164">
      <formula>AND(IF($Q377=2,1,0),IF($X377&lt;30,1,0))</formula>
    </cfRule>
    <cfRule type="expression" dxfId="14145" priority="165">
      <formula>AND(IF($Q377=3,1,0),IF($X377&lt;30,1,0))</formula>
    </cfRule>
    <cfRule type="expression" dxfId="14144" priority="166">
      <formula>AND(IF($Q377=3,1,IF($Q377=4,1,0)),IF($F377&lt;=85,1,0))</formula>
    </cfRule>
  </conditionalFormatting>
  <conditionalFormatting sqref="AV378">
    <cfRule type="expression" dxfId="14143" priority="161">
      <formula>AV378="X"</formula>
    </cfRule>
    <cfRule type="expression" dxfId="14142" priority="162">
      <formula>AV378="후보"</formula>
    </cfRule>
  </conditionalFormatting>
  <conditionalFormatting sqref="AC378">
    <cfRule type="cellIs" dxfId="14141" priority="159" operator="greaterThan">
      <formula>0.9</formula>
    </cfRule>
    <cfRule type="cellIs" dxfId="14140" priority="160" operator="greaterThan">
      <formula>0.85</formula>
    </cfRule>
  </conditionalFormatting>
  <conditionalFormatting sqref="N378">
    <cfRule type="cellIs" dxfId="14139" priority="157" operator="greaterThan">
      <formula>0.9</formula>
    </cfRule>
    <cfRule type="cellIs" dxfId="14138" priority="158" operator="greaterThan">
      <formula>0.85</formula>
    </cfRule>
  </conditionalFormatting>
  <conditionalFormatting sqref="E378">
    <cfRule type="expression" dxfId="14137" priority="153">
      <formula>AND(IF(OR($Q378=1,$Q378=2),1,0),IF($X378&lt;=20,1,0))</formula>
    </cfRule>
    <cfRule type="expression" dxfId="14136" priority="154">
      <formula>AND(IF($Q378=2,1,0),IF($X378&lt;30,1,0))</formula>
    </cfRule>
    <cfRule type="expression" dxfId="14135" priority="155">
      <formula>AND(IF($Q378=3,1,0),IF($X378&lt;30,1,0))</formula>
    </cfRule>
    <cfRule type="expression" dxfId="14134" priority="156">
      <formula>AND(IF($Q378=3,1,IF($Q378=4,1,0)),IF($F378&lt;=85,1,0))</formula>
    </cfRule>
  </conditionalFormatting>
  <conditionalFormatting sqref="X378">
    <cfRule type="expression" dxfId="14133" priority="149">
      <formula>AND(IF(OR($Q378=1,$Q378=2),1,0),IF($X378&lt;=20,1,0))</formula>
    </cfRule>
    <cfRule type="expression" dxfId="14132" priority="150">
      <formula>AND(IF($Q378=2,1,0),IF($X378&lt;30,1,0))</formula>
    </cfRule>
    <cfRule type="expression" dxfId="14131" priority="151">
      <formula>AND(IF($Q378=3,1,0),IF($X378&lt;30,1,0))</formula>
    </cfRule>
    <cfRule type="expression" dxfId="14130" priority="152">
      <formula>AND(IF($Q378=3,1,IF($Q378=4,1,0)),IF($F378&lt;=85,1,0))</formula>
    </cfRule>
  </conditionalFormatting>
  <conditionalFormatting sqref="AI378">
    <cfRule type="expression" dxfId="14129" priority="145">
      <formula>AND(IF(OR($Q378=1,$Q378=2),1,0),IF($X378&lt;=20,1,0))</formula>
    </cfRule>
    <cfRule type="expression" dxfId="14128" priority="146">
      <formula>AND(IF($Q378=2,1,0),IF($X378&lt;30,1,0))</formula>
    </cfRule>
    <cfRule type="expression" dxfId="14127" priority="147">
      <formula>AND(IF($Q378=3,1,0),IF($X378&lt;30,1,0))</formula>
    </cfRule>
    <cfRule type="expression" dxfId="14126" priority="148">
      <formula>AND(IF($Q378=3,1,IF($Q378=4,1,0)),IF($F378&lt;=85,1,0))</formula>
    </cfRule>
  </conditionalFormatting>
  <conditionalFormatting sqref="AV379">
    <cfRule type="expression" dxfId="14125" priority="143">
      <formula>AV379="X"</formula>
    </cfRule>
    <cfRule type="expression" dxfId="14124" priority="144">
      <formula>AV379="후보"</formula>
    </cfRule>
  </conditionalFormatting>
  <conditionalFormatting sqref="AC379">
    <cfRule type="cellIs" dxfId="14123" priority="141" operator="greaterThan">
      <formula>0.9</formula>
    </cfRule>
    <cfRule type="cellIs" dxfId="14122" priority="142" operator="greaterThan">
      <formula>0.85</formula>
    </cfRule>
  </conditionalFormatting>
  <conditionalFormatting sqref="N379">
    <cfRule type="cellIs" dxfId="14121" priority="139" operator="greaterThan">
      <formula>0.9</formula>
    </cfRule>
    <cfRule type="cellIs" dxfId="14120" priority="140" operator="greaterThan">
      <formula>0.85</formula>
    </cfRule>
  </conditionalFormatting>
  <conditionalFormatting sqref="E379">
    <cfRule type="expression" dxfId="14119" priority="135">
      <formula>AND(IF(OR($Q379=1,$Q379=2),1,0),IF($X379&lt;=20,1,0))</formula>
    </cfRule>
    <cfRule type="expression" dxfId="14118" priority="136">
      <formula>AND(IF($Q379=2,1,0),IF($X379&lt;30,1,0))</formula>
    </cfRule>
    <cfRule type="expression" dxfId="14117" priority="137">
      <formula>AND(IF($Q379=3,1,0),IF($X379&lt;30,1,0))</formula>
    </cfRule>
    <cfRule type="expression" dxfId="14116" priority="138">
      <formula>AND(IF($Q379=3,1,IF($Q379=4,1,0)),IF($F379&lt;=85,1,0))</formula>
    </cfRule>
  </conditionalFormatting>
  <conditionalFormatting sqref="X379">
    <cfRule type="expression" dxfId="14115" priority="131">
      <formula>AND(IF(OR($Q379=1,$Q379=2),1,0),IF($X379&lt;=20,1,0))</formula>
    </cfRule>
    <cfRule type="expression" dxfId="14114" priority="132">
      <formula>AND(IF($Q379=2,1,0),IF($X379&lt;30,1,0))</formula>
    </cfRule>
    <cfRule type="expression" dxfId="14113" priority="133">
      <formula>AND(IF($Q379=3,1,0),IF($X379&lt;30,1,0))</formula>
    </cfRule>
    <cfRule type="expression" dxfId="14112" priority="134">
      <formula>AND(IF($Q379=3,1,IF($Q379=4,1,0)),IF($F379&lt;=85,1,0))</formula>
    </cfRule>
  </conditionalFormatting>
  <conditionalFormatting sqref="AI379">
    <cfRule type="expression" dxfId="14111" priority="127">
      <formula>AND(IF(OR($Q379=1,$Q379=2),1,0),IF($X379&lt;=20,1,0))</formula>
    </cfRule>
    <cfRule type="expression" dxfId="14110" priority="128">
      <formula>AND(IF($Q379=2,1,0),IF($X379&lt;30,1,0))</formula>
    </cfRule>
    <cfRule type="expression" dxfId="14109" priority="129">
      <formula>AND(IF($Q379=3,1,0),IF($X379&lt;30,1,0))</formula>
    </cfRule>
    <cfRule type="expression" dxfId="14108" priority="130">
      <formula>AND(IF($Q379=3,1,IF($Q379=4,1,0)),IF($F379&lt;=85,1,0))</formula>
    </cfRule>
  </conditionalFormatting>
  <conditionalFormatting sqref="AV380">
    <cfRule type="expression" dxfId="14107" priority="125">
      <formula>AV380="X"</formula>
    </cfRule>
    <cfRule type="expression" dxfId="14106" priority="126">
      <formula>AV380="후보"</formula>
    </cfRule>
  </conditionalFormatting>
  <conditionalFormatting sqref="AC380">
    <cfRule type="cellIs" dxfId="14105" priority="123" operator="greaterThan">
      <formula>0.9</formula>
    </cfRule>
    <cfRule type="cellIs" dxfId="14104" priority="124" operator="greaterThan">
      <formula>0.85</formula>
    </cfRule>
  </conditionalFormatting>
  <conditionalFormatting sqref="N380">
    <cfRule type="cellIs" dxfId="14103" priority="121" operator="greaterThan">
      <formula>0.9</formula>
    </cfRule>
    <cfRule type="cellIs" dxfId="14102" priority="122" operator="greaterThan">
      <formula>0.85</formula>
    </cfRule>
  </conditionalFormatting>
  <conditionalFormatting sqref="E380">
    <cfRule type="expression" dxfId="14101" priority="117">
      <formula>AND(IF(OR($Q380=1,$Q380=2),1,0),IF($X380&lt;=20,1,0))</formula>
    </cfRule>
    <cfRule type="expression" dxfId="14100" priority="118">
      <formula>AND(IF($Q380=2,1,0),IF($X380&lt;30,1,0))</formula>
    </cfRule>
    <cfRule type="expression" dxfId="14099" priority="119">
      <formula>AND(IF($Q380=3,1,0),IF($X380&lt;30,1,0))</formula>
    </cfRule>
    <cfRule type="expression" dxfId="14098" priority="120">
      <formula>AND(IF($Q380=3,1,IF($Q380=4,1,0)),IF($F380&lt;=85,1,0))</formula>
    </cfRule>
  </conditionalFormatting>
  <conditionalFormatting sqref="X380">
    <cfRule type="expression" dxfId="14097" priority="113">
      <formula>AND(IF(OR($Q380=1,$Q380=2),1,0),IF($X380&lt;=20,1,0))</formula>
    </cfRule>
    <cfRule type="expression" dxfId="14096" priority="114">
      <formula>AND(IF($Q380=2,1,0),IF($X380&lt;30,1,0))</formula>
    </cfRule>
    <cfRule type="expression" dxfId="14095" priority="115">
      <formula>AND(IF($Q380=3,1,0),IF($X380&lt;30,1,0))</formula>
    </cfRule>
    <cfRule type="expression" dxfId="14094" priority="116">
      <formula>AND(IF($Q380=3,1,IF($Q380=4,1,0)),IF($F380&lt;=85,1,0))</formula>
    </cfRule>
  </conditionalFormatting>
  <conditionalFormatting sqref="AI380">
    <cfRule type="expression" dxfId="14093" priority="109">
      <formula>AND(IF(OR($Q380=1,$Q380=2),1,0),IF($X380&lt;=20,1,0))</formula>
    </cfRule>
    <cfRule type="expression" dxfId="14092" priority="110">
      <formula>AND(IF($Q380=2,1,0),IF($X380&lt;30,1,0))</formula>
    </cfRule>
    <cfRule type="expression" dxfId="14091" priority="111">
      <formula>AND(IF($Q380=3,1,0),IF($X380&lt;30,1,0))</formula>
    </cfRule>
    <cfRule type="expression" dxfId="14090" priority="112">
      <formula>AND(IF($Q380=3,1,IF($Q380=4,1,0)),IF($F380&lt;=85,1,0))</formula>
    </cfRule>
  </conditionalFormatting>
  <conditionalFormatting sqref="AV381">
    <cfRule type="expression" dxfId="14089" priority="107">
      <formula>AV381="X"</formula>
    </cfRule>
    <cfRule type="expression" dxfId="14088" priority="108">
      <formula>AV381="후보"</formula>
    </cfRule>
  </conditionalFormatting>
  <conditionalFormatting sqref="AC381">
    <cfRule type="cellIs" dxfId="14087" priority="105" operator="greaterThan">
      <formula>0.9</formula>
    </cfRule>
    <cfRule type="cellIs" dxfId="14086" priority="106" operator="greaterThan">
      <formula>0.85</formula>
    </cfRule>
  </conditionalFormatting>
  <conditionalFormatting sqref="N381">
    <cfRule type="cellIs" dxfId="14085" priority="103" operator="greaterThan">
      <formula>0.9</formula>
    </cfRule>
    <cfRule type="cellIs" dxfId="14084" priority="104" operator="greaterThan">
      <formula>0.85</formula>
    </cfRule>
  </conditionalFormatting>
  <conditionalFormatting sqref="E381">
    <cfRule type="expression" dxfId="14083" priority="99">
      <formula>AND(IF(OR($Q381=1,$Q381=2),1,0),IF($X381&lt;=20,1,0))</formula>
    </cfRule>
    <cfRule type="expression" dxfId="14082" priority="100">
      <formula>AND(IF($Q381=2,1,0),IF($X381&lt;30,1,0))</formula>
    </cfRule>
    <cfRule type="expression" dxfId="14081" priority="101">
      <formula>AND(IF($Q381=3,1,0),IF($X381&lt;30,1,0))</formula>
    </cfRule>
    <cfRule type="expression" dxfId="14080" priority="102">
      <formula>AND(IF($Q381=3,1,IF($Q381=4,1,0)),IF($F381&lt;=85,1,0))</formula>
    </cfRule>
  </conditionalFormatting>
  <conditionalFormatting sqref="X381">
    <cfRule type="expression" dxfId="14079" priority="95">
      <formula>AND(IF(OR($Q381=1,$Q381=2),1,0),IF($X381&lt;=20,1,0))</formula>
    </cfRule>
    <cfRule type="expression" dxfId="14078" priority="96">
      <formula>AND(IF($Q381=2,1,0),IF($X381&lt;30,1,0))</formula>
    </cfRule>
    <cfRule type="expression" dxfId="14077" priority="97">
      <formula>AND(IF($Q381=3,1,0),IF($X381&lt;30,1,0))</formula>
    </cfRule>
    <cfRule type="expression" dxfId="14076" priority="98">
      <formula>AND(IF($Q381=3,1,IF($Q381=4,1,0)),IF($F381&lt;=85,1,0))</formula>
    </cfRule>
  </conditionalFormatting>
  <conditionalFormatting sqref="AI381">
    <cfRule type="expression" dxfId="14075" priority="91">
      <formula>AND(IF(OR($Q381=1,$Q381=2),1,0),IF($X381&lt;=20,1,0))</formula>
    </cfRule>
    <cfRule type="expression" dxfId="14074" priority="92">
      <formula>AND(IF($Q381=2,1,0),IF($X381&lt;30,1,0))</formula>
    </cfRule>
    <cfRule type="expression" dxfId="14073" priority="93">
      <formula>AND(IF($Q381=3,1,0),IF($X381&lt;30,1,0))</formula>
    </cfRule>
    <cfRule type="expression" dxfId="14072" priority="94">
      <formula>AND(IF($Q381=3,1,IF($Q381=4,1,0)),IF($F381&lt;=85,1,0))</formula>
    </cfRule>
  </conditionalFormatting>
  <conditionalFormatting sqref="AV382">
    <cfRule type="expression" dxfId="14071" priority="89">
      <formula>AV382="X"</formula>
    </cfRule>
    <cfRule type="expression" dxfId="14070" priority="90">
      <formula>AV382="후보"</formula>
    </cfRule>
  </conditionalFormatting>
  <conditionalFormatting sqref="AC382">
    <cfRule type="cellIs" dxfId="14069" priority="87" operator="greaterThan">
      <formula>0.9</formula>
    </cfRule>
    <cfRule type="cellIs" dxfId="14068" priority="88" operator="greaterThan">
      <formula>0.85</formula>
    </cfRule>
  </conditionalFormatting>
  <conditionalFormatting sqref="N382">
    <cfRule type="cellIs" dxfId="14067" priority="85" operator="greaterThan">
      <formula>0.9</formula>
    </cfRule>
    <cfRule type="cellIs" dxfId="14066" priority="86" operator="greaterThan">
      <formula>0.85</formula>
    </cfRule>
  </conditionalFormatting>
  <conditionalFormatting sqref="E382">
    <cfRule type="expression" dxfId="14065" priority="81">
      <formula>AND(IF(OR($Q382=1,$Q382=2),1,0),IF($X382&lt;=20,1,0))</formula>
    </cfRule>
    <cfRule type="expression" dxfId="14064" priority="82">
      <formula>AND(IF($Q382=2,1,0),IF($X382&lt;30,1,0))</formula>
    </cfRule>
    <cfRule type="expression" dxfId="14063" priority="83">
      <formula>AND(IF($Q382=3,1,0),IF($X382&lt;30,1,0))</formula>
    </cfRule>
    <cfRule type="expression" dxfId="14062" priority="84">
      <formula>AND(IF($Q382=3,1,IF($Q382=4,1,0)),IF($F382&lt;=85,1,0))</formula>
    </cfRule>
  </conditionalFormatting>
  <conditionalFormatting sqref="X382">
    <cfRule type="expression" dxfId="14061" priority="77">
      <formula>AND(IF(OR($Q382=1,$Q382=2),1,0),IF($X382&lt;=20,1,0))</formula>
    </cfRule>
    <cfRule type="expression" dxfId="14060" priority="78">
      <formula>AND(IF($Q382=2,1,0),IF($X382&lt;30,1,0))</formula>
    </cfRule>
    <cfRule type="expression" dxfId="14059" priority="79">
      <formula>AND(IF($Q382=3,1,0),IF($X382&lt;30,1,0))</formula>
    </cfRule>
    <cfRule type="expression" dxfId="14058" priority="80">
      <formula>AND(IF($Q382=3,1,IF($Q382=4,1,0)),IF($F382&lt;=85,1,0))</formula>
    </cfRule>
  </conditionalFormatting>
  <conditionalFormatting sqref="AI382">
    <cfRule type="expression" dxfId="14057" priority="73">
      <formula>AND(IF(OR($Q382=1,$Q382=2),1,0),IF($X382&lt;=20,1,0))</formula>
    </cfRule>
    <cfRule type="expression" dxfId="14056" priority="74">
      <formula>AND(IF($Q382=2,1,0),IF($X382&lt;30,1,0))</formula>
    </cfRule>
    <cfRule type="expression" dxfId="14055" priority="75">
      <formula>AND(IF($Q382=3,1,0),IF($X382&lt;30,1,0))</formula>
    </cfRule>
    <cfRule type="expression" dxfId="14054" priority="76">
      <formula>AND(IF($Q382=3,1,IF($Q382=4,1,0)),IF($F382&lt;=85,1,0))</formula>
    </cfRule>
  </conditionalFormatting>
  <conditionalFormatting sqref="AV383">
    <cfRule type="expression" dxfId="14053" priority="71">
      <formula>AV383="X"</formula>
    </cfRule>
    <cfRule type="expression" dxfId="14052" priority="72">
      <formula>AV383="후보"</formula>
    </cfRule>
  </conditionalFormatting>
  <conditionalFormatting sqref="AC383">
    <cfRule type="cellIs" dxfId="14051" priority="69" operator="greaterThan">
      <formula>0.9</formula>
    </cfRule>
    <cfRule type="cellIs" dxfId="14050" priority="70" operator="greaterThan">
      <formula>0.85</formula>
    </cfRule>
  </conditionalFormatting>
  <conditionalFormatting sqref="N383">
    <cfRule type="cellIs" dxfId="14049" priority="67" operator="greaterThan">
      <formula>0.9</formula>
    </cfRule>
    <cfRule type="cellIs" dxfId="14048" priority="68" operator="greaterThan">
      <formula>0.85</formula>
    </cfRule>
  </conditionalFormatting>
  <conditionalFormatting sqref="E383">
    <cfRule type="expression" dxfId="14047" priority="63">
      <formula>AND(IF(OR($Q383=1,$Q383=2),1,0),IF($X383&lt;=20,1,0))</formula>
    </cfRule>
    <cfRule type="expression" dxfId="14046" priority="64">
      <formula>AND(IF($Q383=2,1,0),IF($X383&lt;30,1,0))</formula>
    </cfRule>
    <cfRule type="expression" dxfId="14045" priority="65">
      <formula>AND(IF($Q383=3,1,0),IF($X383&lt;30,1,0))</formula>
    </cfRule>
    <cfRule type="expression" dxfId="14044" priority="66">
      <formula>AND(IF($Q383=3,1,IF($Q383=4,1,0)),IF($F383&lt;=85,1,0))</formula>
    </cfRule>
  </conditionalFormatting>
  <conditionalFormatting sqref="X383">
    <cfRule type="expression" dxfId="14043" priority="59">
      <formula>AND(IF(OR($Q383=1,$Q383=2),1,0),IF($X383&lt;=20,1,0))</formula>
    </cfRule>
    <cfRule type="expression" dxfId="14042" priority="60">
      <formula>AND(IF($Q383=2,1,0),IF($X383&lt;30,1,0))</formula>
    </cfRule>
    <cfRule type="expression" dxfId="14041" priority="61">
      <formula>AND(IF($Q383=3,1,0),IF($X383&lt;30,1,0))</formula>
    </cfRule>
    <cfRule type="expression" dxfId="14040" priority="62">
      <formula>AND(IF($Q383=3,1,IF($Q383=4,1,0)),IF($F383&lt;=85,1,0))</formula>
    </cfRule>
  </conditionalFormatting>
  <conditionalFormatting sqref="AI383">
    <cfRule type="expression" dxfId="14039" priority="55">
      <formula>AND(IF(OR($Q383=1,$Q383=2),1,0),IF($X383&lt;=20,1,0))</formula>
    </cfRule>
    <cfRule type="expression" dxfId="14038" priority="56">
      <formula>AND(IF($Q383=2,1,0),IF($X383&lt;30,1,0))</formula>
    </cfRule>
    <cfRule type="expression" dxfId="14037" priority="57">
      <formula>AND(IF($Q383=3,1,0),IF($X383&lt;30,1,0))</formula>
    </cfRule>
    <cfRule type="expression" dxfId="14036" priority="58">
      <formula>AND(IF($Q383=3,1,IF($Q383=4,1,0)),IF($F383&lt;=85,1,0))</formula>
    </cfRule>
  </conditionalFormatting>
  <conditionalFormatting sqref="AV384">
    <cfRule type="expression" dxfId="14035" priority="53">
      <formula>AV384="X"</formula>
    </cfRule>
    <cfRule type="expression" dxfId="14034" priority="54">
      <formula>AV384="후보"</formula>
    </cfRule>
  </conditionalFormatting>
  <conditionalFormatting sqref="AC384">
    <cfRule type="cellIs" dxfId="14033" priority="51" operator="greaterThan">
      <formula>0.9</formula>
    </cfRule>
    <cfRule type="cellIs" dxfId="14032" priority="52" operator="greaterThan">
      <formula>0.85</formula>
    </cfRule>
  </conditionalFormatting>
  <conditionalFormatting sqref="N384">
    <cfRule type="cellIs" dxfId="14031" priority="49" operator="greaterThan">
      <formula>0.9</formula>
    </cfRule>
    <cfRule type="cellIs" dxfId="14030" priority="50" operator="greaterThan">
      <formula>0.85</formula>
    </cfRule>
  </conditionalFormatting>
  <conditionalFormatting sqref="E384">
    <cfRule type="expression" dxfId="14029" priority="45">
      <formula>AND(IF(OR($Q384=1,$Q384=2),1,0),IF($X384&lt;=20,1,0))</formula>
    </cfRule>
    <cfRule type="expression" dxfId="14028" priority="46">
      <formula>AND(IF($Q384=2,1,0),IF($X384&lt;30,1,0))</formula>
    </cfRule>
    <cfRule type="expression" dxfId="14027" priority="47">
      <formula>AND(IF($Q384=3,1,0),IF($X384&lt;30,1,0))</formula>
    </cfRule>
    <cfRule type="expression" dxfId="14026" priority="48">
      <formula>AND(IF($Q384=3,1,IF($Q384=4,1,0)),IF($F384&lt;=85,1,0))</formula>
    </cfRule>
  </conditionalFormatting>
  <conditionalFormatting sqref="X384">
    <cfRule type="expression" dxfId="14025" priority="41">
      <formula>AND(IF(OR($Q384=1,$Q384=2),1,0),IF($X384&lt;=20,1,0))</formula>
    </cfRule>
    <cfRule type="expression" dxfId="14024" priority="42">
      <formula>AND(IF($Q384=2,1,0),IF($X384&lt;30,1,0))</formula>
    </cfRule>
    <cfRule type="expression" dxfId="14023" priority="43">
      <formula>AND(IF($Q384=3,1,0),IF($X384&lt;30,1,0))</formula>
    </cfRule>
    <cfRule type="expression" dxfId="14022" priority="44">
      <formula>AND(IF($Q384=3,1,IF($Q384=4,1,0)),IF($F384&lt;=85,1,0))</formula>
    </cfRule>
  </conditionalFormatting>
  <conditionalFormatting sqref="AI384">
    <cfRule type="expression" dxfId="14021" priority="37">
      <formula>AND(IF(OR($Q384=1,$Q384=2),1,0),IF($X384&lt;=20,1,0))</formula>
    </cfRule>
    <cfRule type="expression" dxfId="14020" priority="38">
      <formula>AND(IF($Q384=2,1,0),IF($X384&lt;30,1,0))</formula>
    </cfRule>
    <cfRule type="expression" dxfId="14019" priority="39">
      <formula>AND(IF($Q384=3,1,0),IF($X384&lt;30,1,0))</formula>
    </cfRule>
    <cfRule type="expression" dxfId="14018" priority="40">
      <formula>AND(IF($Q384=3,1,IF($Q384=4,1,0)),IF($F384&lt;=85,1,0))</formula>
    </cfRule>
  </conditionalFormatting>
  <conditionalFormatting sqref="AV385">
    <cfRule type="expression" dxfId="14017" priority="35">
      <formula>AV385="X"</formula>
    </cfRule>
    <cfRule type="expression" dxfId="14016" priority="36">
      <formula>AV385="후보"</formula>
    </cfRule>
  </conditionalFormatting>
  <conditionalFormatting sqref="AC385">
    <cfRule type="cellIs" dxfId="14015" priority="33" operator="greaterThan">
      <formula>0.9</formula>
    </cfRule>
    <cfRule type="cellIs" dxfId="14014" priority="34" operator="greaterThan">
      <formula>0.85</formula>
    </cfRule>
  </conditionalFormatting>
  <conditionalFormatting sqref="N385">
    <cfRule type="cellIs" dxfId="14013" priority="31" operator="greaterThan">
      <formula>0.9</formula>
    </cfRule>
    <cfRule type="cellIs" dxfId="14012" priority="32" operator="greaterThan">
      <formula>0.85</formula>
    </cfRule>
  </conditionalFormatting>
  <conditionalFormatting sqref="E385">
    <cfRule type="expression" dxfId="14011" priority="27">
      <formula>AND(IF(OR($Q385=1,$Q385=2),1,0),IF($X385&lt;=20,1,0))</formula>
    </cfRule>
    <cfRule type="expression" dxfId="14010" priority="28">
      <formula>AND(IF($Q385=2,1,0),IF($X385&lt;30,1,0))</formula>
    </cfRule>
    <cfRule type="expression" dxfId="14009" priority="29">
      <formula>AND(IF($Q385=3,1,0),IF($X385&lt;30,1,0))</formula>
    </cfRule>
    <cfRule type="expression" dxfId="14008" priority="30">
      <formula>AND(IF($Q385=3,1,IF($Q385=4,1,0)),IF($F385&lt;=85,1,0))</formula>
    </cfRule>
  </conditionalFormatting>
  <conditionalFormatting sqref="X385">
    <cfRule type="expression" dxfId="14007" priority="23">
      <formula>AND(IF(OR($Q385=1,$Q385=2),1,0),IF($X385&lt;=20,1,0))</formula>
    </cfRule>
    <cfRule type="expression" dxfId="14006" priority="24">
      <formula>AND(IF($Q385=2,1,0),IF($X385&lt;30,1,0))</formula>
    </cfRule>
    <cfRule type="expression" dxfId="14005" priority="25">
      <formula>AND(IF($Q385=3,1,0),IF($X385&lt;30,1,0))</formula>
    </cfRule>
    <cfRule type="expression" dxfId="14004" priority="26">
      <formula>AND(IF($Q385=3,1,IF($Q385=4,1,0)),IF($F385&lt;=85,1,0))</formula>
    </cfRule>
  </conditionalFormatting>
  <conditionalFormatting sqref="AI385">
    <cfRule type="expression" dxfId="14003" priority="19">
      <formula>AND(IF(OR($Q385=1,$Q385=2),1,0),IF($X385&lt;=20,1,0))</formula>
    </cfRule>
    <cfRule type="expression" dxfId="14002" priority="20">
      <formula>AND(IF($Q385=2,1,0),IF($X385&lt;30,1,0))</formula>
    </cfRule>
    <cfRule type="expression" dxfId="14001" priority="21">
      <formula>AND(IF($Q385=3,1,0),IF($X385&lt;30,1,0))</formula>
    </cfRule>
    <cfRule type="expression" dxfId="14000" priority="22">
      <formula>AND(IF($Q385=3,1,IF($Q385=4,1,0)),IF($F385&lt;=85,1,0))</formula>
    </cfRule>
  </conditionalFormatting>
  <conditionalFormatting sqref="AV386">
    <cfRule type="expression" dxfId="13999" priority="17">
      <formula>AV386="X"</formula>
    </cfRule>
    <cfRule type="expression" dxfId="13998" priority="18">
      <formula>AV386="후보"</formula>
    </cfRule>
  </conditionalFormatting>
  <conditionalFormatting sqref="AC386">
    <cfRule type="cellIs" dxfId="13997" priority="15" operator="greaterThan">
      <formula>0.9</formula>
    </cfRule>
    <cfRule type="cellIs" dxfId="13996" priority="16" operator="greaterThan">
      <formula>0.85</formula>
    </cfRule>
  </conditionalFormatting>
  <conditionalFormatting sqref="N386">
    <cfRule type="cellIs" dxfId="13995" priority="13" operator="greaterThan">
      <formula>0.9</formula>
    </cfRule>
    <cfRule type="cellIs" dxfId="13994" priority="14" operator="greaterThan">
      <formula>0.85</formula>
    </cfRule>
  </conditionalFormatting>
  <conditionalFormatting sqref="E386">
    <cfRule type="expression" dxfId="13993" priority="9">
      <formula>AND(IF(OR($Q386=1,$Q386=2),1,0),IF($X386&lt;=20,1,0))</formula>
    </cfRule>
    <cfRule type="expression" dxfId="13992" priority="10">
      <formula>AND(IF($Q386=2,1,0),IF($X386&lt;30,1,0))</formula>
    </cfRule>
    <cfRule type="expression" dxfId="13991" priority="11">
      <formula>AND(IF($Q386=3,1,0),IF($X386&lt;30,1,0))</formula>
    </cfRule>
    <cfRule type="expression" dxfId="13990" priority="12">
      <formula>AND(IF($Q386=3,1,IF($Q386=4,1,0)),IF($F386&lt;=85,1,0))</formula>
    </cfRule>
  </conditionalFormatting>
  <conditionalFormatting sqref="X386">
    <cfRule type="expression" dxfId="13989" priority="5">
      <formula>AND(IF(OR($Q386=1,$Q386=2),1,0),IF($X386&lt;=20,1,0))</formula>
    </cfRule>
    <cfRule type="expression" dxfId="13988" priority="6">
      <formula>AND(IF($Q386=2,1,0),IF($X386&lt;30,1,0))</formula>
    </cfRule>
    <cfRule type="expression" dxfId="13987" priority="7">
      <formula>AND(IF($Q386=3,1,0),IF($X386&lt;30,1,0))</formula>
    </cfRule>
    <cfRule type="expression" dxfId="13986" priority="8">
      <formula>AND(IF($Q386=3,1,IF($Q386=4,1,0)),IF($F386&lt;=85,1,0))</formula>
    </cfRule>
  </conditionalFormatting>
  <conditionalFormatting sqref="AI386">
    <cfRule type="expression" dxfId="13985" priority="1">
      <formula>AND(IF(OR($Q386=1,$Q386=2),1,0),IF($X386&lt;=20,1,0))</formula>
    </cfRule>
    <cfRule type="expression" dxfId="13984" priority="2">
      <formula>AND(IF($Q386=2,1,0),IF($X386&lt;30,1,0))</formula>
    </cfRule>
    <cfRule type="expression" dxfId="13983" priority="3">
      <formula>AND(IF($Q386=3,1,0),IF($X386&lt;30,1,0))</formula>
    </cfRule>
    <cfRule type="expression" dxfId="13982" priority="4">
      <formula>AND(IF($Q386=3,1,IF($Q386=4,1,0)),IF($F386&lt;=85,1,0))</formula>
    </cfRule>
  </conditionalFormatting>
  <conditionalFormatting sqref="AV334">
    <cfRule type="expression" dxfId="13981" priority="953">
      <formula>AV334="X"</formula>
    </cfRule>
    <cfRule type="expression" dxfId="13980" priority="954">
      <formula>AV334="후보"</formula>
    </cfRule>
  </conditionalFormatting>
  <conditionalFormatting sqref="AC334">
    <cfRule type="cellIs" dxfId="13979" priority="951" operator="greaterThan">
      <formula>0.9</formula>
    </cfRule>
    <cfRule type="cellIs" dxfId="13978" priority="952" operator="greaterThan">
      <formula>0.85</formula>
    </cfRule>
  </conditionalFormatting>
  <conditionalFormatting sqref="N334">
    <cfRule type="cellIs" dxfId="13977" priority="949" operator="greaterThan">
      <formula>0.9</formula>
    </cfRule>
    <cfRule type="cellIs" dxfId="13976" priority="950" operator="greaterThan">
      <formula>0.85</formula>
    </cfRule>
  </conditionalFormatting>
  <conditionalFormatting sqref="E334">
    <cfRule type="expression" dxfId="13975" priority="945">
      <formula>AND(IF(OR($Q334=1,$Q334=2),1,0),IF($X334&lt;=20,1,0))</formula>
    </cfRule>
    <cfRule type="expression" dxfId="13974" priority="946">
      <formula>AND(IF($Q334=2,1,0),IF($X334&lt;30,1,0))</formula>
    </cfRule>
    <cfRule type="expression" dxfId="13973" priority="947">
      <formula>AND(IF($Q334=3,1,0),IF($X334&lt;30,1,0))</formula>
    </cfRule>
    <cfRule type="expression" dxfId="13972" priority="948">
      <formula>AND(IF($Q334=3,1,IF($Q334=4,1,0)),IF($F334&lt;=85,1,0))</formula>
    </cfRule>
  </conditionalFormatting>
  <conditionalFormatting sqref="X334">
    <cfRule type="expression" dxfId="13971" priority="941">
      <formula>AND(IF(OR($Q334=1,$Q334=2),1,0),IF($X334&lt;=20,1,0))</formula>
    </cfRule>
    <cfRule type="expression" dxfId="13970" priority="942">
      <formula>AND(IF($Q334=2,1,0),IF($X334&lt;30,1,0))</formula>
    </cfRule>
    <cfRule type="expression" dxfId="13969" priority="943">
      <formula>AND(IF($Q334=3,1,0),IF($X334&lt;30,1,0))</formula>
    </cfRule>
    <cfRule type="expression" dxfId="13968" priority="944">
      <formula>AND(IF($Q334=3,1,IF($Q334=4,1,0)),IF($F334&lt;=85,1,0))</formula>
    </cfRule>
  </conditionalFormatting>
  <conditionalFormatting sqref="AI334">
    <cfRule type="expression" dxfId="13967" priority="937">
      <formula>AND(IF(OR($Q334=1,$Q334=2),1,0),IF($X334&lt;=20,1,0))</formula>
    </cfRule>
    <cfRule type="expression" dxfId="13966" priority="938">
      <formula>AND(IF($Q334=2,1,0),IF($X334&lt;30,1,0))</formula>
    </cfRule>
    <cfRule type="expression" dxfId="13965" priority="939">
      <formula>AND(IF($Q334=3,1,0),IF($X334&lt;30,1,0))</formula>
    </cfRule>
    <cfRule type="expression" dxfId="13964" priority="940">
      <formula>AND(IF($Q334=3,1,IF($Q334=4,1,0)),IF($F334&lt;=85,1,0))</formula>
    </cfRule>
  </conditionalFormatting>
  <conditionalFormatting sqref="AV335">
    <cfRule type="expression" dxfId="13963" priority="935">
      <formula>AV335="X"</formula>
    </cfRule>
    <cfRule type="expression" dxfId="13962" priority="936">
      <formula>AV335="후보"</formula>
    </cfRule>
  </conditionalFormatting>
  <conditionalFormatting sqref="AC335">
    <cfRule type="cellIs" dxfId="13961" priority="933" operator="greaterThan">
      <formula>0.9</formula>
    </cfRule>
    <cfRule type="cellIs" dxfId="13960" priority="934" operator="greaterThan">
      <formula>0.85</formula>
    </cfRule>
  </conditionalFormatting>
  <conditionalFormatting sqref="N335">
    <cfRule type="cellIs" dxfId="13959" priority="931" operator="greaterThan">
      <formula>0.9</formula>
    </cfRule>
    <cfRule type="cellIs" dxfId="13958" priority="932" operator="greaterThan">
      <formula>0.85</formula>
    </cfRule>
  </conditionalFormatting>
  <conditionalFormatting sqref="E335">
    <cfRule type="expression" dxfId="13957" priority="927">
      <formula>AND(IF(OR($Q335=1,$Q335=2),1,0),IF($X335&lt;=20,1,0))</formula>
    </cfRule>
    <cfRule type="expression" dxfId="13956" priority="928">
      <formula>AND(IF($Q335=2,1,0),IF($X335&lt;30,1,0))</formula>
    </cfRule>
    <cfRule type="expression" dxfId="13955" priority="929">
      <formula>AND(IF($Q335=3,1,0),IF($X335&lt;30,1,0))</formula>
    </cfRule>
    <cfRule type="expression" dxfId="13954" priority="930">
      <formula>AND(IF($Q335=3,1,IF($Q335=4,1,0)),IF($F335&lt;=85,1,0))</formula>
    </cfRule>
  </conditionalFormatting>
  <conditionalFormatting sqref="X335">
    <cfRule type="expression" dxfId="13953" priority="923">
      <formula>AND(IF(OR($Q335=1,$Q335=2),1,0),IF($X335&lt;=20,1,0))</formula>
    </cfRule>
    <cfRule type="expression" dxfId="13952" priority="924">
      <formula>AND(IF($Q335=2,1,0),IF($X335&lt;30,1,0))</formula>
    </cfRule>
    <cfRule type="expression" dxfId="13951" priority="925">
      <formula>AND(IF($Q335=3,1,0),IF($X335&lt;30,1,0))</formula>
    </cfRule>
    <cfRule type="expression" dxfId="13950" priority="926">
      <formula>AND(IF($Q335=3,1,IF($Q335=4,1,0)),IF($F335&lt;=85,1,0))</formula>
    </cfRule>
  </conditionalFormatting>
  <conditionalFormatting sqref="AI335">
    <cfRule type="expression" dxfId="13949" priority="919">
      <formula>AND(IF(OR($Q335=1,$Q335=2),1,0),IF($X335&lt;=20,1,0))</formula>
    </cfRule>
    <cfRule type="expression" dxfId="13948" priority="920">
      <formula>AND(IF($Q335=2,1,0),IF($X335&lt;30,1,0))</formula>
    </cfRule>
    <cfRule type="expression" dxfId="13947" priority="921">
      <formula>AND(IF($Q335=3,1,0),IF($X335&lt;30,1,0))</formula>
    </cfRule>
    <cfRule type="expression" dxfId="13946" priority="922">
      <formula>AND(IF($Q335=3,1,IF($Q335=4,1,0)),IF($F335&lt;=85,1,0))</formula>
    </cfRule>
  </conditionalFormatting>
  <conditionalFormatting sqref="AV336">
    <cfRule type="expression" dxfId="13945" priority="917">
      <formula>AV336="X"</formula>
    </cfRule>
    <cfRule type="expression" dxfId="13944" priority="918">
      <formula>AV336="후보"</formula>
    </cfRule>
  </conditionalFormatting>
  <conditionalFormatting sqref="AC336">
    <cfRule type="cellIs" dxfId="13943" priority="915" operator="greaterThan">
      <formula>0.9</formula>
    </cfRule>
    <cfRule type="cellIs" dxfId="13942" priority="916" operator="greaterThan">
      <formula>0.85</formula>
    </cfRule>
  </conditionalFormatting>
  <conditionalFormatting sqref="N336">
    <cfRule type="cellIs" dxfId="13941" priority="913" operator="greaterThan">
      <formula>0.9</formula>
    </cfRule>
    <cfRule type="cellIs" dxfId="13940" priority="914" operator="greaterThan">
      <formula>0.85</formula>
    </cfRule>
  </conditionalFormatting>
  <conditionalFormatting sqref="E336">
    <cfRule type="expression" dxfId="13939" priority="909">
      <formula>AND(IF(OR($Q336=1,$Q336=2),1,0),IF($X336&lt;=20,1,0))</formula>
    </cfRule>
    <cfRule type="expression" dxfId="13938" priority="910">
      <formula>AND(IF($Q336=2,1,0),IF($X336&lt;30,1,0))</formula>
    </cfRule>
    <cfRule type="expression" dxfId="13937" priority="911">
      <formula>AND(IF($Q336=3,1,0),IF($X336&lt;30,1,0))</formula>
    </cfRule>
    <cfRule type="expression" dxfId="13936" priority="912">
      <formula>AND(IF($Q336=3,1,IF($Q336=4,1,0)),IF($F336&lt;=85,1,0))</formula>
    </cfRule>
  </conditionalFormatting>
  <conditionalFormatting sqref="X336">
    <cfRule type="expression" dxfId="13935" priority="905">
      <formula>AND(IF(OR($Q336=1,$Q336=2),1,0),IF($X336&lt;=20,1,0))</formula>
    </cfRule>
    <cfRule type="expression" dxfId="13934" priority="906">
      <formula>AND(IF($Q336=2,1,0),IF($X336&lt;30,1,0))</formula>
    </cfRule>
    <cfRule type="expression" dxfId="13933" priority="907">
      <formula>AND(IF($Q336=3,1,0),IF($X336&lt;30,1,0))</formula>
    </cfRule>
    <cfRule type="expression" dxfId="13932" priority="908">
      <formula>AND(IF($Q336=3,1,IF($Q336=4,1,0)),IF($F336&lt;=85,1,0))</formula>
    </cfRule>
  </conditionalFormatting>
  <conditionalFormatting sqref="AI336">
    <cfRule type="expression" dxfId="13931" priority="901">
      <formula>AND(IF(OR($Q336=1,$Q336=2),1,0),IF($X336&lt;=20,1,0))</formula>
    </cfRule>
    <cfRule type="expression" dxfId="13930" priority="902">
      <formula>AND(IF($Q336=2,1,0),IF($X336&lt;30,1,0))</formula>
    </cfRule>
    <cfRule type="expression" dxfId="13929" priority="903">
      <formula>AND(IF($Q336=3,1,0),IF($X336&lt;30,1,0))</formula>
    </cfRule>
    <cfRule type="expression" dxfId="13928" priority="904">
      <formula>AND(IF($Q336=3,1,IF($Q336=4,1,0)),IF($F336&lt;=85,1,0))</formula>
    </cfRule>
  </conditionalFormatting>
  <conditionalFormatting sqref="AV337">
    <cfRule type="expression" dxfId="13927" priority="899">
      <formula>AV337="X"</formula>
    </cfRule>
    <cfRule type="expression" dxfId="13926" priority="900">
      <formula>AV337="후보"</formula>
    </cfRule>
  </conditionalFormatting>
  <conditionalFormatting sqref="AC337">
    <cfRule type="cellIs" dxfId="13925" priority="897" operator="greaterThan">
      <formula>0.9</formula>
    </cfRule>
    <cfRule type="cellIs" dxfId="13924" priority="898" operator="greaterThan">
      <formula>0.85</formula>
    </cfRule>
  </conditionalFormatting>
  <conditionalFormatting sqref="N337">
    <cfRule type="cellIs" dxfId="13923" priority="895" operator="greaterThan">
      <formula>0.9</formula>
    </cfRule>
    <cfRule type="cellIs" dxfId="13922" priority="896" operator="greaterThan">
      <formula>0.85</formula>
    </cfRule>
  </conditionalFormatting>
  <conditionalFormatting sqref="E337">
    <cfRule type="expression" dxfId="13921" priority="891">
      <formula>AND(IF(OR($Q337=1,$Q337=2),1,0),IF($X337&lt;=20,1,0))</formula>
    </cfRule>
    <cfRule type="expression" dxfId="13920" priority="892">
      <formula>AND(IF($Q337=2,1,0),IF($X337&lt;30,1,0))</formula>
    </cfRule>
    <cfRule type="expression" dxfId="13919" priority="893">
      <formula>AND(IF($Q337=3,1,0),IF($X337&lt;30,1,0))</formula>
    </cfRule>
    <cfRule type="expression" dxfId="13918" priority="894">
      <formula>AND(IF($Q337=3,1,IF($Q337=4,1,0)),IF($F337&lt;=85,1,0))</formula>
    </cfRule>
  </conditionalFormatting>
  <conditionalFormatting sqref="X337">
    <cfRule type="expression" dxfId="13917" priority="887">
      <formula>AND(IF(OR($Q337=1,$Q337=2),1,0),IF($X337&lt;=20,1,0))</formula>
    </cfRule>
    <cfRule type="expression" dxfId="13916" priority="888">
      <formula>AND(IF($Q337=2,1,0),IF($X337&lt;30,1,0))</formula>
    </cfRule>
    <cfRule type="expression" dxfId="13915" priority="889">
      <formula>AND(IF($Q337=3,1,0),IF($X337&lt;30,1,0))</formula>
    </cfRule>
    <cfRule type="expression" dxfId="13914" priority="890">
      <formula>AND(IF($Q337=3,1,IF($Q337=4,1,0)),IF($F337&lt;=85,1,0))</formula>
    </cfRule>
  </conditionalFormatting>
  <conditionalFormatting sqref="AI337">
    <cfRule type="expression" dxfId="13913" priority="883">
      <formula>AND(IF(OR($Q337=1,$Q337=2),1,0),IF($X337&lt;=20,1,0))</formula>
    </cfRule>
    <cfRule type="expression" dxfId="13912" priority="884">
      <formula>AND(IF($Q337=2,1,0),IF($X337&lt;30,1,0))</formula>
    </cfRule>
    <cfRule type="expression" dxfId="13911" priority="885">
      <formula>AND(IF($Q337=3,1,0),IF($X337&lt;30,1,0))</formula>
    </cfRule>
    <cfRule type="expression" dxfId="13910" priority="886">
      <formula>AND(IF($Q337=3,1,IF($Q337=4,1,0)),IF($F337&lt;=85,1,0))</formula>
    </cfRule>
  </conditionalFormatting>
  <conditionalFormatting sqref="AV338">
    <cfRule type="expression" dxfId="13909" priority="881">
      <formula>AV338="X"</formula>
    </cfRule>
    <cfRule type="expression" dxfId="13908" priority="882">
      <formula>AV338="후보"</formula>
    </cfRule>
  </conditionalFormatting>
  <conditionalFormatting sqref="AC338">
    <cfRule type="cellIs" dxfId="13907" priority="879" operator="greaterThan">
      <formula>0.9</formula>
    </cfRule>
    <cfRule type="cellIs" dxfId="13906" priority="880" operator="greaterThan">
      <formula>0.85</formula>
    </cfRule>
  </conditionalFormatting>
  <conditionalFormatting sqref="N338">
    <cfRule type="cellIs" dxfId="13905" priority="877" operator="greaterThan">
      <formula>0.9</formula>
    </cfRule>
    <cfRule type="cellIs" dxfId="13904" priority="878" operator="greaterThan">
      <formula>0.85</formula>
    </cfRule>
  </conditionalFormatting>
  <conditionalFormatting sqref="E338">
    <cfRule type="expression" dxfId="13903" priority="873">
      <formula>AND(IF(OR($Q338=1,$Q338=2),1,0),IF($X338&lt;=20,1,0))</formula>
    </cfRule>
    <cfRule type="expression" dxfId="13902" priority="874">
      <formula>AND(IF($Q338=2,1,0),IF($X338&lt;30,1,0))</formula>
    </cfRule>
    <cfRule type="expression" dxfId="13901" priority="875">
      <formula>AND(IF($Q338=3,1,0),IF($X338&lt;30,1,0))</formula>
    </cfRule>
    <cfRule type="expression" dxfId="13900" priority="876">
      <formula>AND(IF($Q338=3,1,IF($Q338=4,1,0)),IF($F338&lt;=85,1,0))</formula>
    </cfRule>
  </conditionalFormatting>
  <conditionalFormatting sqref="X338">
    <cfRule type="expression" dxfId="13899" priority="869">
      <formula>AND(IF(OR($Q338=1,$Q338=2),1,0),IF($X338&lt;=20,1,0))</formula>
    </cfRule>
    <cfRule type="expression" dxfId="13898" priority="870">
      <formula>AND(IF($Q338=2,1,0),IF($X338&lt;30,1,0))</formula>
    </cfRule>
    <cfRule type="expression" dxfId="13897" priority="871">
      <formula>AND(IF($Q338=3,1,0),IF($X338&lt;30,1,0))</formula>
    </cfRule>
    <cfRule type="expression" dxfId="13896" priority="872">
      <formula>AND(IF($Q338=3,1,IF($Q338=4,1,0)),IF($F338&lt;=85,1,0))</formula>
    </cfRule>
  </conditionalFormatting>
  <conditionalFormatting sqref="AI338">
    <cfRule type="expression" dxfId="13895" priority="865">
      <formula>AND(IF(OR($Q338=1,$Q338=2),1,0),IF($X338&lt;=20,1,0))</formula>
    </cfRule>
    <cfRule type="expression" dxfId="13894" priority="866">
      <formula>AND(IF($Q338=2,1,0),IF($X338&lt;30,1,0))</formula>
    </cfRule>
    <cfRule type="expression" dxfId="13893" priority="867">
      <formula>AND(IF($Q338=3,1,0),IF($X338&lt;30,1,0))</formula>
    </cfRule>
    <cfRule type="expression" dxfId="13892" priority="868">
      <formula>AND(IF($Q338=3,1,IF($Q338=4,1,0)),IF($F338&lt;=85,1,0))</formula>
    </cfRule>
  </conditionalFormatting>
  <conditionalFormatting sqref="AV339">
    <cfRule type="expression" dxfId="13891" priority="863">
      <formula>AV339="X"</formula>
    </cfRule>
    <cfRule type="expression" dxfId="13890" priority="864">
      <formula>AV339="후보"</formula>
    </cfRule>
  </conditionalFormatting>
  <conditionalFormatting sqref="AC339">
    <cfRule type="cellIs" dxfId="13889" priority="861" operator="greaterThan">
      <formula>0.9</formula>
    </cfRule>
    <cfRule type="cellIs" dxfId="13888" priority="862" operator="greaterThan">
      <formula>0.85</formula>
    </cfRule>
  </conditionalFormatting>
  <conditionalFormatting sqref="N339">
    <cfRule type="cellIs" dxfId="13887" priority="859" operator="greaterThan">
      <formula>0.9</formula>
    </cfRule>
    <cfRule type="cellIs" dxfId="13886" priority="860" operator="greaterThan">
      <formula>0.85</formula>
    </cfRule>
  </conditionalFormatting>
  <conditionalFormatting sqref="E339">
    <cfRule type="expression" dxfId="13885" priority="855">
      <formula>AND(IF(OR($Q339=1,$Q339=2),1,0),IF($X339&lt;=20,1,0))</formula>
    </cfRule>
    <cfRule type="expression" dxfId="13884" priority="856">
      <formula>AND(IF($Q339=2,1,0),IF($X339&lt;30,1,0))</formula>
    </cfRule>
    <cfRule type="expression" dxfId="13883" priority="857">
      <formula>AND(IF($Q339=3,1,0),IF($X339&lt;30,1,0))</formula>
    </cfRule>
    <cfRule type="expression" dxfId="13882" priority="858">
      <formula>AND(IF($Q339=3,1,IF($Q339=4,1,0)),IF($F339&lt;=85,1,0))</formula>
    </cfRule>
  </conditionalFormatting>
  <conditionalFormatting sqref="X339">
    <cfRule type="expression" dxfId="13881" priority="851">
      <formula>AND(IF(OR($Q339=1,$Q339=2),1,0),IF($X339&lt;=20,1,0))</formula>
    </cfRule>
    <cfRule type="expression" dxfId="13880" priority="852">
      <formula>AND(IF($Q339=2,1,0),IF($X339&lt;30,1,0))</formula>
    </cfRule>
    <cfRule type="expression" dxfId="13879" priority="853">
      <formula>AND(IF($Q339=3,1,0),IF($X339&lt;30,1,0))</formula>
    </cfRule>
    <cfRule type="expression" dxfId="13878" priority="854">
      <formula>AND(IF($Q339=3,1,IF($Q339=4,1,0)),IF($F339&lt;=85,1,0))</formula>
    </cfRule>
  </conditionalFormatting>
  <conditionalFormatting sqref="AI339">
    <cfRule type="expression" dxfId="13877" priority="847">
      <formula>AND(IF(OR($Q339=1,$Q339=2),1,0),IF($X339&lt;=20,1,0))</formula>
    </cfRule>
    <cfRule type="expression" dxfId="13876" priority="848">
      <formula>AND(IF($Q339=2,1,0),IF($X339&lt;30,1,0))</formula>
    </cfRule>
    <cfRule type="expression" dxfId="13875" priority="849">
      <formula>AND(IF($Q339=3,1,0),IF($X339&lt;30,1,0))</formula>
    </cfRule>
    <cfRule type="expression" dxfId="13874" priority="850">
      <formula>AND(IF($Q339=3,1,IF($Q339=4,1,0)),IF($F339&lt;=85,1,0))</formula>
    </cfRule>
  </conditionalFormatting>
  <conditionalFormatting sqref="AV340">
    <cfRule type="expression" dxfId="13873" priority="845">
      <formula>AV340="X"</formula>
    </cfRule>
    <cfRule type="expression" dxfId="13872" priority="846">
      <formula>AV340="후보"</formula>
    </cfRule>
  </conditionalFormatting>
  <conditionalFormatting sqref="AC340">
    <cfRule type="cellIs" dxfId="13871" priority="843" operator="greaterThan">
      <formula>0.9</formula>
    </cfRule>
    <cfRule type="cellIs" dxfId="13870" priority="844" operator="greaterThan">
      <formula>0.85</formula>
    </cfRule>
  </conditionalFormatting>
  <conditionalFormatting sqref="N340">
    <cfRule type="cellIs" dxfId="13869" priority="841" operator="greaterThan">
      <formula>0.9</formula>
    </cfRule>
    <cfRule type="cellIs" dxfId="13868" priority="842" operator="greaterThan">
      <formula>0.85</formula>
    </cfRule>
  </conditionalFormatting>
  <conditionalFormatting sqref="E340">
    <cfRule type="expression" dxfId="13867" priority="837">
      <formula>AND(IF(OR($Q340=1,$Q340=2),1,0),IF($X340&lt;=20,1,0))</formula>
    </cfRule>
    <cfRule type="expression" dxfId="13866" priority="838">
      <formula>AND(IF($Q340=2,1,0),IF($X340&lt;30,1,0))</formula>
    </cfRule>
    <cfRule type="expression" dxfId="13865" priority="839">
      <formula>AND(IF($Q340=3,1,0),IF($X340&lt;30,1,0))</formula>
    </cfRule>
    <cfRule type="expression" dxfId="13864" priority="840">
      <formula>AND(IF($Q340=3,1,IF($Q340=4,1,0)),IF($F340&lt;=85,1,0))</formula>
    </cfRule>
  </conditionalFormatting>
  <conditionalFormatting sqref="X340">
    <cfRule type="expression" dxfId="13863" priority="833">
      <formula>AND(IF(OR($Q340=1,$Q340=2),1,0),IF($X340&lt;=20,1,0))</formula>
    </cfRule>
    <cfRule type="expression" dxfId="13862" priority="834">
      <formula>AND(IF($Q340=2,1,0),IF($X340&lt;30,1,0))</formula>
    </cfRule>
    <cfRule type="expression" dxfId="13861" priority="835">
      <formula>AND(IF($Q340=3,1,0),IF($X340&lt;30,1,0))</formula>
    </cfRule>
    <cfRule type="expression" dxfId="13860" priority="836">
      <formula>AND(IF($Q340=3,1,IF($Q340=4,1,0)),IF($F340&lt;=85,1,0))</formula>
    </cfRule>
  </conditionalFormatting>
  <conditionalFormatting sqref="AI340">
    <cfRule type="expression" dxfId="13859" priority="829">
      <formula>AND(IF(OR($Q340=1,$Q340=2),1,0),IF($X340&lt;=20,1,0))</formula>
    </cfRule>
    <cfRule type="expression" dxfId="13858" priority="830">
      <formula>AND(IF($Q340=2,1,0),IF($X340&lt;30,1,0))</formula>
    </cfRule>
    <cfRule type="expression" dxfId="13857" priority="831">
      <formula>AND(IF($Q340=3,1,0),IF($X340&lt;30,1,0))</formula>
    </cfRule>
    <cfRule type="expression" dxfId="13856" priority="832">
      <formula>AND(IF($Q340=3,1,IF($Q340=4,1,0)),IF($F340&lt;=85,1,0))</formula>
    </cfRule>
  </conditionalFormatting>
  <conditionalFormatting sqref="AV341">
    <cfRule type="expression" dxfId="13855" priority="827">
      <formula>AV341="X"</formula>
    </cfRule>
    <cfRule type="expression" dxfId="13854" priority="828">
      <formula>AV341="후보"</formula>
    </cfRule>
  </conditionalFormatting>
  <conditionalFormatting sqref="AC341">
    <cfRule type="cellIs" dxfId="13853" priority="825" operator="greaterThan">
      <formula>0.9</formula>
    </cfRule>
    <cfRule type="cellIs" dxfId="13852" priority="826" operator="greaterThan">
      <formula>0.85</formula>
    </cfRule>
  </conditionalFormatting>
  <conditionalFormatting sqref="N341">
    <cfRule type="cellIs" dxfId="13851" priority="823" operator="greaterThan">
      <formula>0.9</formula>
    </cfRule>
    <cfRule type="cellIs" dxfId="13850" priority="824" operator="greaterThan">
      <formula>0.85</formula>
    </cfRule>
  </conditionalFormatting>
  <conditionalFormatting sqref="E341">
    <cfRule type="expression" dxfId="13849" priority="819">
      <formula>AND(IF(OR($Q341=1,$Q341=2),1,0),IF($X341&lt;=20,1,0))</formula>
    </cfRule>
    <cfRule type="expression" dxfId="13848" priority="820">
      <formula>AND(IF($Q341=2,1,0),IF($X341&lt;30,1,0))</formula>
    </cfRule>
    <cfRule type="expression" dxfId="13847" priority="821">
      <formula>AND(IF($Q341=3,1,0),IF($X341&lt;30,1,0))</formula>
    </cfRule>
    <cfRule type="expression" dxfId="13846" priority="822">
      <formula>AND(IF($Q341=3,1,IF($Q341=4,1,0)),IF($F341&lt;=85,1,0))</formula>
    </cfRule>
  </conditionalFormatting>
  <conditionalFormatting sqref="X341">
    <cfRule type="expression" dxfId="13845" priority="815">
      <formula>AND(IF(OR($Q341=1,$Q341=2),1,0),IF($X341&lt;=20,1,0))</formula>
    </cfRule>
    <cfRule type="expression" dxfId="13844" priority="816">
      <formula>AND(IF($Q341=2,1,0),IF($X341&lt;30,1,0))</formula>
    </cfRule>
    <cfRule type="expression" dxfId="13843" priority="817">
      <formula>AND(IF($Q341=3,1,0),IF($X341&lt;30,1,0))</formula>
    </cfRule>
    <cfRule type="expression" dxfId="13842" priority="818">
      <formula>AND(IF($Q341=3,1,IF($Q341=4,1,0)),IF($F341&lt;=85,1,0))</formula>
    </cfRule>
  </conditionalFormatting>
  <conditionalFormatting sqref="AI341">
    <cfRule type="expression" dxfId="13841" priority="811">
      <formula>AND(IF(OR($Q341=1,$Q341=2),1,0),IF($X341&lt;=20,1,0))</formula>
    </cfRule>
    <cfRule type="expression" dxfId="13840" priority="812">
      <formula>AND(IF($Q341=2,1,0),IF($X341&lt;30,1,0))</formula>
    </cfRule>
    <cfRule type="expression" dxfId="13839" priority="813">
      <formula>AND(IF($Q341=3,1,0),IF($X341&lt;30,1,0))</formula>
    </cfRule>
    <cfRule type="expression" dxfId="13838" priority="814">
      <formula>AND(IF($Q341=3,1,IF($Q341=4,1,0)),IF($F341&lt;=85,1,0))</formula>
    </cfRule>
  </conditionalFormatting>
  <conditionalFormatting sqref="AV342">
    <cfRule type="expression" dxfId="13837" priority="809">
      <formula>AV342="X"</formula>
    </cfRule>
    <cfRule type="expression" dxfId="13836" priority="810">
      <formula>AV342="후보"</formula>
    </cfRule>
  </conditionalFormatting>
  <conditionalFormatting sqref="AC342">
    <cfRule type="cellIs" dxfId="13835" priority="807" operator="greaterThan">
      <formula>0.9</formula>
    </cfRule>
    <cfRule type="cellIs" dxfId="13834" priority="808" operator="greaterThan">
      <formula>0.85</formula>
    </cfRule>
  </conditionalFormatting>
  <conditionalFormatting sqref="N342">
    <cfRule type="cellIs" dxfId="13833" priority="805" operator="greaterThan">
      <formula>0.9</formula>
    </cfRule>
    <cfRule type="cellIs" dxfId="13832" priority="806" operator="greaterThan">
      <formula>0.85</formula>
    </cfRule>
  </conditionalFormatting>
  <conditionalFormatting sqref="E342">
    <cfRule type="expression" dxfId="13831" priority="801">
      <formula>AND(IF(OR($Q342=1,$Q342=2),1,0),IF($X342&lt;=20,1,0))</formula>
    </cfRule>
    <cfRule type="expression" dxfId="13830" priority="802">
      <formula>AND(IF($Q342=2,1,0),IF($X342&lt;30,1,0))</formula>
    </cfRule>
    <cfRule type="expression" dxfId="13829" priority="803">
      <formula>AND(IF($Q342=3,1,0),IF($X342&lt;30,1,0))</formula>
    </cfRule>
    <cfRule type="expression" dxfId="13828" priority="804">
      <formula>AND(IF($Q342=3,1,IF($Q342=4,1,0)),IF($F342&lt;=85,1,0))</formula>
    </cfRule>
  </conditionalFormatting>
  <conditionalFormatting sqref="X342">
    <cfRule type="expression" dxfId="13827" priority="797">
      <formula>AND(IF(OR($Q342=1,$Q342=2),1,0),IF($X342&lt;=20,1,0))</formula>
    </cfRule>
    <cfRule type="expression" dxfId="13826" priority="798">
      <formula>AND(IF($Q342=2,1,0),IF($X342&lt;30,1,0))</formula>
    </cfRule>
    <cfRule type="expression" dxfId="13825" priority="799">
      <formula>AND(IF($Q342=3,1,0),IF($X342&lt;30,1,0))</formula>
    </cfRule>
    <cfRule type="expression" dxfId="13824" priority="800">
      <formula>AND(IF($Q342=3,1,IF($Q342=4,1,0)),IF($F342&lt;=85,1,0))</formula>
    </cfRule>
  </conditionalFormatting>
  <conditionalFormatting sqref="AI342">
    <cfRule type="expression" dxfId="13823" priority="793">
      <formula>AND(IF(OR($Q342=1,$Q342=2),1,0),IF($X342&lt;=20,1,0))</formula>
    </cfRule>
    <cfRule type="expression" dxfId="13822" priority="794">
      <formula>AND(IF($Q342=2,1,0),IF($X342&lt;30,1,0))</formula>
    </cfRule>
    <cfRule type="expression" dxfId="13821" priority="795">
      <formula>AND(IF($Q342=3,1,0),IF($X342&lt;30,1,0))</formula>
    </cfRule>
    <cfRule type="expression" dxfId="13820" priority="796">
      <formula>AND(IF($Q342=3,1,IF($Q342=4,1,0)),IF($F342&lt;=85,1,0))</formula>
    </cfRule>
  </conditionalFormatting>
  <conditionalFormatting sqref="AV343">
    <cfRule type="expression" dxfId="13819" priority="791">
      <formula>AV343="X"</formula>
    </cfRule>
    <cfRule type="expression" dxfId="13818" priority="792">
      <formula>AV343="후보"</formula>
    </cfRule>
  </conditionalFormatting>
  <conditionalFormatting sqref="AC343">
    <cfRule type="cellIs" dxfId="13817" priority="789" operator="greaterThan">
      <formula>0.9</formula>
    </cfRule>
    <cfRule type="cellIs" dxfId="13816" priority="790" operator="greaterThan">
      <formula>0.85</formula>
    </cfRule>
  </conditionalFormatting>
  <conditionalFormatting sqref="N343">
    <cfRule type="cellIs" dxfId="13815" priority="787" operator="greaterThan">
      <formula>0.9</formula>
    </cfRule>
    <cfRule type="cellIs" dxfId="13814" priority="788" operator="greaterThan">
      <formula>0.85</formula>
    </cfRule>
  </conditionalFormatting>
  <conditionalFormatting sqref="E343">
    <cfRule type="expression" dxfId="13813" priority="783">
      <formula>AND(IF(OR($Q343=1,$Q343=2),1,0),IF($X343&lt;=20,1,0))</formula>
    </cfRule>
    <cfRule type="expression" dxfId="13812" priority="784">
      <formula>AND(IF($Q343=2,1,0),IF($X343&lt;30,1,0))</formula>
    </cfRule>
    <cfRule type="expression" dxfId="13811" priority="785">
      <formula>AND(IF($Q343=3,1,0),IF($X343&lt;30,1,0))</formula>
    </cfRule>
    <cfRule type="expression" dxfId="13810" priority="786">
      <formula>AND(IF($Q343=3,1,IF($Q343=4,1,0)),IF($F343&lt;=85,1,0))</formula>
    </cfRule>
  </conditionalFormatting>
  <conditionalFormatting sqref="X343">
    <cfRule type="expression" dxfId="13809" priority="779">
      <formula>AND(IF(OR($Q343=1,$Q343=2),1,0),IF($X343&lt;=20,1,0))</formula>
    </cfRule>
    <cfRule type="expression" dxfId="13808" priority="780">
      <formula>AND(IF($Q343=2,1,0),IF($X343&lt;30,1,0))</formula>
    </cfRule>
    <cfRule type="expression" dxfId="13807" priority="781">
      <formula>AND(IF($Q343=3,1,0),IF($X343&lt;30,1,0))</formula>
    </cfRule>
    <cfRule type="expression" dxfId="13806" priority="782">
      <formula>AND(IF($Q343=3,1,IF($Q343=4,1,0)),IF($F343&lt;=85,1,0))</formula>
    </cfRule>
  </conditionalFormatting>
  <conditionalFormatting sqref="AI343">
    <cfRule type="expression" dxfId="13805" priority="775">
      <formula>AND(IF(OR($Q343=1,$Q343=2),1,0),IF($X343&lt;=20,1,0))</formula>
    </cfRule>
    <cfRule type="expression" dxfId="13804" priority="776">
      <formula>AND(IF($Q343=2,1,0),IF($X343&lt;30,1,0))</formula>
    </cfRule>
    <cfRule type="expression" dxfId="13803" priority="777">
      <formula>AND(IF($Q343=3,1,0),IF($X343&lt;30,1,0))</formula>
    </cfRule>
    <cfRule type="expression" dxfId="13802" priority="778">
      <formula>AND(IF($Q343=3,1,IF($Q343=4,1,0)),IF($F343&lt;=85,1,0))</formula>
    </cfRule>
  </conditionalFormatting>
  <conditionalFormatting sqref="AV344">
    <cfRule type="expression" dxfId="13801" priority="773">
      <formula>AV344="X"</formula>
    </cfRule>
    <cfRule type="expression" dxfId="13800" priority="774">
      <formula>AV344="후보"</formula>
    </cfRule>
  </conditionalFormatting>
  <conditionalFormatting sqref="AC344">
    <cfRule type="cellIs" dxfId="13799" priority="771" operator="greaterThan">
      <formula>0.9</formula>
    </cfRule>
    <cfRule type="cellIs" dxfId="13798" priority="772" operator="greaterThan">
      <formula>0.85</formula>
    </cfRule>
  </conditionalFormatting>
  <conditionalFormatting sqref="N344">
    <cfRule type="cellIs" dxfId="13797" priority="769" operator="greaterThan">
      <formula>0.9</formula>
    </cfRule>
    <cfRule type="cellIs" dxfId="13796" priority="770" operator="greaterThan">
      <formula>0.85</formula>
    </cfRule>
  </conditionalFormatting>
  <conditionalFormatting sqref="E344">
    <cfRule type="expression" dxfId="13795" priority="765">
      <formula>AND(IF(OR($Q344=1,$Q344=2),1,0),IF($X344&lt;=20,1,0))</formula>
    </cfRule>
    <cfRule type="expression" dxfId="13794" priority="766">
      <formula>AND(IF($Q344=2,1,0),IF($X344&lt;30,1,0))</formula>
    </cfRule>
    <cfRule type="expression" dxfId="13793" priority="767">
      <formula>AND(IF($Q344=3,1,0),IF($X344&lt;30,1,0))</formula>
    </cfRule>
    <cfRule type="expression" dxfId="13792" priority="768">
      <formula>AND(IF($Q344=3,1,IF($Q344=4,1,0)),IF($F344&lt;=85,1,0))</formula>
    </cfRule>
  </conditionalFormatting>
  <conditionalFormatting sqref="X344">
    <cfRule type="expression" dxfId="13791" priority="761">
      <formula>AND(IF(OR($Q344=1,$Q344=2),1,0),IF($X344&lt;=20,1,0))</formula>
    </cfRule>
    <cfRule type="expression" dxfId="13790" priority="762">
      <formula>AND(IF($Q344=2,1,0),IF($X344&lt;30,1,0))</formula>
    </cfRule>
    <cfRule type="expression" dxfId="13789" priority="763">
      <formula>AND(IF($Q344=3,1,0),IF($X344&lt;30,1,0))</formula>
    </cfRule>
    <cfRule type="expression" dxfId="13788" priority="764">
      <formula>AND(IF($Q344=3,1,IF($Q344=4,1,0)),IF($F344&lt;=85,1,0))</formula>
    </cfRule>
  </conditionalFormatting>
  <conditionalFormatting sqref="AI344">
    <cfRule type="expression" dxfId="13787" priority="757">
      <formula>AND(IF(OR($Q344=1,$Q344=2),1,0),IF($X344&lt;=20,1,0))</formula>
    </cfRule>
    <cfRule type="expression" dxfId="13786" priority="758">
      <formula>AND(IF($Q344=2,1,0),IF($X344&lt;30,1,0))</formula>
    </cfRule>
    <cfRule type="expression" dxfId="13785" priority="759">
      <formula>AND(IF($Q344=3,1,0),IF($X344&lt;30,1,0))</formula>
    </cfRule>
    <cfRule type="expression" dxfId="13784" priority="760">
      <formula>AND(IF($Q344=3,1,IF($Q344=4,1,0)),IF($F344&lt;=85,1,0))</formula>
    </cfRule>
  </conditionalFormatting>
  <conditionalFormatting sqref="AV345">
    <cfRule type="expression" dxfId="13783" priority="755">
      <formula>AV345="X"</formula>
    </cfRule>
    <cfRule type="expression" dxfId="13782" priority="756">
      <formula>AV345="후보"</formula>
    </cfRule>
  </conditionalFormatting>
  <conditionalFormatting sqref="AC345">
    <cfRule type="cellIs" dxfId="13781" priority="753" operator="greaterThan">
      <formula>0.9</formula>
    </cfRule>
    <cfRule type="cellIs" dxfId="13780" priority="754" operator="greaterThan">
      <formula>0.85</formula>
    </cfRule>
  </conditionalFormatting>
  <conditionalFormatting sqref="N345">
    <cfRule type="cellIs" dxfId="13779" priority="751" operator="greaterThan">
      <formula>0.9</formula>
    </cfRule>
    <cfRule type="cellIs" dxfId="13778" priority="752" operator="greaterThan">
      <formula>0.85</formula>
    </cfRule>
  </conditionalFormatting>
  <conditionalFormatting sqref="E345">
    <cfRule type="expression" dxfId="13777" priority="747">
      <formula>AND(IF(OR($Q345=1,$Q345=2),1,0),IF($X345&lt;=20,1,0))</formula>
    </cfRule>
    <cfRule type="expression" dxfId="13776" priority="748">
      <formula>AND(IF($Q345=2,1,0),IF($X345&lt;30,1,0))</formula>
    </cfRule>
    <cfRule type="expression" dxfId="13775" priority="749">
      <formula>AND(IF($Q345=3,1,0),IF($X345&lt;30,1,0))</formula>
    </cfRule>
    <cfRule type="expression" dxfId="13774" priority="750">
      <formula>AND(IF($Q345=3,1,IF($Q345=4,1,0)),IF($F345&lt;=85,1,0))</formula>
    </cfRule>
  </conditionalFormatting>
  <conditionalFormatting sqref="X345">
    <cfRule type="expression" dxfId="13773" priority="743">
      <formula>AND(IF(OR($Q345=1,$Q345=2),1,0),IF($X345&lt;=20,1,0))</formula>
    </cfRule>
    <cfRule type="expression" dxfId="13772" priority="744">
      <formula>AND(IF($Q345=2,1,0),IF($X345&lt;30,1,0))</formula>
    </cfRule>
    <cfRule type="expression" dxfId="13771" priority="745">
      <formula>AND(IF($Q345=3,1,0),IF($X345&lt;30,1,0))</formula>
    </cfRule>
    <cfRule type="expression" dxfId="13770" priority="746">
      <formula>AND(IF($Q345=3,1,IF($Q345=4,1,0)),IF($F345&lt;=85,1,0))</formula>
    </cfRule>
  </conditionalFormatting>
  <conditionalFormatting sqref="AI345">
    <cfRule type="expression" dxfId="13769" priority="739">
      <formula>AND(IF(OR($Q345=1,$Q345=2),1,0),IF($X345&lt;=20,1,0))</formula>
    </cfRule>
    <cfRule type="expression" dxfId="13768" priority="740">
      <formula>AND(IF($Q345=2,1,0),IF($X345&lt;30,1,0))</formula>
    </cfRule>
    <cfRule type="expression" dxfId="13767" priority="741">
      <formula>AND(IF($Q345=3,1,0),IF($X345&lt;30,1,0))</formula>
    </cfRule>
    <cfRule type="expression" dxfId="13766" priority="742">
      <formula>AND(IF($Q345=3,1,IF($Q345=4,1,0)),IF($F345&lt;=85,1,0))</formula>
    </cfRule>
  </conditionalFormatting>
  <conditionalFormatting sqref="AV346">
    <cfRule type="expression" dxfId="13765" priority="737">
      <formula>AV346="X"</formula>
    </cfRule>
    <cfRule type="expression" dxfId="13764" priority="738">
      <formula>AV346="후보"</formula>
    </cfRule>
  </conditionalFormatting>
  <conditionalFormatting sqref="AC346">
    <cfRule type="cellIs" dxfId="13763" priority="735" operator="greaterThan">
      <formula>0.9</formula>
    </cfRule>
    <cfRule type="cellIs" dxfId="13762" priority="736" operator="greaterThan">
      <formula>0.85</formula>
    </cfRule>
  </conditionalFormatting>
  <conditionalFormatting sqref="N346">
    <cfRule type="cellIs" dxfId="13761" priority="733" operator="greaterThan">
      <formula>0.9</formula>
    </cfRule>
    <cfRule type="cellIs" dxfId="13760" priority="734" operator="greaterThan">
      <formula>0.85</formula>
    </cfRule>
  </conditionalFormatting>
  <conditionalFormatting sqref="E346">
    <cfRule type="expression" dxfId="13759" priority="729">
      <formula>AND(IF(OR($Q346=1,$Q346=2),1,0),IF($X346&lt;=20,1,0))</formula>
    </cfRule>
    <cfRule type="expression" dxfId="13758" priority="730">
      <formula>AND(IF($Q346=2,1,0),IF($X346&lt;30,1,0))</formula>
    </cfRule>
    <cfRule type="expression" dxfId="13757" priority="731">
      <formula>AND(IF($Q346=3,1,0),IF($X346&lt;30,1,0))</formula>
    </cfRule>
    <cfRule type="expression" dxfId="13756" priority="732">
      <formula>AND(IF($Q346=3,1,IF($Q346=4,1,0)),IF($F346&lt;=85,1,0))</formula>
    </cfRule>
  </conditionalFormatting>
  <conditionalFormatting sqref="X346">
    <cfRule type="expression" dxfId="13755" priority="725">
      <formula>AND(IF(OR($Q346=1,$Q346=2),1,0),IF($X346&lt;=20,1,0))</formula>
    </cfRule>
    <cfRule type="expression" dxfId="13754" priority="726">
      <formula>AND(IF($Q346=2,1,0),IF($X346&lt;30,1,0))</formula>
    </cfRule>
    <cfRule type="expression" dxfId="13753" priority="727">
      <formula>AND(IF($Q346=3,1,0),IF($X346&lt;30,1,0))</formula>
    </cfRule>
    <cfRule type="expression" dxfId="13752" priority="728">
      <formula>AND(IF($Q346=3,1,IF($Q346=4,1,0)),IF($F346&lt;=85,1,0))</formula>
    </cfRule>
  </conditionalFormatting>
  <conditionalFormatting sqref="AI346">
    <cfRule type="expression" dxfId="13751" priority="721">
      <formula>AND(IF(OR($Q346=1,$Q346=2),1,0),IF($X346&lt;=20,1,0))</formula>
    </cfRule>
    <cfRule type="expression" dxfId="13750" priority="722">
      <formula>AND(IF($Q346=2,1,0),IF($X346&lt;30,1,0))</formula>
    </cfRule>
    <cfRule type="expression" dxfId="13749" priority="723">
      <formula>AND(IF($Q346=3,1,0),IF($X346&lt;30,1,0))</formula>
    </cfRule>
    <cfRule type="expression" dxfId="13748" priority="724">
      <formula>AND(IF($Q346=3,1,IF($Q346=4,1,0)),IF($F346&lt;=85,1,0))</formula>
    </cfRule>
  </conditionalFormatting>
  <conditionalFormatting sqref="AV347">
    <cfRule type="expression" dxfId="13747" priority="719">
      <formula>AV347="X"</formula>
    </cfRule>
    <cfRule type="expression" dxfId="13746" priority="720">
      <formula>AV347="후보"</formula>
    </cfRule>
  </conditionalFormatting>
  <conditionalFormatting sqref="AC347">
    <cfRule type="cellIs" dxfId="13745" priority="717" operator="greaterThan">
      <formula>0.9</formula>
    </cfRule>
    <cfRule type="cellIs" dxfId="13744" priority="718" operator="greaterThan">
      <formula>0.85</formula>
    </cfRule>
  </conditionalFormatting>
  <conditionalFormatting sqref="N347">
    <cfRule type="cellIs" dxfId="13743" priority="715" operator="greaterThan">
      <formula>0.9</formula>
    </cfRule>
    <cfRule type="cellIs" dxfId="13742" priority="716" operator="greaterThan">
      <formula>0.85</formula>
    </cfRule>
  </conditionalFormatting>
  <conditionalFormatting sqref="E347">
    <cfRule type="expression" dxfId="13741" priority="711">
      <formula>AND(IF(OR($Q347=1,$Q347=2),1,0),IF($X347&lt;=20,1,0))</formula>
    </cfRule>
    <cfRule type="expression" dxfId="13740" priority="712">
      <formula>AND(IF($Q347=2,1,0),IF($X347&lt;30,1,0))</formula>
    </cfRule>
    <cfRule type="expression" dxfId="13739" priority="713">
      <formula>AND(IF($Q347=3,1,0),IF($X347&lt;30,1,0))</formula>
    </cfRule>
    <cfRule type="expression" dxfId="13738" priority="714">
      <formula>AND(IF($Q347=3,1,IF($Q347=4,1,0)),IF($F347&lt;=85,1,0))</formula>
    </cfRule>
  </conditionalFormatting>
  <conditionalFormatting sqref="X347">
    <cfRule type="expression" dxfId="13737" priority="707">
      <formula>AND(IF(OR($Q347=1,$Q347=2),1,0),IF($X347&lt;=20,1,0))</formula>
    </cfRule>
    <cfRule type="expression" dxfId="13736" priority="708">
      <formula>AND(IF($Q347=2,1,0),IF($X347&lt;30,1,0))</formula>
    </cfRule>
    <cfRule type="expression" dxfId="13735" priority="709">
      <formula>AND(IF($Q347=3,1,0),IF($X347&lt;30,1,0))</formula>
    </cfRule>
    <cfRule type="expression" dxfId="13734" priority="710">
      <formula>AND(IF($Q347=3,1,IF($Q347=4,1,0)),IF($F347&lt;=85,1,0))</formula>
    </cfRule>
  </conditionalFormatting>
  <conditionalFormatting sqref="AI347">
    <cfRule type="expression" dxfId="13733" priority="703">
      <formula>AND(IF(OR($Q347=1,$Q347=2),1,0),IF($X347&lt;=20,1,0))</formula>
    </cfRule>
    <cfRule type="expression" dxfId="13732" priority="704">
      <formula>AND(IF($Q347=2,1,0),IF($X347&lt;30,1,0))</formula>
    </cfRule>
    <cfRule type="expression" dxfId="13731" priority="705">
      <formula>AND(IF($Q347=3,1,0),IF($X347&lt;30,1,0))</formula>
    </cfRule>
    <cfRule type="expression" dxfId="13730" priority="706">
      <formula>AND(IF($Q347=3,1,IF($Q347=4,1,0)),IF($F347&lt;=85,1,0))</formula>
    </cfRule>
  </conditionalFormatting>
  <conditionalFormatting sqref="AV4">
    <cfRule type="expression" dxfId="13729" priority="6893">
      <formula>AV4="X"</formula>
    </cfRule>
    <cfRule type="expression" dxfId="13728" priority="6894">
      <formula>AV4="후보"</formula>
    </cfRule>
  </conditionalFormatting>
  <conditionalFormatting sqref="AC4">
    <cfRule type="cellIs" dxfId="13727" priority="6891" operator="greaterThan">
      <formula>0.9</formula>
    </cfRule>
    <cfRule type="cellIs" dxfId="13726" priority="6892" operator="greaterThan">
      <formula>0.85</formula>
    </cfRule>
  </conditionalFormatting>
  <conditionalFormatting sqref="N4">
    <cfRule type="cellIs" dxfId="13725" priority="6889" operator="greaterThan">
      <formula>0.9</formula>
    </cfRule>
    <cfRule type="cellIs" dxfId="13724" priority="6890" operator="greaterThan">
      <formula>0.85</formula>
    </cfRule>
  </conditionalFormatting>
  <conditionalFormatting sqref="E4">
    <cfRule type="expression" dxfId="13723" priority="6885">
      <formula>AND(IF(OR($Q4=1,$Q4=2),1,0),IF($X4&lt;=20,1,0))</formula>
    </cfRule>
    <cfRule type="expression" dxfId="13722" priority="6886">
      <formula>AND(IF($Q4=2,1,0),IF($X4&lt;30,1,0))</formula>
    </cfRule>
    <cfRule type="expression" dxfId="13721" priority="6887">
      <formula>AND(IF($Q4=3,1,0),IF($X4&lt;30,1,0))</formula>
    </cfRule>
    <cfRule type="expression" dxfId="13720" priority="6888">
      <formula>AND(IF($Q4=3,1,IF($Q4=4,1,0)),IF($F4&lt;=85,1,0))</formula>
    </cfRule>
  </conditionalFormatting>
  <conditionalFormatting sqref="X4">
    <cfRule type="expression" dxfId="13719" priority="6881">
      <formula>AND(IF(OR($Q4=1,$Q4=2),1,0),IF($X4&lt;=20,1,0))</formula>
    </cfRule>
    <cfRule type="expression" dxfId="13718" priority="6882">
      <formula>AND(IF($Q4=2,1,0),IF($X4&lt;30,1,0))</formula>
    </cfRule>
    <cfRule type="expression" dxfId="13717" priority="6883">
      <formula>AND(IF($Q4=3,1,0),IF($X4&lt;30,1,0))</formula>
    </cfRule>
    <cfRule type="expression" dxfId="13716" priority="6884">
      <formula>AND(IF($Q4=3,1,IF($Q4=4,1,0)),IF($F4&lt;=85,1,0))</formula>
    </cfRule>
  </conditionalFormatting>
  <conditionalFormatting sqref="AI4">
    <cfRule type="expression" dxfId="13715" priority="6877">
      <formula>AND(IF(OR($Q4=1,$Q4=2),1,0),IF($X4&lt;=20,1,0))</formula>
    </cfRule>
    <cfRule type="expression" dxfId="13714" priority="6878">
      <formula>AND(IF($Q4=2,1,0),IF($X4&lt;30,1,0))</formula>
    </cfRule>
    <cfRule type="expression" dxfId="13713" priority="6879">
      <formula>AND(IF($Q4=3,1,0),IF($X4&lt;30,1,0))</formula>
    </cfRule>
    <cfRule type="expression" dxfId="13712" priority="6880">
      <formula>AND(IF($Q4=3,1,IF($Q4=4,1,0)),IF($F4&lt;=85,1,0))</formula>
    </cfRule>
  </conditionalFormatting>
  <conditionalFormatting sqref="AV5">
    <cfRule type="expression" dxfId="13711" priority="6875">
      <formula>AV5="X"</formula>
    </cfRule>
    <cfRule type="expression" dxfId="13710" priority="6876">
      <formula>AV5="후보"</formula>
    </cfRule>
  </conditionalFormatting>
  <conditionalFormatting sqref="AC5">
    <cfRule type="cellIs" dxfId="13709" priority="6873" operator="greaterThan">
      <formula>0.9</formula>
    </cfRule>
    <cfRule type="cellIs" dxfId="13708" priority="6874" operator="greaterThan">
      <formula>0.85</formula>
    </cfRule>
  </conditionalFormatting>
  <conditionalFormatting sqref="N5">
    <cfRule type="cellIs" dxfId="13707" priority="6871" operator="greaterThan">
      <formula>0.9</formula>
    </cfRule>
    <cfRule type="cellIs" dxfId="13706" priority="6872" operator="greaterThan">
      <formula>0.85</formula>
    </cfRule>
  </conditionalFormatting>
  <conditionalFormatting sqref="E5">
    <cfRule type="expression" dxfId="13705" priority="6867">
      <formula>AND(IF(OR($Q5=1,$Q5=2),1,0),IF($X5&lt;=20,1,0))</formula>
    </cfRule>
    <cfRule type="expression" dxfId="13704" priority="6868">
      <formula>AND(IF($Q5=2,1,0),IF($X5&lt;30,1,0))</formula>
    </cfRule>
    <cfRule type="expression" dxfId="13703" priority="6869">
      <formula>AND(IF($Q5=3,1,0),IF($X5&lt;30,1,0))</formula>
    </cfRule>
    <cfRule type="expression" dxfId="13702" priority="6870">
      <formula>AND(IF($Q5=3,1,IF($Q5=4,1,0)),IF($F5&lt;=85,1,0))</formula>
    </cfRule>
  </conditionalFormatting>
  <conditionalFormatting sqref="X5">
    <cfRule type="expression" dxfId="13701" priority="6863">
      <formula>AND(IF(OR($Q5=1,$Q5=2),1,0),IF($X5&lt;=20,1,0))</formula>
    </cfRule>
    <cfRule type="expression" dxfId="13700" priority="6864">
      <formula>AND(IF($Q5=2,1,0),IF($X5&lt;30,1,0))</formula>
    </cfRule>
    <cfRule type="expression" dxfId="13699" priority="6865">
      <formula>AND(IF($Q5=3,1,0),IF($X5&lt;30,1,0))</formula>
    </cfRule>
    <cfRule type="expression" dxfId="13698" priority="6866">
      <formula>AND(IF($Q5=3,1,IF($Q5=4,1,0)),IF($F5&lt;=85,1,0))</formula>
    </cfRule>
  </conditionalFormatting>
  <conditionalFormatting sqref="AI5">
    <cfRule type="expression" dxfId="13697" priority="6859">
      <formula>AND(IF(OR($Q5=1,$Q5=2),1,0),IF($X5&lt;=20,1,0))</formula>
    </cfRule>
    <cfRule type="expression" dxfId="13696" priority="6860">
      <formula>AND(IF($Q5=2,1,0),IF($X5&lt;30,1,0))</formula>
    </cfRule>
    <cfRule type="expression" dxfId="13695" priority="6861">
      <formula>AND(IF($Q5=3,1,0),IF($X5&lt;30,1,0))</formula>
    </cfRule>
    <cfRule type="expression" dxfId="13694" priority="6862">
      <formula>AND(IF($Q5=3,1,IF($Q5=4,1,0)),IF($F5&lt;=85,1,0))</formula>
    </cfRule>
  </conditionalFormatting>
  <conditionalFormatting sqref="AV6">
    <cfRule type="expression" dxfId="13693" priority="6857">
      <formula>AV6="X"</formula>
    </cfRule>
    <cfRule type="expression" dxfId="13692" priority="6858">
      <formula>AV6="후보"</formula>
    </cfRule>
  </conditionalFormatting>
  <conditionalFormatting sqref="AC6">
    <cfRule type="cellIs" dxfId="13691" priority="6855" operator="greaterThan">
      <formula>0.9</formula>
    </cfRule>
    <cfRule type="cellIs" dxfId="13690" priority="6856" operator="greaterThan">
      <formula>0.85</formula>
    </cfRule>
  </conditionalFormatting>
  <conditionalFormatting sqref="N6">
    <cfRule type="cellIs" dxfId="13689" priority="6853" operator="greaterThan">
      <formula>0.9</formula>
    </cfRule>
    <cfRule type="cellIs" dxfId="13688" priority="6854" operator="greaterThan">
      <formula>0.85</formula>
    </cfRule>
  </conditionalFormatting>
  <conditionalFormatting sqref="E6">
    <cfRule type="expression" dxfId="13687" priority="6849">
      <formula>AND(IF(OR($Q6=1,$Q6=2),1,0),IF($X6&lt;=20,1,0))</formula>
    </cfRule>
    <cfRule type="expression" dxfId="13686" priority="6850">
      <formula>AND(IF($Q6=2,1,0),IF($X6&lt;30,1,0))</formula>
    </cfRule>
    <cfRule type="expression" dxfId="13685" priority="6851">
      <formula>AND(IF($Q6=3,1,0),IF($X6&lt;30,1,0))</formula>
    </cfRule>
    <cfRule type="expression" dxfId="13684" priority="6852">
      <formula>AND(IF($Q6=3,1,IF($Q6=4,1,0)),IF($F6&lt;=85,1,0))</formula>
    </cfRule>
  </conditionalFormatting>
  <conditionalFormatting sqref="X6">
    <cfRule type="expression" dxfId="13683" priority="6845">
      <formula>AND(IF(OR($Q6=1,$Q6=2),1,0),IF($X6&lt;=20,1,0))</formula>
    </cfRule>
    <cfRule type="expression" dxfId="13682" priority="6846">
      <formula>AND(IF($Q6=2,1,0),IF($X6&lt;30,1,0))</formula>
    </cfRule>
    <cfRule type="expression" dxfId="13681" priority="6847">
      <formula>AND(IF($Q6=3,1,0),IF($X6&lt;30,1,0))</formula>
    </cfRule>
    <cfRule type="expression" dxfId="13680" priority="6848">
      <formula>AND(IF($Q6=3,1,IF($Q6=4,1,0)),IF($F6&lt;=85,1,0))</formula>
    </cfRule>
  </conditionalFormatting>
  <conditionalFormatting sqref="AI6">
    <cfRule type="expression" dxfId="13679" priority="6841">
      <formula>AND(IF(OR($Q6=1,$Q6=2),1,0),IF($X6&lt;=20,1,0))</formula>
    </cfRule>
    <cfRule type="expression" dxfId="13678" priority="6842">
      <formula>AND(IF($Q6=2,1,0),IF($X6&lt;30,1,0))</formula>
    </cfRule>
    <cfRule type="expression" dxfId="13677" priority="6843">
      <formula>AND(IF($Q6=3,1,0),IF($X6&lt;30,1,0))</formula>
    </cfRule>
    <cfRule type="expression" dxfId="13676" priority="6844">
      <formula>AND(IF($Q6=3,1,IF($Q6=4,1,0)),IF($F6&lt;=85,1,0))</formula>
    </cfRule>
  </conditionalFormatting>
  <conditionalFormatting sqref="AV7">
    <cfRule type="expression" dxfId="13675" priority="6839">
      <formula>AV7="X"</formula>
    </cfRule>
    <cfRule type="expression" dxfId="13674" priority="6840">
      <formula>AV7="후보"</formula>
    </cfRule>
  </conditionalFormatting>
  <conditionalFormatting sqref="AC7">
    <cfRule type="cellIs" dxfId="13673" priority="6837" operator="greaterThan">
      <formula>0.9</formula>
    </cfRule>
    <cfRule type="cellIs" dxfId="13672" priority="6838" operator="greaterThan">
      <formula>0.85</formula>
    </cfRule>
  </conditionalFormatting>
  <conditionalFormatting sqref="N7">
    <cfRule type="cellIs" dxfId="13671" priority="6835" operator="greaterThan">
      <formula>0.9</formula>
    </cfRule>
    <cfRule type="cellIs" dxfId="13670" priority="6836" operator="greaterThan">
      <formula>0.85</formula>
    </cfRule>
  </conditionalFormatting>
  <conditionalFormatting sqref="E7">
    <cfRule type="expression" dxfId="13669" priority="6831">
      <formula>AND(IF(OR($Q7=1,$Q7=2),1,0),IF($X7&lt;=20,1,0))</formula>
    </cfRule>
    <cfRule type="expression" dxfId="13668" priority="6832">
      <formula>AND(IF($Q7=2,1,0),IF($X7&lt;30,1,0))</formula>
    </cfRule>
    <cfRule type="expression" dxfId="13667" priority="6833">
      <formula>AND(IF($Q7=3,1,0),IF($X7&lt;30,1,0))</formula>
    </cfRule>
    <cfRule type="expression" dxfId="13666" priority="6834">
      <formula>AND(IF($Q7=3,1,IF($Q7=4,1,0)),IF($F7&lt;=85,1,0))</formula>
    </cfRule>
  </conditionalFormatting>
  <conditionalFormatting sqref="X7">
    <cfRule type="expression" dxfId="13665" priority="6827">
      <formula>AND(IF(OR($Q7=1,$Q7=2),1,0),IF($X7&lt;=20,1,0))</formula>
    </cfRule>
    <cfRule type="expression" dxfId="13664" priority="6828">
      <formula>AND(IF($Q7=2,1,0),IF($X7&lt;30,1,0))</formula>
    </cfRule>
    <cfRule type="expression" dxfId="13663" priority="6829">
      <formula>AND(IF($Q7=3,1,0),IF($X7&lt;30,1,0))</formula>
    </cfRule>
    <cfRule type="expression" dxfId="13662" priority="6830">
      <formula>AND(IF($Q7=3,1,IF($Q7=4,1,0)),IF($F7&lt;=85,1,0))</formula>
    </cfRule>
  </conditionalFormatting>
  <conditionalFormatting sqref="AI7">
    <cfRule type="expression" dxfId="13661" priority="6823">
      <formula>AND(IF(OR($Q7=1,$Q7=2),1,0),IF($X7&lt;=20,1,0))</formula>
    </cfRule>
    <cfRule type="expression" dxfId="13660" priority="6824">
      <formula>AND(IF($Q7=2,1,0),IF($X7&lt;30,1,0))</formula>
    </cfRule>
    <cfRule type="expression" dxfId="13659" priority="6825">
      <formula>AND(IF($Q7=3,1,0),IF($X7&lt;30,1,0))</formula>
    </cfRule>
    <cfRule type="expression" dxfId="13658" priority="6826">
      <formula>AND(IF($Q7=3,1,IF($Q7=4,1,0)),IF($F7&lt;=85,1,0))</formula>
    </cfRule>
  </conditionalFormatting>
  <conditionalFormatting sqref="AV8">
    <cfRule type="expression" dxfId="13657" priority="6821">
      <formula>AV8="X"</formula>
    </cfRule>
    <cfRule type="expression" dxfId="13656" priority="6822">
      <formula>AV8="후보"</formula>
    </cfRule>
  </conditionalFormatting>
  <conditionalFormatting sqref="AC8">
    <cfRule type="cellIs" dxfId="13655" priority="6819" operator="greaterThan">
      <formula>0.9</formula>
    </cfRule>
    <cfRule type="cellIs" dxfId="13654" priority="6820" operator="greaterThan">
      <formula>0.85</formula>
    </cfRule>
  </conditionalFormatting>
  <conditionalFormatting sqref="N8">
    <cfRule type="cellIs" dxfId="13653" priority="6817" operator="greaterThan">
      <formula>0.9</formula>
    </cfRule>
    <cfRule type="cellIs" dxfId="13652" priority="6818" operator="greaterThan">
      <formula>0.85</formula>
    </cfRule>
  </conditionalFormatting>
  <conditionalFormatting sqref="E8">
    <cfRule type="expression" dxfId="13651" priority="6813">
      <formula>AND(IF(OR($Q8=1,$Q8=2),1,0),IF($X8&lt;=20,1,0))</formula>
    </cfRule>
    <cfRule type="expression" dxfId="13650" priority="6814">
      <formula>AND(IF($Q8=2,1,0),IF($X8&lt;30,1,0))</formula>
    </cfRule>
    <cfRule type="expression" dxfId="13649" priority="6815">
      <formula>AND(IF($Q8=3,1,0),IF($X8&lt;30,1,0))</formula>
    </cfRule>
    <cfRule type="expression" dxfId="13648" priority="6816">
      <formula>AND(IF($Q8=3,1,IF($Q8=4,1,0)),IF($F8&lt;=85,1,0))</formula>
    </cfRule>
  </conditionalFormatting>
  <conditionalFormatting sqref="X8">
    <cfRule type="expression" dxfId="13647" priority="6809">
      <formula>AND(IF(OR($Q8=1,$Q8=2),1,0),IF($X8&lt;=20,1,0))</formula>
    </cfRule>
    <cfRule type="expression" dxfId="13646" priority="6810">
      <formula>AND(IF($Q8=2,1,0),IF($X8&lt;30,1,0))</formula>
    </cfRule>
    <cfRule type="expression" dxfId="13645" priority="6811">
      <formula>AND(IF($Q8=3,1,0),IF($X8&lt;30,1,0))</formula>
    </cfRule>
    <cfRule type="expression" dxfId="13644" priority="6812">
      <formula>AND(IF($Q8=3,1,IF($Q8=4,1,0)),IF($F8&lt;=85,1,0))</formula>
    </cfRule>
  </conditionalFormatting>
  <conditionalFormatting sqref="AI8">
    <cfRule type="expression" dxfId="13643" priority="6805">
      <formula>AND(IF(OR($Q8=1,$Q8=2),1,0),IF($X8&lt;=20,1,0))</formula>
    </cfRule>
    <cfRule type="expression" dxfId="13642" priority="6806">
      <formula>AND(IF($Q8=2,1,0),IF($X8&lt;30,1,0))</formula>
    </cfRule>
    <cfRule type="expression" dxfId="13641" priority="6807">
      <formula>AND(IF($Q8=3,1,0),IF($X8&lt;30,1,0))</formula>
    </cfRule>
    <cfRule type="expression" dxfId="13640" priority="6808">
      <formula>AND(IF($Q8=3,1,IF($Q8=4,1,0)),IF($F8&lt;=85,1,0))</formula>
    </cfRule>
  </conditionalFormatting>
  <conditionalFormatting sqref="AV9">
    <cfRule type="expression" dxfId="13639" priority="6803">
      <formula>AV9="X"</formula>
    </cfRule>
    <cfRule type="expression" dxfId="13638" priority="6804">
      <formula>AV9="후보"</formula>
    </cfRule>
  </conditionalFormatting>
  <conditionalFormatting sqref="AC9">
    <cfRule type="cellIs" dxfId="13637" priority="6801" operator="greaterThan">
      <formula>0.9</formula>
    </cfRule>
    <cfRule type="cellIs" dxfId="13636" priority="6802" operator="greaterThan">
      <formula>0.85</formula>
    </cfRule>
  </conditionalFormatting>
  <conditionalFormatting sqref="N9">
    <cfRule type="cellIs" dxfId="13635" priority="6799" operator="greaterThan">
      <formula>0.9</formula>
    </cfRule>
    <cfRule type="cellIs" dxfId="13634" priority="6800" operator="greaterThan">
      <formula>0.85</formula>
    </cfRule>
  </conditionalFormatting>
  <conditionalFormatting sqref="E9">
    <cfRule type="expression" dxfId="13633" priority="6795">
      <formula>AND(IF(OR($Q9=1,$Q9=2),1,0),IF($X9&lt;=20,1,0))</formula>
    </cfRule>
    <cfRule type="expression" dxfId="13632" priority="6796">
      <formula>AND(IF($Q9=2,1,0),IF($X9&lt;30,1,0))</formula>
    </cfRule>
    <cfRule type="expression" dxfId="13631" priority="6797">
      <formula>AND(IF($Q9=3,1,0),IF($X9&lt;30,1,0))</formula>
    </cfRule>
    <cfRule type="expression" dxfId="13630" priority="6798">
      <formula>AND(IF($Q9=3,1,IF($Q9=4,1,0)),IF($F9&lt;=85,1,0))</formula>
    </cfRule>
  </conditionalFormatting>
  <conditionalFormatting sqref="X9">
    <cfRule type="expression" dxfId="13629" priority="6791">
      <formula>AND(IF(OR($Q9=1,$Q9=2),1,0),IF($X9&lt;=20,1,0))</formula>
    </cfRule>
    <cfRule type="expression" dxfId="13628" priority="6792">
      <formula>AND(IF($Q9=2,1,0),IF($X9&lt;30,1,0))</formula>
    </cfRule>
    <cfRule type="expression" dxfId="13627" priority="6793">
      <formula>AND(IF($Q9=3,1,0),IF($X9&lt;30,1,0))</formula>
    </cfRule>
    <cfRule type="expression" dxfId="13626" priority="6794">
      <formula>AND(IF($Q9=3,1,IF($Q9=4,1,0)),IF($F9&lt;=85,1,0))</formula>
    </cfRule>
  </conditionalFormatting>
  <conditionalFormatting sqref="AI9">
    <cfRule type="expression" dxfId="13625" priority="6787">
      <formula>AND(IF(OR($Q9=1,$Q9=2),1,0),IF($X9&lt;=20,1,0))</formula>
    </cfRule>
    <cfRule type="expression" dxfId="13624" priority="6788">
      <formula>AND(IF($Q9=2,1,0),IF($X9&lt;30,1,0))</formula>
    </cfRule>
    <cfRule type="expression" dxfId="13623" priority="6789">
      <formula>AND(IF($Q9=3,1,0),IF($X9&lt;30,1,0))</formula>
    </cfRule>
    <cfRule type="expression" dxfId="13622" priority="6790">
      <formula>AND(IF($Q9=3,1,IF($Q9=4,1,0)),IF($F9&lt;=85,1,0))</formula>
    </cfRule>
  </conditionalFormatting>
  <conditionalFormatting sqref="AV10">
    <cfRule type="expression" dxfId="13621" priority="6785">
      <formula>AV10="X"</formula>
    </cfRule>
    <cfRule type="expression" dxfId="13620" priority="6786">
      <formula>AV10="후보"</formula>
    </cfRule>
  </conditionalFormatting>
  <conditionalFormatting sqref="AC10">
    <cfRule type="cellIs" dxfId="13619" priority="6783" operator="greaterThan">
      <formula>0.9</formula>
    </cfRule>
    <cfRule type="cellIs" dxfId="13618" priority="6784" operator="greaterThan">
      <formula>0.85</formula>
    </cfRule>
  </conditionalFormatting>
  <conditionalFormatting sqref="N10">
    <cfRule type="cellIs" dxfId="13617" priority="6781" operator="greaterThan">
      <formula>0.9</formula>
    </cfRule>
    <cfRule type="cellIs" dxfId="13616" priority="6782" operator="greaterThan">
      <formula>0.85</formula>
    </cfRule>
  </conditionalFormatting>
  <conditionalFormatting sqref="E10">
    <cfRule type="expression" dxfId="13615" priority="6777">
      <formula>AND(IF(OR($Q10=1,$Q10=2),1,0),IF($X10&lt;=20,1,0))</formula>
    </cfRule>
    <cfRule type="expression" dxfId="13614" priority="6778">
      <formula>AND(IF($Q10=2,1,0),IF($X10&lt;30,1,0))</formula>
    </cfRule>
    <cfRule type="expression" dxfId="13613" priority="6779">
      <formula>AND(IF($Q10=3,1,0),IF($X10&lt;30,1,0))</formula>
    </cfRule>
    <cfRule type="expression" dxfId="13612" priority="6780">
      <formula>AND(IF($Q10=3,1,IF($Q10=4,1,0)),IF($F10&lt;=85,1,0))</formula>
    </cfRule>
  </conditionalFormatting>
  <conditionalFormatting sqref="X10">
    <cfRule type="expression" dxfId="13611" priority="6773">
      <formula>AND(IF(OR($Q10=1,$Q10=2),1,0),IF($X10&lt;=20,1,0))</formula>
    </cfRule>
    <cfRule type="expression" dxfId="13610" priority="6774">
      <formula>AND(IF($Q10=2,1,0),IF($X10&lt;30,1,0))</formula>
    </cfRule>
    <cfRule type="expression" dxfId="13609" priority="6775">
      <formula>AND(IF($Q10=3,1,0),IF($X10&lt;30,1,0))</formula>
    </cfRule>
    <cfRule type="expression" dxfId="13608" priority="6776">
      <formula>AND(IF($Q10=3,1,IF($Q10=4,1,0)),IF($F10&lt;=85,1,0))</formula>
    </cfRule>
  </conditionalFormatting>
  <conditionalFormatting sqref="AI10">
    <cfRule type="expression" dxfId="13607" priority="6769">
      <formula>AND(IF(OR($Q10=1,$Q10=2),1,0),IF($X10&lt;=20,1,0))</formula>
    </cfRule>
    <cfRule type="expression" dxfId="13606" priority="6770">
      <formula>AND(IF($Q10=2,1,0),IF($X10&lt;30,1,0))</formula>
    </cfRule>
    <cfRule type="expression" dxfId="13605" priority="6771">
      <formula>AND(IF($Q10=3,1,0),IF($X10&lt;30,1,0))</formula>
    </cfRule>
    <cfRule type="expression" dxfId="13604" priority="6772">
      <formula>AND(IF($Q10=3,1,IF($Q10=4,1,0)),IF($F10&lt;=85,1,0))</formula>
    </cfRule>
  </conditionalFormatting>
  <conditionalFormatting sqref="AV11">
    <cfRule type="expression" dxfId="13603" priority="6767">
      <formula>AV11="X"</formula>
    </cfRule>
    <cfRule type="expression" dxfId="13602" priority="6768">
      <formula>AV11="후보"</formula>
    </cfRule>
  </conditionalFormatting>
  <conditionalFormatting sqref="AC11">
    <cfRule type="cellIs" dxfId="13601" priority="6765" operator="greaterThan">
      <formula>0.9</formula>
    </cfRule>
    <cfRule type="cellIs" dxfId="13600" priority="6766" operator="greaterThan">
      <formula>0.85</formula>
    </cfRule>
  </conditionalFormatting>
  <conditionalFormatting sqref="N11">
    <cfRule type="cellIs" dxfId="13599" priority="6763" operator="greaterThan">
      <formula>0.9</formula>
    </cfRule>
    <cfRule type="cellIs" dxfId="13598" priority="6764" operator="greaterThan">
      <formula>0.85</formula>
    </cfRule>
  </conditionalFormatting>
  <conditionalFormatting sqref="E11">
    <cfRule type="expression" dxfId="13597" priority="6759">
      <formula>AND(IF(OR($Q11=1,$Q11=2),1,0),IF($X11&lt;=20,1,0))</formula>
    </cfRule>
    <cfRule type="expression" dxfId="13596" priority="6760">
      <formula>AND(IF($Q11=2,1,0),IF($X11&lt;30,1,0))</formula>
    </cfRule>
    <cfRule type="expression" dxfId="13595" priority="6761">
      <formula>AND(IF($Q11=3,1,0),IF($X11&lt;30,1,0))</formula>
    </cfRule>
    <cfRule type="expression" dxfId="13594" priority="6762">
      <formula>AND(IF($Q11=3,1,IF($Q11=4,1,0)),IF($F11&lt;=85,1,0))</formula>
    </cfRule>
  </conditionalFormatting>
  <conditionalFormatting sqref="X11">
    <cfRule type="expression" dxfId="13593" priority="6755">
      <formula>AND(IF(OR($Q11=1,$Q11=2),1,0),IF($X11&lt;=20,1,0))</formula>
    </cfRule>
    <cfRule type="expression" dxfId="13592" priority="6756">
      <formula>AND(IF($Q11=2,1,0),IF($X11&lt;30,1,0))</formula>
    </cfRule>
    <cfRule type="expression" dxfId="13591" priority="6757">
      <formula>AND(IF($Q11=3,1,0),IF($X11&lt;30,1,0))</formula>
    </cfRule>
    <cfRule type="expression" dxfId="13590" priority="6758">
      <formula>AND(IF($Q11=3,1,IF($Q11=4,1,0)),IF($F11&lt;=85,1,0))</formula>
    </cfRule>
  </conditionalFormatting>
  <conditionalFormatting sqref="AI11">
    <cfRule type="expression" dxfId="13589" priority="6751">
      <formula>AND(IF(OR($Q11=1,$Q11=2),1,0),IF($X11&lt;=20,1,0))</formula>
    </cfRule>
    <cfRule type="expression" dxfId="13588" priority="6752">
      <formula>AND(IF($Q11=2,1,0),IF($X11&lt;30,1,0))</formula>
    </cfRule>
    <cfRule type="expression" dxfId="13587" priority="6753">
      <formula>AND(IF($Q11=3,1,0),IF($X11&lt;30,1,0))</formula>
    </cfRule>
    <cfRule type="expression" dxfId="13586" priority="6754">
      <formula>AND(IF($Q11=3,1,IF($Q11=4,1,0)),IF($F11&lt;=85,1,0))</formula>
    </cfRule>
  </conditionalFormatting>
  <conditionalFormatting sqref="AV12">
    <cfRule type="expression" dxfId="13585" priority="6749">
      <formula>AV12="X"</formula>
    </cfRule>
    <cfRule type="expression" dxfId="13584" priority="6750">
      <formula>AV12="후보"</formula>
    </cfRule>
  </conditionalFormatting>
  <conditionalFormatting sqref="AC12">
    <cfRule type="cellIs" dxfId="13583" priority="6747" operator="greaterThan">
      <formula>0.9</formula>
    </cfRule>
    <cfRule type="cellIs" dxfId="13582" priority="6748" operator="greaterThan">
      <formula>0.85</formula>
    </cfRule>
  </conditionalFormatting>
  <conditionalFormatting sqref="N12">
    <cfRule type="cellIs" dxfId="13581" priority="6745" operator="greaterThan">
      <formula>0.9</formula>
    </cfRule>
    <cfRule type="cellIs" dxfId="13580" priority="6746" operator="greaterThan">
      <formula>0.85</formula>
    </cfRule>
  </conditionalFormatting>
  <conditionalFormatting sqref="E12">
    <cfRule type="expression" dxfId="13579" priority="6741">
      <formula>AND(IF(OR($Q12=1,$Q12=2),1,0),IF($X12&lt;=20,1,0))</formula>
    </cfRule>
    <cfRule type="expression" dxfId="13578" priority="6742">
      <formula>AND(IF($Q12=2,1,0),IF($X12&lt;30,1,0))</formula>
    </cfRule>
    <cfRule type="expression" dxfId="13577" priority="6743">
      <formula>AND(IF($Q12=3,1,0),IF($X12&lt;30,1,0))</formula>
    </cfRule>
    <cfRule type="expression" dxfId="13576" priority="6744">
      <formula>AND(IF($Q12=3,1,IF($Q12=4,1,0)),IF($F12&lt;=85,1,0))</formula>
    </cfRule>
  </conditionalFormatting>
  <conditionalFormatting sqref="X12">
    <cfRule type="expression" dxfId="13575" priority="6737">
      <formula>AND(IF(OR($Q12=1,$Q12=2),1,0),IF($X12&lt;=20,1,0))</formula>
    </cfRule>
    <cfRule type="expression" dxfId="13574" priority="6738">
      <formula>AND(IF($Q12=2,1,0),IF($X12&lt;30,1,0))</formula>
    </cfRule>
    <cfRule type="expression" dxfId="13573" priority="6739">
      <formula>AND(IF($Q12=3,1,0),IF($X12&lt;30,1,0))</formula>
    </cfRule>
    <cfRule type="expression" dxfId="13572" priority="6740">
      <formula>AND(IF($Q12=3,1,IF($Q12=4,1,0)),IF($F12&lt;=85,1,0))</formula>
    </cfRule>
  </conditionalFormatting>
  <conditionalFormatting sqref="AI12">
    <cfRule type="expression" dxfId="13571" priority="6733">
      <formula>AND(IF(OR($Q12=1,$Q12=2),1,0),IF($X12&lt;=20,1,0))</formula>
    </cfRule>
    <cfRule type="expression" dxfId="13570" priority="6734">
      <formula>AND(IF($Q12=2,1,0),IF($X12&lt;30,1,0))</formula>
    </cfRule>
    <cfRule type="expression" dxfId="13569" priority="6735">
      <formula>AND(IF($Q12=3,1,0),IF($X12&lt;30,1,0))</formula>
    </cfRule>
    <cfRule type="expression" dxfId="13568" priority="6736">
      <formula>AND(IF($Q12=3,1,IF($Q12=4,1,0)),IF($F12&lt;=85,1,0))</formula>
    </cfRule>
  </conditionalFormatting>
  <conditionalFormatting sqref="AV13">
    <cfRule type="expression" dxfId="13567" priority="6731">
      <formula>AV13="X"</formula>
    </cfRule>
    <cfRule type="expression" dxfId="13566" priority="6732">
      <formula>AV13="후보"</formula>
    </cfRule>
  </conditionalFormatting>
  <conditionalFormatting sqref="AC13">
    <cfRule type="cellIs" dxfId="13565" priority="6729" operator="greaterThan">
      <formula>0.9</formula>
    </cfRule>
    <cfRule type="cellIs" dxfId="13564" priority="6730" operator="greaterThan">
      <formula>0.85</formula>
    </cfRule>
  </conditionalFormatting>
  <conditionalFormatting sqref="N13">
    <cfRule type="cellIs" dxfId="13563" priority="6727" operator="greaterThan">
      <formula>0.9</formula>
    </cfRule>
    <cfRule type="cellIs" dxfId="13562" priority="6728" operator="greaterThan">
      <formula>0.85</formula>
    </cfRule>
  </conditionalFormatting>
  <conditionalFormatting sqref="E13">
    <cfRule type="expression" dxfId="13561" priority="6723">
      <formula>AND(IF(OR($Q13=1,$Q13=2),1,0),IF($X13&lt;=20,1,0))</formula>
    </cfRule>
    <cfRule type="expression" dxfId="13560" priority="6724">
      <formula>AND(IF($Q13=2,1,0),IF($X13&lt;30,1,0))</formula>
    </cfRule>
    <cfRule type="expression" dxfId="13559" priority="6725">
      <formula>AND(IF($Q13=3,1,0),IF($X13&lt;30,1,0))</formula>
    </cfRule>
    <cfRule type="expression" dxfId="13558" priority="6726">
      <formula>AND(IF($Q13=3,1,IF($Q13=4,1,0)),IF($F13&lt;=85,1,0))</formula>
    </cfRule>
  </conditionalFormatting>
  <conditionalFormatting sqref="X13">
    <cfRule type="expression" dxfId="13557" priority="6719">
      <formula>AND(IF(OR($Q13=1,$Q13=2),1,0),IF($X13&lt;=20,1,0))</formula>
    </cfRule>
    <cfRule type="expression" dxfId="13556" priority="6720">
      <formula>AND(IF($Q13=2,1,0),IF($X13&lt;30,1,0))</formula>
    </cfRule>
    <cfRule type="expression" dxfId="13555" priority="6721">
      <formula>AND(IF($Q13=3,1,0),IF($X13&lt;30,1,0))</formula>
    </cfRule>
    <cfRule type="expression" dxfId="13554" priority="6722">
      <formula>AND(IF($Q13=3,1,IF($Q13=4,1,0)),IF($F13&lt;=85,1,0))</formula>
    </cfRule>
  </conditionalFormatting>
  <conditionalFormatting sqref="AI13">
    <cfRule type="expression" dxfId="13553" priority="6715">
      <formula>AND(IF(OR($Q13=1,$Q13=2),1,0),IF($X13&lt;=20,1,0))</formula>
    </cfRule>
    <cfRule type="expression" dxfId="13552" priority="6716">
      <formula>AND(IF($Q13=2,1,0),IF($X13&lt;30,1,0))</formula>
    </cfRule>
    <cfRule type="expression" dxfId="13551" priority="6717">
      <formula>AND(IF($Q13=3,1,0),IF($X13&lt;30,1,0))</formula>
    </cfRule>
    <cfRule type="expression" dxfId="13550" priority="6718">
      <formula>AND(IF($Q13=3,1,IF($Q13=4,1,0)),IF($F13&lt;=85,1,0))</formula>
    </cfRule>
  </conditionalFormatting>
  <conditionalFormatting sqref="AV14">
    <cfRule type="expression" dxfId="13549" priority="6713">
      <formula>AV14="X"</formula>
    </cfRule>
    <cfRule type="expression" dxfId="13548" priority="6714">
      <formula>AV14="후보"</formula>
    </cfRule>
  </conditionalFormatting>
  <conditionalFormatting sqref="AC14">
    <cfRule type="cellIs" dxfId="13547" priority="6711" operator="greaterThan">
      <formula>0.9</formula>
    </cfRule>
    <cfRule type="cellIs" dxfId="13546" priority="6712" operator="greaterThan">
      <formula>0.85</formula>
    </cfRule>
  </conditionalFormatting>
  <conditionalFormatting sqref="N14">
    <cfRule type="cellIs" dxfId="13545" priority="6709" operator="greaterThan">
      <formula>0.9</formula>
    </cfRule>
    <cfRule type="cellIs" dxfId="13544" priority="6710" operator="greaterThan">
      <formula>0.85</formula>
    </cfRule>
  </conditionalFormatting>
  <conditionalFormatting sqref="E14">
    <cfRule type="expression" dxfId="13543" priority="6705">
      <formula>AND(IF(OR($Q14=1,$Q14=2),1,0),IF($X14&lt;=20,1,0))</formula>
    </cfRule>
    <cfRule type="expression" dxfId="13542" priority="6706">
      <formula>AND(IF($Q14=2,1,0),IF($X14&lt;30,1,0))</formula>
    </cfRule>
    <cfRule type="expression" dxfId="13541" priority="6707">
      <formula>AND(IF($Q14=3,1,0),IF($X14&lt;30,1,0))</formula>
    </cfRule>
    <cfRule type="expression" dxfId="13540" priority="6708">
      <formula>AND(IF($Q14=3,1,IF($Q14=4,1,0)),IF($F14&lt;=85,1,0))</formula>
    </cfRule>
  </conditionalFormatting>
  <conditionalFormatting sqref="X14">
    <cfRule type="expression" dxfId="13539" priority="6701">
      <formula>AND(IF(OR($Q14=1,$Q14=2),1,0),IF($X14&lt;=20,1,0))</formula>
    </cfRule>
    <cfRule type="expression" dxfId="13538" priority="6702">
      <formula>AND(IF($Q14=2,1,0),IF($X14&lt;30,1,0))</formula>
    </cfRule>
    <cfRule type="expression" dxfId="13537" priority="6703">
      <formula>AND(IF($Q14=3,1,0),IF($X14&lt;30,1,0))</formula>
    </cfRule>
    <cfRule type="expression" dxfId="13536" priority="6704">
      <formula>AND(IF($Q14=3,1,IF($Q14=4,1,0)),IF($F14&lt;=85,1,0))</formula>
    </cfRule>
  </conditionalFormatting>
  <conditionalFormatting sqref="AI14">
    <cfRule type="expression" dxfId="13535" priority="6697">
      <formula>AND(IF(OR($Q14=1,$Q14=2),1,0),IF($X14&lt;=20,1,0))</formula>
    </cfRule>
    <cfRule type="expression" dxfId="13534" priority="6698">
      <formula>AND(IF($Q14=2,1,0),IF($X14&lt;30,1,0))</formula>
    </cfRule>
    <cfRule type="expression" dxfId="13533" priority="6699">
      <formula>AND(IF($Q14=3,1,0),IF($X14&lt;30,1,0))</formula>
    </cfRule>
    <cfRule type="expression" dxfId="13532" priority="6700">
      <formula>AND(IF($Q14=3,1,IF($Q14=4,1,0)),IF($F14&lt;=85,1,0))</formula>
    </cfRule>
  </conditionalFormatting>
  <conditionalFormatting sqref="AV15">
    <cfRule type="expression" dxfId="13531" priority="6695">
      <formula>AV15="X"</formula>
    </cfRule>
    <cfRule type="expression" dxfId="13530" priority="6696">
      <formula>AV15="후보"</formula>
    </cfRule>
  </conditionalFormatting>
  <conditionalFormatting sqref="AC15">
    <cfRule type="cellIs" dxfId="13529" priority="6693" operator="greaterThan">
      <formula>0.9</formula>
    </cfRule>
    <cfRule type="cellIs" dxfId="13528" priority="6694" operator="greaterThan">
      <formula>0.85</formula>
    </cfRule>
  </conditionalFormatting>
  <conditionalFormatting sqref="N15">
    <cfRule type="cellIs" dxfId="13527" priority="6691" operator="greaterThan">
      <formula>0.9</formula>
    </cfRule>
    <cfRule type="cellIs" dxfId="13526" priority="6692" operator="greaterThan">
      <formula>0.85</formula>
    </cfRule>
  </conditionalFormatting>
  <conditionalFormatting sqref="E15">
    <cfRule type="expression" dxfId="13525" priority="6687">
      <formula>AND(IF(OR($Q15=1,$Q15=2),1,0),IF($X15&lt;=20,1,0))</formula>
    </cfRule>
    <cfRule type="expression" dxfId="13524" priority="6688">
      <formula>AND(IF($Q15=2,1,0),IF($X15&lt;30,1,0))</formula>
    </cfRule>
    <cfRule type="expression" dxfId="13523" priority="6689">
      <formula>AND(IF($Q15=3,1,0),IF($X15&lt;30,1,0))</formula>
    </cfRule>
    <cfRule type="expression" dxfId="13522" priority="6690">
      <formula>AND(IF($Q15=3,1,IF($Q15=4,1,0)),IF($F15&lt;=85,1,0))</formula>
    </cfRule>
  </conditionalFormatting>
  <conditionalFormatting sqref="X15">
    <cfRule type="expression" dxfId="13521" priority="6683">
      <formula>AND(IF(OR($Q15=1,$Q15=2),1,0),IF($X15&lt;=20,1,0))</formula>
    </cfRule>
    <cfRule type="expression" dxfId="13520" priority="6684">
      <formula>AND(IF($Q15=2,1,0),IF($X15&lt;30,1,0))</formula>
    </cfRule>
    <cfRule type="expression" dxfId="13519" priority="6685">
      <formula>AND(IF($Q15=3,1,0),IF($X15&lt;30,1,0))</formula>
    </cfRule>
    <cfRule type="expression" dxfId="13518" priority="6686">
      <formula>AND(IF($Q15=3,1,IF($Q15=4,1,0)),IF($F15&lt;=85,1,0))</formula>
    </cfRule>
  </conditionalFormatting>
  <conditionalFormatting sqref="AI15">
    <cfRule type="expression" dxfId="13517" priority="6679">
      <formula>AND(IF(OR($Q15=1,$Q15=2),1,0),IF($X15&lt;=20,1,0))</formula>
    </cfRule>
    <cfRule type="expression" dxfId="13516" priority="6680">
      <formula>AND(IF($Q15=2,1,0),IF($X15&lt;30,1,0))</formula>
    </cfRule>
    <cfRule type="expression" dxfId="13515" priority="6681">
      <formula>AND(IF($Q15=3,1,0),IF($X15&lt;30,1,0))</formula>
    </cfRule>
    <cfRule type="expression" dxfId="13514" priority="6682">
      <formula>AND(IF($Q15=3,1,IF($Q15=4,1,0)),IF($F15&lt;=85,1,0))</formula>
    </cfRule>
  </conditionalFormatting>
  <conditionalFormatting sqref="AV16">
    <cfRule type="expression" dxfId="13513" priority="6677">
      <formula>AV16="X"</formula>
    </cfRule>
    <cfRule type="expression" dxfId="13512" priority="6678">
      <formula>AV16="후보"</formula>
    </cfRule>
  </conditionalFormatting>
  <conditionalFormatting sqref="AC16">
    <cfRule type="cellIs" dxfId="13511" priority="6675" operator="greaterThan">
      <formula>0.9</formula>
    </cfRule>
    <cfRule type="cellIs" dxfId="13510" priority="6676" operator="greaterThan">
      <formula>0.85</formula>
    </cfRule>
  </conditionalFormatting>
  <conditionalFormatting sqref="N16">
    <cfRule type="cellIs" dxfId="13509" priority="6673" operator="greaterThan">
      <formula>0.9</formula>
    </cfRule>
    <cfRule type="cellIs" dxfId="13508" priority="6674" operator="greaterThan">
      <formula>0.85</formula>
    </cfRule>
  </conditionalFormatting>
  <conditionalFormatting sqref="E16">
    <cfRule type="expression" dxfId="13507" priority="6669">
      <formula>AND(IF(OR($Q16=1,$Q16=2),1,0),IF($X16&lt;=20,1,0))</formula>
    </cfRule>
    <cfRule type="expression" dxfId="13506" priority="6670">
      <formula>AND(IF($Q16=2,1,0),IF($X16&lt;30,1,0))</formula>
    </cfRule>
    <cfRule type="expression" dxfId="13505" priority="6671">
      <formula>AND(IF($Q16=3,1,0),IF($X16&lt;30,1,0))</formula>
    </cfRule>
    <cfRule type="expression" dxfId="13504" priority="6672">
      <formula>AND(IF($Q16=3,1,IF($Q16=4,1,0)),IF($F16&lt;=85,1,0))</formula>
    </cfRule>
  </conditionalFormatting>
  <conditionalFormatting sqref="X16">
    <cfRule type="expression" dxfId="13503" priority="6665">
      <formula>AND(IF(OR($Q16=1,$Q16=2),1,0),IF($X16&lt;=20,1,0))</formula>
    </cfRule>
    <cfRule type="expression" dxfId="13502" priority="6666">
      <formula>AND(IF($Q16=2,1,0),IF($X16&lt;30,1,0))</formula>
    </cfRule>
    <cfRule type="expression" dxfId="13501" priority="6667">
      <formula>AND(IF($Q16=3,1,0),IF($X16&lt;30,1,0))</formula>
    </cfRule>
    <cfRule type="expression" dxfId="13500" priority="6668">
      <formula>AND(IF($Q16=3,1,IF($Q16=4,1,0)),IF($F16&lt;=85,1,0))</formula>
    </cfRule>
  </conditionalFormatting>
  <conditionalFormatting sqref="AI16">
    <cfRule type="expression" dxfId="13499" priority="6661">
      <formula>AND(IF(OR($Q16=1,$Q16=2),1,0),IF($X16&lt;=20,1,0))</formula>
    </cfRule>
    <cfRule type="expression" dxfId="13498" priority="6662">
      <formula>AND(IF($Q16=2,1,0),IF($X16&lt;30,1,0))</formula>
    </cfRule>
    <cfRule type="expression" dxfId="13497" priority="6663">
      <formula>AND(IF($Q16=3,1,0),IF($X16&lt;30,1,0))</formula>
    </cfRule>
    <cfRule type="expression" dxfId="13496" priority="6664">
      <formula>AND(IF($Q16=3,1,IF($Q16=4,1,0)),IF($F16&lt;=85,1,0))</formula>
    </cfRule>
  </conditionalFormatting>
  <conditionalFormatting sqref="AV17">
    <cfRule type="expression" dxfId="13495" priority="6659">
      <formula>AV17="X"</formula>
    </cfRule>
    <cfRule type="expression" dxfId="13494" priority="6660">
      <formula>AV17="후보"</formula>
    </cfRule>
  </conditionalFormatting>
  <conditionalFormatting sqref="AC17">
    <cfRule type="cellIs" dxfId="13493" priority="6657" operator="greaterThan">
      <formula>0.9</formula>
    </cfRule>
    <cfRule type="cellIs" dxfId="13492" priority="6658" operator="greaterThan">
      <formula>0.85</formula>
    </cfRule>
  </conditionalFormatting>
  <conditionalFormatting sqref="N17">
    <cfRule type="cellIs" dxfId="13491" priority="6655" operator="greaterThan">
      <formula>0.9</formula>
    </cfRule>
    <cfRule type="cellIs" dxfId="13490" priority="6656" operator="greaterThan">
      <formula>0.85</formula>
    </cfRule>
  </conditionalFormatting>
  <conditionalFormatting sqref="E17">
    <cfRule type="expression" dxfId="13489" priority="6651">
      <formula>AND(IF(OR($Q17=1,$Q17=2),1,0),IF($X17&lt;=20,1,0))</formula>
    </cfRule>
    <cfRule type="expression" dxfId="13488" priority="6652">
      <formula>AND(IF($Q17=2,1,0),IF($X17&lt;30,1,0))</formula>
    </cfRule>
    <cfRule type="expression" dxfId="13487" priority="6653">
      <formula>AND(IF($Q17=3,1,0),IF($X17&lt;30,1,0))</formula>
    </cfRule>
    <cfRule type="expression" dxfId="13486" priority="6654">
      <formula>AND(IF($Q17=3,1,IF($Q17=4,1,0)),IF($F17&lt;=85,1,0))</formula>
    </cfRule>
  </conditionalFormatting>
  <conditionalFormatting sqref="X17">
    <cfRule type="expression" dxfId="13485" priority="6647">
      <formula>AND(IF(OR($Q17=1,$Q17=2),1,0),IF($X17&lt;=20,1,0))</formula>
    </cfRule>
    <cfRule type="expression" dxfId="13484" priority="6648">
      <formula>AND(IF($Q17=2,1,0),IF($X17&lt;30,1,0))</formula>
    </cfRule>
    <cfRule type="expression" dxfId="13483" priority="6649">
      <formula>AND(IF($Q17=3,1,0),IF($X17&lt;30,1,0))</formula>
    </cfRule>
    <cfRule type="expression" dxfId="13482" priority="6650">
      <formula>AND(IF($Q17=3,1,IF($Q17=4,1,0)),IF($F17&lt;=85,1,0))</formula>
    </cfRule>
  </conditionalFormatting>
  <conditionalFormatting sqref="AI17">
    <cfRule type="expression" dxfId="13481" priority="6643">
      <formula>AND(IF(OR($Q17=1,$Q17=2),1,0),IF($X17&lt;=20,1,0))</formula>
    </cfRule>
    <cfRule type="expression" dxfId="13480" priority="6644">
      <formula>AND(IF($Q17=2,1,0),IF($X17&lt;30,1,0))</formula>
    </cfRule>
    <cfRule type="expression" dxfId="13479" priority="6645">
      <formula>AND(IF($Q17=3,1,0),IF($X17&lt;30,1,0))</formula>
    </cfRule>
    <cfRule type="expression" dxfId="13478" priority="6646">
      <formula>AND(IF($Q17=3,1,IF($Q17=4,1,0)),IF($F17&lt;=85,1,0))</formula>
    </cfRule>
  </conditionalFormatting>
  <conditionalFormatting sqref="AV18">
    <cfRule type="expression" dxfId="13477" priority="6641">
      <formula>AV18="X"</formula>
    </cfRule>
    <cfRule type="expression" dxfId="13476" priority="6642">
      <formula>AV18="후보"</formula>
    </cfRule>
  </conditionalFormatting>
  <conditionalFormatting sqref="AC18">
    <cfRule type="cellIs" dxfId="13475" priority="6639" operator="greaterThan">
      <formula>0.9</formula>
    </cfRule>
    <cfRule type="cellIs" dxfId="13474" priority="6640" operator="greaterThan">
      <formula>0.85</formula>
    </cfRule>
  </conditionalFormatting>
  <conditionalFormatting sqref="N18">
    <cfRule type="cellIs" dxfId="13473" priority="6637" operator="greaterThan">
      <formula>0.9</formula>
    </cfRule>
    <cfRule type="cellIs" dxfId="13472" priority="6638" operator="greaterThan">
      <formula>0.85</formula>
    </cfRule>
  </conditionalFormatting>
  <conditionalFormatting sqref="E18">
    <cfRule type="expression" dxfId="13471" priority="6633">
      <formula>AND(IF(OR($Q18=1,$Q18=2),1,0),IF($X18&lt;=20,1,0))</formula>
    </cfRule>
    <cfRule type="expression" dxfId="13470" priority="6634">
      <formula>AND(IF($Q18=2,1,0),IF($X18&lt;30,1,0))</formula>
    </cfRule>
    <cfRule type="expression" dxfId="13469" priority="6635">
      <formula>AND(IF($Q18=3,1,0),IF($X18&lt;30,1,0))</formula>
    </cfRule>
    <cfRule type="expression" dxfId="13468" priority="6636">
      <formula>AND(IF($Q18=3,1,IF($Q18=4,1,0)),IF($F18&lt;=85,1,0))</formula>
    </cfRule>
  </conditionalFormatting>
  <conditionalFormatting sqref="X18">
    <cfRule type="expression" dxfId="13467" priority="6629">
      <formula>AND(IF(OR($Q18=1,$Q18=2),1,0),IF($X18&lt;=20,1,0))</formula>
    </cfRule>
    <cfRule type="expression" dxfId="13466" priority="6630">
      <formula>AND(IF($Q18=2,1,0),IF($X18&lt;30,1,0))</formula>
    </cfRule>
    <cfRule type="expression" dxfId="13465" priority="6631">
      <formula>AND(IF($Q18=3,1,0),IF($X18&lt;30,1,0))</formula>
    </cfRule>
    <cfRule type="expression" dxfId="13464" priority="6632">
      <formula>AND(IF($Q18=3,1,IF($Q18=4,1,0)),IF($F18&lt;=85,1,0))</formula>
    </cfRule>
  </conditionalFormatting>
  <conditionalFormatting sqref="AI18">
    <cfRule type="expression" dxfId="13463" priority="6625">
      <formula>AND(IF(OR($Q18=1,$Q18=2),1,0),IF($X18&lt;=20,1,0))</formula>
    </cfRule>
    <cfRule type="expression" dxfId="13462" priority="6626">
      <formula>AND(IF($Q18=2,1,0),IF($X18&lt;30,1,0))</formula>
    </cfRule>
    <cfRule type="expression" dxfId="13461" priority="6627">
      <formula>AND(IF($Q18=3,1,0),IF($X18&lt;30,1,0))</formula>
    </cfRule>
    <cfRule type="expression" dxfId="13460" priority="6628">
      <formula>AND(IF($Q18=3,1,IF($Q18=4,1,0)),IF($F18&lt;=85,1,0))</formula>
    </cfRule>
  </conditionalFormatting>
  <conditionalFormatting sqref="AV19">
    <cfRule type="expression" dxfId="13459" priority="6623">
      <formula>AV19="X"</formula>
    </cfRule>
    <cfRule type="expression" dxfId="13458" priority="6624">
      <formula>AV19="후보"</formula>
    </cfRule>
  </conditionalFormatting>
  <conditionalFormatting sqref="AC19">
    <cfRule type="cellIs" dxfId="13457" priority="6621" operator="greaterThan">
      <formula>0.9</formula>
    </cfRule>
    <cfRule type="cellIs" dxfId="13456" priority="6622" operator="greaterThan">
      <formula>0.85</formula>
    </cfRule>
  </conditionalFormatting>
  <conditionalFormatting sqref="N19">
    <cfRule type="cellIs" dxfId="13455" priority="6619" operator="greaterThan">
      <formula>0.9</formula>
    </cfRule>
    <cfRule type="cellIs" dxfId="13454" priority="6620" operator="greaterThan">
      <formula>0.85</formula>
    </cfRule>
  </conditionalFormatting>
  <conditionalFormatting sqref="E19">
    <cfRule type="expression" dxfId="13453" priority="6615">
      <formula>AND(IF(OR($Q19=1,$Q19=2),1,0),IF($X19&lt;=20,1,0))</formula>
    </cfRule>
    <cfRule type="expression" dxfId="13452" priority="6616">
      <formula>AND(IF($Q19=2,1,0),IF($X19&lt;30,1,0))</formula>
    </cfRule>
    <cfRule type="expression" dxfId="13451" priority="6617">
      <formula>AND(IF($Q19=3,1,0),IF($X19&lt;30,1,0))</formula>
    </cfRule>
    <cfRule type="expression" dxfId="13450" priority="6618">
      <formula>AND(IF($Q19=3,1,IF($Q19=4,1,0)),IF($F19&lt;=85,1,0))</formula>
    </cfRule>
  </conditionalFormatting>
  <conditionalFormatting sqref="X19">
    <cfRule type="expression" dxfId="13449" priority="6611">
      <formula>AND(IF(OR($Q19=1,$Q19=2),1,0),IF($X19&lt;=20,1,0))</formula>
    </cfRule>
    <cfRule type="expression" dxfId="13448" priority="6612">
      <formula>AND(IF($Q19=2,1,0),IF($X19&lt;30,1,0))</formula>
    </cfRule>
    <cfRule type="expression" dxfId="13447" priority="6613">
      <formula>AND(IF($Q19=3,1,0),IF($X19&lt;30,1,0))</formula>
    </cfRule>
    <cfRule type="expression" dxfId="13446" priority="6614">
      <formula>AND(IF($Q19=3,1,IF($Q19=4,1,0)),IF($F19&lt;=85,1,0))</formula>
    </cfRule>
  </conditionalFormatting>
  <conditionalFormatting sqref="AI19">
    <cfRule type="expression" dxfId="13445" priority="6607">
      <formula>AND(IF(OR($Q19=1,$Q19=2),1,0),IF($X19&lt;=20,1,0))</formula>
    </cfRule>
    <cfRule type="expression" dxfId="13444" priority="6608">
      <formula>AND(IF($Q19=2,1,0),IF($X19&lt;30,1,0))</formula>
    </cfRule>
    <cfRule type="expression" dxfId="13443" priority="6609">
      <formula>AND(IF($Q19=3,1,0),IF($X19&lt;30,1,0))</formula>
    </cfRule>
    <cfRule type="expression" dxfId="13442" priority="6610">
      <formula>AND(IF($Q19=3,1,IF($Q19=4,1,0)),IF($F19&lt;=85,1,0))</formula>
    </cfRule>
  </conditionalFormatting>
  <conditionalFormatting sqref="AV20">
    <cfRule type="expression" dxfId="13441" priority="6605">
      <formula>AV20="X"</formula>
    </cfRule>
    <cfRule type="expression" dxfId="13440" priority="6606">
      <formula>AV20="후보"</formula>
    </cfRule>
  </conditionalFormatting>
  <conditionalFormatting sqref="AC20">
    <cfRule type="cellIs" dxfId="13439" priority="6603" operator="greaterThan">
      <formula>0.9</formula>
    </cfRule>
    <cfRule type="cellIs" dxfId="13438" priority="6604" operator="greaterThan">
      <formula>0.85</formula>
    </cfRule>
  </conditionalFormatting>
  <conditionalFormatting sqref="N20">
    <cfRule type="cellIs" dxfId="13437" priority="6601" operator="greaterThan">
      <formula>0.9</formula>
    </cfRule>
    <cfRule type="cellIs" dxfId="13436" priority="6602" operator="greaterThan">
      <formula>0.85</formula>
    </cfRule>
  </conditionalFormatting>
  <conditionalFormatting sqref="E20">
    <cfRule type="expression" dxfId="13435" priority="6597">
      <formula>AND(IF(OR($Q20=1,$Q20=2),1,0),IF($X20&lt;=20,1,0))</formula>
    </cfRule>
    <cfRule type="expression" dxfId="13434" priority="6598">
      <formula>AND(IF($Q20=2,1,0),IF($X20&lt;30,1,0))</formula>
    </cfRule>
    <cfRule type="expression" dxfId="13433" priority="6599">
      <formula>AND(IF($Q20=3,1,0),IF($X20&lt;30,1,0))</formula>
    </cfRule>
    <cfRule type="expression" dxfId="13432" priority="6600">
      <formula>AND(IF($Q20=3,1,IF($Q20=4,1,0)),IF($F20&lt;=85,1,0))</formula>
    </cfRule>
  </conditionalFormatting>
  <conditionalFormatting sqref="X20">
    <cfRule type="expression" dxfId="13431" priority="6593">
      <formula>AND(IF(OR($Q20=1,$Q20=2),1,0),IF($X20&lt;=20,1,0))</formula>
    </cfRule>
    <cfRule type="expression" dxfId="13430" priority="6594">
      <formula>AND(IF($Q20=2,1,0),IF($X20&lt;30,1,0))</formula>
    </cfRule>
    <cfRule type="expression" dxfId="13429" priority="6595">
      <formula>AND(IF($Q20=3,1,0),IF($X20&lt;30,1,0))</formula>
    </cfRule>
    <cfRule type="expression" dxfId="13428" priority="6596">
      <formula>AND(IF($Q20=3,1,IF($Q20=4,1,0)),IF($F20&lt;=85,1,0))</formula>
    </cfRule>
  </conditionalFormatting>
  <conditionalFormatting sqref="AI20">
    <cfRule type="expression" dxfId="13427" priority="6589">
      <formula>AND(IF(OR($Q20=1,$Q20=2),1,0),IF($X20&lt;=20,1,0))</formula>
    </cfRule>
    <cfRule type="expression" dxfId="13426" priority="6590">
      <formula>AND(IF($Q20=2,1,0),IF($X20&lt;30,1,0))</formula>
    </cfRule>
    <cfRule type="expression" dxfId="13425" priority="6591">
      <formula>AND(IF($Q20=3,1,0),IF($X20&lt;30,1,0))</formula>
    </cfRule>
    <cfRule type="expression" dxfId="13424" priority="6592">
      <formula>AND(IF($Q20=3,1,IF($Q20=4,1,0)),IF($F20&lt;=85,1,0))</formula>
    </cfRule>
  </conditionalFormatting>
  <conditionalFormatting sqref="AV21">
    <cfRule type="expression" dxfId="13423" priority="6587">
      <formula>AV21="X"</formula>
    </cfRule>
    <cfRule type="expression" dxfId="13422" priority="6588">
      <formula>AV21="후보"</formula>
    </cfRule>
  </conditionalFormatting>
  <conditionalFormatting sqref="AC21">
    <cfRule type="cellIs" dxfId="13421" priority="6585" operator="greaterThan">
      <formula>0.9</formula>
    </cfRule>
    <cfRule type="cellIs" dxfId="13420" priority="6586" operator="greaterThan">
      <formula>0.85</formula>
    </cfRule>
  </conditionalFormatting>
  <conditionalFormatting sqref="N21">
    <cfRule type="cellIs" dxfId="13419" priority="6583" operator="greaterThan">
      <formula>0.9</formula>
    </cfRule>
    <cfRule type="cellIs" dxfId="13418" priority="6584" operator="greaterThan">
      <formula>0.85</formula>
    </cfRule>
  </conditionalFormatting>
  <conditionalFormatting sqref="E21">
    <cfRule type="expression" dxfId="13417" priority="6579">
      <formula>AND(IF(OR($Q21=1,$Q21=2),1,0),IF($X21&lt;=20,1,0))</formula>
    </cfRule>
    <cfRule type="expression" dxfId="13416" priority="6580">
      <formula>AND(IF($Q21=2,1,0),IF($X21&lt;30,1,0))</formula>
    </cfRule>
    <cfRule type="expression" dxfId="13415" priority="6581">
      <formula>AND(IF($Q21=3,1,0),IF($X21&lt;30,1,0))</formula>
    </cfRule>
    <cfRule type="expression" dxfId="13414" priority="6582">
      <formula>AND(IF($Q21=3,1,IF($Q21=4,1,0)),IF($F21&lt;=85,1,0))</formula>
    </cfRule>
  </conditionalFormatting>
  <conditionalFormatting sqref="X21">
    <cfRule type="expression" dxfId="13413" priority="6575">
      <formula>AND(IF(OR($Q21=1,$Q21=2),1,0),IF($X21&lt;=20,1,0))</formula>
    </cfRule>
    <cfRule type="expression" dxfId="13412" priority="6576">
      <formula>AND(IF($Q21=2,1,0),IF($X21&lt;30,1,0))</formula>
    </cfRule>
    <cfRule type="expression" dxfId="13411" priority="6577">
      <formula>AND(IF($Q21=3,1,0),IF($X21&lt;30,1,0))</formula>
    </cfRule>
    <cfRule type="expression" dxfId="13410" priority="6578">
      <formula>AND(IF($Q21=3,1,IF($Q21=4,1,0)),IF($F21&lt;=85,1,0))</formula>
    </cfRule>
  </conditionalFormatting>
  <conditionalFormatting sqref="AI21">
    <cfRule type="expression" dxfId="13409" priority="6571">
      <formula>AND(IF(OR($Q21=1,$Q21=2),1,0),IF($X21&lt;=20,1,0))</formula>
    </cfRule>
    <cfRule type="expression" dxfId="13408" priority="6572">
      <formula>AND(IF($Q21=2,1,0),IF($X21&lt;30,1,0))</formula>
    </cfRule>
    <cfRule type="expression" dxfId="13407" priority="6573">
      <formula>AND(IF($Q21=3,1,0),IF($X21&lt;30,1,0))</formula>
    </cfRule>
    <cfRule type="expression" dxfId="13406" priority="6574">
      <formula>AND(IF($Q21=3,1,IF($Q21=4,1,0)),IF($F21&lt;=85,1,0))</formula>
    </cfRule>
  </conditionalFormatting>
  <conditionalFormatting sqref="AV22">
    <cfRule type="expression" dxfId="13405" priority="6569">
      <formula>AV22="X"</formula>
    </cfRule>
    <cfRule type="expression" dxfId="13404" priority="6570">
      <formula>AV22="후보"</formula>
    </cfRule>
  </conditionalFormatting>
  <conditionalFormatting sqref="AC22">
    <cfRule type="cellIs" dxfId="13403" priority="6567" operator="greaterThan">
      <formula>0.9</formula>
    </cfRule>
    <cfRule type="cellIs" dxfId="13402" priority="6568" operator="greaterThan">
      <formula>0.85</formula>
    </cfRule>
  </conditionalFormatting>
  <conditionalFormatting sqref="N22">
    <cfRule type="cellIs" dxfId="13401" priority="6565" operator="greaterThan">
      <formula>0.9</formula>
    </cfRule>
    <cfRule type="cellIs" dxfId="13400" priority="6566" operator="greaterThan">
      <formula>0.85</formula>
    </cfRule>
  </conditionalFormatting>
  <conditionalFormatting sqref="E22">
    <cfRule type="expression" dxfId="13399" priority="6561">
      <formula>AND(IF(OR($Q22=1,$Q22=2),1,0),IF($X22&lt;=20,1,0))</formula>
    </cfRule>
    <cfRule type="expression" dxfId="13398" priority="6562">
      <formula>AND(IF($Q22=2,1,0),IF($X22&lt;30,1,0))</formula>
    </cfRule>
    <cfRule type="expression" dxfId="13397" priority="6563">
      <formula>AND(IF($Q22=3,1,0),IF($X22&lt;30,1,0))</formula>
    </cfRule>
    <cfRule type="expression" dxfId="13396" priority="6564">
      <formula>AND(IF($Q22=3,1,IF($Q22=4,1,0)),IF($F22&lt;=85,1,0))</formula>
    </cfRule>
  </conditionalFormatting>
  <conditionalFormatting sqref="X22">
    <cfRule type="expression" dxfId="13395" priority="6557">
      <formula>AND(IF(OR($Q22=1,$Q22=2),1,0),IF($X22&lt;=20,1,0))</formula>
    </cfRule>
    <cfRule type="expression" dxfId="13394" priority="6558">
      <formula>AND(IF($Q22=2,1,0),IF($X22&lt;30,1,0))</formula>
    </cfRule>
    <cfRule type="expression" dxfId="13393" priority="6559">
      <formula>AND(IF($Q22=3,1,0),IF($X22&lt;30,1,0))</formula>
    </cfRule>
    <cfRule type="expression" dxfId="13392" priority="6560">
      <formula>AND(IF($Q22=3,1,IF($Q22=4,1,0)),IF($F22&lt;=85,1,0))</formula>
    </cfRule>
  </conditionalFormatting>
  <conditionalFormatting sqref="AI22">
    <cfRule type="expression" dxfId="13391" priority="6553">
      <formula>AND(IF(OR($Q22=1,$Q22=2),1,0),IF($X22&lt;=20,1,0))</formula>
    </cfRule>
    <cfRule type="expression" dxfId="13390" priority="6554">
      <formula>AND(IF($Q22=2,1,0),IF($X22&lt;30,1,0))</formula>
    </cfRule>
    <cfRule type="expression" dxfId="13389" priority="6555">
      <formula>AND(IF($Q22=3,1,0),IF($X22&lt;30,1,0))</formula>
    </cfRule>
    <cfRule type="expression" dxfId="13388" priority="6556">
      <formula>AND(IF($Q22=3,1,IF($Q22=4,1,0)),IF($F22&lt;=85,1,0))</formula>
    </cfRule>
  </conditionalFormatting>
  <conditionalFormatting sqref="AV23">
    <cfRule type="expression" dxfId="13387" priority="6551">
      <formula>AV23="X"</formula>
    </cfRule>
    <cfRule type="expression" dxfId="13386" priority="6552">
      <formula>AV23="후보"</formula>
    </cfRule>
  </conditionalFormatting>
  <conditionalFormatting sqref="AC23">
    <cfRule type="cellIs" dxfId="13385" priority="6549" operator="greaterThan">
      <formula>0.9</formula>
    </cfRule>
    <cfRule type="cellIs" dxfId="13384" priority="6550" operator="greaterThan">
      <formula>0.85</formula>
    </cfRule>
  </conditionalFormatting>
  <conditionalFormatting sqref="N23">
    <cfRule type="cellIs" dxfId="13383" priority="6547" operator="greaterThan">
      <formula>0.9</formula>
    </cfRule>
    <cfRule type="cellIs" dxfId="13382" priority="6548" operator="greaterThan">
      <formula>0.85</formula>
    </cfRule>
  </conditionalFormatting>
  <conditionalFormatting sqref="E23">
    <cfRule type="expression" dxfId="13381" priority="6543">
      <formula>AND(IF(OR($Q23=1,$Q23=2),1,0),IF($X23&lt;=20,1,0))</formula>
    </cfRule>
    <cfRule type="expression" dxfId="13380" priority="6544">
      <formula>AND(IF($Q23=2,1,0),IF($X23&lt;30,1,0))</formula>
    </cfRule>
    <cfRule type="expression" dxfId="13379" priority="6545">
      <formula>AND(IF($Q23=3,1,0),IF($X23&lt;30,1,0))</formula>
    </cfRule>
    <cfRule type="expression" dxfId="13378" priority="6546">
      <formula>AND(IF($Q23=3,1,IF($Q23=4,1,0)),IF($F23&lt;=85,1,0))</formula>
    </cfRule>
  </conditionalFormatting>
  <conditionalFormatting sqref="X23">
    <cfRule type="expression" dxfId="13377" priority="6539">
      <formula>AND(IF(OR($Q23=1,$Q23=2),1,0),IF($X23&lt;=20,1,0))</formula>
    </cfRule>
    <cfRule type="expression" dxfId="13376" priority="6540">
      <formula>AND(IF($Q23=2,1,0),IF($X23&lt;30,1,0))</formula>
    </cfRule>
    <cfRule type="expression" dxfId="13375" priority="6541">
      <formula>AND(IF($Q23=3,1,0),IF($X23&lt;30,1,0))</formula>
    </cfRule>
    <cfRule type="expression" dxfId="13374" priority="6542">
      <formula>AND(IF($Q23=3,1,IF($Q23=4,1,0)),IF($F23&lt;=85,1,0))</formula>
    </cfRule>
  </conditionalFormatting>
  <conditionalFormatting sqref="AI23">
    <cfRule type="expression" dxfId="13373" priority="6535">
      <formula>AND(IF(OR($Q23=1,$Q23=2),1,0),IF($X23&lt;=20,1,0))</formula>
    </cfRule>
    <cfRule type="expression" dxfId="13372" priority="6536">
      <formula>AND(IF($Q23=2,1,0),IF($X23&lt;30,1,0))</formula>
    </cfRule>
    <cfRule type="expression" dxfId="13371" priority="6537">
      <formula>AND(IF($Q23=3,1,0),IF($X23&lt;30,1,0))</formula>
    </cfRule>
    <cfRule type="expression" dxfId="13370" priority="6538">
      <formula>AND(IF($Q23=3,1,IF($Q23=4,1,0)),IF($F23&lt;=85,1,0))</formula>
    </cfRule>
  </conditionalFormatting>
  <conditionalFormatting sqref="AV24">
    <cfRule type="expression" dxfId="13369" priority="6533">
      <formula>AV24="X"</formula>
    </cfRule>
    <cfRule type="expression" dxfId="13368" priority="6534">
      <formula>AV24="후보"</formula>
    </cfRule>
  </conditionalFormatting>
  <conditionalFormatting sqref="AC24">
    <cfRule type="cellIs" dxfId="13367" priority="6531" operator="greaterThan">
      <formula>0.9</formula>
    </cfRule>
    <cfRule type="cellIs" dxfId="13366" priority="6532" operator="greaterThan">
      <formula>0.85</formula>
    </cfRule>
  </conditionalFormatting>
  <conditionalFormatting sqref="N24">
    <cfRule type="cellIs" dxfId="13365" priority="6529" operator="greaterThan">
      <formula>0.9</formula>
    </cfRule>
    <cfRule type="cellIs" dxfId="13364" priority="6530" operator="greaterThan">
      <formula>0.85</formula>
    </cfRule>
  </conditionalFormatting>
  <conditionalFormatting sqref="E24">
    <cfRule type="expression" dxfId="13363" priority="6525">
      <formula>AND(IF(OR($Q24=1,$Q24=2),1,0),IF($X24&lt;=20,1,0))</formula>
    </cfRule>
    <cfRule type="expression" dxfId="13362" priority="6526">
      <formula>AND(IF($Q24=2,1,0),IF($X24&lt;30,1,0))</formula>
    </cfRule>
    <cfRule type="expression" dxfId="13361" priority="6527">
      <formula>AND(IF($Q24=3,1,0),IF($X24&lt;30,1,0))</formula>
    </cfRule>
    <cfRule type="expression" dxfId="13360" priority="6528">
      <formula>AND(IF($Q24=3,1,IF($Q24=4,1,0)),IF($F24&lt;=85,1,0))</formula>
    </cfRule>
  </conditionalFormatting>
  <conditionalFormatting sqref="X24">
    <cfRule type="expression" dxfId="13359" priority="6521">
      <formula>AND(IF(OR($Q24=1,$Q24=2),1,0),IF($X24&lt;=20,1,0))</formula>
    </cfRule>
    <cfRule type="expression" dxfId="13358" priority="6522">
      <formula>AND(IF($Q24=2,1,0),IF($X24&lt;30,1,0))</formula>
    </cfRule>
    <cfRule type="expression" dxfId="13357" priority="6523">
      <formula>AND(IF($Q24=3,1,0),IF($X24&lt;30,1,0))</formula>
    </cfRule>
    <cfRule type="expression" dxfId="13356" priority="6524">
      <formula>AND(IF($Q24=3,1,IF($Q24=4,1,0)),IF($F24&lt;=85,1,0))</formula>
    </cfRule>
  </conditionalFormatting>
  <conditionalFormatting sqref="AI24">
    <cfRule type="expression" dxfId="13355" priority="6517">
      <formula>AND(IF(OR($Q24=1,$Q24=2),1,0),IF($X24&lt;=20,1,0))</formula>
    </cfRule>
    <cfRule type="expression" dxfId="13354" priority="6518">
      <formula>AND(IF($Q24=2,1,0),IF($X24&lt;30,1,0))</formula>
    </cfRule>
    <cfRule type="expression" dxfId="13353" priority="6519">
      <formula>AND(IF($Q24=3,1,0),IF($X24&lt;30,1,0))</formula>
    </cfRule>
    <cfRule type="expression" dxfId="13352" priority="6520">
      <formula>AND(IF($Q24=3,1,IF($Q24=4,1,0)),IF($F24&lt;=85,1,0))</formula>
    </cfRule>
  </conditionalFormatting>
  <conditionalFormatting sqref="AV25">
    <cfRule type="expression" dxfId="13351" priority="6515">
      <formula>AV25="X"</formula>
    </cfRule>
    <cfRule type="expression" dxfId="13350" priority="6516">
      <formula>AV25="후보"</formula>
    </cfRule>
  </conditionalFormatting>
  <conditionalFormatting sqref="AC25">
    <cfRule type="cellIs" dxfId="13349" priority="6513" operator="greaterThan">
      <formula>0.9</formula>
    </cfRule>
    <cfRule type="cellIs" dxfId="13348" priority="6514" operator="greaterThan">
      <formula>0.85</formula>
    </cfRule>
  </conditionalFormatting>
  <conditionalFormatting sqref="N25">
    <cfRule type="cellIs" dxfId="13347" priority="6511" operator="greaterThan">
      <formula>0.9</formula>
    </cfRule>
    <cfRule type="cellIs" dxfId="13346" priority="6512" operator="greaterThan">
      <formula>0.85</formula>
    </cfRule>
  </conditionalFormatting>
  <conditionalFormatting sqref="E25">
    <cfRule type="expression" dxfId="13345" priority="6507">
      <formula>AND(IF(OR($Q25=1,$Q25=2),1,0),IF($X25&lt;=20,1,0))</formula>
    </cfRule>
    <cfRule type="expression" dxfId="13344" priority="6508">
      <formula>AND(IF($Q25=2,1,0),IF($X25&lt;30,1,0))</formula>
    </cfRule>
    <cfRule type="expression" dxfId="13343" priority="6509">
      <formula>AND(IF($Q25=3,1,0),IF($X25&lt;30,1,0))</formula>
    </cfRule>
    <cfRule type="expression" dxfId="13342" priority="6510">
      <formula>AND(IF($Q25=3,1,IF($Q25=4,1,0)),IF($F25&lt;=85,1,0))</formula>
    </cfRule>
  </conditionalFormatting>
  <conditionalFormatting sqref="X25">
    <cfRule type="expression" dxfId="13341" priority="6503">
      <formula>AND(IF(OR($Q25=1,$Q25=2),1,0),IF($X25&lt;=20,1,0))</formula>
    </cfRule>
    <cfRule type="expression" dxfId="13340" priority="6504">
      <formula>AND(IF($Q25=2,1,0),IF($X25&lt;30,1,0))</formula>
    </cfRule>
    <cfRule type="expression" dxfId="13339" priority="6505">
      <formula>AND(IF($Q25=3,1,0),IF($X25&lt;30,1,0))</formula>
    </cfRule>
    <cfRule type="expression" dxfId="13338" priority="6506">
      <formula>AND(IF($Q25=3,1,IF($Q25=4,1,0)),IF($F25&lt;=85,1,0))</formula>
    </cfRule>
  </conditionalFormatting>
  <conditionalFormatting sqref="AI25">
    <cfRule type="expression" dxfId="13337" priority="6499">
      <formula>AND(IF(OR($Q25=1,$Q25=2),1,0),IF($X25&lt;=20,1,0))</formula>
    </cfRule>
    <cfRule type="expression" dxfId="13336" priority="6500">
      <formula>AND(IF($Q25=2,1,0),IF($X25&lt;30,1,0))</formula>
    </cfRule>
    <cfRule type="expression" dxfId="13335" priority="6501">
      <formula>AND(IF($Q25=3,1,0),IF($X25&lt;30,1,0))</formula>
    </cfRule>
    <cfRule type="expression" dxfId="13334" priority="6502">
      <formula>AND(IF($Q25=3,1,IF($Q25=4,1,0)),IF($F25&lt;=85,1,0))</formula>
    </cfRule>
  </conditionalFormatting>
  <conditionalFormatting sqref="AV26">
    <cfRule type="expression" dxfId="13333" priority="6497">
      <formula>AV26="X"</formula>
    </cfRule>
    <cfRule type="expression" dxfId="13332" priority="6498">
      <formula>AV26="후보"</formula>
    </cfRule>
  </conditionalFormatting>
  <conditionalFormatting sqref="AC26">
    <cfRule type="cellIs" dxfId="13331" priority="6495" operator="greaterThan">
      <formula>0.9</formula>
    </cfRule>
    <cfRule type="cellIs" dxfId="13330" priority="6496" operator="greaterThan">
      <formula>0.85</formula>
    </cfRule>
  </conditionalFormatting>
  <conditionalFormatting sqref="N26">
    <cfRule type="cellIs" dxfId="13329" priority="6493" operator="greaterThan">
      <formula>0.9</formula>
    </cfRule>
    <cfRule type="cellIs" dxfId="13328" priority="6494" operator="greaterThan">
      <formula>0.85</formula>
    </cfRule>
  </conditionalFormatting>
  <conditionalFormatting sqref="E26">
    <cfRule type="expression" dxfId="13327" priority="6489">
      <formula>AND(IF(OR($Q26=1,$Q26=2),1,0),IF($X26&lt;=20,1,0))</formula>
    </cfRule>
    <cfRule type="expression" dxfId="13326" priority="6490">
      <formula>AND(IF($Q26=2,1,0),IF($X26&lt;30,1,0))</formula>
    </cfRule>
    <cfRule type="expression" dxfId="13325" priority="6491">
      <formula>AND(IF($Q26=3,1,0),IF($X26&lt;30,1,0))</formula>
    </cfRule>
    <cfRule type="expression" dxfId="13324" priority="6492">
      <formula>AND(IF($Q26=3,1,IF($Q26=4,1,0)),IF($F26&lt;=85,1,0))</formula>
    </cfRule>
  </conditionalFormatting>
  <conditionalFormatting sqref="X26">
    <cfRule type="expression" dxfId="13323" priority="6485">
      <formula>AND(IF(OR($Q26=1,$Q26=2),1,0),IF($X26&lt;=20,1,0))</formula>
    </cfRule>
    <cfRule type="expression" dxfId="13322" priority="6486">
      <formula>AND(IF($Q26=2,1,0),IF($X26&lt;30,1,0))</formula>
    </cfRule>
    <cfRule type="expression" dxfId="13321" priority="6487">
      <formula>AND(IF($Q26=3,1,0),IF($X26&lt;30,1,0))</formula>
    </cfRule>
    <cfRule type="expression" dxfId="13320" priority="6488">
      <formula>AND(IF($Q26=3,1,IF($Q26=4,1,0)),IF($F26&lt;=85,1,0))</formula>
    </cfRule>
  </conditionalFormatting>
  <conditionalFormatting sqref="AI26">
    <cfRule type="expression" dxfId="13319" priority="6481">
      <formula>AND(IF(OR($Q26=1,$Q26=2),1,0),IF($X26&lt;=20,1,0))</formula>
    </cfRule>
    <cfRule type="expression" dxfId="13318" priority="6482">
      <formula>AND(IF($Q26=2,1,0),IF($X26&lt;30,1,0))</formula>
    </cfRule>
    <cfRule type="expression" dxfId="13317" priority="6483">
      <formula>AND(IF($Q26=3,1,0),IF($X26&lt;30,1,0))</formula>
    </cfRule>
    <cfRule type="expression" dxfId="13316" priority="6484">
      <formula>AND(IF($Q26=3,1,IF($Q26=4,1,0)),IF($F26&lt;=85,1,0))</formula>
    </cfRule>
  </conditionalFormatting>
  <conditionalFormatting sqref="AV27">
    <cfRule type="expression" dxfId="13315" priority="6479">
      <formula>AV27="X"</formula>
    </cfRule>
    <cfRule type="expression" dxfId="13314" priority="6480">
      <formula>AV27="후보"</formula>
    </cfRule>
  </conditionalFormatting>
  <conditionalFormatting sqref="AC27">
    <cfRule type="cellIs" dxfId="13313" priority="6477" operator="greaterThan">
      <formula>0.9</formula>
    </cfRule>
    <cfRule type="cellIs" dxfId="13312" priority="6478" operator="greaterThan">
      <formula>0.85</formula>
    </cfRule>
  </conditionalFormatting>
  <conditionalFormatting sqref="N27">
    <cfRule type="cellIs" dxfId="13311" priority="6475" operator="greaterThan">
      <formula>0.9</formula>
    </cfRule>
    <cfRule type="cellIs" dxfId="13310" priority="6476" operator="greaterThan">
      <formula>0.85</formula>
    </cfRule>
  </conditionalFormatting>
  <conditionalFormatting sqref="E27">
    <cfRule type="expression" dxfId="13309" priority="6471">
      <formula>AND(IF(OR($Q27=1,$Q27=2),1,0),IF($X27&lt;=20,1,0))</formula>
    </cfRule>
    <cfRule type="expression" dxfId="13308" priority="6472">
      <formula>AND(IF($Q27=2,1,0),IF($X27&lt;30,1,0))</formula>
    </cfRule>
    <cfRule type="expression" dxfId="13307" priority="6473">
      <formula>AND(IF($Q27=3,1,0),IF($X27&lt;30,1,0))</formula>
    </cfRule>
    <cfRule type="expression" dxfId="13306" priority="6474">
      <formula>AND(IF($Q27=3,1,IF($Q27=4,1,0)),IF($F27&lt;=85,1,0))</formula>
    </cfRule>
  </conditionalFormatting>
  <conditionalFormatting sqref="X27">
    <cfRule type="expression" dxfId="13305" priority="6467">
      <formula>AND(IF(OR($Q27=1,$Q27=2),1,0),IF($X27&lt;=20,1,0))</formula>
    </cfRule>
    <cfRule type="expression" dxfId="13304" priority="6468">
      <formula>AND(IF($Q27=2,1,0),IF($X27&lt;30,1,0))</formula>
    </cfRule>
    <cfRule type="expression" dxfId="13303" priority="6469">
      <formula>AND(IF($Q27=3,1,0),IF($X27&lt;30,1,0))</formula>
    </cfRule>
    <cfRule type="expression" dxfId="13302" priority="6470">
      <formula>AND(IF($Q27=3,1,IF($Q27=4,1,0)),IF($F27&lt;=85,1,0))</formula>
    </cfRule>
  </conditionalFormatting>
  <conditionalFormatting sqref="AI27">
    <cfRule type="expression" dxfId="13301" priority="6463">
      <formula>AND(IF(OR($Q27=1,$Q27=2),1,0),IF($X27&lt;=20,1,0))</formula>
    </cfRule>
    <cfRule type="expression" dxfId="13300" priority="6464">
      <formula>AND(IF($Q27=2,1,0),IF($X27&lt;30,1,0))</formula>
    </cfRule>
    <cfRule type="expression" dxfId="13299" priority="6465">
      <formula>AND(IF($Q27=3,1,0),IF($X27&lt;30,1,0))</formula>
    </cfRule>
    <cfRule type="expression" dxfId="13298" priority="6466">
      <formula>AND(IF($Q27=3,1,IF($Q27=4,1,0)),IF($F27&lt;=85,1,0))</formula>
    </cfRule>
  </conditionalFormatting>
  <conditionalFormatting sqref="AV28">
    <cfRule type="expression" dxfId="13297" priority="6461">
      <formula>AV28="X"</formula>
    </cfRule>
    <cfRule type="expression" dxfId="13296" priority="6462">
      <formula>AV28="후보"</formula>
    </cfRule>
  </conditionalFormatting>
  <conditionalFormatting sqref="AC28">
    <cfRule type="cellIs" dxfId="13295" priority="6459" operator="greaterThan">
      <formula>0.9</formula>
    </cfRule>
    <cfRule type="cellIs" dxfId="13294" priority="6460" operator="greaterThan">
      <formula>0.85</formula>
    </cfRule>
  </conditionalFormatting>
  <conditionalFormatting sqref="N28">
    <cfRule type="cellIs" dxfId="13293" priority="6457" operator="greaterThan">
      <formula>0.9</formula>
    </cfRule>
    <cfRule type="cellIs" dxfId="13292" priority="6458" operator="greaterThan">
      <formula>0.85</formula>
    </cfRule>
  </conditionalFormatting>
  <conditionalFormatting sqref="E28">
    <cfRule type="expression" dxfId="13291" priority="6453">
      <formula>AND(IF(OR($Q28=1,$Q28=2),1,0),IF($X28&lt;=20,1,0))</formula>
    </cfRule>
    <cfRule type="expression" dxfId="13290" priority="6454">
      <formula>AND(IF($Q28=2,1,0),IF($X28&lt;30,1,0))</formula>
    </cfRule>
    <cfRule type="expression" dxfId="13289" priority="6455">
      <formula>AND(IF($Q28=3,1,0),IF($X28&lt;30,1,0))</formula>
    </cfRule>
    <cfRule type="expression" dxfId="13288" priority="6456">
      <formula>AND(IF($Q28=3,1,IF($Q28=4,1,0)),IF($F28&lt;=85,1,0))</formula>
    </cfRule>
  </conditionalFormatting>
  <conditionalFormatting sqref="X28">
    <cfRule type="expression" dxfId="13287" priority="6449">
      <formula>AND(IF(OR($Q28=1,$Q28=2),1,0),IF($X28&lt;=20,1,0))</formula>
    </cfRule>
    <cfRule type="expression" dxfId="13286" priority="6450">
      <formula>AND(IF($Q28=2,1,0),IF($X28&lt;30,1,0))</formula>
    </cfRule>
    <cfRule type="expression" dxfId="13285" priority="6451">
      <formula>AND(IF($Q28=3,1,0),IF($X28&lt;30,1,0))</formula>
    </cfRule>
    <cfRule type="expression" dxfId="13284" priority="6452">
      <formula>AND(IF($Q28=3,1,IF($Q28=4,1,0)),IF($F28&lt;=85,1,0))</formula>
    </cfRule>
  </conditionalFormatting>
  <conditionalFormatting sqref="AI28">
    <cfRule type="expression" dxfId="13283" priority="6445">
      <formula>AND(IF(OR($Q28=1,$Q28=2),1,0),IF($X28&lt;=20,1,0))</formula>
    </cfRule>
    <cfRule type="expression" dxfId="13282" priority="6446">
      <formula>AND(IF($Q28=2,1,0),IF($X28&lt;30,1,0))</formula>
    </cfRule>
    <cfRule type="expression" dxfId="13281" priority="6447">
      <formula>AND(IF($Q28=3,1,0),IF($X28&lt;30,1,0))</formula>
    </cfRule>
    <cfRule type="expression" dxfId="13280" priority="6448">
      <formula>AND(IF($Q28=3,1,IF($Q28=4,1,0)),IF($F28&lt;=85,1,0))</formula>
    </cfRule>
  </conditionalFormatting>
  <conditionalFormatting sqref="AV29">
    <cfRule type="expression" dxfId="13279" priority="6443">
      <formula>AV29="X"</formula>
    </cfRule>
    <cfRule type="expression" dxfId="13278" priority="6444">
      <formula>AV29="후보"</formula>
    </cfRule>
  </conditionalFormatting>
  <conditionalFormatting sqref="AC29">
    <cfRule type="cellIs" dxfId="13277" priority="6441" operator="greaterThan">
      <formula>0.9</formula>
    </cfRule>
    <cfRule type="cellIs" dxfId="13276" priority="6442" operator="greaterThan">
      <formula>0.85</formula>
    </cfRule>
  </conditionalFormatting>
  <conditionalFormatting sqref="N29">
    <cfRule type="cellIs" dxfId="13275" priority="6439" operator="greaterThan">
      <formula>0.9</formula>
    </cfRule>
    <cfRule type="cellIs" dxfId="13274" priority="6440" operator="greaterThan">
      <formula>0.85</formula>
    </cfRule>
  </conditionalFormatting>
  <conditionalFormatting sqref="E29">
    <cfRule type="expression" dxfId="13273" priority="6435">
      <formula>AND(IF(OR($Q29=1,$Q29=2),1,0),IF($X29&lt;=20,1,0))</formula>
    </cfRule>
    <cfRule type="expression" dxfId="13272" priority="6436">
      <formula>AND(IF($Q29=2,1,0),IF($X29&lt;30,1,0))</formula>
    </cfRule>
    <cfRule type="expression" dxfId="13271" priority="6437">
      <formula>AND(IF($Q29=3,1,0),IF($X29&lt;30,1,0))</formula>
    </cfRule>
    <cfRule type="expression" dxfId="13270" priority="6438">
      <formula>AND(IF($Q29=3,1,IF($Q29=4,1,0)),IF($F29&lt;=85,1,0))</formula>
    </cfRule>
  </conditionalFormatting>
  <conditionalFormatting sqref="X29">
    <cfRule type="expression" dxfId="13269" priority="6431">
      <formula>AND(IF(OR($Q29=1,$Q29=2),1,0),IF($X29&lt;=20,1,0))</formula>
    </cfRule>
    <cfRule type="expression" dxfId="13268" priority="6432">
      <formula>AND(IF($Q29=2,1,0),IF($X29&lt;30,1,0))</formula>
    </cfRule>
    <cfRule type="expression" dxfId="13267" priority="6433">
      <formula>AND(IF($Q29=3,1,0),IF($X29&lt;30,1,0))</formula>
    </cfRule>
    <cfRule type="expression" dxfId="13266" priority="6434">
      <formula>AND(IF($Q29=3,1,IF($Q29=4,1,0)),IF($F29&lt;=85,1,0))</formula>
    </cfRule>
  </conditionalFormatting>
  <conditionalFormatting sqref="AI29">
    <cfRule type="expression" dxfId="13265" priority="6427">
      <formula>AND(IF(OR($Q29=1,$Q29=2),1,0),IF($X29&lt;=20,1,0))</formula>
    </cfRule>
    <cfRule type="expression" dxfId="13264" priority="6428">
      <formula>AND(IF($Q29=2,1,0),IF($X29&lt;30,1,0))</formula>
    </cfRule>
    <cfRule type="expression" dxfId="13263" priority="6429">
      <formula>AND(IF($Q29=3,1,0),IF($X29&lt;30,1,0))</formula>
    </cfRule>
    <cfRule type="expression" dxfId="13262" priority="6430">
      <formula>AND(IF($Q29=3,1,IF($Q29=4,1,0)),IF($F29&lt;=85,1,0))</formula>
    </cfRule>
  </conditionalFormatting>
  <conditionalFormatting sqref="AV30">
    <cfRule type="expression" dxfId="13261" priority="6425">
      <formula>AV30="X"</formula>
    </cfRule>
    <cfRule type="expression" dxfId="13260" priority="6426">
      <formula>AV30="후보"</formula>
    </cfRule>
  </conditionalFormatting>
  <conditionalFormatting sqref="AC30">
    <cfRule type="cellIs" dxfId="13259" priority="6423" operator="greaterThan">
      <formula>0.9</formula>
    </cfRule>
    <cfRule type="cellIs" dxfId="13258" priority="6424" operator="greaterThan">
      <formula>0.85</formula>
    </cfRule>
  </conditionalFormatting>
  <conditionalFormatting sqref="N30">
    <cfRule type="cellIs" dxfId="13257" priority="6421" operator="greaterThan">
      <formula>0.9</formula>
    </cfRule>
    <cfRule type="cellIs" dxfId="13256" priority="6422" operator="greaterThan">
      <formula>0.85</formula>
    </cfRule>
  </conditionalFormatting>
  <conditionalFormatting sqref="E30">
    <cfRule type="expression" dxfId="13255" priority="6417">
      <formula>AND(IF(OR($Q30=1,$Q30=2),1,0),IF($X30&lt;=20,1,0))</formula>
    </cfRule>
    <cfRule type="expression" dxfId="13254" priority="6418">
      <formula>AND(IF($Q30=2,1,0),IF($X30&lt;30,1,0))</formula>
    </cfRule>
    <cfRule type="expression" dxfId="13253" priority="6419">
      <formula>AND(IF($Q30=3,1,0),IF($X30&lt;30,1,0))</formula>
    </cfRule>
    <cfRule type="expression" dxfId="13252" priority="6420">
      <formula>AND(IF($Q30=3,1,IF($Q30=4,1,0)),IF($F30&lt;=85,1,0))</formula>
    </cfRule>
  </conditionalFormatting>
  <conditionalFormatting sqref="X30">
    <cfRule type="expression" dxfId="13251" priority="6413">
      <formula>AND(IF(OR($Q30=1,$Q30=2),1,0),IF($X30&lt;=20,1,0))</formula>
    </cfRule>
    <cfRule type="expression" dxfId="13250" priority="6414">
      <formula>AND(IF($Q30=2,1,0),IF($X30&lt;30,1,0))</formula>
    </cfRule>
    <cfRule type="expression" dxfId="13249" priority="6415">
      <formula>AND(IF($Q30=3,1,0),IF($X30&lt;30,1,0))</formula>
    </cfRule>
    <cfRule type="expression" dxfId="13248" priority="6416">
      <formula>AND(IF($Q30=3,1,IF($Q30=4,1,0)),IF($F30&lt;=85,1,0))</formula>
    </cfRule>
  </conditionalFormatting>
  <conditionalFormatting sqref="AI30">
    <cfRule type="expression" dxfId="13247" priority="6409">
      <formula>AND(IF(OR($Q30=1,$Q30=2),1,0),IF($X30&lt;=20,1,0))</formula>
    </cfRule>
    <cfRule type="expression" dxfId="13246" priority="6410">
      <formula>AND(IF($Q30=2,1,0),IF($X30&lt;30,1,0))</formula>
    </cfRule>
    <cfRule type="expression" dxfId="13245" priority="6411">
      <formula>AND(IF($Q30=3,1,0),IF($X30&lt;30,1,0))</formula>
    </cfRule>
    <cfRule type="expression" dxfId="13244" priority="6412">
      <formula>AND(IF($Q30=3,1,IF($Q30=4,1,0)),IF($F30&lt;=85,1,0))</formula>
    </cfRule>
  </conditionalFormatting>
  <conditionalFormatting sqref="AV31">
    <cfRule type="expression" dxfId="13243" priority="6407">
      <formula>AV31="X"</formula>
    </cfRule>
    <cfRule type="expression" dxfId="13242" priority="6408">
      <formula>AV31="후보"</formula>
    </cfRule>
  </conditionalFormatting>
  <conditionalFormatting sqref="AC31">
    <cfRule type="cellIs" dxfId="13241" priority="6405" operator="greaterThan">
      <formula>0.9</formula>
    </cfRule>
    <cfRule type="cellIs" dxfId="13240" priority="6406" operator="greaterThan">
      <formula>0.85</formula>
    </cfRule>
  </conditionalFormatting>
  <conditionalFormatting sqref="N31">
    <cfRule type="cellIs" dxfId="13239" priority="6403" operator="greaterThan">
      <formula>0.9</formula>
    </cfRule>
    <cfRule type="cellIs" dxfId="13238" priority="6404" operator="greaterThan">
      <formula>0.85</formula>
    </cfRule>
  </conditionalFormatting>
  <conditionalFormatting sqref="E31">
    <cfRule type="expression" dxfId="13237" priority="6399">
      <formula>AND(IF(OR($Q31=1,$Q31=2),1,0),IF($X31&lt;=20,1,0))</formula>
    </cfRule>
    <cfRule type="expression" dxfId="13236" priority="6400">
      <formula>AND(IF($Q31=2,1,0),IF($X31&lt;30,1,0))</formula>
    </cfRule>
    <cfRule type="expression" dxfId="13235" priority="6401">
      <formula>AND(IF($Q31=3,1,0),IF($X31&lt;30,1,0))</formula>
    </cfRule>
    <cfRule type="expression" dxfId="13234" priority="6402">
      <formula>AND(IF($Q31=3,1,IF($Q31=4,1,0)),IF($F31&lt;=85,1,0))</formula>
    </cfRule>
  </conditionalFormatting>
  <conditionalFormatting sqref="X31">
    <cfRule type="expression" dxfId="13233" priority="6395">
      <formula>AND(IF(OR($Q31=1,$Q31=2),1,0),IF($X31&lt;=20,1,0))</formula>
    </cfRule>
    <cfRule type="expression" dxfId="13232" priority="6396">
      <formula>AND(IF($Q31=2,1,0),IF($X31&lt;30,1,0))</formula>
    </cfRule>
    <cfRule type="expression" dxfId="13231" priority="6397">
      <formula>AND(IF($Q31=3,1,0),IF($X31&lt;30,1,0))</formula>
    </cfRule>
    <cfRule type="expression" dxfId="13230" priority="6398">
      <formula>AND(IF($Q31=3,1,IF($Q31=4,1,0)),IF($F31&lt;=85,1,0))</formula>
    </cfRule>
  </conditionalFormatting>
  <conditionalFormatting sqref="AI31">
    <cfRule type="expression" dxfId="13229" priority="6391">
      <formula>AND(IF(OR($Q31=1,$Q31=2),1,0),IF($X31&lt;=20,1,0))</formula>
    </cfRule>
    <cfRule type="expression" dxfId="13228" priority="6392">
      <formula>AND(IF($Q31=2,1,0),IF($X31&lt;30,1,0))</formula>
    </cfRule>
    <cfRule type="expression" dxfId="13227" priority="6393">
      <formula>AND(IF($Q31=3,1,0),IF($X31&lt;30,1,0))</formula>
    </cfRule>
    <cfRule type="expression" dxfId="13226" priority="6394">
      <formula>AND(IF($Q31=3,1,IF($Q31=4,1,0)),IF($F31&lt;=85,1,0))</formula>
    </cfRule>
  </conditionalFormatting>
  <conditionalFormatting sqref="AV32">
    <cfRule type="expression" dxfId="13225" priority="6389">
      <formula>AV32="X"</formula>
    </cfRule>
    <cfRule type="expression" dxfId="13224" priority="6390">
      <formula>AV32="후보"</formula>
    </cfRule>
  </conditionalFormatting>
  <conditionalFormatting sqref="AC32">
    <cfRule type="cellIs" dxfId="13223" priority="6387" operator="greaterThan">
      <formula>0.9</formula>
    </cfRule>
    <cfRule type="cellIs" dxfId="13222" priority="6388" operator="greaterThan">
      <formula>0.85</formula>
    </cfRule>
  </conditionalFormatting>
  <conditionalFormatting sqref="N32">
    <cfRule type="cellIs" dxfId="13221" priority="6385" operator="greaterThan">
      <formula>0.9</formula>
    </cfRule>
    <cfRule type="cellIs" dxfId="13220" priority="6386" operator="greaterThan">
      <formula>0.85</formula>
    </cfRule>
  </conditionalFormatting>
  <conditionalFormatting sqref="E32">
    <cfRule type="expression" dxfId="13219" priority="6381">
      <formula>AND(IF(OR($Q32=1,$Q32=2),1,0),IF($X32&lt;=20,1,0))</formula>
    </cfRule>
    <cfRule type="expression" dxfId="13218" priority="6382">
      <formula>AND(IF($Q32=2,1,0),IF($X32&lt;30,1,0))</formula>
    </cfRule>
    <cfRule type="expression" dxfId="13217" priority="6383">
      <formula>AND(IF($Q32=3,1,0),IF($X32&lt;30,1,0))</formula>
    </cfRule>
    <cfRule type="expression" dxfId="13216" priority="6384">
      <formula>AND(IF($Q32=3,1,IF($Q32=4,1,0)),IF($F32&lt;=85,1,0))</formula>
    </cfRule>
  </conditionalFormatting>
  <conditionalFormatting sqref="X32">
    <cfRule type="expression" dxfId="13215" priority="6377">
      <formula>AND(IF(OR($Q32=1,$Q32=2),1,0),IF($X32&lt;=20,1,0))</formula>
    </cfRule>
    <cfRule type="expression" dxfId="13214" priority="6378">
      <formula>AND(IF($Q32=2,1,0),IF($X32&lt;30,1,0))</formula>
    </cfRule>
    <cfRule type="expression" dxfId="13213" priority="6379">
      <formula>AND(IF($Q32=3,1,0),IF($X32&lt;30,1,0))</formula>
    </cfRule>
    <cfRule type="expression" dxfId="13212" priority="6380">
      <formula>AND(IF($Q32=3,1,IF($Q32=4,1,0)),IF($F32&lt;=85,1,0))</formula>
    </cfRule>
  </conditionalFormatting>
  <conditionalFormatting sqref="AI32">
    <cfRule type="expression" dxfId="13211" priority="6373">
      <formula>AND(IF(OR($Q32=1,$Q32=2),1,0),IF($X32&lt;=20,1,0))</formula>
    </cfRule>
    <cfRule type="expression" dxfId="13210" priority="6374">
      <formula>AND(IF($Q32=2,1,0),IF($X32&lt;30,1,0))</formula>
    </cfRule>
    <cfRule type="expression" dxfId="13209" priority="6375">
      <formula>AND(IF($Q32=3,1,0),IF($X32&lt;30,1,0))</formula>
    </cfRule>
    <cfRule type="expression" dxfId="13208" priority="6376">
      <formula>AND(IF($Q32=3,1,IF($Q32=4,1,0)),IF($F32&lt;=85,1,0))</formula>
    </cfRule>
  </conditionalFormatting>
  <conditionalFormatting sqref="AV33">
    <cfRule type="expression" dxfId="13207" priority="6371">
      <formula>AV33="X"</formula>
    </cfRule>
    <cfRule type="expression" dxfId="13206" priority="6372">
      <formula>AV33="후보"</formula>
    </cfRule>
  </conditionalFormatting>
  <conditionalFormatting sqref="AC33">
    <cfRule type="cellIs" dxfId="13205" priority="6369" operator="greaterThan">
      <formula>0.9</formula>
    </cfRule>
    <cfRule type="cellIs" dxfId="13204" priority="6370" operator="greaterThan">
      <formula>0.85</formula>
    </cfRule>
  </conditionalFormatting>
  <conditionalFormatting sqref="N33">
    <cfRule type="cellIs" dxfId="13203" priority="6367" operator="greaterThan">
      <formula>0.9</formula>
    </cfRule>
    <cfRule type="cellIs" dxfId="13202" priority="6368" operator="greaterThan">
      <formula>0.85</formula>
    </cfRule>
  </conditionalFormatting>
  <conditionalFormatting sqref="E33">
    <cfRule type="expression" dxfId="13201" priority="6363">
      <formula>AND(IF(OR($Q33=1,$Q33=2),1,0),IF($X33&lt;=20,1,0))</formula>
    </cfRule>
    <cfRule type="expression" dxfId="13200" priority="6364">
      <formula>AND(IF($Q33=2,1,0),IF($X33&lt;30,1,0))</formula>
    </cfRule>
    <cfRule type="expression" dxfId="13199" priority="6365">
      <formula>AND(IF($Q33=3,1,0),IF($X33&lt;30,1,0))</formula>
    </cfRule>
    <cfRule type="expression" dxfId="13198" priority="6366">
      <formula>AND(IF($Q33=3,1,IF($Q33=4,1,0)),IF($F33&lt;=85,1,0))</formula>
    </cfRule>
  </conditionalFormatting>
  <conditionalFormatting sqref="X33">
    <cfRule type="expression" dxfId="13197" priority="6359">
      <formula>AND(IF(OR($Q33=1,$Q33=2),1,0),IF($X33&lt;=20,1,0))</formula>
    </cfRule>
    <cfRule type="expression" dxfId="13196" priority="6360">
      <formula>AND(IF($Q33=2,1,0),IF($X33&lt;30,1,0))</formula>
    </cfRule>
    <cfRule type="expression" dxfId="13195" priority="6361">
      <formula>AND(IF($Q33=3,1,0),IF($X33&lt;30,1,0))</formula>
    </cfRule>
    <cfRule type="expression" dxfId="13194" priority="6362">
      <formula>AND(IF($Q33=3,1,IF($Q33=4,1,0)),IF($F33&lt;=85,1,0))</formula>
    </cfRule>
  </conditionalFormatting>
  <conditionalFormatting sqref="AI33">
    <cfRule type="expression" dxfId="13193" priority="6355">
      <formula>AND(IF(OR($Q33=1,$Q33=2),1,0),IF($X33&lt;=20,1,0))</formula>
    </cfRule>
    <cfRule type="expression" dxfId="13192" priority="6356">
      <formula>AND(IF($Q33=2,1,0),IF($X33&lt;30,1,0))</formula>
    </cfRule>
    <cfRule type="expression" dxfId="13191" priority="6357">
      <formula>AND(IF($Q33=3,1,0),IF($X33&lt;30,1,0))</formula>
    </cfRule>
    <cfRule type="expression" dxfId="13190" priority="6358">
      <formula>AND(IF($Q33=3,1,IF($Q33=4,1,0)),IF($F33&lt;=85,1,0))</formula>
    </cfRule>
  </conditionalFormatting>
  <conditionalFormatting sqref="AV34">
    <cfRule type="expression" dxfId="13189" priority="6353">
      <formula>AV34="X"</formula>
    </cfRule>
    <cfRule type="expression" dxfId="13188" priority="6354">
      <formula>AV34="후보"</formula>
    </cfRule>
  </conditionalFormatting>
  <conditionalFormatting sqref="AC34">
    <cfRule type="cellIs" dxfId="13187" priority="6351" operator="greaterThan">
      <formula>0.9</formula>
    </cfRule>
    <cfRule type="cellIs" dxfId="13186" priority="6352" operator="greaterThan">
      <formula>0.85</formula>
    </cfRule>
  </conditionalFormatting>
  <conditionalFormatting sqref="N34">
    <cfRule type="cellIs" dxfId="13185" priority="6349" operator="greaterThan">
      <formula>0.9</formula>
    </cfRule>
    <cfRule type="cellIs" dxfId="13184" priority="6350" operator="greaterThan">
      <formula>0.85</formula>
    </cfRule>
  </conditionalFormatting>
  <conditionalFormatting sqref="E34">
    <cfRule type="expression" dxfId="13183" priority="6345">
      <formula>AND(IF(OR($Q34=1,$Q34=2),1,0),IF($X34&lt;=20,1,0))</formula>
    </cfRule>
    <cfRule type="expression" dxfId="13182" priority="6346">
      <formula>AND(IF($Q34=2,1,0),IF($X34&lt;30,1,0))</formula>
    </cfRule>
    <cfRule type="expression" dxfId="13181" priority="6347">
      <formula>AND(IF($Q34=3,1,0),IF($X34&lt;30,1,0))</formula>
    </cfRule>
    <cfRule type="expression" dxfId="13180" priority="6348">
      <formula>AND(IF($Q34=3,1,IF($Q34=4,1,0)),IF($F34&lt;=85,1,0))</formula>
    </cfRule>
  </conditionalFormatting>
  <conditionalFormatting sqref="X34">
    <cfRule type="expression" dxfId="13179" priority="6341">
      <formula>AND(IF(OR($Q34=1,$Q34=2),1,0),IF($X34&lt;=20,1,0))</formula>
    </cfRule>
    <cfRule type="expression" dxfId="13178" priority="6342">
      <formula>AND(IF($Q34=2,1,0),IF($X34&lt;30,1,0))</formula>
    </cfRule>
    <cfRule type="expression" dxfId="13177" priority="6343">
      <formula>AND(IF($Q34=3,1,0),IF($X34&lt;30,1,0))</formula>
    </cfRule>
    <cfRule type="expression" dxfId="13176" priority="6344">
      <formula>AND(IF($Q34=3,1,IF($Q34=4,1,0)),IF($F34&lt;=85,1,0))</formula>
    </cfRule>
  </conditionalFormatting>
  <conditionalFormatting sqref="AI34">
    <cfRule type="expression" dxfId="13175" priority="6337">
      <formula>AND(IF(OR($Q34=1,$Q34=2),1,0),IF($X34&lt;=20,1,0))</formula>
    </cfRule>
    <cfRule type="expression" dxfId="13174" priority="6338">
      <formula>AND(IF($Q34=2,1,0),IF($X34&lt;30,1,0))</formula>
    </cfRule>
    <cfRule type="expression" dxfId="13173" priority="6339">
      <formula>AND(IF($Q34=3,1,0),IF($X34&lt;30,1,0))</formula>
    </cfRule>
    <cfRule type="expression" dxfId="13172" priority="6340">
      <formula>AND(IF($Q34=3,1,IF($Q34=4,1,0)),IF($F34&lt;=85,1,0))</formula>
    </cfRule>
  </conditionalFormatting>
  <conditionalFormatting sqref="AV35">
    <cfRule type="expression" dxfId="13171" priority="6335">
      <formula>AV35="X"</formula>
    </cfRule>
    <cfRule type="expression" dxfId="13170" priority="6336">
      <formula>AV35="후보"</formula>
    </cfRule>
  </conditionalFormatting>
  <conditionalFormatting sqref="AC35">
    <cfRule type="cellIs" dxfId="13169" priority="6333" operator="greaterThan">
      <formula>0.9</formula>
    </cfRule>
    <cfRule type="cellIs" dxfId="13168" priority="6334" operator="greaterThan">
      <formula>0.85</formula>
    </cfRule>
  </conditionalFormatting>
  <conditionalFormatting sqref="N35">
    <cfRule type="cellIs" dxfId="13167" priority="6331" operator="greaterThan">
      <formula>0.9</formula>
    </cfRule>
    <cfRule type="cellIs" dxfId="13166" priority="6332" operator="greaterThan">
      <formula>0.85</formula>
    </cfRule>
  </conditionalFormatting>
  <conditionalFormatting sqref="E35">
    <cfRule type="expression" dxfId="13165" priority="6327">
      <formula>AND(IF(OR($Q35=1,$Q35=2),1,0),IF($X35&lt;=20,1,0))</formula>
    </cfRule>
    <cfRule type="expression" dxfId="13164" priority="6328">
      <formula>AND(IF($Q35=2,1,0),IF($X35&lt;30,1,0))</formula>
    </cfRule>
    <cfRule type="expression" dxfId="13163" priority="6329">
      <formula>AND(IF($Q35=3,1,0),IF($X35&lt;30,1,0))</formula>
    </cfRule>
    <cfRule type="expression" dxfId="13162" priority="6330">
      <formula>AND(IF($Q35=3,1,IF($Q35=4,1,0)),IF($F35&lt;=85,1,0))</formula>
    </cfRule>
  </conditionalFormatting>
  <conditionalFormatting sqref="X35">
    <cfRule type="expression" dxfId="13161" priority="6323">
      <formula>AND(IF(OR($Q35=1,$Q35=2),1,0),IF($X35&lt;=20,1,0))</formula>
    </cfRule>
    <cfRule type="expression" dxfId="13160" priority="6324">
      <formula>AND(IF($Q35=2,1,0),IF($X35&lt;30,1,0))</formula>
    </cfRule>
    <cfRule type="expression" dxfId="13159" priority="6325">
      <formula>AND(IF($Q35=3,1,0),IF($X35&lt;30,1,0))</formula>
    </cfRule>
    <cfRule type="expression" dxfId="13158" priority="6326">
      <formula>AND(IF($Q35=3,1,IF($Q35=4,1,0)),IF($F35&lt;=85,1,0))</formula>
    </cfRule>
  </conditionalFormatting>
  <conditionalFormatting sqref="AI35">
    <cfRule type="expression" dxfId="13157" priority="6319">
      <formula>AND(IF(OR($Q35=1,$Q35=2),1,0),IF($X35&lt;=20,1,0))</formula>
    </cfRule>
    <cfRule type="expression" dxfId="13156" priority="6320">
      <formula>AND(IF($Q35=2,1,0),IF($X35&lt;30,1,0))</formula>
    </cfRule>
    <cfRule type="expression" dxfId="13155" priority="6321">
      <formula>AND(IF($Q35=3,1,0),IF($X35&lt;30,1,0))</formula>
    </cfRule>
    <cfRule type="expression" dxfId="13154" priority="6322">
      <formula>AND(IF($Q35=3,1,IF($Q35=4,1,0)),IF($F35&lt;=85,1,0))</formula>
    </cfRule>
  </conditionalFormatting>
  <conditionalFormatting sqref="AV36">
    <cfRule type="expression" dxfId="13153" priority="6317">
      <formula>AV36="X"</formula>
    </cfRule>
    <cfRule type="expression" dxfId="13152" priority="6318">
      <formula>AV36="후보"</formula>
    </cfRule>
  </conditionalFormatting>
  <conditionalFormatting sqref="AC36">
    <cfRule type="cellIs" dxfId="13151" priority="6315" operator="greaterThan">
      <formula>0.9</formula>
    </cfRule>
    <cfRule type="cellIs" dxfId="13150" priority="6316" operator="greaterThan">
      <formula>0.85</formula>
    </cfRule>
  </conditionalFormatting>
  <conditionalFormatting sqref="N36">
    <cfRule type="cellIs" dxfId="13149" priority="6313" operator="greaterThan">
      <formula>0.9</formula>
    </cfRule>
    <cfRule type="cellIs" dxfId="13148" priority="6314" operator="greaterThan">
      <formula>0.85</formula>
    </cfRule>
  </conditionalFormatting>
  <conditionalFormatting sqref="E36">
    <cfRule type="expression" dxfId="13147" priority="6309">
      <formula>AND(IF(OR($Q36=1,$Q36=2),1,0),IF($X36&lt;=20,1,0))</formula>
    </cfRule>
    <cfRule type="expression" dxfId="13146" priority="6310">
      <formula>AND(IF($Q36=2,1,0),IF($X36&lt;30,1,0))</formula>
    </cfRule>
    <cfRule type="expression" dxfId="13145" priority="6311">
      <formula>AND(IF($Q36=3,1,0),IF($X36&lt;30,1,0))</formula>
    </cfRule>
    <cfRule type="expression" dxfId="13144" priority="6312">
      <formula>AND(IF($Q36=3,1,IF($Q36=4,1,0)),IF($F36&lt;=85,1,0))</formula>
    </cfRule>
  </conditionalFormatting>
  <conditionalFormatting sqref="X36">
    <cfRule type="expression" dxfId="13143" priority="6305">
      <formula>AND(IF(OR($Q36=1,$Q36=2),1,0),IF($X36&lt;=20,1,0))</formula>
    </cfRule>
    <cfRule type="expression" dxfId="13142" priority="6306">
      <formula>AND(IF($Q36=2,1,0),IF($X36&lt;30,1,0))</formula>
    </cfRule>
    <cfRule type="expression" dxfId="13141" priority="6307">
      <formula>AND(IF($Q36=3,1,0),IF($X36&lt;30,1,0))</formula>
    </cfRule>
    <cfRule type="expression" dxfId="13140" priority="6308">
      <formula>AND(IF($Q36=3,1,IF($Q36=4,1,0)),IF($F36&lt;=85,1,0))</formula>
    </cfRule>
  </conditionalFormatting>
  <conditionalFormatting sqref="AI36">
    <cfRule type="expression" dxfId="13139" priority="6301">
      <formula>AND(IF(OR($Q36=1,$Q36=2),1,0),IF($X36&lt;=20,1,0))</formula>
    </cfRule>
    <cfRule type="expression" dxfId="13138" priority="6302">
      <formula>AND(IF($Q36=2,1,0),IF($X36&lt;30,1,0))</formula>
    </cfRule>
    <cfRule type="expression" dxfId="13137" priority="6303">
      <formula>AND(IF($Q36=3,1,0),IF($X36&lt;30,1,0))</formula>
    </cfRule>
    <cfRule type="expression" dxfId="13136" priority="6304">
      <formula>AND(IF($Q36=3,1,IF($Q36=4,1,0)),IF($F36&lt;=85,1,0))</formula>
    </cfRule>
  </conditionalFormatting>
  <conditionalFormatting sqref="AV37">
    <cfRule type="expression" dxfId="13135" priority="6299">
      <formula>AV37="X"</formula>
    </cfRule>
    <cfRule type="expression" dxfId="13134" priority="6300">
      <formula>AV37="후보"</formula>
    </cfRule>
  </conditionalFormatting>
  <conditionalFormatting sqref="AC37">
    <cfRule type="cellIs" dxfId="13133" priority="6297" operator="greaterThan">
      <formula>0.9</formula>
    </cfRule>
    <cfRule type="cellIs" dxfId="13132" priority="6298" operator="greaterThan">
      <formula>0.85</formula>
    </cfRule>
  </conditionalFormatting>
  <conditionalFormatting sqref="N37">
    <cfRule type="cellIs" dxfId="13131" priority="6295" operator="greaterThan">
      <formula>0.9</formula>
    </cfRule>
    <cfRule type="cellIs" dxfId="13130" priority="6296" operator="greaterThan">
      <formula>0.85</formula>
    </cfRule>
  </conditionalFormatting>
  <conditionalFormatting sqref="E37">
    <cfRule type="expression" dxfId="13129" priority="6291">
      <formula>AND(IF(OR($Q37=1,$Q37=2),1,0),IF($X37&lt;=20,1,0))</formula>
    </cfRule>
    <cfRule type="expression" dxfId="13128" priority="6292">
      <formula>AND(IF($Q37=2,1,0),IF($X37&lt;30,1,0))</formula>
    </cfRule>
    <cfRule type="expression" dxfId="13127" priority="6293">
      <formula>AND(IF($Q37=3,1,0),IF($X37&lt;30,1,0))</formula>
    </cfRule>
    <cfRule type="expression" dxfId="13126" priority="6294">
      <formula>AND(IF($Q37=3,1,IF($Q37=4,1,0)),IF($F37&lt;=85,1,0))</formula>
    </cfRule>
  </conditionalFormatting>
  <conditionalFormatting sqref="X37">
    <cfRule type="expression" dxfId="13125" priority="6287">
      <formula>AND(IF(OR($Q37=1,$Q37=2),1,0),IF($X37&lt;=20,1,0))</formula>
    </cfRule>
    <cfRule type="expression" dxfId="13124" priority="6288">
      <formula>AND(IF($Q37=2,1,0),IF($X37&lt;30,1,0))</formula>
    </cfRule>
    <cfRule type="expression" dxfId="13123" priority="6289">
      <formula>AND(IF($Q37=3,1,0),IF($X37&lt;30,1,0))</formula>
    </cfRule>
    <cfRule type="expression" dxfId="13122" priority="6290">
      <formula>AND(IF($Q37=3,1,IF($Q37=4,1,0)),IF($F37&lt;=85,1,0))</formula>
    </cfRule>
  </conditionalFormatting>
  <conditionalFormatting sqref="AI37">
    <cfRule type="expression" dxfId="13121" priority="6283">
      <formula>AND(IF(OR($Q37=1,$Q37=2),1,0),IF($X37&lt;=20,1,0))</formula>
    </cfRule>
    <cfRule type="expression" dxfId="13120" priority="6284">
      <formula>AND(IF($Q37=2,1,0),IF($X37&lt;30,1,0))</formula>
    </cfRule>
    <cfRule type="expression" dxfId="13119" priority="6285">
      <formula>AND(IF($Q37=3,1,0),IF($X37&lt;30,1,0))</formula>
    </cfRule>
    <cfRule type="expression" dxfId="13118" priority="6286">
      <formula>AND(IF($Q37=3,1,IF($Q37=4,1,0)),IF($F37&lt;=85,1,0))</formula>
    </cfRule>
  </conditionalFormatting>
  <conditionalFormatting sqref="AV38">
    <cfRule type="expression" dxfId="13117" priority="6281">
      <formula>AV38="X"</formula>
    </cfRule>
    <cfRule type="expression" dxfId="13116" priority="6282">
      <formula>AV38="후보"</formula>
    </cfRule>
  </conditionalFormatting>
  <conditionalFormatting sqref="AC38">
    <cfRule type="cellIs" dxfId="13115" priority="6279" operator="greaterThan">
      <formula>0.9</formula>
    </cfRule>
    <cfRule type="cellIs" dxfId="13114" priority="6280" operator="greaterThan">
      <formula>0.85</formula>
    </cfRule>
  </conditionalFormatting>
  <conditionalFormatting sqref="N38">
    <cfRule type="cellIs" dxfId="13113" priority="6277" operator="greaterThan">
      <formula>0.9</formula>
    </cfRule>
    <cfRule type="cellIs" dxfId="13112" priority="6278" operator="greaterThan">
      <formula>0.85</formula>
    </cfRule>
  </conditionalFormatting>
  <conditionalFormatting sqref="E38">
    <cfRule type="expression" dxfId="13111" priority="6273">
      <formula>AND(IF(OR($Q38=1,$Q38=2),1,0),IF($X38&lt;=20,1,0))</formula>
    </cfRule>
    <cfRule type="expression" dxfId="13110" priority="6274">
      <formula>AND(IF($Q38=2,1,0),IF($X38&lt;30,1,0))</formula>
    </cfRule>
    <cfRule type="expression" dxfId="13109" priority="6275">
      <formula>AND(IF($Q38=3,1,0),IF($X38&lt;30,1,0))</formula>
    </cfRule>
    <cfRule type="expression" dxfId="13108" priority="6276">
      <formula>AND(IF($Q38=3,1,IF($Q38=4,1,0)),IF($F38&lt;=85,1,0))</formula>
    </cfRule>
  </conditionalFormatting>
  <conditionalFormatting sqref="X38">
    <cfRule type="expression" dxfId="13107" priority="6269">
      <formula>AND(IF(OR($Q38=1,$Q38=2),1,0),IF($X38&lt;=20,1,0))</formula>
    </cfRule>
    <cfRule type="expression" dxfId="13106" priority="6270">
      <formula>AND(IF($Q38=2,1,0),IF($X38&lt;30,1,0))</formula>
    </cfRule>
    <cfRule type="expression" dxfId="13105" priority="6271">
      <formula>AND(IF($Q38=3,1,0),IF($X38&lt;30,1,0))</formula>
    </cfRule>
    <cfRule type="expression" dxfId="13104" priority="6272">
      <formula>AND(IF($Q38=3,1,IF($Q38=4,1,0)),IF($F38&lt;=85,1,0))</formula>
    </cfRule>
  </conditionalFormatting>
  <conditionalFormatting sqref="AI38">
    <cfRule type="expression" dxfId="13103" priority="6265">
      <formula>AND(IF(OR($Q38=1,$Q38=2),1,0),IF($X38&lt;=20,1,0))</formula>
    </cfRule>
    <cfRule type="expression" dxfId="13102" priority="6266">
      <formula>AND(IF($Q38=2,1,0),IF($X38&lt;30,1,0))</formula>
    </cfRule>
    <cfRule type="expression" dxfId="13101" priority="6267">
      <formula>AND(IF($Q38=3,1,0),IF($X38&lt;30,1,0))</formula>
    </cfRule>
    <cfRule type="expression" dxfId="13100" priority="6268">
      <formula>AND(IF($Q38=3,1,IF($Q38=4,1,0)),IF($F38&lt;=85,1,0))</formula>
    </cfRule>
  </conditionalFormatting>
  <conditionalFormatting sqref="AV39">
    <cfRule type="expression" dxfId="13099" priority="6263">
      <formula>AV39="X"</formula>
    </cfRule>
    <cfRule type="expression" dxfId="13098" priority="6264">
      <formula>AV39="후보"</formula>
    </cfRule>
  </conditionalFormatting>
  <conditionalFormatting sqref="AC39">
    <cfRule type="cellIs" dxfId="13097" priority="6261" operator="greaterThan">
      <formula>0.9</formula>
    </cfRule>
    <cfRule type="cellIs" dxfId="13096" priority="6262" operator="greaterThan">
      <formula>0.85</formula>
    </cfRule>
  </conditionalFormatting>
  <conditionalFormatting sqref="N39">
    <cfRule type="cellIs" dxfId="13095" priority="6259" operator="greaterThan">
      <formula>0.9</formula>
    </cfRule>
    <cfRule type="cellIs" dxfId="13094" priority="6260" operator="greaterThan">
      <formula>0.85</formula>
    </cfRule>
  </conditionalFormatting>
  <conditionalFormatting sqref="E39">
    <cfRule type="expression" dxfId="13093" priority="6255">
      <formula>AND(IF(OR($Q39=1,$Q39=2),1,0),IF($X39&lt;=20,1,0))</formula>
    </cfRule>
    <cfRule type="expression" dxfId="13092" priority="6256">
      <formula>AND(IF($Q39=2,1,0),IF($X39&lt;30,1,0))</formula>
    </cfRule>
    <cfRule type="expression" dxfId="13091" priority="6257">
      <formula>AND(IF($Q39=3,1,0),IF($X39&lt;30,1,0))</formula>
    </cfRule>
    <cfRule type="expression" dxfId="13090" priority="6258">
      <formula>AND(IF($Q39=3,1,IF($Q39=4,1,0)),IF($F39&lt;=85,1,0))</formula>
    </cfRule>
  </conditionalFormatting>
  <conditionalFormatting sqref="X39">
    <cfRule type="expression" dxfId="13089" priority="6251">
      <formula>AND(IF(OR($Q39=1,$Q39=2),1,0),IF($X39&lt;=20,1,0))</formula>
    </cfRule>
    <cfRule type="expression" dxfId="13088" priority="6252">
      <formula>AND(IF($Q39=2,1,0),IF($X39&lt;30,1,0))</formula>
    </cfRule>
    <cfRule type="expression" dxfId="13087" priority="6253">
      <formula>AND(IF($Q39=3,1,0),IF($X39&lt;30,1,0))</formula>
    </cfRule>
    <cfRule type="expression" dxfId="13086" priority="6254">
      <formula>AND(IF($Q39=3,1,IF($Q39=4,1,0)),IF($F39&lt;=85,1,0))</formula>
    </cfRule>
  </conditionalFormatting>
  <conditionalFormatting sqref="AI39">
    <cfRule type="expression" dxfId="13085" priority="6247">
      <formula>AND(IF(OR($Q39=1,$Q39=2),1,0),IF($X39&lt;=20,1,0))</formula>
    </cfRule>
    <cfRule type="expression" dxfId="13084" priority="6248">
      <formula>AND(IF($Q39=2,1,0),IF($X39&lt;30,1,0))</formula>
    </cfRule>
    <cfRule type="expression" dxfId="13083" priority="6249">
      <formula>AND(IF($Q39=3,1,0),IF($X39&lt;30,1,0))</formula>
    </cfRule>
    <cfRule type="expression" dxfId="13082" priority="6250">
      <formula>AND(IF($Q39=3,1,IF($Q39=4,1,0)),IF($F39&lt;=85,1,0))</formula>
    </cfRule>
  </conditionalFormatting>
  <conditionalFormatting sqref="AV40">
    <cfRule type="expression" dxfId="13081" priority="6245">
      <formula>AV40="X"</formula>
    </cfRule>
    <cfRule type="expression" dxfId="13080" priority="6246">
      <formula>AV40="후보"</formula>
    </cfRule>
  </conditionalFormatting>
  <conditionalFormatting sqref="AC40">
    <cfRule type="cellIs" dxfId="13079" priority="6243" operator="greaterThan">
      <formula>0.9</formula>
    </cfRule>
    <cfRule type="cellIs" dxfId="13078" priority="6244" operator="greaterThan">
      <formula>0.85</formula>
    </cfRule>
  </conditionalFormatting>
  <conditionalFormatting sqref="N40">
    <cfRule type="cellIs" dxfId="13077" priority="6241" operator="greaterThan">
      <formula>0.9</formula>
    </cfRule>
    <cfRule type="cellIs" dxfId="13076" priority="6242" operator="greaterThan">
      <formula>0.85</formula>
    </cfRule>
  </conditionalFormatting>
  <conditionalFormatting sqref="E40">
    <cfRule type="expression" dxfId="13075" priority="6237">
      <formula>AND(IF(OR($Q40=1,$Q40=2),1,0),IF($X40&lt;=20,1,0))</formula>
    </cfRule>
    <cfRule type="expression" dxfId="13074" priority="6238">
      <formula>AND(IF($Q40=2,1,0),IF($X40&lt;30,1,0))</formula>
    </cfRule>
    <cfRule type="expression" dxfId="13073" priority="6239">
      <formula>AND(IF($Q40=3,1,0),IF($X40&lt;30,1,0))</formula>
    </cfRule>
    <cfRule type="expression" dxfId="13072" priority="6240">
      <formula>AND(IF($Q40=3,1,IF($Q40=4,1,0)),IF($F40&lt;=85,1,0))</formula>
    </cfRule>
  </conditionalFormatting>
  <conditionalFormatting sqref="X40">
    <cfRule type="expression" dxfId="13071" priority="6233">
      <formula>AND(IF(OR($Q40=1,$Q40=2),1,0),IF($X40&lt;=20,1,0))</formula>
    </cfRule>
    <cfRule type="expression" dxfId="13070" priority="6234">
      <formula>AND(IF($Q40=2,1,0),IF($X40&lt;30,1,0))</formula>
    </cfRule>
    <cfRule type="expression" dxfId="13069" priority="6235">
      <formula>AND(IF($Q40=3,1,0),IF($X40&lt;30,1,0))</formula>
    </cfRule>
    <cfRule type="expression" dxfId="13068" priority="6236">
      <formula>AND(IF($Q40=3,1,IF($Q40=4,1,0)),IF($F40&lt;=85,1,0))</formula>
    </cfRule>
  </conditionalFormatting>
  <conditionalFormatting sqref="AI40">
    <cfRule type="expression" dxfId="13067" priority="6229">
      <formula>AND(IF(OR($Q40=1,$Q40=2),1,0),IF($X40&lt;=20,1,0))</formula>
    </cfRule>
    <cfRule type="expression" dxfId="13066" priority="6230">
      <formula>AND(IF($Q40=2,1,0),IF($X40&lt;30,1,0))</formula>
    </cfRule>
    <cfRule type="expression" dxfId="13065" priority="6231">
      <formula>AND(IF($Q40=3,1,0),IF($X40&lt;30,1,0))</formula>
    </cfRule>
    <cfRule type="expression" dxfId="13064" priority="6232">
      <formula>AND(IF($Q40=3,1,IF($Q40=4,1,0)),IF($F40&lt;=85,1,0))</formula>
    </cfRule>
  </conditionalFormatting>
  <conditionalFormatting sqref="AV41">
    <cfRule type="expression" dxfId="13063" priority="6227">
      <formula>AV41="X"</formula>
    </cfRule>
    <cfRule type="expression" dxfId="13062" priority="6228">
      <formula>AV41="후보"</formula>
    </cfRule>
  </conditionalFormatting>
  <conditionalFormatting sqref="AC41">
    <cfRule type="cellIs" dxfId="13061" priority="6225" operator="greaterThan">
      <formula>0.9</formula>
    </cfRule>
    <cfRule type="cellIs" dxfId="13060" priority="6226" operator="greaterThan">
      <formula>0.85</formula>
    </cfRule>
  </conditionalFormatting>
  <conditionalFormatting sqref="N41">
    <cfRule type="cellIs" dxfId="13059" priority="6223" operator="greaterThan">
      <formula>0.9</formula>
    </cfRule>
    <cfRule type="cellIs" dxfId="13058" priority="6224" operator="greaterThan">
      <formula>0.85</formula>
    </cfRule>
  </conditionalFormatting>
  <conditionalFormatting sqref="E41">
    <cfRule type="expression" dxfId="13057" priority="6219">
      <formula>AND(IF(OR($Q41=1,$Q41=2),1,0),IF($X41&lt;=20,1,0))</formula>
    </cfRule>
    <cfRule type="expression" dxfId="13056" priority="6220">
      <formula>AND(IF($Q41=2,1,0),IF($X41&lt;30,1,0))</formula>
    </cfRule>
    <cfRule type="expression" dxfId="13055" priority="6221">
      <formula>AND(IF($Q41=3,1,0),IF($X41&lt;30,1,0))</formula>
    </cfRule>
    <cfRule type="expression" dxfId="13054" priority="6222">
      <formula>AND(IF($Q41=3,1,IF($Q41=4,1,0)),IF($F41&lt;=85,1,0))</formula>
    </cfRule>
  </conditionalFormatting>
  <conditionalFormatting sqref="X41">
    <cfRule type="expression" dxfId="13053" priority="6215">
      <formula>AND(IF(OR($Q41=1,$Q41=2),1,0),IF($X41&lt;=20,1,0))</formula>
    </cfRule>
    <cfRule type="expression" dxfId="13052" priority="6216">
      <formula>AND(IF($Q41=2,1,0),IF($X41&lt;30,1,0))</formula>
    </cfRule>
    <cfRule type="expression" dxfId="13051" priority="6217">
      <formula>AND(IF($Q41=3,1,0),IF($X41&lt;30,1,0))</formula>
    </cfRule>
    <cfRule type="expression" dxfId="13050" priority="6218">
      <formula>AND(IF($Q41=3,1,IF($Q41=4,1,0)),IF($F41&lt;=85,1,0))</formula>
    </cfRule>
  </conditionalFormatting>
  <conditionalFormatting sqref="AI41">
    <cfRule type="expression" dxfId="13049" priority="6211">
      <formula>AND(IF(OR($Q41=1,$Q41=2),1,0),IF($X41&lt;=20,1,0))</formula>
    </cfRule>
    <cfRule type="expression" dxfId="13048" priority="6212">
      <formula>AND(IF($Q41=2,1,0),IF($X41&lt;30,1,0))</formula>
    </cfRule>
    <cfRule type="expression" dxfId="13047" priority="6213">
      <formula>AND(IF($Q41=3,1,0),IF($X41&lt;30,1,0))</formula>
    </cfRule>
    <cfRule type="expression" dxfId="13046" priority="6214">
      <formula>AND(IF($Q41=3,1,IF($Q41=4,1,0)),IF($F41&lt;=85,1,0))</formula>
    </cfRule>
  </conditionalFormatting>
  <conditionalFormatting sqref="AV42">
    <cfRule type="expression" dxfId="13045" priority="6209">
      <formula>AV42="X"</formula>
    </cfRule>
    <cfRule type="expression" dxfId="13044" priority="6210">
      <formula>AV42="후보"</formula>
    </cfRule>
  </conditionalFormatting>
  <conditionalFormatting sqref="AC42">
    <cfRule type="cellIs" dxfId="13043" priority="6207" operator="greaterThan">
      <formula>0.9</formula>
    </cfRule>
    <cfRule type="cellIs" dxfId="13042" priority="6208" operator="greaterThan">
      <formula>0.85</formula>
    </cfRule>
  </conditionalFormatting>
  <conditionalFormatting sqref="N42">
    <cfRule type="cellIs" dxfId="13041" priority="6205" operator="greaterThan">
      <formula>0.9</formula>
    </cfRule>
    <cfRule type="cellIs" dxfId="13040" priority="6206" operator="greaterThan">
      <formula>0.85</formula>
    </cfRule>
  </conditionalFormatting>
  <conditionalFormatting sqref="E42">
    <cfRule type="expression" dxfId="13039" priority="6201">
      <formula>AND(IF(OR($Q42=1,$Q42=2),1,0),IF($X42&lt;=20,1,0))</formula>
    </cfRule>
    <cfRule type="expression" dxfId="13038" priority="6202">
      <formula>AND(IF($Q42=2,1,0),IF($X42&lt;30,1,0))</formula>
    </cfRule>
    <cfRule type="expression" dxfId="13037" priority="6203">
      <formula>AND(IF($Q42=3,1,0),IF($X42&lt;30,1,0))</formula>
    </cfRule>
    <cfRule type="expression" dxfId="13036" priority="6204">
      <formula>AND(IF($Q42=3,1,IF($Q42=4,1,0)),IF($F42&lt;=85,1,0))</formula>
    </cfRule>
  </conditionalFormatting>
  <conditionalFormatting sqref="X42">
    <cfRule type="expression" dxfId="13035" priority="6197">
      <formula>AND(IF(OR($Q42=1,$Q42=2),1,0),IF($X42&lt;=20,1,0))</formula>
    </cfRule>
    <cfRule type="expression" dxfId="13034" priority="6198">
      <formula>AND(IF($Q42=2,1,0),IF($X42&lt;30,1,0))</formula>
    </cfRule>
    <cfRule type="expression" dxfId="13033" priority="6199">
      <formula>AND(IF($Q42=3,1,0),IF($X42&lt;30,1,0))</formula>
    </cfRule>
    <cfRule type="expression" dxfId="13032" priority="6200">
      <formula>AND(IF($Q42=3,1,IF($Q42=4,1,0)),IF($F42&lt;=85,1,0))</formula>
    </cfRule>
  </conditionalFormatting>
  <conditionalFormatting sqref="AI42">
    <cfRule type="expression" dxfId="13031" priority="6193">
      <formula>AND(IF(OR($Q42=1,$Q42=2),1,0),IF($X42&lt;=20,1,0))</formula>
    </cfRule>
    <cfRule type="expression" dxfId="13030" priority="6194">
      <formula>AND(IF($Q42=2,1,0),IF($X42&lt;30,1,0))</formula>
    </cfRule>
    <cfRule type="expression" dxfId="13029" priority="6195">
      <formula>AND(IF($Q42=3,1,0),IF($X42&lt;30,1,0))</formula>
    </cfRule>
    <cfRule type="expression" dxfId="13028" priority="6196">
      <formula>AND(IF($Q42=3,1,IF($Q42=4,1,0)),IF($F42&lt;=85,1,0))</formula>
    </cfRule>
  </conditionalFormatting>
  <conditionalFormatting sqref="AV43">
    <cfRule type="expression" dxfId="13027" priority="6191">
      <formula>AV43="X"</formula>
    </cfRule>
    <cfRule type="expression" dxfId="13026" priority="6192">
      <formula>AV43="후보"</formula>
    </cfRule>
  </conditionalFormatting>
  <conditionalFormatting sqref="AC43">
    <cfRule type="cellIs" dxfId="13025" priority="6189" operator="greaterThan">
      <formula>0.9</formula>
    </cfRule>
    <cfRule type="cellIs" dxfId="13024" priority="6190" operator="greaterThan">
      <formula>0.85</formula>
    </cfRule>
  </conditionalFormatting>
  <conditionalFormatting sqref="N43">
    <cfRule type="cellIs" dxfId="13023" priority="6187" operator="greaterThan">
      <formula>0.9</formula>
    </cfRule>
    <cfRule type="cellIs" dxfId="13022" priority="6188" operator="greaterThan">
      <formula>0.85</formula>
    </cfRule>
  </conditionalFormatting>
  <conditionalFormatting sqref="E43">
    <cfRule type="expression" dxfId="13021" priority="6183">
      <formula>AND(IF(OR($Q43=1,$Q43=2),1,0),IF($X43&lt;=20,1,0))</formula>
    </cfRule>
    <cfRule type="expression" dxfId="13020" priority="6184">
      <formula>AND(IF($Q43=2,1,0),IF($X43&lt;30,1,0))</formula>
    </cfRule>
    <cfRule type="expression" dxfId="13019" priority="6185">
      <formula>AND(IF($Q43=3,1,0),IF($X43&lt;30,1,0))</formula>
    </cfRule>
    <cfRule type="expression" dxfId="13018" priority="6186">
      <formula>AND(IF($Q43=3,1,IF($Q43=4,1,0)),IF($F43&lt;=85,1,0))</formula>
    </cfRule>
  </conditionalFormatting>
  <conditionalFormatting sqref="X43">
    <cfRule type="expression" dxfId="13017" priority="6179">
      <formula>AND(IF(OR($Q43=1,$Q43=2),1,0),IF($X43&lt;=20,1,0))</formula>
    </cfRule>
    <cfRule type="expression" dxfId="13016" priority="6180">
      <formula>AND(IF($Q43=2,1,0),IF($X43&lt;30,1,0))</formula>
    </cfRule>
    <cfRule type="expression" dxfId="13015" priority="6181">
      <formula>AND(IF($Q43=3,1,0),IF($X43&lt;30,1,0))</formula>
    </cfRule>
    <cfRule type="expression" dxfId="13014" priority="6182">
      <formula>AND(IF($Q43=3,1,IF($Q43=4,1,0)),IF($F43&lt;=85,1,0))</formula>
    </cfRule>
  </conditionalFormatting>
  <conditionalFormatting sqref="AI43">
    <cfRule type="expression" dxfId="13013" priority="6175">
      <formula>AND(IF(OR($Q43=1,$Q43=2),1,0),IF($X43&lt;=20,1,0))</formula>
    </cfRule>
    <cfRule type="expression" dxfId="13012" priority="6176">
      <formula>AND(IF($Q43=2,1,0),IF($X43&lt;30,1,0))</formula>
    </cfRule>
    <cfRule type="expression" dxfId="13011" priority="6177">
      <formula>AND(IF($Q43=3,1,0),IF($X43&lt;30,1,0))</formula>
    </cfRule>
    <cfRule type="expression" dxfId="13010" priority="6178">
      <formula>AND(IF($Q43=3,1,IF($Q43=4,1,0)),IF($F43&lt;=85,1,0))</formula>
    </cfRule>
  </conditionalFormatting>
  <conditionalFormatting sqref="AV44">
    <cfRule type="expression" dxfId="13009" priority="6173">
      <formula>AV44="X"</formula>
    </cfRule>
    <cfRule type="expression" dxfId="13008" priority="6174">
      <formula>AV44="후보"</formula>
    </cfRule>
  </conditionalFormatting>
  <conditionalFormatting sqref="AC44">
    <cfRule type="cellIs" dxfId="13007" priority="6171" operator="greaterThan">
      <formula>0.9</formula>
    </cfRule>
    <cfRule type="cellIs" dxfId="13006" priority="6172" operator="greaterThan">
      <formula>0.85</formula>
    </cfRule>
  </conditionalFormatting>
  <conditionalFormatting sqref="N44">
    <cfRule type="cellIs" dxfId="13005" priority="6169" operator="greaterThan">
      <formula>0.9</formula>
    </cfRule>
    <cfRule type="cellIs" dxfId="13004" priority="6170" operator="greaterThan">
      <formula>0.85</formula>
    </cfRule>
  </conditionalFormatting>
  <conditionalFormatting sqref="E44">
    <cfRule type="expression" dxfId="13003" priority="6165">
      <formula>AND(IF(OR($Q44=1,$Q44=2),1,0),IF($X44&lt;=20,1,0))</formula>
    </cfRule>
    <cfRule type="expression" dxfId="13002" priority="6166">
      <formula>AND(IF($Q44=2,1,0),IF($X44&lt;30,1,0))</formula>
    </cfRule>
    <cfRule type="expression" dxfId="13001" priority="6167">
      <formula>AND(IF($Q44=3,1,0),IF($X44&lt;30,1,0))</formula>
    </cfRule>
    <cfRule type="expression" dxfId="13000" priority="6168">
      <formula>AND(IF($Q44=3,1,IF($Q44=4,1,0)),IF($F44&lt;=85,1,0))</formula>
    </cfRule>
  </conditionalFormatting>
  <conditionalFormatting sqref="X44">
    <cfRule type="expression" dxfId="12999" priority="6161">
      <formula>AND(IF(OR($Q44=1,$Q44=2),1,0),IF($X44&lt;=20,1,0))</formula>
    </cfRule>
    <cfRule type="expression" dxfId="12998" priority="6162">
      <formula>AND(IF($Q44=2,1,0),IF($X44&lt;30,1,0))</formula>
    </cfRule>
    <cfRule type="expression" dxfId="12997" priority="6163">
      <formula>AND(IF($Q44=3,1,0),IF($X44&lt;30,1,0))</formula>
    </cfRule>
    <cfRule type="expression" dxfId="12996" priority="6164">
      <formula>AND(IF($Q44=3,1,IF($Q44=4,1,0)),IF($F44&lt;=85,1,0))</formula>
    </cfRule>
  </conditionalFormatting>
  <conditionalFormatting sqref="AI44">
    <cfRule type="expression" dxfId="12995" priority="6157">
      <formula>AND(IF(OR($Q44=1,$Q44=2),1,0),IF($X44&lt;=20,1,0))</formula>
    </cfRule>
    <cfRule type="expression" dxfId="12994" priority="6158">
      <formula>AND(IF($Q44=2,1,0),IF($X44&lt;30,1,0))</formula>
    </cfRule>
    <cfRule type="expression" dxfId="12993" priority="6159">
      <formula>AND(IF($Q44=3,1,0),IF($X44&lt;30,1,0))</formula>
    </cfRule>
    <cfRule type="expression" dxfId="12992" priority="6160">
      <formula>AND(IF($Q44=3,1,IF($Q44=4,1,0)),IF($F44&lt;=85,1,0))</formula>
    </cfRule>
  </conditionalFormatting>
  <conditionalFormatting sqref="AV45">
    <cfRule type="expression" dxfId="12991" priority="6155">
      <formula>AV45="X"</formula>
    </cfRule>
    <cfRule type="expression" dxfId="12990" priority="6156">
      <formula>AV45="후보"</formula>
    </cfRule>
  </conditionalFormatting>
  <conditionalFormatting sqref="AC45">
    <cfRule type="cellIs" dxfId="12989" priority="6153" operator="greaterThan">
      <formula>0.9</formula>
    </cfRule>
    <cfRule type="cellIs" dxfId="12988" priority="6154" operator="greaterThan">
      <formula>0.85</formula>
    </cfRule>
  </conditionalFormatting>
  <conditionalFormatting sqref="N45">
    <cfRule type="cellIs" dxfId="12987" priority="6151" operator="greaterThan">
      <formula>0.9</formula>
    </cfRule>
    <cfRule type="cellIs" dxfId="12986" priority="6152" operator="greaterThan">
      <formula>0.85</formula>
    </cfRule>
  </conditionalFormatting>
  <conditionalFormatting sqref="E45">
    <cfRule type="expression" dxfId="12985" priority="6147">
      <formula>AND(IF(OR($Q45=1,$Q45=2),1,0),IF($X45&lt;=20,1,0))</formula>
    </cfRule>
    <cfRule type="expression" dxfId="12984" priority="6148">
      <formula>AND(IF($Q45=2,1,0),IF($X45&lt;30,1,0))</formula>
    </cfRule>
    <cfRule type="expression" dxfId="12983" priority="6149">
      <formula>AND(IF($Q45=3,1,0),IF($X45&lt;30,1,0))</formula>
    </cfRule>
    <cfRule type="expression" dxfId="12982" priority="6150">
      <formula>AND(IF($Q45=3,1,IF($Q45=4,1,0)),IF($F45&lt;=85,1,0))</formula>
    </cfRule>
  </conditionalFormatting>
  <conditionalFormatting sqref="X45">
    <cfRule type="expression" dxfId="12981" priority="6143">
      <formula>AND(IF(OR($Q45=1,$Q45=2),1,0),IF($X45&lt;=20,1,0))</formula>
    </cfRule>
    <cfRule type="expression" dxfId="12980" priority="6144">
      <formula>AND(IF($Q45=2,1,0),IF($X45&lt;30,1,0))</formula>
    </cfRule>
    <cfRule type="expression" dxfId="12979" priority="6145">
      <formula>AND(IF($Q45=3,1,0),IF($X45&lt;30,1,0))</formula>
    </cfRule>
    <cfRule type="expression" dxfId="12978" priority="6146">
      <formula>AND(IF($Q45=3,1,IF($Q45=4,1,0)),IF($F45&lt;=85,1,0))</formula>
    </cfRule>
  </conditionalFormatting>
  <conditionalFormatting sqref="AI45">
    <cfRule type="expression" dxfId="12977" priority="6139">
      <formula>AND(IF(OR($Q45=1,$Q45=2),1,0),IF($X45&lt;=20,1,0))</formula>
    </cfRule>
    <cfRule type="expression" dxfId="12976" priority="6140">
      <formula>AND(IF($Q45=2,1,0),IF($X45&lt;30,1,0))</formula>
    </cfRule>
    <cfRule type="expression" dxfId="12975" priority="6141">
      <formula>AND(IF($Q45=3,1,0),IF($X45&lt;30,1,0))</formula>
    </cfRule>
    <cfRule type="expression" dxfId="12974" priority="6142">
      <formula>AND(IF($Q45=3,1,IF($Q45=4,1,0)),IF($F45&lt;=85,1,0))</formula>
    </cfRule>
  </conditionalFormatting>
  <conditionalFormatting sqref="AV46">
    <cfRule type="expression" dxfId="12973" priority="6137">
      <formula>AV46="X"</formula>
    </cfRule>
    <cfRule type="expression" dxfId="12972" priority="6138">
      <formula>AV46="후보"</formula>
    </cfRule>
  </conditionalFormatting>
  <conditionalFormatting sqref="AC46">
    <cfRule type="cellIs" dxfId="12971" priority="6135" operator="greaterThan">
      <formula>0.9</formula>
    </cfRule>
    <cfRule type="cellIs" dxfId="12970" priority="6136" operator="greaterThan">
      <formula>0.85</formula>
    </cfRule>
  </conditionalFormatting>
  <conditionalFormatting sqref="N46">
    <cfRule type="cellIs" dxfId="12969" priority="6133" operator="greaterThan">
      <formula>0.9</formula>
    </cfRule>
    <cfRule type="cellIs" dxfId="12968" priority="6134" operator="greaterThan">
      <formula>0.85</formula>
    </cfRule>
  </conditionalFormatting>
  <conditionalFormatting sqref="E46">
    <cfRule type="expression" dxfId="12967" priority="6129">
      <formula>AND(IF(OR($Q46=1,$Q46=2),1,0),IF($X46&lt;=20,1,0))</formula>
    </cfRule>
    <cfRule type="expression" dxfId="12966" priority="6130">
      <formula>AND(IF($Q46=2,1,0),IF($X46&lt;30,1,0))</formula>
    </cfRule>
    <cfRule type="expression" dxfId="12965" priority="6131">
      <formula>AND(IF($Q46=3,1,0),IF($X46&lt;30,1,0))</formula>
    </cfRule>
    <cfRule type="expression" dxfId="12964" priority="6132">
      <formula>AND(IF($Q46=3,1,IF($Q46=4,1,0)),IF($F46&lt;=85,1,0))</formula>
    </cfRule>
  </conditionalFormatting>
  <conditionalFormatting sqref="X46">
    <cfRule type="expression" dxfId="12963" priority="6125">
      <formula>AND(IF(OR($Q46=1,$Q46=2),1,0),IF($X46&lt;=20,1,0))</formula>
    </cfRule>
    <cfRule type="expression" dxfId="12962" priority="6126">
      <formula>AND(IF($Q46=2,1,0),IF($X46&lt;30,1,0))</formula>
    </cfRule>
    <cfRule type="expression" dxfId="12961" priority="6127">
      <formula>AND(IF($Q46=3,1,0),IF($X46&lt;30,1,0))</formula>
    </cfRule>
    <cfRule type="expression" dxfId="12960" priority="6128">
      <formula>AND(IF($Q46=3,1,IF($Q46=4,1,0)),IF($F46&lt;=85,1,0))</formula>
    </cfRule>
  </conditionalFormatting>
  <conditionalFormatting sqref="AI46">
    <cfRule type="expression" dxfId="12959" priority="6121">
      <formula>AND(IF(OR($Q46=1,$Q46=2),1,0),IF($X46&lt;=20,1,0))</formula>
    </cfRule>
    <cfRule type="expression" dxfId="12958" priority="6122">
      <formula>AND(IF($Q46=2,1,0),IF($X46&lt;30,1,0))</formula>
    </cfRule>
    <cfRule type="expression" dxfId="12957" priority="6123">
      <formula>AND(IF($Q46=3,1,0),IF($X46&lt;30,1,0))</formula>
    </cfRule>
    <cfRule type="expression" dxfId="12956" priority="6124">
      <formula>AND(IF($Q46=3,1,IF($Q46=4,1,0)),IF($F46&lt;=85,1,0))</formula>
    </cfRule>
  </conditionalFormatting>
  <conditionalFormatting sqref="AV47">
    <cfRule type="expression" dxfId="12955" priority="6119">
      <formula>AV47="X"</formula>
    </cfRule>
    <cfRule type="expression" dxfId="12954" priority="6120">
      <formula>AV47="후보"</formula>
    </cfRule>
  </conditionalFormatting>
  <conditionalFormatting sqref="AC47">
    <cfRule type="cellIs" dxfId="12953" priority="6117" operator="greaterThan">
      <formula>0.9</formula>
    </cfRule>
    <cfRule type="cellIs" dxfId="12952" priority="6118" operator="greaterThan">
      <formula>0.85</formula>
    </cfRule>
  </conditionalFormatting>
  <conditionalFormatting sqref="N47">
    <cfRule type="cellIs" dxfId="12951" priority="6115" operator="greaterThan">
      <formula>0.9</formula>
    </cfRule>
    <cfRule type="cellIs" dxfId="12950" priority="6116" operator="greaterThan">
      <formula>0.85</formula>
    </cfRule>
  </conditionalFormatting>
  <conditionalFormatting sqref="E47">
    <cfRule type="expression" dxfId="12949" priority="6111">
      <formula>AND(IF(OR($Q47=1,$Q47=2),1,0),IF($X47&lt;=20,1,0))</formula>
    </cfRule>
    <cfRule type="expression" dxfId="12948" priority="6112">
      <formula>AND(IF($Q47=2,1,0),IF($X47&lt;30,1,0))</formula>
    </cfRule>
    <cfRule type="expression" dxfId="12947" priority="6113">
      <formula>AND(IF($Q47=3,1,0),IF($X47&lt;30,1,0))</formula>
    </cfRule>
    <cfRule type="expression" dxfId="12946" priority="6114">
      <formula>AND(IF($Q47=3,1,IF($Q47=4,1,0)),IF($F47&lt;=85,1,0))</formula>
    </cfRule>
  </conditionalFormatting>
  <conditionalFormatting sqref="X47">
    <cfRule type="expression" dxfId="12945" priority="6107">
      <formula>AND(IF(OR($Q47=1,$Q47=2),1,0),IF($X47&lt;=20,1,0))</formula>
    </cfRule>
    <cfRule type="expression" dxfId="12944" priority="6108">
      <formula>AND(IF($Q47=2,1,0),IF($X47&lt;30,1,0))</formula>
    </cfRule>
    <cfRule type="expression" dxfId="12943" priority="6109">
      <formula>AND(IF($Q47=3,1,0),IF($X47&lt;30,1,0))</formula>
    </cfRule>
    <cfRule type="expression" dxfId="12942" priority="6110">
      <formula>AND(IF($Q47=3,1,IF($Q47=4,1,0)),IF($F47&lt;=85,1,0))</formula>
    </cfRule>
  </conditionalFormatting>
  <conditionalFormatting sqref="AI47">
    <cfRule type="expression" dxfId="12941" priority="6103">
      <formula>AND(IF(OR($Q47=1,$Q47=2),1,0),IF($X47&lt;=20,1,0))</formula>
    </cfRule>
    <cfRule type="expression" dxfId="12940" priority="6104">
      <formula>AND(IF($Q47=2,1,0),IF($X47&lt;30,1,0))</formula>
    </cfRule>
    <cfRule type="expression" dxfId="12939" priority="6105">
      <formula>AND(IF($Q47=3,1,0),IF($X47&lt;30,1,0))</formula>
    </cfRule>
    <cfRule type="expression" dxfId="12938" priority="6106">
      <formula>AND(IF($Q47=3,1,IF($Q47=4,1,0)),IF($F47&lt;=85,1,0))</formula>
    </cfRule>
  </conditionalFormatting>
  <conditionalFormatting sqref="AV48">
    <cfRule type="expression" dxfId="12937" priority="6101">
      <formula>AV48="X"</formula>
    </cfRule>
    <cfRule type="expression" dxfId="12936" priority="6102">
      <formula>AV48="후보"</formula>
    </cfRule>
  </conditionalFormatting>
  <conditionalFormatting sqref="AC48">
    <cfRule type="cellIs" dxfId="12935" priority="6099" operator="greaterThan">
      <formula>0.9</formula>
    </cfRule>
    <cfRule type="cellIs" dxfId="12934" priority="6100" operator="greaterThan">
      <formula>0.85</formula>
    </cfRule>
  </conditionalFormatting>
  <conditionalFormatting sqref="N48">
    <cfRule type="cellIs" dxfId="12933" priority="6097" operator="greaterThan">
      <formula>0.9</formula>
    </cfRule>
    <cfRule type="cellIs" dxfId="12932" priority="6098" operator="greaterThan">
      <formula>0.85</formula>
    </cfRule>
  </conditionalFormatting>
  <conditionalFormatting sqref="E48">
    <cfRule type="expression" dxfId="12931" priority="6093">
      <formula>AND(IF(OR($Q48=1,$Q48=2),1,0),IF($X48&lt;=20,1,0))</formula>
    </cfRule>
    <cfRule type="expression" dxfId="12930" priority="6094">
      <formula>AND(IF($Q48=2,1,0),IF($X48&lt;30,1,0))</formula>
    </cfRule>
    <cfRule type="expression" dxfId="12929" priority="6095">
      <formula>AND(IF($Q48=3,1,0),IF($X48&lt;30,1,0))</formula>
    </cfRule>
    <cfRule type="expression" dxfId="12928" priority="6096">
      <formula>AND(IF($Q48=3,1,IF($Q48=4,1,0)),IF($F48&lt;=85,1,0))</formula>
    </cfRule>
  </conditionalFormatting>
  <conditionalFormatting sqref="X48">
    <cfRule type="expression" dxfId="12927" priority="6089">
      <formula>AND(IF(OR($Q48=1,$Q48=2),1,0),IF($X48&lt;=20,1,0))</formula>
    </cfRule>
    <cfRule type="expression" dxfId="12926" priority="6090">
      <formula>AND(IF($Q48=2,1,0),IF($X48&lt;30,1,0))</formula>
    </cfRule>
    <cfRule type="expression" dxfId="12925" priority="6091">
      <formula>AND(IF($Q48=3,1,0),IF($X48&lt;30,1,0))</formula>
    </cfRule>
    <cfRule type="expression" dxfId="12924" priority="6092">
      <formula>AND(IF($Q48=3,1,IF($Q48=4,1,0)),IF($F48&lt;=85,1,0))</formula>
    </cfRule>
  </conditionalFormatting>
  <conditionalFormatting sqref="AI48">
    <cfRule type="expression" dxfId="12923" priority="6085">
      <formula>AND(IF(OR($Q48=1,$Q48=2),1,0),IF($X48&lt;=20,1,0))</formula>
    </cfRule>
    <cfRule type="expression" dxfId="12922" priority="6086">
      <formula>AND(IF($Q48=2,1,0),IF($X48&lt;30,1,0))</formula>
    </cfRule>
    <cfRule type="expression" dxfId="12921" priority="6087">
      <formula>AND(IF($Q48=3,1,0),IF($X48&lt;30,1,0))</formula>
    </cfRule>
    <cfRule type="expression" dxfId="12920" priority="6088">
      <formula>AND(IF($Q48=3,1,IF($Q48=4,1,0)),IF($F48&lt;=85,1,0))</formula>
    </cfRule>
  </conditionalFormatting>
  <conditionalFormatting sqref="AV49">
    <cfRule type="expression" dxfId="12919" priority="6083">
      <formula>AV49="X"</formula>
    </cfRule>
    <cfRule type="expression" dxfId="12918" priority="6084">
      <formula>AV49="후보"</formula>
    </cfRule>
  </conditionalFormatting>
  <conditionalFormatting sqref="AC49">
    <cfRule type="cellIs" dxfId="12917" priority="6081" operator="greaterThan">
      <formula>0.9</formula>
    </cfRule>
    <cfRule type="cellIs" dxfId="12916" priority="6082" operator="greaterThan">
      <formula>0.85</formula>
    </cfRule>
  </conditionalFormatting>
  <conditionalFormatting sqref="N49">
    <cfRule type="cellIs" dxfId="12915" priority="6079" operator="greaterThan">
      <formula>0.9</formula>
    </cfRule>
    <cfRule type="cellIs" dxfId="12914" priority="6080" operator="greaterThan">
      <formula>0.85</formula>
    </cfRule>
  </conditionalFormatting>
  <conditionalFormatting sqref="E49">
    <cfRule type="expression" dxfId="12913" priority="6075">
      <formula>AND(IF(OR($Q49=1,$Q49=2),1,0),IF($X49&lt;=20,1,0))</formula>
    </cfRule>
    <cfRule type="expression" dxfId="12912" priority="6076">
      <formula>AND(IF($Q49=2,1,0),IF($X49&lt;30,1,0))</formula>
    </cfRule>
    <cfRule type="expression" dxfId="12911" priority="6077">
      <formula>AND(IF($Q49=3,1,0),IF($X49&lt;30,1,0))</formula>
    </cfRule>
    <cfRule type="expression" dxfId="12910" priority="6078">
      <formula>AND(IF($Q49=3,1,IF($Q49=4,1,0)),IF($F49&lt;=85,1,0))</formula>
    </cfRule>
  </conditionalFormatting>
  <conditionalFormatting sqref="X49">
    <cfRule type="expression" dxfId="12909" priority="6071">
      <formula>AND(IF(OR($Q49=1,$Q49=2),1,0),IF($X49&lt;=20,1,0))</formula>
    </cfRule>
    <cfRule type="expression" dxfId="12908" priority="6072">
      <formula>AND(IF($Q49=2,1,0),IF($X49&lt;30,1,0))</formula>
    </cfRule>
    <cfRule type="expression" dxfId="12907" priority="6073">
      <formula>AND(IF($Q49=3,1,0),IF($X49&lt;30,1,0))</formula>
    </cfRule>
    <cfRule type="expression" dxfId="12906" priority="6074">
      <formula>AND(IF($Q49=3,1,IF($Q49=4,1,0)),IF($F49&lt;=85,1,0))</formula>
    </cfRule>
  </conditionalFormatting>
  <conditionalFormatting sqref="AI49">
    <cfRule type="expression" dxfId="12905" priority="6067">
      <formula>AND(IF(OR($Q49=1,$Q49=2),1,0),IF($X49&lt;=20,1,0))</formula>
    </cfRule>
    <cfRule type="expression" dxfId="12904" priority="6068">
      <formula>AND(IF($Q49=2,1,0),IF($X49&lt;30,1,0))</formula>
    </cfRule>
    <cfRule type="expression" dxfId="12903" priority="6069">
      <formula>AND(IF($Q49=3,1,0),IF($X49&lt;30,1,0))</formula>
    </cfRule>
    <cfRule type="expression" dxfId="12902" priority="6070">
      <formula>AND(IF($Q49=3,1,IF($Q49=4,1,0)),IF($F49&lt;=85,1,0))</formula>
    </cfRule>
  </conditionalFormatting>
  <conditionalFormatting sqref="AV50">
    <cfRule type="expression" dxfId="12901" priority="6065">
      <formula>AV50="X"</formula>
    </cfRule>
    <cfRule type="expression" dxfId="12900" priority="6066">
      <formula>AV50="후보"</formula>
    </cfRule>
  </conditionalFormatting>
  <conditionalFormatting sqref="AC50">
    <cfRule type="cellIs" dxfId="12899" priority="6063" operator="greaterThan">
      <formula>0.9</formula>
    </cfRule>
    <cfRule type="cellIs" dxfId="12898" priority="6064" operator="greaterThan">
      <formula>0.85</formula>
    </cfRule>
  </conditionalFormatting>
  <conditionalFormatting sqref="N50">
    <cfRule type="cellIs" dxfId="12897" priority="6061" operator="greaterThan">
      <formula>0.9</formula>
    </cfRule>
    <cfRule type="cellIs" dxfId="12896" priority="6062" operator="greaterThan">
      <formula>0.85</formula>
    </cfRule>
  </conditionalFormatting>
  <conditionalFormatting sqref="E50">
    <cfRule type="expression" dxfId="12895" priority="6057">
      <formula>AND(IF(OR($Q50=1,$Q50=2),1,0),IF($X50&lt;=20,1,0))</formula>
    </cfRule>
    <cfRule type="expression" dxfId="12894" priority="6058">
      <formula>AND(IF($Q50=2,1,0),IF($X50&lt;30,1,0))</formula>
    </cfRule>
    <cfRule type="expression" dxfId="12893" priority="6059">
      <formula>AND(IF($Q50=3,1,0),IF($X50&lt;30,1,0))</formula>
    </cfRule>
    <cfRule type="expression" dxfId="12892" priority="6060">
      <formula>AND(IF($Q50=3,1,IF($Q50=4,1,0)),IF($F50&lt;=85,1,0))</formula>
    </cfRule>
  </conditionalFormatting>
  <conditionalFormatting sqref="X50">
    <cfRule type="expression" dxfId="12891" priority="6053">
      <formula>AND(IF(OR($Q50=1,$Q50=2),1,0),IF($X50&lt;=20,1,0))</formula>
    </cfRule>
    <cfRule type="expression" dxfId="12890" priority="6054">
      <formula>AND(IF($Q50=2,1,0),IF($X50&lt;30,1,0))</formula>
    </cfRule>
    <cfRule type="expression" dxfId="12889" priority="6055">
      <formula>AND(IF($Q50=3,1,0),IF($X50&lt;30,1,0))</formula>
    </cfRule>
    <cfRule type="expression" dxfId="12888" priority="6056">
      <formula>AND(IF($Q50=3,1,IF($Q50=4,1,0)),IF($F50&lt;=85,1,0))</formula>
    </cfRule>
  </conditionalFormatting>
  <conditionalFormatting sqref="AI50">
    <cfRule type="expression" dxfId="12887" priority="6049">
      <formula>AND(IF(OR($Q50=1,$Q50=2),1,0),IF($X50&lt;=20,1,0))</formula>
    </cfRule>
    <cfRule type="expression" dxfId="12886" priority="6050">
      <formula>AND(IF($Q50=2,1,0),IF($X50&lt;30,1,0))</formula>
    </cfRule>
    <cfRule type="expression" dxfId="12885" priority="6051">
      <formula>AND(IF($Q50=3,1,0),IF($X50&lt;30,1,0))</formula>
    </cfRule>
    <cfRule type="expression" dxfId="12884" priority="6052">
      <formula>AND(IF($Q50=3,1,IF($Q50=4,1,0)),IF($F50&lt;=85,1,0))</formula>
    </cfRule>
  </conditionalFormatting>
  <conditionalFormatting sqref="AV51">
    <cfRule type="expression" dxfId="12883" priority="6047">
      <formula>AV51="X"</formula>
    </cfRule>
    <cfRule type="expression" dxfId="12882" priority="6048">
      <formula>AV51="후보"</formula>
    </cfRule>
  </conditionalFormatting>
  <conditionalFormatting sqref="AC51">
    <cfRule type="cellIs" dxfId="12881" priority="6045" operator="greaterThan">
      <formula>0.9</formula>
    </cfRule>
    <cfRule type="cellIs" dxfId="12880" priority="6046" operator="greaterThan">
      <formula>0.85</formula>
    </cfRule>
  </conditionalFormatting>
  <conditionalFormatting sqref="N51">
    <cfRule type="cellIs" dxfId="12879" priority="6043" operator="greaterThan">
      <formula>0.9</formula>
    </cfRule>
    <cfRule type="cellIs" dxfId="12878" priority="6044" operator="greaterThan">
      <formula>0.85</formula>
    </cfRule>
  </conditionalFormatting>
  <conditionalFormatting sqref="E51">
    <cfRule type="expression" dxfId="12877" priority="6039">
      <formula>AND(IF(OR($Q51=1,$Q51=2),1,0),IF($X51&lt;=20,1,0))</formula>
    </cfRule>
    <cfRule type="expression" dxfId="12876" priority="6040">
      <formula>AND(IF($Q51=2,1,0),IF($X51&lt;30,1,0))</formula>
    </cfRule>
    <cfRule type="expression" dxfId="12875" priority="6041">
      <formula>AND(IF($Q51=3,1,0),IF($X51&lt;30,1,0))</formula>
    </cfRule>
    <cfRule type="expression" dxfId="12874" priority="6042">
      <formula>AND(IF($Q51=3,1,IF($Q51=4,1,0)),IF($F51&lt;=85,1,0))</formula>
    </cfRule>
  </conditionalFormatting>
  <conditionalFormatting sqref="X51">
    <cfRule type="expression" dxfId="12873" priority="6035">
      <formula>AND(IF(OR($Q51=1,$Q51=2),1,0),IF($X51&lt;=20,1,0))</formula>
    </cfRule>
    <cfRule type="expression" dxfId="12872" priority="6036">
      <formula>AND(IF($Q51=2,1,0),IF($X51&lt;30,1,0))</formula>
    </cfRule>
    <cfRule type="expression" dxfId="12871" priority="6037">
      <formula>AND(IF($Q51=3,1,0),IF($X51&lt;30,1,0))</formula>
    </cfRule>
    <cfRule type="expression" dxfId="12870" priority="6038">
      <formula>AND(IF($Q51=3,1,IF($Q51=4,1,0)),IF($F51&lt;=85,1,0))</formula>
    </cfRule>
  </conditionalFormatting>
  <conditionalFormatting sqref="AI51">
    <cfRule type="expression" dxfId="12869" priority="6031">
      <formula>AND(IF(OR($Q51=1,$Q51=2),1,0),IF($X51&lt;=20,1,0))</formula>
    </cfRule>
    <cfRule type="expression" dxfId="12868" priority="6032">
      <formula>AND(IF($Q51=2,1,0),IF($X51&lt;30,1,0))</formula>
    </cfRule>
    <cfRule type="expression" dxfId="12867" priority="6033">
      <formula>AND(IF($Q51=3,1,0),IF($X51&lt;30,1,0))</formula>
    </cfRule>
    <cfRule type="expression" dxfId="12866" priority="6034">
      <formula>AND(IF($Q51=3,1,IF($Q51=4,1,0)),IF($F51&lt;=85,1,0))</formula>
    </cfRule>
  </conditionalFormatting>
  <conditionalFormatting sqref="AV52">
    <cfRule type="expression" dxfId="12865" priority="6029">
      <formula>AV52="X"</formula>
    </cfRule>
    <cfRule type="expression" dxfId="12864" priority="6030">
      <formula>AV52="후보"</formula>
    </cfRule>
  </conditionalFormatting>
  <conditionalFormatting sqref="AC52">
    <cfRule type="cellIs" dxfId="12863" priority="6027" operator="greaterThan">
      <formula>0.9</formula>
    </cfRule>
    <cfRule type="cellIs" dxfId="12862" priority="6028" operator="greaterThan">
      <formula>0.85</formula>
    </cfRule>
  </conditionalFormatting>
  <conditionalFormatting sqref="N52">
    <cfRule type="cellIs" dxfId="12861" priority="6025" operator="greaterThan">
      <formula>0.9</formula>
    </cfRule>
    <cfRule type="cellIs" dxfId="12860" priority="6026" operator="greaterThan">
      <formula>0.85</formula>
    </cfRule>
  </conditionalFormatting>
  <conditionalFormatting sqref="E52">
    <cfRule type="expression" dxfId="12859" priority="6021">
      <formula>AND(IF(OR($Q52=1,$Q52=2),1,0),IF($X52&lt;=20,1,0))</formula>
    </cfRule>
    <cfRule type="expression" dxfId="12858" priority="6022">
      <formula>AND(IF($Q52=2,1,0),IF($X52&lt;30,1,0))</formula>
    </cfRule>
    <cfRule type="expression" dxfId="12857" priority="6023">
      <formula>AND(IF($Q52=3,1,0),IF($X52&lt;30,1,0))</formula>
    </cfRule>
    <cfRule type="expression" dxfId="12856" priority="6024">
      <formula>AND(IF($Q52=3,1,IF($Q52=4,1,0)),IF($F52&lt;=85,1,0))</formula>
    </cfRule>
  </conditionalFormatting>
  <conditionalFormatting sqref="X52">
    <cfRule type="expression" dxfId="12855" priority="6017">
      <formula>AND(IF(OR($Q52=1,$Q52=2),1,0),IF($X52&lt;=20,1,0))</formula>
    </cfRule>
    <cfRule type="expression" dxfId="12854" priority="6018">
      <formula>AND(IF($Q52=2,1,0),IF($X52&lt;30,1,0))</formula>
    </cfRule>
    <cfRule type="expression" dxfId="12853" priority="6019">
      <formula>AND(IF($Q52=3,1,0),IF($X52&lt;30,1,0))</formula>
    </cfRule>
    <cfRule type="expression" dxfId="12852" priority="6020">
      <formula>AND(IF($Q52=3,1,IF($Q52=4,1,0)),IF($F52&lt;=85,1,0))</formula>
    </cfRule>
  </conditionalFormatting>
  <conditionalFormatting sqref="AI52">
    <cfRule type="expression" dxfId="12851" priority="6013">
      <formula>AND(IF(OR($Q52=1,$Q52=2),1,0),IF($X52&lt;=20,1,0))</formula>
    </cfRule>
    <cfRule type="expression" dxfId="12850" priority="6014">
      <formula>AND(IF($Q52=2,1,0),IF($X52&lt;30,1,0))</formula>
    </cfRule>
    <cfRule type="expression" dxfId="12849" priority="6015">
      <formula>AND(IF($Q52=3,1,0),IF($X52&lt;30,1,0))</formula>
    </cfRule>
    <cfRule type="expression" dxfId="12848" priority="6016">
      <formula>AND(IF($Q52=3,1,IF($Q52=4,1,0)),IF($F52&lt;=85,1,0))</formula>
    </cfRule>
  </conditionalFormatting>
  <conditionalFormatting sqref="AV53">
    <cfRule type="expression" dxfId="12847" priority="6011">
      <formula>AV53="X"</formula>
    </cfRule>
    <cfRule type="expression" dxfId="12846" priority="6012">
      <formula>AV53="후보"</formula>
    </cfRule>
  </conditionalFormatting>
  <conditionalFormatting sqref="AC53">
    <cfRule type="cellIs" dxfId="12845" priority="6009" operator="greaterThan">
      <formula>0.9</formula>
    </cfRule>
    <cfRule type="cellIs" dxfId="12844" priority="6010" operator="greaterThan">
      <formula>0.85</formula>
    </cfRule>
  </conditionalFormatting>
  <conditionalFormatting sqref="N53">
    <cfRule type="cellIs" dxfId="12843" priority="6007" operator="greaterThan">
      <formula>0.9</formula>
    </cfRule>
    <cfRule type="cellIs" dxfId="12842" priority="6008" operator="greaterThan">
      <formula>0.85</formula>
    </cfRule>
  </conditionalFormatting>
  <conditionalFormatting sqref="E53">
    <cfRule type="expression" dxfId="12841" priority="6003">
      <formula>AND(IF(OR($Q53=1,$Q53=2),1,0),IF($X53&lt;=20,1,0))</formula>
    </cfRule>
    <cfRule type="expression" dxfId="12840" priority="6004">
      <formula>AND(IF($Q53=2,1,0),IF($X53&lt;30,1,0))</formula>
    </cfRule>
    <cfRule type="expression" dxfId="12839" priority="6005">
      <formula>AND(IF($Q53=3,1,0),IF($X53&lt;30,1,0))</formula>
    </cfRule>
    <cfRule type="expression" dxfId="12838" priority="6006">
      <formula>AND(IF($Q53=3,1,IF($Q53=4,1,0)),IF($F53&lt;=85,1,0))</formula>
    </cfRule>
  </conditionalFormatting>
  <conditionalFormatting sqref="X53">
    <cfRule type="expression" dxfId="12837" priority="5999">
      <formula>AND(IF(OR($Q53=1,$Q53=2),1,0),IF($X53&lt;=20,1,0))</formula>
    </cfRule>
    <cfRule type="expression" dxfId="12836" priority="6000">
      <formula>AND(IF($Q53=2,1,0),IF($X53&lt;30,1,0))</formula>
    </cfRule>
    <cfRule type="expression" dxfId="12835" priority="6001">
      <formula>AND(IF($Q53=3,1,0),IF($X53&lt;30,1,0))</formula>
    </cfRule>
    <cfRule type="expression" dxfId="12834" priority="6002">
      <formula>AND(IF($Q53=3,1,IF($Q53=4,1,0)),IF($F53&lt;=85,1,0))</formula>
    </cfRule>
  </conditionalFormatting>
  <conditionalFormatting sqref="AI53">
    <cfRule type="expression" dxfId="12833" priority="5995">
      <formula>AND(IF(OR($Q53=1,$Q53=2),1,0),IF($X53&lt;=20,1,0))</formula>
    </cfRule>
    <cfRule type="expression" dxfId="12832" priority="5996">
      <formula>AND(IF($Q53=2,1,0),IF($X53&lt;30,1,0))</formula>
    </cfRule>
    <cfRule type="expression" dxfId="12831" priority="5997">
      <formula>AND(IF($Q53=3,1,0),IF($X53&lt;30,1,0))</formula>
    </cfRule>
    <cfRule type="expression" dxfId="12830" priority="5998">
      <formula>AND(IF($Q53=3,1,IF($Q53=4,1,0)),IF($F53&lt;=85,1,0))</formula>
    </cfRule>
  </conditionalFormatting>
  <conditionalFormatting sqref="AV54">
    <cfRule type="expression" dxfId="12829" priority="5993">
      <formula>AV54="X"</formula>
    </cfRule>
    <cfRule type="expression" dxfId="12828" priority="5994">
      <formula>AV54="후보"</formula>
    </cfRule>
  </conditionalFormatting>
  <conditionalFormatting sqref="AC54">
    <cfRule type="cellIs" dxfId="12827" priority="5991" operator="greaterThan">
      <formula>0.9</formula>
    </cfRule>
    <cfRule type="cellIs" dxfId="12826" priority="5992" operator="greaterThan">
      <formula>0.85</formula>
    </cfRule>
  </conditionalFormatting>
  <conditionalFormatting sqref="N54">
    <cfRule type="cellIs" dxfId="12825" priority="5989" operator="greaterThan">
      <formula>0.9</formula>
    </cfRule>
    <cfRule type="cellIs" dxfId="12824" priority="5990" operator="greaterThan">
      <formula>0.85</formula>
    </cfRule>
  </conditionalFormatting>
  <conditionalFormatting sqref="E54">
    <cfRule type="expression" dxfId="12823" priority="5985">
      <formula>AND(IF(OR($Q54=1,$Q54=2),1,0),IF($X54&lt;=20,1,0))</formula>
    </cfRule>
    <cfRule type="expression" dxfId="12822" priority="5986">
      <formula>AND(IF($Q54=2,1,0),IF($X54&lt;30,1,0))</formula>
    </cfRule>
    <cfRule type="expression" dxfId="12821" priority="5987">
      <formula>AND(IF($Q54=3,1,0),IF($X54&lt;30,1,0))</formula>
    </cfRule>
    <cfRule type="expression" dxfId="12820" priority="5988">
      <formula>AND(IF($Q54=3,1,IF($Q54=4,1,0)),IF($F54&lt;=85,1,0))</formula>
    </cfRule>
  </conditionalFormatting>
  <conditionalFormatting sqref="X54">
    <cfRule type="expression" dxfId="12819" priority="5981">
      <formula>AND(IF(OR($Q54=1,$Q54=2),1,0),IF($X54&lt;=20,1,0))</formula>
    </cfRule>
    <cfRule type="expression" dxfId="12818" priority="5982">
      <formula>AND(IF($Q54=2,1,0),IF($X54&lt;30,1,0))</formula>
    </cfRule>
    <cfRule type="expression" dxfId="12817" priority="5983">
      <formula>AND(IF($Q54=3,1,0),IF($X54&lt;30,1,0))</formula>
    </cfRule>
    <cfRule type="expression" dxfId="12816" priority="5984">
      <formula>AND(IF($Q54=3,1,IF($Q54=4,1,0)),IF($F54&lt;=85,1,0))</formula>
    </cfRule>
  </conditionalFormatting>
  <conditionalFormatting sqref="AI54">
    <cfRule type="expression" dxfId="12815" priority="5977">
      <formula>AND(IF(OR($Q54=1,$Q54=2),1,0),IF($X54&lt;=20,1,0))</formula>
    </cfRule>
    <cfRule type="expression" dxfId="12814" priority="5978">
      <formula>AND(IF($Q54=2,1,0),IF($X54&lt;30,1,0))</formula>
    </cfRule>
    <cfRule type="expression" dxfId="12813" priority="5979">
      <formula>AND(IF($Q54=3,1,0),IF($X54&lt;30,1,0))</formula>
    </cfRule>
    <cfRule type="expression" dxfId="12812" priority="5980">
      <formula>AND(IF($Q54=3,1,IF($Q54=4,1,0)),IF($F54&lt;=85,1,0))</formula>
    </cfRule>
  </conditionalFormatting>
  <conditionalFormatting sqref="AV55">
    <cfRule type="expression" dxfId="12811" priority="5975">
      <formula>AV55="X"</formula>
    </cfRule>
    <cfRule type="expression" dxfId="12810" priority="5976">
      <formula>AV55="후보"</formula>
    </cfRule>
  </conditionalFormatting>
  <conditionalFormatting sqref="AC55">
    <cfRule type="cellIs" dxfId="12809" priority="5973" operator="greaterThan">
      <formula>0.9</formula>
    </cfRule>
    <cfRule type="cellIs" dxfId="12808" priority="5974" operator="greaterThan">
      <formula>0.85</formula>
    </cfRule>
  </conditionalFormatting>
  <conditionalFormatting sqref="N55">
    <cfRule type="cellIs" dxfId="12807" priority="5971" operator="greaterThan">
      <formula>0.9</formula>
    </cfRule>
    <cfRule type="cellIs" dxfId="12806" priority="5972" operator="greaterThan">
      <formula>0.85</formula>
    </cfRule>
  </conditionalFormatting>
  <conditionalFormatting sqref="E55">
    <cfRule type="expression" dxfId="12805" priority="5967">
      <formula>AND(IF(OR($Q55=1,$Q55=2),1,0),IF($X55&lt;=20,1,0))</formula>
    </cfRule>
    <cfRule type="expression" dxfId="12804" priority="5968">
      <formula>AND(IF($Q55=2,1,0),IF($X55&lt;30,1,0))</formula>
    </cfRule>
    <cfRule type="expression" dxfId="12803" priority="5969">
      <formula>AND(IF($Q55=3,1,0),IF($X55&lt;30,1,0))</formula>
    </cfRule>
    <cfRule type="expression" dxfId="12802" priority="5970">
      <formula>AND(IF($Q55=3,1,IF($Q55=4,1,0)),IF($F55&lt;=85,1,0))</formula>
    </cfRule>
  </conditionalFormatting>
  <conditionalFormatting sqref="X55">
    <cfRule type="expression" dxfId="12801" priority="5963">
      <formula>AND(IF(OR($Q55=1,$Q55=2),1,0),IF($X55&lt;=20,1,0))</formula>
    </cfRule>
    <cfRule type="expression" dxfId="12800" priority="5964">
      <formula>AND(IF($Q55=2,1,0),IF($X55&lt;30,1,0))</formula>
    </cfRule>
    <cfRule type="expression" dxfId="12799" priority="5965">
      <formula>AND(IF($Q55=3,1,0),IF($X55&lt;30,1,0))</formula>
    </cfRule>
    <cfRule type="expression" dxfId="12798" priority="5966">
      <formula>AND(IF($Q55=3,1,IF($Q55=4,1,0)),IF($F55&lt;=85,1,0))</formula>
    </cfRule>
  </conditionalFormatting>
  <conditionalFormatting sqref="AI55">
    <cfRule type="expression" dxfId="12797" priority="5959">
      <formula>AND(IF(OR($Q55=1,$Q55=2),1,0),IF($X55&lt;=20,1,0))</formula>
    </cfRule>
    <cfRule type="expression" dxfId="12796" priority="5960">
      <formula>AND(IF($Q55=2,1,0),IF($X55&lt;30,1,0))</formula>
    </cfRule>
    <cfRule type="expression" dxfId="12795" priority="5961">
      <formula>AND(IF($Q55=3,1,0),IF($X55&lt;30,1,0))</formula>
    </cfRule>
    <cfRule type="expression" dxfId="12794" priority="5962">
      <formula>AND(IF($Q55=3,1,IF($Q55=4,1,0)),IF($F55&lt;=85,1,0))</formula>
    </cfRule>
  </conditionalFormatting>
  <conditionalFormatting sqref="AV56">
    <cfRule type="expression" dxfId="12793" priority="5957">
      <formula>AV56="X"</formula>
    </cfRule>
    <cfRule type="expression" dxfId="12792" priority="5958">
      <formula>AV56="후보"</formula>
    </cfRule>
  </conditionalFormatting>
  <conditionalFormatting sqref="AC56">
    <cfRule type="cellIs" dxfId="12791" priority="5955" operator="greaterThan">
      <formula>0.9</formula>
    </cfRule>
    <cfRule type="cellIs" dxfId="12790" priority="5956" operator="greaterThan">
      <formula>0.85</formula>
    </cfRule>
  </conditionalFormatting>
  <conditionalFormatting sqref="N56">
    <cfRule type="cellIs" dxfId="12789" priority="5953" operator="greaterThan">
      <formula>0.9</formula>
    </cfRule>
    <cfRule type="cellIs" dxfId="12788" priority="5954" operator="greaterThan">
      <formula>0.85</formula>
    </cfRule>
  </conditionalFormatting>
  <conditionalFormatting sqref="E56">
    <cfRule type="expression" dxfId="12787" priority="5949">
      <formula>AND(IF(OR($Q56=1,$Q56=2),1,0),IF($X56&lt;=20,1,0))</formula>
    </cfRule>
    <cfRule type="expression" dxfId="12786" priority="5950">
      <formula>AND(IF($Q56=2,1,0),IF($X56&lt;30,1,0))</formula>
    </cfRule>
    <cfRule type="expression" dxfId="12785" priority="5951">
      <formula>AND(IF($Q56=3,1,0),IF($X56&lt;30,1,0))</formula>
    </cfRule>
    <cfRule type="expression" dxfId="12784" priority="5952">
      <formula>AND(IF($Q56=3,1,IF($Q56=4,1,0)),IF($F56&lt;=85,1,0))</formula>
    </cfRule>
  </conditionalFormatting>
  <conditionalFormatting sqref="X56">
    <cfRule type="expression" dxfId="12783" priority="5945">
      <formula>AND(IF(OR($Q56=1,$Q56=2),1,0),IF($X56&lt;=20,1,0))</formula>
    </cfRule>
    <cfRule type="expression" dxfId="12782" priority="5946">
      <formula>AND(IF($Q56=2,1,0),IF($X56&lt;30,1,0))</formula>
    </cfRule>
    <cfRule type="expression" dxfId="12781" priority="5947">
      <formula>AND(IF($Q56=3,1,0),IF($X56&lt;30,1,0))</formula>
    </cfRule>
    <cfRule type="expression" dxfId="12780" priority="5948">
      <formula>AND(IF($Q56=3,1,IF($Q56=4,1,0)),IF($F56&lt;=85,1,0))</formula>
    </cfRule>
  </conditionalFormatting>
  <conditionalFormatting sqref="AI56">
    <cfRule type="expression" dxfId="12779" priority="5941">
      <formula>AND(IF(OR($Q56=1,$Q56=2),1,0),IF($X56&lt;=20,1,0))</formula>
    </cfRule>
    <cfRule type="expression" dxfId="12778" priority="5942">
      <formula>AND(IF($Q56=2,1,0),IF($X56&lt;30,1,0))</formula>
    </cfRule>
    <cfRule type="expression" dxfId="12777" priority="5943">
      <formula>AND(IF($Q56=3,1,0),IF($X56&lt;30,1,0))</formula>
    </cfRule>
    <cfRule type="expression" dxfId="12776" priority="5944">
      <formula>AND(IF($Q56=3,1,IF($Q56=4,1,0)),IF($F56&lt;=85,1,0))</formula>
    </cfRule>
  </conditionalFormatting>
  <conditionalFormatting sqref="AV57">
    <cfRule type="expression" dxfId="12775" priority="5939">
      <formula>AV57="X"</formula>
    </cfRule>
    <cfRule type="expression" dxfId="12774" priority="5940">
      <formula>AV57="후보"</formula>
    </cfRule>
  </conditionalFormatting>
  <conditionalFormatting sqref="AC57">
    <cfRule type="cellIs" dxfId="12773" priority="5937" operator="greaterThan">
      <formula>0.9</formula>
    </cfRule>
    <cfRule type="cellIs" dxfId="12772" priority="5938" operator="greaterThan">
      <formula>0.85</formula>
    </cfRule>
  </conditionalFormatting>
  <conditionalFormatting sqref="N57">
    <cfRule type="cellIs" dxfId="12771" priority="5935" operator="greaterThan">
      <formula>0.9</formula>
    </cfRule>
    <cfRule type="cellIs" dxfId="12770" priority="5936" operator="greaterThan">
      <formula>0.85</formula>
    </cfRule>
  </conditionalFormatting>
  <conditionalFormatting sqref="E57">
    <cfRule type="expression" dxfId="12769" priority="5931">
      <formula>AND(IF(OR($Q57=1,$Q57=2),1,0),IF($X57&lt;=20,1,0))</formula>
    </cfRule>
    <cfRule type="expression" dxfId="12768" priority="5932">
      <formula>AND(IF($Q57=2,1,0),IF($X57&lt;30,1,0))</formula>
    </cfRule>
    <cfRule type="expression" dxfId="12767" priority="5933">
      <formula>AND(IF($Q57=3,1,0),IF($X57&lt;30,1,0))</formula>
    </cfRule>
    <cfRule type="expression" dxfId="12766" priority="5934">
      <formula>AND(IF($Q57=3,1,IF($Q57=4,1,0)),IF($F57&lt;=85,1,0))</formula>
    </cfRule>
  </conditionalFormatting>
  <conditionalFormatting sqref="X57">
    <cfRule type="expression" dxfId="12765" priority="5927">
      <formula>AND(IF(OR($Q57=1,$Q57=2),1,0),IF($X57&lt;=20,1,0))</formula>
    </cfRule>
    <cfRule type="expression" dxfId="12764" priority="5928">
      <formula>AND(IF($Q57=2,1,0),IF($X57&lt;30,1,0))</formula>
    </cfRule>
    <cfRule type="expression" dxfId="12763" priority="5929">
      <formula>AND(IF($Q57=3,1,0),IF($X57&lt;30,1,0))</formula>
    </cfRule>
    <cfRule type="expression" dxfId="12762" priority="5930">
      <formula>AND(IF($Q57=3,1,IF($Q57=4,1,0)),IF($F57&lt;=85,1,0))</formula>
    </cfRule>
  </conditionalFormatting>
  <conditionalFormatting sqref="AI57">
    <cfRule type="expression" dxfId="12761" priority="5923">
      <formula>AND(IF(OR($Q57=1,$Q57=2),1,0),IF($X57&lt;=20,1,0))</formula>
    </cfRule>
    <cfRule type="expression" dxfId="12760" priority="5924">
      <formula>AND(IF($Q57=2,1,0),IF($X57&lt;30,1,0))</formula>
    </cfRule>
    <cfRule type="expression" dxfId="12759" priority="5925">
      <formula>AND(IF($Q57=3,1,0),IF($X57&lt;30,1,0))</formula>
    </cfRule>
    <cfRule type="expression" dxfId="12758" priority="5926">
      <formula>AND(IF($Q57=3,1,IF($Q57=4,1,0)),IF($F57&lt;=85,1,0))</formula>
    </cfRule>
  </conditionalFormatting>
  <conditionalFormatting sqref="AV58">
    <cfRule type="expression" dxfId="12757" priority="5921">
      <formula>AV58="X"</formula>
    </cfRule>
    <cfRule type="expression" dxfId="12756" priority="5922">
      <formula>AV58="후보"</formula>
    </cfRule>
  </conditionalFormatting>
  <conditionalFormatting sqref="AC58">
    <cfRule type="cellIs" dxfId="12755" priority="5919" operator="greaterThan">
      <formula>0.9</formula>
    </cfRule>
    <cfRule type="cellIs" dxfId="12754" priority="5920" operator="greaterThan">
      <formula>0.85</formula>
    </cfRule>
  </conditionalFormatting>
  <conditionalFormatting sqref="N58">
    <cfRule type="cellIs" dxfId="12753" priority="5917" operator="greaterThan">
      <formula>0.9</formula>
    </cfRule>
    <cfRule type="cellIs" dxfId="12752" priority="5918" operator="greaterThan">
      <formula>0.85</formula>
    </cfRule>
  </conditionalFormatting>
  <conditionalFormatting sqref="E58">
    <cfRule type="expression" dxfId="12751" priority="5913">
      <formula>AND(IF(OR($Q58=1,$Q58=2),1,0),IF($X58&lt;=20,1,0))</formula>
    </cfRule>
    <cfRule type="expression" dxfId="12750" priority="5914">
      <formula>AND(IF($Q58=2,1,0),IF($X58&lt;30,1,0))</formula>
    </cfRule>
    <cfRule type="expression" dxfId="12749" priority="5915">
      <formula>AND(IF($Q58=3,1,0),IF($X58&lt;30,1,0))</formula>
    </cfRule>
    <cfRule type="expression" dxfId="12748" priority="5916">
      <formula>AND(IF($Q58=3,1,IF($Q58=4,1,0)),IF($F58&lt;=85,1,0))</formula>
    </cfRule>
  </conditionalFormatting>
  <conditionalFormatting sqref="X58">
    <cfRule type="expression" dxfId="12747" priority="5909">
      <formula>AND(IF(OR($Q58=1,$Q58=2),1,0),IF($X58&lt;=20,1,0))</formula>
    </cfRule>
    <cfRule type="expression" dxfId="12746" priority="5910">
      <formula>AND(IF($Q58=2,1,0),IF($X58&lt;30,1,0))</formula>
    </cfRule>
    <cfRule type="expression" dxfId="12745" priority="5911">
      <formula>AND(IF($Q58=3,1,0),IF($X58&lt;30,1,0))</formula>
    </cfRule>
    <cfRule type="expression" dxfId="12744" priority="5912">
      <formula>AND(IF($Q58=3,1,IF($Q58=4,1,0)),IF($F58&lt;=85,1,0))</formula>
    </cfRule>
  </conditionalFormatting>
  <conditionalFormatting sqref="AI58">
    <cfRule type="expression" dxfId="12743" priority="5905">
      <formula>AND(IF(OR($Q58=1,$Q58=2),1,0),IF($X58&lt;=20,1,0))</formula>
    </cfRule>
    <cfRule type="expression" dxfId="12742" priority="5906">
      <formula>AND(IF($Q58=2,1,0),IF($X58&lt;30,1,0))</formula>
    </cfRule>
    <cfRule type="expression" dxfId="12741" priority="5907">
      <formula>AND(IF($Q58=3,1,0),IF($X58&lt;30,1,0))</formula>
    </cfRule>
    <cfRule type="expression" dxfId="12740" priority="5908">
      <formula>AND(IF($Q58=3,1,IF($Q58=4,1,0)),IF($F58&lt;=85,1,0))</formula>
    </cfRule>
  </conditionalFormatting>
  <conditionalFormatting sqref="AV59">
    <cfRule type="expression" dxfId="12739" priority="5903">
      <formula>AV59="X"</formula>
    </cfRule>
    <cfRule type="expression" dxfId="12738" priority="5904">
      <formula>AV59="후보"</formula>
    </cfRule>
  </conditionalFormatting>
  <conditionalFormatting sqref="AC59">
    <cfRule type="cellIs" dxfId="12737" priority="5901" operator="greaterThan">
      <formula>0.9</formula>
    </cfRule>
    <cfRule type="cellIs" dxfId="12736" priority="5902" operator="greaterThan">
      <formula>0.85</formula>
    </cfRule>
  </conditionalFormatting>
  <conditionalFormatting sqref="N59">
    <cfRule type="cellIs" dxfId="12735" priority="5899" operator="greaterThan">
      <formula>0.9</formula>
    </cfRule>
    <cfRule type="cellIs" dxfId="12734" priority="5900" operator="greaterThan">
      <formula>0.85</formula>
    </cfRule>
  </conditionalFormatting>
  <conditionalFormatting sqref="E59">
    <cfRule type="expression" dxfId="12733" priority="5895">
      <formula>AND(IF(OR($Q59=1,$Q59=2),1,0),IF($X59&lt;=20,1,0))</formula>
    </cfRule>
    <cfRule type="expression" dxfId="12732" priority="5896">
      <formula>AND(IF($Q59=2,1,0),IF($X59&lt;30,1,0))</formula>
    </cfRule>
    <cfRule type="expression" dxfId="12731" priority="5897">
      <formula>AND(IF($Q59=3,1,0),IF($X59&lt;30,1,0))</formula>
    </cfRule>
    <cfRule type="expression" dxfId="12730" priority="5898">
      <formula>AND(IF($Q59=3,1,IF($Q59=4,1,0)),IF($F59&lt;=85,1,0))</formula>
    </cfRule>
  </conditionalFormatting>
  <conditionalFormatting sqref="X59">
    <cfRule type="expression" dxfId="12729" priority="5891">
      <formula>AND(IF(OR($Q59=1,$Q59=2),1,0),IF($X59&lt;=20,1,0))</formula>
    </cfRule>
    <cfRule type="expression" dxfId="12728" priority="5892">
      <formula>AND(IF($Q59=2,1,0),IF($X59&lt;30,1,0))</formula>
    </cfRule>
    <cfRule type="expression" dxfId="12727" priority="5893">
      <formula>AND(IF($Q59=3,1,0),IF($X59&lt;30,1,0))</formula>
    </cfRule>
    <cfRule type="expression" dxfId="12726" priority="5894">
      <formula>AND(IF($Q59=3,1,IF($Q59=4,1,0)),IF($F59&lt;=85,1,0))</formula>
    </cfRule>
  </conditionalFormatting>
  <conditionalFormatting sqref="AI59">
    <cfRule type="expression" dxfId="12725" priority="5887">
      <formula>AND(IF(OR($Q59=1,$Q59=2),1,0),IF($X59&lt;=20,1,0))</formula>
    </cfRule>
    <cfRule type="expression" dxfId="12724" priority="5888">
      <formula>AND(IF($Q59=2,1,0),IF($X59&lt;30,1,0))</formula>
    </cfRule>
    <cfRule type="expression" dxfId="12723" priority="5889">
      <formula>AND(IF($Q59=3,1,0),IF($X59&lt;30,1,0))</formula>
    </cfRule>
    <cfRule type="expression" dxfId="12722" priority="5890">
      <formula>AND(IF($Q59=3,1,IF($Q59=4,1,0)),IF($F59&lt;=85,1,0))</formula>
    </cfRule>
  </conditionalFormatting>
  <conditionalFormatting sqref="AV60">
    <cfRule type="expression" dxfId="12721" priority="5885">
      <formula>AV60="X"</formula>
    </cfRule>
    <cfRule type="expression" dxfId="12720" priority="5886">
      <formula>AV60="후보"</formula>
    </cfRule>
  </conditionalFormatting>
  <conditionalFormatting sqref="AC60">
    <cfRule type="cellIs" dxfId="12719" priority="5883" operator="greaterThan">
      <formula>0.9</formula>
    </cfRule>
    <cfRule type="cellIs" dxfId="12718" priority="5884" operator="greaterThan">
      <formula>0.85</formula>
    </cfRule>
  </conditionalFormatting>
  <conditionalFormatting sqref="N60">
    <cfRule type="cellIs" dxfId="12717" priority="5881" operator="greaterThan">
      <formula>0.9</formula>
    </cfRule>
    <cfRule type="cellIs" dxfId="12716" priority="5882" operator="greaterThan">
      <formula>0.85</formula>
    </cfRule>
  </conditionalFormatting>
  <conditionalFormatting sqref="E60">
    <cfRule type="expression" dxfId="12715" priority="5877">
      <formula>AND(IF(OR($Q60=1,$Q60=2),1,0),IF($X60&lt;=20,1,0))</formula>
    </cfRule>
    <cfRule type="expression" dxfId="12714" priority="5878">
      <formula>AND(IF($Q60=2,1,0),IF($X60&lt;30,1,0))</formula>
    </cfRule>
    <cfRule type="expression" dxfId="12713" priority="5879">
      <formula>AND(IF($Q60=3,1,0),IF($X60&lt;30,1,0))</formula>
    </cfRule>
    <cfRule type="expression" dxfId="12712" priority="5880">
      <formula>AND(IF($Q60=3,1,IF($Q60=4,1,0)),IF($F60&lt;=85,1,0))</formula>
    </cfRule>
  </conditionalFormatting>
  <conditionalFormatting sqref="X60">
    <cfRule type="expression" dxfId="12711" priority="5873">
      <formula>AND(IF(OR($Q60=1,$Q60=2),1,0),IF($X60&lt;=20,1,0))</formula>
    </cfRule>
    <cfRule type="expression" dxfId="12710" priority="5874">
      <formula>AND(IF($Q60=2,1,0),IF($X60&lt;30,1,0))</formula>
    </cfRule>
    <cfRule type="expression" dxfId="12709" priority="5875">
      <formula>AND(IF($Q60=3,1,0),IF($X60&lt;30,1,0))</formula>
    </cfRule>
    <cfRule type="expression" dxfId="12708" priority="5876">
      <formula>AND(IF($Q60=3,1,IF($Q60=4,1,0)),IF($F60&lt;=85,1,0))</formula>
    </cfRule>
  </conditionalFormatting>
  <conditionalFormatting sqref="AI60">
    <cfRule type="expression" dxfId="12707" priority="5869">
      <formula>AND(IF(OR($Q60=1,$Q60=2),1,0),IF($X60&lt;=20,1,0))</formula>
    </cfRule>
    <cfRule type="expression" dxfId="12706" priority="5870">
      <formula>AND(IF($Q60=2,1,0),IF($X60&lt;30,1,0))</formula>
    </cfRule>
    <cfRule type="expression" dxfId="12705" priority="5871">
      <formula>AND(IF($Q60=3,1,0),IF($X60&lt;30,1,0))</formula>
    </cfRule>
    <cfRule type="expression" dxfId="12704" priority="5872">
      <formula>AND(IF($Q60=3,1,IF($Q60=4,1,0)),IF($F60&lt;=85,1,0))</formula>
    </cfRule>
  </conditionalFormatting>
  <conditionalFormatting sqref="AV61">
    <cfRule type="expression" dxfId="12703" priority="5867">
      <formula>AV61="X"</formula>
    </cfRule>
    <cfRule type="expression" dxfId="12702" priority="5868">
      <formula>AV61="후보"</formula>
    </cfRule>
  </conditionalFormatting>
  <conditionalFormatting sqref="AC61">
    <cfRule type="cellIs" dxfId="12701" priority="5865" operator="greaterThan">
      <formula>0.9</formula>
    </cfRule>
    <cfRule type="cellIs" dxfId="12700" priority="5866" operator="greaterThan">
      <formula>0.85</formula>
    </cfRule>
  </conditionalFormatting>
  <conditionalFormatting sqref="N61">
    <cfRule type="cellIs" dxfId="12699" priority="5863" operator="greaterThan">
      <formula>0.9</formula>
    </cfRule>
    <cfRule type="cellIs" dxfId="12698" priority="5864" operator="greaterThan">
      <formula>0.85</formula>
    </cfRule>
  </conditionalFormatting>
  <conditionalFormatting sqref="E61">
    <cfRule type="expression" dxfId="12697" priority="5859">
      <formula>AND(IF(OR($Q61=1,$Q61=2),1,0),IF($X61&lt;=20,1,0))</formula>
    </cfRule>
    <cfRule type="expression" dxfId="12696" priority="5860">
      <formula>AND(IF($Q61=2,1,0),IF($X61&lt;30,1,0))</formula>
    </cfRule>
    <cfRule type="expression" dxfId="12695" priority="5861">
      <formula>AND(IF($Q61=3,1,0),IF($X61&lt;30,1,0))</formula>
    </cfRule>
    <cfRule type="expression" dxfId="12694" priority="5862">
      <formula>AND(IF($Q61=3,1,IF($Q61=4,1,0)),IF($F61&lt;=85,1,0))</formula>
    </cfRule>
  </conditionalFormatting>
  <conditionalFormatting sqref="X61">
    <cfRule type="expression" dxfId="12693" priority="5855">
      <formula>AND(IF(OR($Q61=1,$Q61=2),1,0),IF($X61&lt;=20,1,0))</formula>
    </cfRule>
    <cfRule type="expression" dxfId="12692" priority="5856">
      <formula>AND(IF($Q61=2,1,0),IF($X61&lt;30,1,0))</formula>
    </cfRule>
    <cfRule type="expression" dxfId="12691" priority="5857">
      <formula>AND(IF($Q61=3,1,0),IF($X61&lt;30,1,0))</formula>
    </cfRule>
    <cfRule type="expression" dxfId="12690" priority="5858">
      <formula>AND(IF($Q61=3,1,IF($Q61=4,1,0)),IF($F61&lt;=85,1,0))</formula>
    </cfRule>
  </conditionalFormatting>
  <conditionalFormatting sqref="AI61">
    <cfRule type="expression" dxfId="12689" priority="5851">
      <formula>AND(IF(OR($Q61=1,$Q61=2),1,0),IF($X61&lt;=20,1,0))</formula>
    </cfRule>
    <cfRule type="expression" dxfId="12688" priority="5852">
      <formula>AND(IF($Q61=2,1,0),IF($X61&lt;30,1,0))</formula>
    </cfRule>
    <cfRule type="expression" dxfId="12687" priority="5853">
      <formula>AND(IF($Q61=3,1,0),IF($X61&lt;30,1,0))</formula>
    </cfRule>
    <cfRule type="expression" dxfId="12686" priority="5854">
      <formula>AND(IF($Q61=3,1,IF($Q61=4,1,0)),IF($F61&lt;=85,1,0))</formula>
    </cfRule>
  </conditionalFormatting>
  <conditionalFormatting sqref="AV62">
    <cfRule type="expression" dxfId="12685" priority="5849">
      <formula>AV62="X"</formula>
    </cfRule>
    <cfRule type="expression" dxfId="12684" priority="5850">
      <formula>AV62="후보"</formula>
    </cfRule>
  </conditionalFormatting>
  <conditionalFormatting sqref="AC62">
    <cfRule type="cellIs" dxfId="12683" priority="5847" operator="greaterThan">
      <formula>0.9</formula>
    </cfRule>
    <cfRule type="cellIs" dxfId="12682" priority="5848" operator="greaterThan">
      <formula>0.85</formula>
    </cfRule>
  </conditionalFormatting>
  <conditionalFormatting sqref="N62">
    <cfRule type="cellIs" dxfId="12681" priority="5845" operator="greaterThan">
      <formula>0.9</formula>
    </cfRule>
    <cfRule type="cellIs" dxfId="12680" priority="5846" operator="greaterThan">
      <formula>0.85</formula>
    </cfRule>
  </conditionalFormatting>
  <conditionalFormatting sqref="E62">
    <cfRule type="expression" dxfId="12679" priority="5841">
      <formula>AND(IF(OR($Q62=1,$Q62=2),1,0),IF($X62&lt;=20,1,0))</formula>
    </cfRule>
    <cfRule type="expression" dxfId="12678" priority="5842">
      <formula>AND(IF($Q62=2,1,0),IF($X62&lt;30,1,0))</formula>
    </cfRule>
    <cfRule type="expression" dxfId="12677" priority="5843">
      <formula>AND(IF($Q62=3,1,0),IF($X62&lt;30,1,0))</formula>
    </cfRule>
    <cfRule type="expression" dxfId="12676" priority="5844">
      <formula>AND(IF($Q62=3,1,IF($Q62=4,1,0)),IF($F62&lt;=85,1,0))</formula>
    </cfRule>
  </conditionalFormatting>
  <conditionalFormatting sqref="X62">
    <cfRule type="expression" dxfId="12675" priority="5837">
      <formula>AND(IF(OR($Q62=1,$Q62=2),1,0),IF($X62&lt;=20,1,0))</formula>
    </cfRule>
    <cfRule type="expression" dxfId="12674" priority="5838">
      <formula>AND(IF($Q62=2,1,0),IF($X62&lt;30,1,0))</formula>
    </cfRule>
    <cfRule type="expression" dxfId="12673" priority="5839">
      <formula>AND(IF($Q62=3,1,0),IF($X62&lt;30,1,0))</formula>
    </cfRule>
    <cfRule type="expression" dxfId="12672" priority="5840">
      <formula>AND(IF($Q62=3,1,IF($Q62=4,1,0)),IF($F62&lt;=85,1,0))</formula>
    </cfRule>
  </conditionalFormatting>
  <conditionalFormatting sqref="AI62">
    <cfRule type="expression" dxfId="12671" priority="5833">
      <formula>AND(IF(OR($Q62=1,$Q62=2),1,0),IF($X62&lt;=20,1,0))</formula>
    </cfRule>
    <cfRule type="expression" dxfId="12670" priority="5834">
      <formula>AND(IF($Q62=2,1,0),IF($X62&lt;30,1,0))</formula>
    </cfRule>
    <cfRule type="expression" dxfId="12669" priority="5835">
      <formula>AND(IF($Q62=3,1,0),IF($X62&lt;30,1,0))</formula>
    </cfRule>
    <cfRule type="expression" dxfId="12668" priority="5836">
      <formula>AND(IF($Q62=3,1,IF($Q62=4,1,0)),IF($F62&lt;=85,1,0))</formula>
    </cfRule>
  </conditionalFormatting>
  <conditionalFormatting sqref="AV63">
    <cfRule type="expression" dxfId="12667" priority="5831">
      <formula>AV63="X"</formula>
    </cfRule>
    <cfRule type="expression" dxfId="12666" priority="5832">
      <formula>AV63="후보"</formula>
    </cfRule>
  </conditionalFormatting>
  <conditionalFormatting sqref="AC63">
    <cfRule type="cellIs" dxfId="12665" priority="5829" operator="greaterThan">
      <formula>0.9</formula>
    </cfRule>
    <cfRule type="cellIs" dxfId="12664" priority="5830" operator="greaterThan">
      <formula>0.85</formula>
    </cfRule>
  </conditionalFormatting>
  <conditionalFormatting sqref="N63">
    <cfRule type="cellIs" dxfId="12663" priority="5827" operator="greaterThan">
      <formula>0.9</formula>
    </cfRule>
    <cfRule type="cellIs" dxfId="12662" priority="5828" operator="greaterThan">
      <formula>0.85</formula>
    </cfRule>
  </conditionalFormatting>
  <conditionalFormatting sqref="E63">
    <cfRule type="expression" dxfId="12661" priority="5823">
      <formula>AND(IF(OR($Q63=1,$Q63=2),1,0),IF($X63&lt;=20,1,0))</formula>
    </cfRule>
    <cfRule type="expression" dxfId="12660" priority="5824">
      <formula>AND(IF($Q63=2,1,0),IF($X63&lt;30,1,0))</formula>
    </cfRule>
    <cfRule type="expression" dxfId="12659" priority="5825">
      <formula>AND(IF($Q63=3,1,0),IF($X63&lt;30,1,0))</formula>
    </cfRule>
    <cfRule type="expression" dxfId="12658" priority="5826">
      <formula>AND(IF($Q63=3,1,IF($Q63=4,1,0)),IF($F63&lt;=85,1,0))</formula>
    </cfRule>
  </conditionalFormatting>
  <conditionalFormatting sqref="X63">
    <cfRule type="expression" dxfId="12657" priority="5819">
      <formula>AND(IF(OR($Q63=1,$Q63=2),1,0),IF($X63&lt;=20,1,0))</formula>
    </cfRule>
    <cfRule type="expression" dxfId="12656" priority="5820">
      <formula>AND(IF($Q63=2,1,0),IF($X63&lt;30,1,0))</formula>
    </cfRule>
    <cfRule type="expression" dxfId="12655" priority="5821">
      <formula>AND(IF($Q63=3,1,0),IF($X63&lt;30,1,0))</formula>
    </cfRule>
    <cfRule type="expression" dxfId="12654" priority="5822">
      <formula>AND(IF($Q63=3,1,IF($Q63=4,1,0)),IF($F63&lt;=85,1,0))</formula>
    </cfRule>
  </conditionalFormatting>
  <conditionalFormatting sqref="AI63">
    <cfRule type="expression" dxfId="12653" priority="5815">
      <formula>AND(IF(OR($Q63=1,$Q63=2),1,0),IF($X63&lt;=20,1,0))</formula>
    </cfRule>
    <cfRule type="expression" dxfId="12652" priority="5816">
      <formula>AND(IF($Q63=2,1,0),IF($X63&lt;30,1,0))</formula>
    </cfRule>
    <cfRule type="expression" dxfId="12651" priority="5817">
      <formula>AND(IF($Q63=3,1,0),IF($X63&lt;30,1,0))</formula>
    </cfRule>
    <cfRule type="expression" dxfId="12650" priority="5818">
      <formula>AND(IF($Q63=3,1,IF($Q63=4,1,0)),IF($F63&lt;=85,1,0))</formula>
    </cfRule>
  </conditionalFormatting>
  <conditionalFormatting sqref="AV64">
    <cfRule type="expression" dxfId="12649" priority="5813">
      <formula>AV64="X"</formula>
    </cfRule>
    <cfRule type="expression" dxfId="12648" priority="5814">
      <formula>AV64="후보"</formula>
    </cfRule>
  </conditionalFormatting>
  <conditionalFormatting sqref="AC64">
    <cfRule type="cellIs" dxfId="12647" priority="5811" operator="greaterThan">
      <formula>0.9</formula>
    </cfRule>
    <cfRule type="cellIs" dxfId="12646" priority="5812" operator="greaterThan">
      <formula>0.85</formula>
    </cfRule>
  </conditionalFormatting>
  <conditionalFormatting sqref="N64">
    <cfRule type="cellIs" dxfId="12645" priority="5809" operator="greaterThan">
      <formula>0.9</formula>
    </cfRule>
    <cfRule type="cellIs" dxfId="12644" priority="5810" operator="greaterThan">
      <formula>0.85</formula>
    </cfRule>
  </conditionalFormatting>
  <conditionalFormatting sqref="E64">
    <cfRule type="expression" dxfId="12643" priority="5805">
      <formula>AND(IF(OR($Q64=1,$Q64=2),1,0),IF($X64&lt;=20,1,0))</formula>
    </cfRule>
    <cfRule type="expression" dxfId="12642" priority="5806">
      <formula>AND(IF($Q64=2,1,0),IF($X64&lt;30,1,0))</formula>
    </cfRule>
    <cfRule type="expression" dxfId="12641" priority="5807">
      <formula>AND(IF($Q64=3,1,0),IF($X64&lt;30,1,0))</formula>
    </cfRule>
    <cfRule type="expression" dxfId="12640" priority="5808">
      <formula>AND(IF($Q64=3,1,IF($Q64=4,1,0)),IF($F64&lt;=85,1,0))</formula>
    </cfRule>
  </conditionalFormatting>
  <conditionalFormatting sqref="X64">
    <cfRule type="expression" dxfId="12639" priority="5801">
      <formula>AND(IF(OR($Q64=1,$Q64=2),1,0),IF($X64&lt;=20,1,0))</formula>
    </cfRule>
    <cfRule type="expression" dxfId="12638" priority="5802">
      <formula>AND(IF($Q64=2,1,0),IF($X64&lt;30,1,0))</formula>
    </cfRule>
    <cfRule type="expression" dxfId="12637" priority="5803">
      <formula>AND(IF($Q64=3,1,0),IF($X64&lt;30,1,0))</formula>
    </cfRule>
    <cfRule type="expression" dxfId="12636" priority="5804">
      <formula>AND(IF($Q64=3,1,IF($Q64=4,1,0)),IF($F64&lt;=85,1,0))</formula>
    </cfRule>
  </conditionalFormatting>
  <conditionalFormatting sqref="AI64">
    <cfRule type="expression" dxfId="12635" priority="5797">
      <formula>AND(IF(OR($Q64=1,$Q64=2),1,0),IF($X64&lt;=20,1,0))</formula>
    </cfRule>
    <cfRule type="expression" dxfId="12634" priority="5798">
      <formula>AND(IF($Q64=2,1,0),IF($X64&lt;30,1,0))</formula>
    </cfRule>
    <cfRule type="expression" dxfId="12633" priority="5799">
      <formula>AND(IF($Q64=3,1,0),IF($X64&lt;30,1,0))</formula>
    </cfRule>
    <cfRule type="expression" dxfId="12632" priority="5800">
      <formula>AND(IF($Q64=3,1,IF($Q64=4,1,0)),IF($F64&lt;=85,1,0))</formula>
    </cfRule>
  </conditionalFormatting>
  <conditionalFormatting sqref="AV65">
    <cfRule type="expression" dxfId="12631" priority="5795">
      <formula>AV65="X"</formula>
    </cfRule>
    <cfRule type="expression" dxfId="12630" priority="5796">
      <formula>AV65="후보"</formula>
    </cfRule>
  </conditionalFormatting>
  <conditionalFormatting sqref="AC65">
    <cfRule type="cellIs" dxfId="12629" priority="5793" operator="greaterThan">
      <formula>0.9</formula>
    </cfRule>
    <cfRule type="cellIs" dxfId="12628" priority="5794" operator="greaterThan">
      <formula>0.85</formula>
    </cfRule>
  </conditionalFormatting>
  <conditionalFormatting sqref="N65">
    <cfRule type="cellIs" dxfId="12627" priority="5791" operator="greaterThan">
      <formula>0.9</formula>
    </cfRule>
    <cfRule type="cellIs" dxfId="12626" priority="5792" operator="greaterThan">
      <formula>0.85</formula>
    </cfRule>
  </conditionalFormatting>
  <conditionalFormatting sqref="E65">
    <cfRule type="expression" dxfId="12625" priority="5787">
      <formula>AND(IF(OR($Q65=1,$Q65=2),1,0),IF($X65&lt;=20,1,0))</formula>
    </cfRule>
    <cfRule type="expression" dxfId="12624" priority="5788">
      <formula>AND(IF($Q65=2,1,0),IF($X65&lt;30,1,0))</formula>
    </cfRule>
    <cfRule type="expression" dxfId="12623" priority="5789">
      <formula>AND(IF($Q65=3,1,0),IF($X65&lt;30,1,0))</formula>
    </cfRule>
    <cfRule type="expression" dxfId="12622" priority="5790">
      <formula>AND(IF($Q65=3,1,IF($Q65=4,1,0)),IF($F65&lt;=85,1,0))</formula>
    </cfRule>
  </conditionalFormatting>
  <conditionalFormatting sqref="X65">
    <cfRule type="expression" dxfId="12621" priority="5783">
      <formula>AND(IF(OR($Q65=1,$Q65=2),1,0),IF($X65&lt;=20,1,0))</formula>
    </cfRule>
    <cfRule type="expression" dxfId="12620" priority="5784">
      <formula>AND(IF($Q65=2,1,0),IF($X65&lt;30,1,0))</formula>
    </cfRule>
    <cfRule type="expression" dxfId="12619" priority="5785">
      <formula>AND(IF($Q65=3,1,0),IF($X65&lt;30,1,0))</formula>
    </cfRule>
    <cfRule type="expression" dxfId="12618" priority="5786">
      <formula>AND(IF($Q65=3,1,IF($Q65=4,1,0)),IF($F65&lt;=85,1,0))</formula>
    </cfRule>
  </conditionalFormatting>
  <conditionalFormatting sqref="AI65">
    <cfRule type="expression" dxfId="12617" priority="5779">
      <formula>AND(IF(OR($Q65=1,$Q65=2),1,0),IF($X65&lt;=20,1,0))</formula>
    </cfRule>
    <cfRule type="expression" dxfId="12616" priority="5780">
      <formula>AND(IF($Q65=2,1,0),IF($X65&lt;30,1,0))</formula>
    </cfRule>
    <cfRule type="expression" dxfId="12615" priority="5781">
      <formula>AND(IF($Q65=3,1,0),IF($X65&lt;30,1,0))</formula>
    </cfRule>
    <cfRule type="expression" dxfId="12614" priority="5782">
      <formula>AND(IF($Q65=3,1,IF($Q65=4,1,0)),IF($F65&lt;=85,1,0))</formula>
    </cfRule>
  </conditionalFormatting>
  <conditionalFormatting sqref="AV66">
    <cfRule type="expression" dxfId="12613" priority="5777">
      <formula>AV66="X"</formula>
    </cfRule>
    <cfRule type="expression" dxfId="12612" priority="5778">
      <formula>AV66="후보"</formula>
    </cfRule>
  </conditionalFormatting>
  <conditionalFormatting sqref="AC66">
    <cfRule type="cellIs" dxfId="12611" priority="5775" operator="greaterThan">
      <formula>0.9</formula>
    </cfRule>
    <cfRule type="cellIs" dxfId="12610" priority="5776" operator="greaterThan">
      <formula>0.85</formula>
    </cfRule>
  </conditionalFormatting>
  <conditionalFormatting sqref="N66">
    <cfRule type="cellIs" dxfId="12609" priority="5773" operator="greaterThan">
      <formula>0.9</formula>
    </cfRule>
    <cfRule type="cellIs" dxfId="12608" priority="5774" operator="greaterThan">
      <formula>0.85</formula>
    </cfRule>
  </conditionalFormatting>
  <conditionalFormatting sqref="E66">
    <cfRule type="expression" dxfId="12607" priority="5769">
      <formula>AND(IF(OR($Q66=1,$Q66=2),1,0),IF($X66&lt;=20,1,0))</formula>
    </cfRule>
    <cfRule type="expression" dxfId="12606" priority="5770">
      <formula>AND(IF($Q66=2,1,0),IF($X66&lt;30,1,0))</formula>
    </cfRule>
    <cfRule type="expression" dxfId="12605" priority="5771">
      <formula>AND(IF($Q66=3,1,0),IF($X66&lt;30,1,0))</formula>
    </cfRule>
    <cfRule type="expression" dxfId="12604" priority="5772">
      <formula>AND(IF($Q66=3,1,IF($Q66=4,1,0)),IF($F66&lt;=85,1,0))</formula>
    </cfRule>
  </conditionalFormatting>
  <conditionalFormatting sqref="X66">
    <cfRule type="expression" dxfId="12603" priority="5765">
      <formula>AND(IF(OR($Q66=1,$Q66=2),1,0),IF($X66&lt;=20,1,0))</formula>
    </cfRule>
    <cfRule type="expression" dxfId="12602" priority="5766">
      <formula>AND(IF($Q66=2,1,0),IF($X66&lt;30,1,0))</formula>
    </cfRule>
    <cfRule type="expression" dxfId="12601" priority="5767">
      <formula>AND(IF($Q66=3,1,0),IF($X66&lt;30,1,0))</formula>
    </cfRule>
    <cfRule type="expression" dxfId="12600" priority="5768">
      <formula>AND(IF($Q66=3,1,IF($Q66=4,1,0)),IF($F66&lt;=85,1,0))</formula>
    </cfRule>
  </conditionalFormatting>
  <conditionalFormatting sqref="AI66">
    <cfRule type="expression" dxfId="12599" priority="5761">
      <formula>AND(IF(OR($Q66=1,$Q66=2),1,0),IF($X66&lt;=20,1,0))</formula>
    </cfRule>
    <cfRule type="expression" dxfId="12598" priority="5762">
      <formula>AND(IF($Q66=2,1,0),IF($X66&lt;30,1,0))</formula>
    </cfRule>
    <cfRule type="expression" dxfId="12597" priority="5763">
      <formula>AND(IF($Q66=3,1,0),IF($X66&lt;30,1,0))</formula>
    </cfRule>
    <cfRule type="expression" dxfId="12596" priority="5764">
      <formula>AND(IF($Q66=3,1,IF($Q66=4,1,0)),IF($F66&lt;=85,1,0))</formula>
    </cfRule>
  </conditionalFormatting>
  <conditionalFormatting sqref="AV67">
    <cfRule type="expression" dxfId="12595" priority="5759">
      <formula>AV67="X"</formula>
    </cfRule>
    <cfRule type="expression" dxfId="12594" priority="5760">
      <formula>AV67="후보"</formula>
    </cfRule>
  </conditionalFormatting>
  <conditionalFormatting sqref="AC67">
    <cfRule type="cellIs" dxfId="12593" priority="5757" operator="greaterThan">
      <formula>0.9</formula>
    </cfRule>
    <cfRule type="cellIs" dxfId="12592" priority="5758" operator="greaterThan">
      <formula>0.85</formula>
    </cfRule>
  </conditionalFormatting>
  <conditionalFormatting sqref="N67">
    <cfRule type="cellIs" dxfId="12591" priority="5755" operator="greaterThan">
      <formula>0.9</formula>
    </cfRule>
    <cfRule type="cellIs" dxfId="12590" priority="5756" operator="greaterThan">
      <formula>0.85</formula>
    </cfRule>
  </conditionalFormatting>
  <conditionalFormatting sqref="E67">
    <cfRule type="expression" dxfId="12589" priority="5751">
      <formula>AND(IF(OR($Q67=1,$Q67=2),1,0),IF($X67&lt;=20,1,0))</formula>
    </cfRule>
    <cfRule type="expression" dxfId="12588" priority="5752">
      <formula>AND(IF($Q67=2,1,0),IF($X67&lt;30,1,0))</formula>
    </cfRule>
    <cfRule type="expression" dxfId="12587" priority="5753">
      <formula>AND(IF($Q67=3,1,0),IF($X67&lt;30,1,0))</formula>
    </cfRule>
    <cfRule type="expression" dxfId="12586" priority="5754">
      <formula>AND(IF($Q67=3,1,IF($Q67=4,1,0)),IF($F67&lt;=85,1,0))</formula>
    </cfRule>
  </conditionalFormatting>
  <conditionalFormatting sqref="X67">
    <cfRule type="expression" dxfId="12585" priority="5747">
      <formula>AND(IF(OR($Q67=1,$Q67=2),1,0),IF($X67&lt;=20,1,0))</formula>
    </cfRule>
    <cfRule type="expression" dxfId="12584" priority="5748">
      <formula>AND(IF($Q67=2,1,0),IF($X67&lt;30,1,0))</formula>
    </cfRule>
    <cfRule type="expression" dxfId="12583" priority="5749">
      <formula>AND(IF($Q67=3,1,0),IF($X67&lt;30,1,0))</formula>
    </cfRule>
    <cfRule type="expression" dxfId="12582" priority="5750">
      <formula>AND(IF($Q67=3,1,IF($Q67=4,1,0)),IF($F67&lt;=85,1,0))</formula>
    </cfRule>
  </conditionalFormatting>
  <conditionalFormatting sqref="AI67">
    <cfRule type="expression" dxfId="12581" priority="5743">
      <formula>AND(IF(OR($Q67=1,$Q67=2),1,0),IF($X67&lt;=20,1,0))</formula>
    </cfRule>
    <cfRule type="expression" dxfId="12580" priority="5744">
      <formula>AND(IF($Q67=2,1,0),IF($X67&lt;30,1,0))</formula>
    </cfRule>
    <cfRule type="expression" dxfId="12579" priority="5745">
      <formula>AND(IF($Q67=3,1,0),IF($X67&lt;30,1,0))</formula>
    </cfRule>
    <cfRule type="expression" dxfId="12578" priority="5746">
      <formula>AND(IF($Q67=3,1,IF($Q67=4,1,0)),IF($F67&lt;=85,1,0))</formula>
    </cfRule>
  </conditionalFormatting>
  <conditionalFormatting sqref="AV68">
    <cfRule type="expression" dxfId="12577" priority="5741">
      <formula>AV68="X"</formula>
    </cfRule>
    <cfRule type="expression" dxfId="12576" priority="5742">
      <formula>AV68="후보"</formula>
    </cfRule>
  </conditionalFormatting>
  <conditionalFormatting sqref="AC68">
    <cfRule type="cellIs" dxfId="12575" priority="5739" operator="greaterThan">
      <formula>0.9</formula>
    </cfRule>
    <cfRule type="cellIs" dxfId="12574" priority="5740" operator="greaterThan">
      <formula>0.85</formula>
    </cfRule>
  </conditionalFormatting>
  <conditionalFormatting sqref="N68">
    <cfRule type="cellIs" dxfId="12573" priority="5737" operator="greaterThan">
      <formula>0.9</formula>
    </cfRule>
    <cfRule type="cellIs" dxfId="12572" priority="5738" operator="greaterThan">
      <formula>0.85</formula>
    </cfRule>
  </conditionalFormatting>
  <conditionalFormatting sqref="E68">
    <cfRule type="expression" dxfId="12571" priority="5733">
      <formula>AND(IF(OR($Q68=1,$Q68=2),1,0),IF($X68&lt;=20,1,0))</formula>
    </cfRule>
    <cfRule type="expression" dxfId="12570" priority="5734">
      <formula>AND(IF($Q68=2,1,0),IF($X68&lt;30,1,0))</formula>
    </cfRule>
    <cfRule type="expression" dxfId="12569" priority="5735">
      <formula>AND(IF($Q68=3,1,0),IF($X68&lt;30,1,0))</formula>
    </cfRule>
    <cfRule type="expression" dxfId="12568" priority="5736">
      <formula>AND(IF($Q68=3,1,IF($Q68=4,1,0)),IF($F68&lt;=85,1,0))</formula>
    </cfRule>
  </conditionalFormatting>
  <conditionalFormatting sqref="X68">
    <cfRule type="expression" dxfId="12567" priority="5729">
      <formula>AND(IF(OR($Q68=1,$Q68=2),1,0),IF($X68&lt;=20,1,0))</formula>
    </cfRule>
    <cfRule type="expression" dxfId="12566" priority="5730">
      <formula>AND(IF($Q68=2,1,0),IF($X68&lt;30,1,0))</formula>
    </cfRule>
    <cfRule type="expression" dxfId="12565" priority="5731">
      <formula>AND(IF($Q68=3,1,0),IF($X68&lt;30,1,0))</formula>
    </cfRule>
    <cfRule type="expression" dxfId="12564" priority="5732">
      <formula>AND(IF($Q68=3,1,IF($Q68=4,1,0)),IF($F68&lt;=85,1,0))</formula>
    </cfRule>
  </conditionalFormatting>
  <conditionalFormatting sqref="AI68">
    <cfRule type="expression" dxfId="12563" priority="5725">
      <formula>AND(IF(OR($Q68=1,$Q68=2),1,0),IF($X68&lt;=20,1,0))</formula>
    </cfRule>
    <cfRule type="expression" dxfId="12562" priority="5726">
      <formula>AND(IF($Q68=2,1,0),IF($X68&lt;30,1,0))</formula>
    </cfRule>
    <cfRule type="expression" dxfId="12561" priority="5727">
      <formula>AND(IF($Q68=3,1,0),IF($X68&lt;30,1,0))</formula>
    </cfRule>
    <cfRule type="expression" dxfId="12560" priority="5728">
      <formula>AND(IF($Q68=3,1,IF($Q68=4,1,0)),IF($F68&lt;=85,1,0))</formula>
    </cfRule>
  </conditionalFormatting>
  <conditionalFormatting sqref="AV69">
    <cfRule type="expression" dxfId="12559" priority="5723">
      <formula>AV69="X"</formula>
    </cfRule>
    <cfRule type="expression" dxfId="12558" priority="5724">
      <formula>AV69="후보"</formula>
    </cfRule>
  </conditionalFormatting>
  <conditionalFormatting sqref="AC69">
    <cfRule type="cellIs" dxfId="12557" priority="5721" operator="greaterThan">
      <formula>0.9</formula>
    </cfRule>
    <cfRule type="cellIs" dxfId="12556" priority="5722" operator="greaterThan">
      <formula>0.85</formula>
    </cfRule>
  </conditionalFormatting>
  <conditionalFormatting sqref="N69">
    <cfRule type="cellIs" dxfId="12555" priority="5719" operator="greaterThan">
      <formula>0.9</formula>
    </cfRule>
    <cfRule type="cellIs" dxfId="12554" priority="5720" operator="greaterThan">
      <formula>0.85</formula>
    </cfRule>
  </conditionalFormatting>
  <conditionalFormatting sqref="E69">
    <cfRule type="expression" dxfId="12553" priority="5715">
      <formula>AND(IF(OR($Q69=1,$Q69=2),1,0),IF($X69&lt;=20,1,0))</formula>
    </cfRule>
    <cfRule type="expression" dxfId="12552" priority="5716">
      <formula>AND(IF($Q69=2,1,0),IF($X69&lt;30,1,0))</formula>
    </cfRule>
    <cfRule type="expression" dxfId="12551" priority="5717">
      <formula>AND(IF($Q69=3,1,0),IF($X69&lt;30,1,0))</formula>
    </cfRule>
    <cfRule type="expression" dxfId="12550" priority="5718">
      <formula>AND(IF($Q69=3,1,IF($Q69=4,1,0)),IF($F69&lt;=85,1,0))</formula>
    </cfRule>
  </conditionalFormatting>
  <conditionalFormatting sqref="X69">
    <cfRule type="expression" dxfId="12549" priority="5711">
      <formula>AND(IF(OR($Q69=1,$Q69=2),1,0),IF($X69&lt;=20,1,0))</formula>
    </cfRule>
    <cfRule type="expression" dxfId="12548" priority="5712">
      <formula>AND(IF($Q69=2,1,0),IF($X69&lt;30,1,0))</formula>
    </cfRule>
    <cfRule type="expression" dxfId="12547" priority="5713">
      <formula>AND(IF($Q69=3,1,0),IF($X69&lt;30,1,0))</formula>
    </cfRule>
    <cfRule type="expression" dxfId="12546" priority="5714">
      <formula>AND(IF($Q69=3,1,IF($Q69=4,1,0)),IF($F69&lt;=85,1,0))</formula>
    </cfRule>
  </conditionalFormatting>
  <conditionalFormatting sqref="AI69">
    <cfRule type="expression" dxfId="12545" priority="5707">
      <formula>AND(IF(OR($Q69=1,$Q69=2),1,0),IF($X69&lt;=20,1,0))</formula>
    </cfRule>
    <cfRule type="expression" dxfId="12544" priority="5708">
      <formula>AND(IF($Q69=2,1,0),IF($X69&lt;30,1,0))</formula>
    </cfRule>
    <cfRule type="expression" dxfId="12543" priority="5709">
      <formula>AND(IF($Q69=3,1,0),IF($X69&lt;30,1,0))</formula>
    </cfRule>
    <cfRule type="expression" dxfId="12542" priority="5710">
      <formula>AND(IF($Q69=3,1,IF($Q69=4,1,0)),IF($F69&lt;=85,1,0))</formula>
    </cfRule>
  </conditionalFormatting>
  <conditionalFormatting sqref="AV70">
    <cfRule type="expression" dxfId="12541" priority="5705">
      <formula>AV70="X"</formula>
    </cfRule>
    <cfRule type="expression" dxfId="12540" priority="5706">
      <formula>AV70="후보"</formula>
    </cfRule>
  </conditionalFormatting>
  <conditionalFormatting sqref="AC70">
    <cfRule type="cellIs" dxfId="12539" priority="5703" operator="greaterThan">
      <formula>0.9</formula>
    </cfRule>
    <cfRule type="cellIs" dxfId="12538" priority="5704" operator="greaterThan">
      <formula>0.85</formula>
    </cfRule>
  </conditionalFormatting>
  <conditionalFormatting sqref="N70">
    <cfRule type="cellIs" dxfId="12537" priority="5701" operator="greaterThan">
      <formula>0.9</formula>
    </cfRule>
    <cfRule type="cellIs" dxfId="12536" priority="5702" operator="greaterThan">
      <formula>0.85</formula>
    </cfRule>
  </conditionalFormatting>
  <conditionalFormatting sqref="E70">
    <cfRule type="expression" dxfId="12535" priority="5697">
      <formula>AND(IF(OR($Q70=1,$Q70=2),1,0),IF($X70&lt;=20,1,0))</formula>
    </cfRule>
    <cfRule type="expression" dxfId="12534" priority="5698">
      <formula>AND(IF($Q70=2,1,0),IF($X70&lt;30,1,0))</formula>
    </cfRule>
    <cfRule type="expression" dxfId="12533" priority="5699">
      <formula>AND(IF($Q70=3,1,0),IF($X70&lt;30,1,0))</formula>
    </cfRule>
    <cfRule type="expression" dxfId="12532" priority="5700">
      <formula>AND(IF($Q70=3,1,IF($Q70=4,1,0)),IF($F70&lt;=85,1,0))</formula>
    </cfRule>
  </conditionalFormatting>
  <conditionalFormatting sqref="X70">
    <cfRule type="expression" dxfId="12531" priority="5693">
      <formula>AND(IF(OR($Q70=1,$Q70=2),1,0),IF($X70&lt;=20,1,0))</formula>
    </cfRule>
    <cfRule type="expression" dxfId="12530" priority="5694">
      <formula>AND(IF($Q70=2,1,0),IF($X70&lt;30,1,0))</formula>
    </cfRule>
    <cfRule type="expression" dxfId="12529" priority="5695">
      <formula>AND(IF($Q70=3,1,0),IF($X70&lt;30,1,0))</formula>
    </cfRule>
    <cfRule type="expression" dxfId="12528" priority="5696">
      <formula>AND(IF($Q70=3,1,IF($Q70=4,1,0)),IF($F70&lt;=85,1,0))</formula>
    </cfRule>
  </conditionalFormatting>
  <conditionalFormatting sqref="AI70">
    <cfRule type="expression" dxfId="12527" priority="5689">
      <formula>AND(IF(OR($Q70=1,$Q70=2),1,0),IF($X70&lt;=20,1,0))</formula>
    </cfRule>
    <cfRule type="expression" dxfId="12526" priority="5690">
      <formula>AND(IF($Q70=2,1,0),IF($X70&lt;30,1,0))</formula>
    </cfRule>
    <cfRule type="expression" dxfId="12525" priority="5691">
      <formula>AND(IF($Q70=3,1,0),IF($X70&lt;30,1,0))</formula>
    </cfRule>
    <cfRule type="expression" dxfId="12524" priority="5692">
      <formula>AND(IF($Q70=3,1,IF($Q70=4,1,0)),IF($F70&lt;=85,1,0))</formula>
    </cfRule>
  </conditionalFormatting>
  <conditionalFormatting sqref="AV71">
    <cfRule type="expression" dxfId="12523" priority="5687">
      <formula>AV71="X"</formula>
    </cfRule>
    <cfRule type="expression" dxfId="12522" priority="5688">
      <formula>AV71="후보"</formula>
    </cfRule>
  </conditionalFormatting>
  <conditionalFormatting sqref="AC71">
    <cfRule type="cellIs" dxfId="12521" priority="5685" operator="greaterThan">
      <formula>0.9</formula>
    </cfRule>
    <cfRule type="cellIs" dxfId="12520" priority="5686" operator="greaterThan">
      <formula>0.85</formula>
    </cfRule>
  </conditionalFormatting>
  <conditionalFormatting sqref="N71">
    <cfRule type="cellIs" dxfId="12519" priority="5683" operator="greaterThan">
      <formula>0.9</formula>
    </cfRule>
    <cfRule type="cellIs" dxfId="12518" priority="5684" operator="greaterThan">
      <formula>0.85</formula>
    </cfRule>
  </conditionalFormatting>
  <conditionalFormatting sqref="E71">
    <cfRule type="expression" dxfId="12517" priority="5679">
      <formula>AND(IF(OR($Q71=1,$Q71=2),1,0),IF($X71&lt;=20,1,0))</formula>
    </cfRule>
    <cfRule type="expression" dxfId="12516" priority="5680">
      <formula>AND(IF($Q71=2,1,0),IF($X71&lt;30,1,0))</formula>
    </cfRule>
    <cfRule type="expression" dxfId="12515" priority="5681">
      <formula>AND(IF($Q71=3,1,0),IF($X71&lt;30,1,0))</formula>
    </cfRule>
    <cfRule type="expression" dxfId="12514" priority="5682">
      <formula>AND(IF($Q71=3,1,IF($Q71=4,1,0)),IF($F71&lt;=85,1,0))</formula>
    </cfRule>
  </conditionalFormatting>
  <conditionalFormatting sqref="X71">
    <cfRule type="expression" dxfId="12513" priority="5675">
      <formula>AND(IF(OR($Q71=1,$Q71=2),1,0),IF($X71&lt;=20,1,0))</formula>
    </cfRule>
    <cfRule type="expression" dxfId="12512" priority="5676">
      <formula>AND(IF($Q71=2,1,0),IF($X71&lt;30,1,0))</formula>
    </cfRule>
    <cfRule type="expression" dxfId="12511" priority="5677">
      <formula>AND(IF($Q71=3,1,0),IF($X71&lt;30,1,0))</formula>
    </cfRule>
    <cfRule type="expression" dxfId="12510" priority="5678">
      <formula>AND(IF($Q71=3,1,IF($Q71=4,1,0)),IF($F71&lt;=85,1,0))</formula>
    </cfRule>
  </conditionalFormatting>
  <conditionalFormatting sqref="AI71">
    <cfRule type="expression" dxfId="12509" priority="5671">
      <formula>AND(IF(OR($Q71=1,$Q71=2),1,0),IF($X71&lt;=20,1,0))</formula>
    </cfRule>
    <cfRule type="expression" dxfId="12508" priority="5672">
      <formula>AND(IF($Q71=2,1,0),IF($X71&lt;30,1,0))</formula>
    </cfRule>
    <cfRule type="expression" dxfId="12507" priority="5673">
      <formula>AND(IF($Q71=3,1,0),IF($X71&lt;30,1,0))</formula>
    </cfRule>
    <cfRule type="expression" dxfId="12506" priority="5674">
      <formula>AND(IF($Q71=3,1,IF($Q71=4,1,0)),IF($F71&lt;=85,1,0))</formula>
    </cfRule>
  </conditionalFormatting>
  <conditionalFormatting sqref="AV72">
    <cfRule type="expression" dxfId="12505" priority="5669">
      <formula>AV72="X"</formula>
    </cfRule>
    <cfRule type="expression" dxfId="12504" priority="5670">
      <formula>AV72="후보"</formula>
    </cfRule>
  </conditionalFormatting>
  <conditionalFormatting sqref="AC72">
    <cfRule type="cellIs" dxfId="12503" priority="5667" operator="greaterThan">
      <formula>0.9</formula>
    </cfRule>
    <cfRule type="cellIs" dxfId="12502" priority="5668" operator="greaterThan">
      <formula>0.85</formula>
    </cfRule>
  </conditionalFormatting>
  <conditionalFormatting sqref="N72">
    <cfRule type="cellIs" dxfId="12501" priority="5665" operator="greaterThan">
      <formula>0.9</formula>
    </cfRule>
    <cfRule type="cellIs" dxfId="12500" priority="5666" operator="greaterThan">
      <formula>0.85</formula>
    </cfRule>
  </conditionalFormatting>
  <conditionalFormatting sqref="E72">
    <cfRule type="expression" dxfId="12499" priority="5661">
      <formula>AND(IF(OR($Q72=1,$Q72=2),1,0),IF($X72&lt;=20,1,0))</formula>
    </cfRule>
    <cfRule type="expression" dxfId="12498" priority="5662">
      <formula>AND(IF($Q72=2,1,0),IF($X72&lt;30,1,0))</formula>
    </cfRule>
    <cfRule type="expression" dxfId="12497" priority="5663">
      <formula>AND(IF($Q72=3,1,0),IF($X72&lt;30,1,0))</formula>
    </cfRule>
    <cfRule type="expression" dxfId="12496" priority="5664">
      <formula>AND(IF($Q72=3,1,IF($Q72=4,1,0)),IF($F72&lt;=85,1,0))</formula>
    </cfRule>
  </conditionalFormatting>
  <conditionalFormatting sqref="X72">
    <cfRule type="expression" dxfId="12495" priority="5657">
      <formula>AND(IF(OR($Q72=1,$Q72=2),1,0),IF($X72&lt;=20,1,0))</formula>
    </cfRule>
    <cfRule type="expression" dxfId="12494" priority="5658">
      <formula>AND(IF($Q72=2,1,0),IF($X72&lt;30,1,0))</formula>
    </cfRule>
    <cfRule type="expression" dxfId="12493" priority="5659">
      <formula>AND(IF($Q72=3,1,0),IF($X72&lt;30,1,0))</formula>
    </cfRule>
    <cfRule type="expression" dxfId="12492" priority="5660">
      <formula>AND(IF($Q72=3,1,IF($Q72=4,1,0)),IF($F72&lt;=85,1,0))</formula>
    </cfRule>
  </conditionalFormatting>
  <conditionalFormatting sqref="AI72">
    <cfRule type="expression" dxfId="12491" priority="5653">
      <formula>AND(IF(OR($Q72=1,$Q72=2),1,0),IF($X72&lt;=20,1,0))</formula>
    </cfRule>
    <cfRule type="expression" dxfId="12490" priority="5654">
      <formula>AND(IF($Q72=2,1,0),IF($X72&lt;30,1,0))</formula>
    </cfRule>
    <cfRule type="expression" dxfId="12489" priority="5655">
      <formula>AND(IF($Q72=3,1,0),IF($X72&lt;30,1,0))</formula>
    </cfRule>
    <cfRule type="expression" dxfId="12488" priority="5656">
      <formula>AND(IF($Q72=3,1,IF($Q72=4,1,0)),IF($F72&lt;=85,1,0))</formula>
    </cfRule>
  </conditionalFormatting>
  <conditionalFormatting sqref="AV73">
    <cfRule type="expression" dxfId="12487" priority="5651">
      <formula>AV73="X"</formula>
    </cfRule>
    <cfRule type="expression" dxfId="12486" priority="5652">
      <formula>AV73="후보"</formula>
    </cfRule>
  </conditionalFormatting>
  <conditionalFormatting sqref="AC73">
    <cfRule type="cellIs" dxfId="12485" priority="5649" operator="greaterThan">
      <formula>0.9</formula>
    </cfRule>
    <cfRule type="cellIs" dxfId="12484" priority="5650" operator="greaterThan">
      <formula>0.85</formula>
    </cfRule>
  </conditionalFormatting>
  <conditionalFormatting sqref="N73">
    <cfRule type="cellIs" dxfId="12483" priority="5647" operator="greaterThan">
      <formula>0.9</formula>
    </cfRule>
    <cfRule type="cellIs" dxfId="12482" priority="5648" operator="greaterThan">
      <formula>0.85</formula>
    </cfRule>
  </conditionalFormatting>
  <conditionalFormatting sqref="E73">
    <cfRule type="expression" dxfId="12481" priority="5643">
      <formula>AND(IF(OR($Q73=1,$Q73=2),1,0),IF($X73&lt;=20,1,0))</formula>
    </cfRule>
    <cfRule type="expression" dxfId="12480" priority="5644">
      <formula>AND(IF($Q73=2,1,0),IF($X73&lt;30,1,0))</formula>
    </cfRule>
    <cfRule type="expression" dxfId="12479" priority="5645">
      <formula>AND(IF($Q73=3,1,0),IF($X73&lt;30,1,0))</formula>
    </cfRule>
    <cfRule type="expression" dxfId="12478" priority="5646">
      <formula>AND(IF($Q73=3,1,IF($Q73=4,1,0)),IF($F73&lt;=85,1,0))</formula>
    </cfRule>
  </conditionalFormatting>
  <conditionalFormatting sqref="X73">
    <cfRule type="expression" dxfId="12477" priority="5639">
      <formula>AND(IF(OR($Q73=1,$Q73=2),1,0),IF($X73&lt;=20,1,0))</formula>
    </cfRule>
    <cfRule type="expression" dxfId="12476" priority="5640">
      <formula>AND(IF($Q73=2,1,0),IF($X73&lt;30,1,0))</formula>
    </cfRule>
    <cfRule type="expression" dxfId="12475" priority="5641">
      <formula>AND(IF($Q73=3,1,0),IF($X73&lt;30,1,0))</formula>
    </cfRule>
    <cfRule type="expression" dxfId="12474" priority="5642">
      <formula>AND(IF($Q73=3,1,IF($Q73=4,1,0)),IF($F73&lt;=85,1,0))</formula>
    </cfRule>
  </conditionalFormatting>
  <conditionalFormatting sqref="AI73">
    <cfRule type="expression" dxfId="12473" priority="5635">
      <formula>AND(IF(OR($Q73=1,$Q73=2),1,0),IF($X73&lt;=20,1,0))</formula>
    </cfRule>
    <cfRule type="expression" dxfId="12472" priority="5636">
      <formula>AND(IF($Q73=2,1,0),IF($X73&lt;30,1,0))</formula>
    </cfRule>
    <cfRule type="expression" dxfId="12471" priority="5637">
      <formula>AND(IF($Q73=3,1,0),IF($X73&lt;30,1,0))</formula>
    </cfRule>
    <cfRule type="expression" dxfId="12470" priority="5638">
      <formula>AND(IF($Q73=3,1,IF($Q73=4,1,0)),IF($F73&lt;=85,1,0))</formula>
    </cfRule>
  </conditionalFormatting>
  <conditionalFormatting sqref="AV74">
    <cfRule type="expression" dxfId="12469" priority="5633">
      <formula>AV74="X"</formula>
    </cfRule>
    <cfRule type="expression" dxfId="12468" priority="5634">
      <formula>AV74="후보"</formula>
    </cfRule>
  </conditionalFormatting>
  <conditionalFormatting sqref="AC74">
    <cfRule type="cellIs" dxfId="12467" priority="5631" operator="greaterThan">
      <formula>0.9</formula>
    </cfRule>
    <cfRule type="cellIs" dxfId="12466" priority="5632" operator="greaterThan">
      <formula>0.85</formula>
    </cfRule>
  </conditionalFormatting>
  <conditionalFormatting sqref="N74">
    <cfRule type="cellIs" dxfId="12465" priority="5629" operator="greaterThan">
      <formula>0.9</formula>
    </cfRule>
    <cfRule type="cellIs" dxfId="12464" priority="5630" operator="greaterThan">
      <formula>0.85</formula>
    </cfRule>
  </conditionalFormatting>
  <conditionalFormatting sqref="E74">
    <cfRule type="expression" dxfId="12463" priority="5625">
      <formula>AND(IF(OR($Q74=1,$Q74=2),1,0),IF($X74&lt;=20,1,0))</formula>
    </cfRule>
    <cfRule type="expression" dxfId="12462" priority="5626">
      <formula>AND(IF($Q74=2,1,0),IF($X74&lt;30,1,0))</formula>
    </cfRule>
    <cfRule type="expression" dxfId="12461" priority="5627">
      <formula>AND(IF($Q74=3,1,0),IF($X74&lt;30,1,0))</formula>
    </cfRule>
    <cfRule type="expression" dxfId="12460" priority="5628">
      <formula>AND(IF($Q74=3,1,IF($Q74=4,1,0)),IF($F74&lt;=85,1,0))</formula>
    </cfRule>
  </conditionalFormatting>
  <conditionalFormatting sqref="X74">
    <cfRule type="expression" dxfId="12459" priority="5621">
      <formula>AND(IF(OR($Q74=1,$Q74=2),1,0),IF($X74&lt;=20,1,0))</formula>
    </cfRule>
    <cfRule type="expression" dxfId="12458" priority="5622">
      <formula>AND(IF($Q74=2,1,0),IF($X74&lt;30,1,0))</formula>
    </cfRule>
    <cfRule type="expression" dxfId="12457" priority="5623">
      <formula>AND(IF($Q74=3,1,0),IF($X74&lt;30,1,0))</formula>
    </cfRule>
    <cfRule type="expression" dxfId="12456" priority="5624">
      <formula>AND(IF($Q74=3,1,IF($Q74=4,1,0)),IF($F74&lt;=85,1,0))</formula>
    </cfRule>
  </conditionalFormatting>
  <conditionalFormatting sqref="AI74">
    <cfRule type="expression" dxfId="12455" priority="5617">
      <formula>AND(IF(OR($Q74=1,$Q74=2),1,0),IF($X74&lt;=20,1,0))</formula>
    </cfRule>
    <cfRule type="expression" dxfId="12454" priority="5618">
      <formula>AND(IF($Q74=2,1,0),IF($X74&lt;30,1,0))</formula>
    </cfRule>
    <cfRule type="expression" dxfId="12453" priority="5619">
      <formula>AND(IF($Q74=3,1,0),IF($X74&lt;30,1,0))</formula>
    </cfRule>
    <cfRule type="expression" dxfId="12452" priority="5620">
      <formula>AND(IF($Q74=3,1,IF($Q74=4,1,0)),IF($F74&lt;=85,1,0))</formula>
    </cfRule>
  </conditionalFormatting>
  <conditionalFormatting sqref="AV75">
    <cfRule type="expression" dxfId="12451" priority="5615">
      <formula>AV75="X"</formula>
    </cfRule>
    <cfRule type="expression" dxfId="12450" priority="5616">
      <formula>AV75="후보"</formula>
    </cfRule>
  </conditionalFormatting>
  <conditionalFormatting sqref="AC75">
    <cfRule type="cellIs" dxfId="12449" priority="5613" operator="greaterThan">
      <formula>0.9</formula>
    </cfRule>
    <cfRule type="cellIs" dxfId="12448" priority="5614" operator="greaterThan">
      <formula>0.85</formula>
    </cfRule>
  </conditionalFormatting>
  <conditionalFormatting sqref="N75">
    <cfRule type="cellIs" dxfId="12447" priority="5611" operator="greaterThan">
      <formula>0.9</formula>
    </cfRule>
    <cfRule type="cellIs" dxfId="12446" priority="5612" operator="greaterThan">
      <formula>0.85</formula>
    </cfRule>
  </conditionalFormatting>
  <conditionalFormatting sqref="E75">
    <cfRule type="expression" dxfId="12445" priority="5607">
      <formula>AND(IF(OR($Q75=1,$Q75=2),1,0),IF($X75&lt;=20,1,0))</formula>
    </cfRule>
    <cfRule type="expression" dxfId="12444" priority="5608">
      <formula>AND(IF($Q75=2,1,0),IF($X75&lt;30,1,0))</formula>
    </cfRule>
    <cfRule type="expression" dxfId="12443" priority="5609">
      <formula>AND(IF($Q75=3,1,0),IF($X75&lt;30,1,0))</formula>
    </cfRule>
    <cfRule type="expression" dxfId="12442" priority="5610">
      <formula>AND(IF($Q75=3,1,IF($Q75=4,1,0)),IF($F75&lt;=85,1,0))</formula>
    </cfRule>
  </conditionalFormatting>
  <conditionalFormatting sqref="X75">
    <cfRule type="expression" dxfId="12441" priority="5603">
      <formula>AND(IF(OR($Q75=1,$Q75=2),1,0),IF($X75&lt;=20,1,0))</formula>
    </cfRule>
    <cfRule type="expression" dxfId="12440" priority="5604">
      <formula>AND(IF($Q75=2,1,0),IF($X75&lt;30,1,0))</formula>
    </cfRule>
    <cfRule type="expression" dxfId="12439" priority="5605">
      <formula>AND(IF($Q75=3,1,0),IF($X75&lt;30,1,0))</formula>
    </cfRule>
    <cfRule type="expression" dxfId="12438" priority="5606">
      <formula>AND(IF($Q75=3,1,IF($Q75=4,1,0)),IF($F75&lt;=85,1,0))</formula>
    </cfRule>
  </conditionalFormatting>
  <conditionalFormatting sqref="AI75">
    <cfRule type="expression" dxfId="12437" priority="5599">
      <formula>AND(IF(OR($Q75=1,$Q75=2),1,0),IF($X75&lt;=20,1,0))</formula>
    </cfRule>
    <cfRule type="expression" dxfId="12436" priority="5600">
      <formula>AND(IF($Q75=2,1,0),IF($X75&lt;30,1,0))</formula>
    </cfRule>
    <cfRule type="expression" dxfId="12435" priority="5601">
      <formula>AND(IF($Q75=3,1,0),IF($X75&lt;30,1,0))</formula>
    </cfRule>
    <cfRule type="expression" dxfId="12434" priority="5602">
      <formula>AND(IF($Q75=3,1,IF($Q75=4,1,0)),IF($F75&lt;=85,1,0))</formula>
    </cfRule>
  </conditionalFormatting>
  <conditionalFormatting sqref="AV76">
    <cfRule type="expression" dxfId="12433" priority="5597">
      <formula>AV76="X"</formula>
    </cfRule>
    <cfRule type="expression" dxfId="12432" priority="5598">
      <formula>AV76="후보"</formula>
    </cfRule>
  </conditionalFormatting>
  <conditionalFormatting sqref="AC76">
    <cfRule type="cellIs" dxfId="12431" priority="5595" operator="greaterThan">
      <formula>0.9</formula>
    </cfRule>
    <cfRule type="cellIs" dxfId="12430" priority="5596" operator="greaterThan">
      <formula>0.85</formula>
    </cfRule>
  </conditionalFormatting>
  <conditionalFormatting sqref="N76">
    <cfRule type="cellIs" dxfId="12429" priority="5593" operator="greaterThan">
      <formula>0.9</formula>
    </cfRule>
    <cfRule type="cellIs" dxfId="12428" priority="5594" operator="greaterThan">
      <formula>0.85</formula>
    </cfRule>
  </conditionalFormatting>
  <conditionalFormatting sqref="E76">
    <cfRule type="expression" dxfId="12427" priority="5589">
      <formula>AND(IF(OR($Q76=1,$Q76=2),1,0),IF($X76&lt;=20,1,0))</formula>
    </cfRule>
    <cfRule type="expression" dxfId="12426" priority="5590">
      <formula>AND(IF($Q76=2,1,0),IF($X76&lt;30,1,0))</formula>
    </cfRule>
    <cfRule type="expression" dxfId="12425" priority="5591">
      <formula>AND(IF($Q76=3,1,0),IF($X76&lt;30,1,0))</formula>
    </cfRule>
    <cfRule type="expression" dxfId="12424" priority="5592">
      <formula>AND(IF($Q76=3,1,IF($Q76=4,1,0)),IF($F76&lt;=85,1,0))</formula>
    </cfRule>
  </conditionalFormatting>
  <conditionalFormatting sqref="X76">
    <cfRule type="expression" dxfId="12423" priority="5585">
      <formula>AND(IF(OR($Q76=1,$Q76=2),1,0),IF($X76&lt;=20,1,0))</formula>
    </cfRule>
    <cfRule type="expression" dxfId="12422" priority="5586">
      <formula>AND(IF($Q76=2,1,0),IF($X76&lt;30,1,0))</formula>
    </cfRule>
    <cfRule type="expression" dxfId="12421" priority="5587">
      <formula>AND(IF($Q76=3,1,0),IF($X76&lt;30,1,0))</formula>
    </cfRule>
    <cfRule type="expression" dxfId="12420" priority="5588">
      <formula>AND(IF($Q76=3,1,IF($Q76=4,1,0)),IF($F76&lt;=85,1,0))</formula>
    </cfRule>
  </conditionalFormatting>
  <conditionalFormatting sqref="AI76">
    <cfRule type="expression" dxfId="12419" priority="5581">
      <formula>AND(IF(OR($Q76=1,$Q76=2),1,0),IF($X76&lt;=20,1,0))</formula>
    </cfRule>
    <cfRule type="expression" dxfId="12418" priority="5582">
      <formula>AND(IF($Q76=2,1,0),IF($X76&lt;30,1,0))</formula>
    </cfRule>
    <cfRule type="expression" dxfId="12417" priority="5583">
      <formula>AND(IF($Q76=3,1,0),IF($X76&lt;30,1,0))</formula>
    </cfRule>
    <cfRule type="expression" dxfId="12416" priority="5584">
      <formula>AND(IF($Q76=3,1,IF($Q76=4,1,0)),IF($F76&lt;=85,1,0))</formula>
    </cfRule>
  </conditionalFormatting>
  <conditionalFormatting sqref="AV77">
    <cfRule type="expression" dxfId="12415" priority="5579">
      <formula>AV77="X"</formula>
    </cfRule>
    <cfRule type="expression" dxfId="12414" priority="5580">
      <formula>AV77="후보"</formula>
    </cfRule>
  </conditionalFormatting>
  <conditionalFormatting sqref="AC77">
    <cfRule type="cellIs" dxfId="12413" priority="5577" operator="greaterThan">
      <formula>0.9</formula>
    </cfRule>
    <cfRule type="cellIs" dxfId="12412" priority="5578" operator="greaterThan">
      <formula>0.85</formula>
    </cfRule>
  </conditionalFormatting>
  <conditionalFormatting sqref="N77">
    <cfRule type="cellIs" dxfId="12411" priority="5575" operator="greaterThan">
      <formula>0.9</formula>
    </cfRule>
    <cfRule type="cellIs" dxfId="12410" priority="5576" operator="greaterThan">
      <formula>0.85</formula>
    </cfRule>
  </conditionalFormatting>
  <conditionalFormatting sqref="E77">
    <cfRule type="expression" dxfId="12409" priority="5571">
      <formula>AND(IF(OR($Q77=1,$Q77=2),1,0),IF($X77&lt;=20,1,0))</formula>
    </cfRule>
    <cfRule type="expression" dxfId="12408" priority="5572">
      <formula>AND(IF($Q77=2,1,0),IF($X77&lt;30,1,0))</formula>
    </cfRule>
    <cfRule type="expression" dxfId="12407" priority="5573">
      <formula>AND(IF($Q77=3,1,0),IF($X77&lt;30,1,0))</formula>
    </cfRule>
    <cfRule type="expression" dxfId="12406" priority="5574">
      <formula>AND(IF($Q77=3,1,IF($Q77=4,1,0)),IF($F77&lt;=85,1,0))</formula>
    </cfRule>
  </conditionalFormatting>
  <conditionalFormatting sqref="X77">
    <cfRule type="expression" dxfId="12405" priority="5567">
      <formula>AND(IF(OR($Q77=1,$Q77=2),1,0),IF($X77&lt;=20,1,0))</formula>
    </cfRule>
    <cfRule type="expression" dxfId="12404" priority="5568">
      <formula>AND(IF($Q77=2,1,0),IF($X77&lt;30,1,0))</formula>
    </cfRule>
    <cfRule type="expression" dxfId="12403" priority="5569">
      <formula>AND(IF($Q77=3,1,0),IF($X77&lt;30,1,0))</formula>
    </cfRule>
    <cfRule type="expression" dxfId="12402" priority="5570">
      <formula>AND(IF($Q77=3,1,IF($Q77=4,1,0)),IF($F77&lt;=85,1,0))</formula>
    </cfRule>
  </conditionalFormatting>
  <conditionalFormatting sqref="AI77">
    <cfRule type="expression" dxfId="12401" priority="5563">
      <formula>AND(IF(OR($Q77=1,$Q77=2),1,0),IF($X77&lt;=20,1,0))</formula>
    </cfRule>
    <cfRule type="expression" dxfId="12400" priority="5564">
      <formula>AND(IF($Q77=2,1,0),IF($X77&lt;30,1,0))</formula>
    </cfRule>
    <cfRule type="expression" dxfId="12399" priority="5565">
      <formula>AND(IF($Q77=3,1,0),IF($X77&lt;30,1,0))</formula>
    </cfRule>
    <cfRule type="expression" dxfId="12398" priority="5566">
      <formula>AND(IF($Q77=3,1,IF($Q77=4,1,0)),IF($F77&lt;=85,1,0))</formula>
    </cfRule>
  </conditionalFormatting>
  <conditionalFormatting sqref="AV78">
    <cfRule type="expression" dxfId="12397" priority="5561">
      <formula>AV78="X"</formula>
    </cfRule>
    <cfRule type="expression" dxfId="12396" priority="5562">
      <formula>AV78="후보"</formula>
    </cfRule>
  </conditionalFormatting>
  <conditionalFormatting sqref="AC78">
    <cfRule type="cellIs" dxfId="12395" priority="5559" operator="greaterThan">
      <formula>0.9</formula>
    </cfRule>
    <cfRule type="cellIs" dxfId="12394" priority="5560" operator="greaterThan">
      <formula>0.85</formula>
    </cfRule>
  </conditionalFormatting>
  <conditionalFormatting sqref="N78">
    <cfRule type="cellIs" dxfId="12393" priority="5557" operator="greaterThan">
      <formula>0.9</formula>
    </cfRule>
    <cfRule type="cellIs" dxfId="12392" priority="5558" operator="greaterThan">
      <formula>0.85</formula>
    </cfRule>
  </conditionalFormatting>
  <conditionalFormatting sqref="E78">
    <cfRule type="expression" dxfId="12391" priority="5553">
      <formula>AND(IF(OR($Q78=1,$Q78=2),1,0),IF($X78&lt;=20,1,0))</formula>
    </cfRule>
    <cfRule type="expression" dxfId="12390" priority="5554">
      <formula>AND(IF($Q78=2,1,0),IF($X78&lt;30,1,0))</formula>
    </cfRule>
    <cfRule type="expression" dxfId="12389" priority="5555">
      <formula>AND(IF($Q78=3,1,0),IF($X78&lt;30,1,0))</formula>
    </cfRule>
    <cfRule type="expression" dxfId="12388" priority="5556">
      <formula>AND(IF($Q78=3,1,IF($Q78=4,1,0)),IF($F78&lt;=85,1,0))</formula>
    </cfRule>
  </conditionalFormatting>
  <conditionalFormatting sqref="X78">
    <cfRule type="expression" dxfId="12387" priority="5549">
      <formula>AND(IF(OR($Q78=1,$Q78=2),1,0),IF($X78&lt;=20,1,0))</formula>
    </cfRule>
    <cfRule type="expression" dxfId="12386" priority="5550">
      <formula>AND(IF($Q78=2,1,0),IF($X78&lt;30,1,0))</formula>
    </cfRule>
    <cfRule type="expression" dxfId="12385" priority="5551">
      <formula>AND(IF($Q78=3,1,0),IF($X78&lt;30,1,0))</formula>
    </cfRule>
    <cfRule type="expression" dxfId="12384" priority="5552">
      <formula>AND(IF($Q78=3,1,IF($Q78=4,1,0)),IF($F78&lt;=85,1,0))</formula>
    </cfRule>
  </conditionalFormatting>
  <conditionalFormatting sqref="AI78">
    <cfRule type="expression" dxfId="12383" priority="5545">
      <formula>AND(IF(OR($Q78=1,$Q78=2),1,0),IF($X78&lt;=20,1,0))</formula>
    </cfRule>
    <cfRule type="expression" dxfId="12382" priority="5546">
      <formula>AND(IF($Q78=2,1,0),IF($X78&lt;30,1,0))</formula>
    </cfRule>
    <cfRule type="expression" dxfId="12381" priority="5547">
      <formula>AND(IF($Q78=3,1,0),IF($X78&lt;30,1,0))</formula>
    </cfRule>
    <cfRule type="expression" dxfId="12380" priority="5548">
      <formula>AND(IF($Q78=3,1,IF($Q78=4,1,0)),IF($F78&lt;=85,1,0))</formula>
    </cfRule>
  </conditionalFormatting>
  <conditionalFormatting sqref="AV79">
    <cfRule type="expression" dxfId="12379" priority="5543">
      <formula>AV79="X"</formula>
    </cfRule>
    <cfRule type="expression" dxfId="12378" priority="5544">
      <formula>AV79="후보"</formula>
    </cfRule>
  </conditionalFormatting>
  <conditionalFormatting sqref="AC79">
    <cfRule type="cellIs" dxfId="12377" priority="5541" operator="greaterThan">
      <formula>0.9</formula>
    </cfRule>
    <cfRule type="cellIs" dxfId="12376" priority="5542" operator="greaterThan">
      <formula>0.85</formula>
    </cfRule>
  </conditionalFormatting>
  <conditionalFormatting sqref="N79">
    <cfRule type="cellIs" dxfId="12375" priority="5539" operator="greaterThan">
      <formula>0.9</formula>
    </cfRule>
    <cfRule type="cellIs" dxfId="12374" priority="5540" operator="greaterThan">
      <formula>0.85</formula>
    </cfRule>
  </conditionalFormatting>
  <conditionalFormatting sqref="E79">
    <cfRule type="expression" dxfId="12373" priority="5535">
      <formula>AND(IF(OR($Q79=1,$Q79=2),1,0),IF($X79&lt;=20,1,0))</formula>
    </cfRule>
    <cfRule type="expression" dxfId="12372" priority="5536">
      <formula>AND(IF($Q79=2,1,0),IF($X79&lt;30,1,0))</formula>
    </cfRule>
    <cfRule type="expression" dxfId="12371" priority="5537">
      <formula>AND(IF($Q79=3,1,0),IF($X79&lt;30,1,0))</formula>
    </cfRule>
    <cfRule type="expression" dxfId="12370" priority="5538">
      <formula>AND(IF($Q79=3,1,IF($Q79=4,1,0)),IF($F79&lt;=85,1,0))</formula>
    </cfRule>
  </conditionalFormatting>
  <conditionalFormatting sqref="X79">
    <cfRule type="expression" dxfId="12369" priority="5531">
      <formula>AND(IF(OR($Q79=1,$Q79=2),1,0),IF($X79&lt;=20,1,0))</formula>
    </cfRule>
    <cfRule type="expression" dxfId="12368" priority="5532">
      <formula>AND(IF($Q79=2,1,0),IF($X79&lt;30,1,0))</formula>
    </cfRule>
    <cfRule type="expression" dxfId="12367" priority="5533">
      <formula>AND(IF($Q79=3,1,0),IF($X79&lt;30,1,0))</formula>
    </cfRule>
    <cfRule type="expression" dxfId="12366" priority="5534">
      <formula>AND(IF($Q79=3,1,IF($Q79=4,1,0)),IF($F79&lt;=85,1,0))</formula>
    </cfRule>
  </conditionalFormatting>
  <conditionalFormatting sqref="AI79">
    <cfRule type="expression" dxfId="12365" priority="5527">
      <formula>AND(IF(OR($Q79=1,$Q79=2),1,0),IF($X79&lt;=20,1,0))</formula>
    </cfRule>
    <cfRule type="expression" dxfId="12364" priority="5528">
      <formula>AND(IF($Q79=2,1,0),IF($X79&lt;30,1,0))</formula>
    </cfRule>
    <cfRule type="expression" dxfId="12363" priority="5529">
      <formula>AND(IF($Q79=3,1,0),IF($X79&lt;30,1,0))</formula>
    </cfRule>
    <cfRule type="expression" dxfId="12362" priority="5530">
      <formula>AND(IF($Q79=3,1,IF($Q79=4,1,0)),IF($F79&lt;=85,1,0))</formula>
    </cfRule>
  </conditionalFormatting>
  <conditionalFormatting sqref="AV80">
    <cfRule type="expression" dxfId="12361" priority="5525">
      <formula>AV80="X"</formula>
    </cfRule>
    <cfRule type="expression" dxfId="12360" priority="5526">
      <formula>AV80="후보"</formula>
    </cfRule>
  </conditionalFormatting>
  <conditionalFormatting sqref="AC80">
    <cfRule type="cellIs" dxfId="12359" priority="5523" operator="greaterThan">
      <formula>0.9</formula>
    </cfRule>
    <cfRule type="cellIs" dxfId="12358" priority="5524" operator="greaterThan">
      <formula>0.85</formula>
    </cfRule>
  </conditionalFormatting>
  <conditionalFormatting sqref="N80">
    <cfRule type="cellIs" dxfId="12357" priority="5521" operator="greaterThan">
      <formula>0.9</formula>
    </cfRule>
    <cfRule type="cellIs" dxfId="12356" priority="5522" operator="greaterThan">
      <formula>0.85</formula>
    </cfRule>
  </conditionalFormatting>
  <conditionalFormatting sqref="E80">
    <cfRule type="expression" dxfId="12355" priority="5517">
      <formula>AND(IF(OR($Q80=1,$Q80=2),1,0),IF($X80&lt;=20,1,0))</formula>
    </cfRule>
    <cfRule type="expression" dxfId="12354" priority="5518">
      <formula>AND(IF($Q80=2,1,0),IF($X80&lt;30,1,0))</formula>
    </cfRule>
    <cfRule type="expression" dxfId="12353" priority="5519">
      <formula>AND(IF($Q80=3,1,0),IF($X80&lt;30,1,0))</formula>
    </cfRule>
    <cfRule type="expression" dxfId="12352" priority="5520">
      <formula>AND(IF($Q80=3,1,IF($Q80=4,1,0)),IF($F80&lt;=85,1,0))</formula>
    </cfRule>
  </conditionalFormatting>
  <conditionalFormatting sqref="X80">
    <cfRule type="expression" dxfId="12351" priority="5513">
      <formula>AND(IF(OR($Q80=1,$Q80=2),1,0),IF($X80&lt;=20,1,0))</formula>
    </cfRule>
    <cfRule type="expression" dxfId="12350" priority="5514">
      <formula>AND(IF($Q80=2,1,0),IF($X80&lt;30,1,0))</formula>
    </cfRule>
    <cfRule type="expression" dxfId="12349" priority="5515">
      <formula>AND(IF($Q80=3,1,0),IF($X80&lt;30,1,0))</formula>
    </cfRule>
    <cfRule type="expression" dxfId="12348" priority="5516">
      <formula>AND(IF($Q80=3,1,IF($Q80=4,1,0)),IF($F80&lt;=85,1,0))</formula>
    </cfRule>
  </conditionalFormatting>
  <conditionalFormatting sqref="AI80">
    <cfRule type="expression" dxfId="12347" priority="5509">
      <formula>AND(IF(OR($Q80=1,$Q80=2),1,0),IF($X80&lt;=20,1,0))</formula>
    </cfRule>
    <cfRule type="expression" dxfId="12346" priority="5510">
      <formula>AND(IF($Q80=2,1,0),IF($X80&lt;30,1,0))</formula>
    </cfRule>
    <cfRule type="expression" dxfId="12345" priority="5511">
      <formula>AND(IF($Q80=3,1,0),IF($X80&lt;30,1,0))</formula>
    </cfRule>
    <cfRule type="expression" dxfId="12344" priority="5512">
      <formula>AND(IF($Q80=3,1,IF($Q80=4,1,0)),IF($F80&lt;=85,1,0))</formula>
    </cfRule>
  </conditionalFormatting>
  <conditionalFormatting sqref="AV81">
    <cfRule type="expression" dxfId="12343" priority="5507">
      <formula>AV81="X"</formula>
    </cfRule>
    <cfRule type="expression" dxfId="12342" priority="5508">
      <formula>AV81="후보"</formula>
    </cfRule>
  </conditionalFormatting>
  <conditionalFormatting sqref="AC81">
    <cfRule type="cellIs" dxfId="12341" priority="5505" operator="greaterThan">
      <formula>0.9</formula>
    </cfRule>
    <cfRule type="cellIs" dxfId="12340" priority="5506" operator="greaterThan">
      <formula>0.85</formula>
    </cfRule>
  </conditionalFormatting>
  <conditionalFormatting sqref="N81">
    <cfRule type="cellIs" dxfId="12339" priority="5503" operator="greaterThan">
      <formula>0.9</formula>
    </cfRule>
    <cfRule type="cellIs" dxfId="12338" priority="5504" operator="greaterThan">
      <formula>0.85</formula>
    </cfRule>
  </conditionalFormatting>
  <conditionalFormatting sqref="E81">
    <cfRule type="expression" dxfId="12337" priority="5499">
      <formula>AND(IF(OR($Q81=1,$Q81=2),1,0),IF($X81&lt;=20,1,0))</formula>
    </cfRule>
    <cfRule type="expression" dxfId="12336" priority="5500">
      <formula>AND(IF($Q81=2,1,0),IF($X81&lt;30,1,0))</formula>
    </cfRule>
    <cfRule type="expression" dxfId="12335" priority="5501">
      <formula>AND(IF($Q81=3,1,0),IF($X81&lt;30,1,0))</formula>
    </cfRule>
    <cfRule type="expression" dxfId="12334" priority="5502">
      <formula>AND(IF($Q81=3,1,IF($Q81=4,1,0)),IF($F81&lt;=85,1,0))</formula>
    </cfRule>
  </conditionalFormatting>
  <conditionalFormatting sqref="X81">
    <cfRule type="expression" dxfId="12333" priority="5495">
      <formula>AND(IF(OR($Q81=1,$Q81=2),1,0),IF($X81&lt;=20,1,0))</formula>
    </cfRule>
    <cfRule type="expression" dxfId="12332" priority="5496">
      <formula>AND(IF($Q81=2,1,0),IF($X81&lt;30,1,0))</formula>
    </cfRule>
    <cfRule type="expression" dxfId="12331" priority="5497">
      <formula>AND(IF($Q81=3,1,0),IF($X81&lt;30,1,0))</formula>
    </cfRule>
    <cfRule type="expression" dxfId="12330" priority="5498">
      <formula>AND(IF($Q81=3,1,IF($Q81=4,1,0)),IF($F81&lt;=85,1,0))</formula>
    </cfRule>
  </conditionalFormatting>
  <conditionalFormatting sqref="AI81">
    <cfRule type="expression" dxfId="12329" priority="5491">
      <formula>AND(IF(OR($Q81=1,$Q81=2),1,0),IF($X81&lt;=20,1,0))</formula>
    </cfRule>
    <cfRule type="expression" dxfId="12328" priority="5492">
      <formula>AND(IF($Q81=2,1,0),IF($X81&lt;30,1,0))</formula>
    </cfRule>
    <cfRule type="expression" dxfId="12327" priority="5493">
      <formula>AND(IF($Q81=3,1,0),IF($X81&lt;30,1,0))</formula>
    </cfRule>
    <cfRule type="expression" dxfId="12326" priority="5494">
      <formula>AND(IF($Q81=3,1,IF($Q81=4,1,0)),IF($F81&lt;=85,1,0))</formula>
    </cfRule>
  </conditionalFormatting>
  <conditionalFormatting sqref="AV82">
    <cfRule type="expression" dxfId="12325" priority="5489">
      <formula>AV82="X"</formula>
    </cfRule>
    <cfRule type="expression" dxfId="12324" priority="5490">
      <formula>AV82="후보"</formula>
    </cfRule>
  </conditionalFormatting>
  <conditionalFormatting sqref="AC82">
    <cfRule type="cellIs" dxfId="12323" priority="5487" operator="greaterThan">
      <formula>0.9</formula>
    </cfRule>
    <cfRule type="cellIs" dxfId="12322" priority="5488" operator="greaterThan">
      <formula>0.85</formula>
    </cfRule>
  </conditionalFormatting>
  <conditionalFormatting sqref="N82">
    <cfRule type="cellIs" dxfId="12321" priority="5485" operator="greaterThan">
      <formula>0.9</formula>
    </cfRule>
    <cfRule type="cellIs" dxfId="12320" priority="5486" operator="greaterThan">
      <formula>0.85</formula>
    </cfRule>
  </conditionalFormatting>
  <conditionalFormatting sqref="E82">
    <cfRule type="expression" dxfId="12319" priority="5481">
      <formula>AND(IF(OR($Q82=1,$Q82=2),1,0),IF($X82&lt;=20,1,0))</formula>
    </cfRule>
    <cfRule type="expression" dxfId="12318" priority="5482">
      <formula>AND(IF($Q82=2,1,0),IF($X82&lt;30,1,0))</formula>
    </cfRule>
    <cfRule type="expression" dxfId="12317" priority="5483">
      <formula>AND(IF($Q82=3,1,0),IF($X82&lt;30,1,0))</formula>
    </cfRule>
    <cfRule type="expression" dxfId="12316" priority="5484">
      <formula>AND(IF($Q82=3,1,IF($Q82=4,1,0)),IF($F82&lt;=85,1,0))</formula>
    </cfRule>
  </conditionalFormatting>
  <conditionalFormatting sqref="X82">
    <cfRule type="expression" dxfId="12315" priority="5477">
      <formula>AND(IF(OR($Q82=1,$Q82=2),1,0),IF($X82&lt;=20,1,0))</formula>
    </cfRule>
    <cfRule type="expression" dxfId="12314" priority="5478">
      <formula>AND(IF($Q82=2,1,0),IF($X82&lt;30,1,0))</formula>
    </cfRule>
    <cfRule type="expression" dxfId="12313" priority="5479">
      <formula>AND(IF($Q82=3,1,0),IF($X82&lt;30,1,0))</formula>
    </cfRule>
    <cfRule type="expression" dxfId="12312" priority="5480">
      <formula>AND(IF($Q82=3,1,IF($Q82=4,1,0)),IF($F82&lt;=85,1,0))</formula>
    </cfRule>
  </conditionalFormatting>
  <conditionalFormatting sqref="AI82">
    <cfRule type="expression" dxfId="12311" priority="5473">
      <formula>AND(IF(OR($Q82=1,$Q82=2),1,0),IF($X82&lt;=20,1,0))</formula>
    </cfRule>
    <cfRule type="expression" dxfId="12310" priority="5474">
      <formula>AND(IF($Q82=2,1,0),IF($X82&lt;30,1,0))</formula>
    </cfRule>
    <cfRule type="expression" dxfId="12309" priority="5475">
      <formula>AND(IF($Q82=3,1,0),IF($X82&lt;30,1,0))</formula>
    </cfRule>
    <cfRule type="expression" dxfId="12308" priority="5476">
      <formula>AND(IF($Q82=3,1,IF($Q82=4,1,0)),IF($F82&lt;=85,1,0))</formula>
    </cfRule>
  </conditionalFormatting>
  <conditionalFormatting sqref="AV83">
    <cfRule type="expression" dxfId="12307" priority="5471">
      <formula>AV83="X"</formula>
    </cfRule>
    <cfRule type="expression" dxfId="12306" priority="5472">
      <formula>AV83="후보"</formula>
    </cfRule>
  </conditionalFormatting>
  <conditionalFormatting sqref="AC83">
    <cfRule type="cellIs" dxfId="12305" priority="5469" operator="greaterThan">
      <formula>0.9</formula>
    </cfRule>
    <cfRule type="cellIs" dxfId="12304" priority="5470" operator="greaterThan">
      <formula>0.85</formula>
    </cfRule>
  </conditionalFormatting>
  <conditionalFormatting sqref="N83">
    <cfRule type="cellIs" dxfId="12303" priority="5467" operator="greaterThan">
      <formula>0.9</formula>
    </cfRule>
    <cfRule type="cellIs" dxfId="12302" priority="5468" operator="greaterThan">
      <formula>0.85</formula>
    </cfRule>
  </conditionalFormatting>
  <conditionalFormatting sqref="E83">
    <cfRule type="expression" dxfId="12301" priority="5463">
      <formula>AND(IF(OR($Q83=1,$Q83=2),1,0),IF($X83&lt;=20,1,0))</formula>
    </cfRule>
    <cfRule type="expression" dxfId="12300" priority="5464">
      <formula>AND(IF($Q83=2,1,0),IF($X83&lt;30,1,0))</formula>
    </cfRule>
    <cfRule type="expression" dxfId="12299" priority="5465">
      <formula>AND(IF($Q83=3,1,0),IF($X83&lt;30,1,0))</formula>
    </cfRule>
    <cfRule type="expression" dxfId="12298" priority="5466">
      <formula>AND(IF($Q83=3,1,IF($Q83=4,1,0)),IF($F83&lt;=85,1,0))</formula>
    </cfRule>
  </conditionalFormatting>
  <conditionalFormatting sqref="X83">
    <cfRule type="expression" dxfId="12297" priority="5459">
      <formula>AND(IF(OR($Q83=1,$Q83=2),1,0),IF($X83&lt;=20,1,0))</formula>
    </cfRule>
    <cfRule type="expression" dxfId="12296" priority="5460">
      <formula>AND(IF($Q83=2,1,0),IF($X83&lt;30,1,0))</formula>
    </cfRule>
    <cfRule type="expression" dxfId="12295" priority="5461">
      <formula>AND(IF($Q83=3,1,0),IF($X83&lt;30,1,0))</formula>
    </cfRule>
    <cfRule type="expression" dxfId="12294" priority="5462">
      <formula>AND(IF($Q83=3,1,IF($Q83=4,1,0)),IF($F83&lt;=85,1,0))</formula>
    </cfRule>
  </conditionalFormatting>
  <conditionalFormatting sqref="AI83">
    <cfRule type="expression" dxfId="12293" priority="5455">
      <formula>AND(IF(OR($Q83=1,$Q83=2),1,0),IF($X83&lt;=20,1,0))</formula>
    </cfRule>
    <cfRule type="expression" dxfId="12292" priority="5456">
      <formula>AND(IF($Q83=2,1,0),IF($X83&lt;30,1,0))</formula>
    </cfRule>
    <cfRule type="expression" dxfId="12291" priority="5457">
      <formula>AND(IF($Q83=3,1,0),IF($X83&lt;30,1,0))</formula>
    </cfRule>
    <cfRule type="expression" dxfId="12290" priority="5458">
      <formula>AND(IF($Q83=3,1,IF($Q83=4,1,0)),IF($F83&lt;=85,1,0))</formula>
    </cfRule>
  </conditionalFormatting>
  <conditionalFormatting sqref="AV84">
    <cfRule type="expression" dxfId="12289" priority="5453">
      <formula>AV84="X"</formula>
    </cfRule>
    <cfRule type="expression" dxfId="12288" priority="5454">
      <formula>AV84="후보"</formula>
    </cfRule>
  </conditionalFormatting>
  <conditionalFormatting sqref="AC84">
    <cfRule type="cellIs" dxfId="12287" priority="5451" operator="greaterThan">
      <formula>0.9</formula>
    </cfRule>
    <cfRule type="cellIs" dxfId="12286" priority="5452" operator="greaterThan">
      <formula>0.85</formula>
    </cfRule>
  </conditionalFormatting>
  <conditionalFormatting sqref="N84">
    <cfRule type="cellIs" dxfId="12285" priority="5449" operator="greaterThan">
      <formula>0.9</formula>
    </cfRule>
    <cfRule type="cellIs" dxfId="12284" priority="5450" operator="greaterThan">
      <formula>0.85</formula>
    </cfRule>
  </conditionalFormatting>
  <conditionalFormatting sqref="E84">
    <cfRule type="expression" dxfId="12283" priority="5445">
      <formula>AND(IF(OR($Q84=1,$Q84=2),1,0),IF($X84&lt;=20,1,0))</formula>
    </cfRule>
    <cfRule type="expression" dxfId="12282" priority="5446">
      <formula>AND(IF($Q84=2,1,0),IF($X84&lt;30,1,0))</formula>
    </cfRule>
    <cfRule type="expression" dxfId="12281" priority="5447">
      <formula>AND(IF($Q84=3,1,0),IF($X84&lt;30,1,0))</formula>
    </cfRule>
    <cfRule type="expression" dxfId="12280" priority="5448">
      <formula>AND(IF($Q84=3,1,IF($Q84=4,1,0)),IF($F84&lt;=85,1,0))</formula>
    </cfRule>
  </conditionalFormatting>
  <conditionalFormatting sqref="X84">
    <cfRule type="expression" dxfId="12279" priority="5441">
      <formula>AND(IF(OR($Q84=1,$Q84=2),1,0),IF($X84&lt;=20,1,0))</formula>
    </cfRule>
    <cfRule type="expression" dxfId="12278" priority="5442">
      <formula>AND(IF($Q84=2,1,0),IF($X84&lt;30,1,0))</formula>
    </cfRule>
    <cfRule type="expression" dxfId="12277" priority="5443">
      <formula>AND(IF($Q84=3,1,0),IF($X84&lt;30,1,0))</formula>
    </cfRule>
    <cfRule type="expression" dxfId="12276" priority="5444">
      <formula>AND(IF($Q84=3,1,IF($Q84=4,1,0)),IF($F84&lt;=85,1,0))</formula>
    </cfRule>
  </conditionalFormatting>
  <conditionalFormatting sqref="AI84">
    <cfRule type="expression" dxfId="12275" priority="5437">
      <formula>AND(IF(OR($Q84=1,$Q84=2),1,0),IF($X84&lt;=20,1,0))</formula>
    </cfRule>
    <cfRule type="expression" dxfId="12274" priority="5438">
      <formula>AND(IF($Q84=2,1,0),IF($X84&lt;30,1,0))</formula>
    </cfRule>
    <cfRule type="expression" dxfId="12273" priority="5439">
      <formula>AND(IF($Q84=3,1,0),IF($X84&lt;30,1,0))</formula>
    </cfRule>
    <cfRule type="expression" dxfId="12272" priority="5440">
      <formula>AND(IF($Q84=3,1,IF($Q84=4,1,0)),IF($F84&lt;=85,1,0))</formula>
    </cfRule>
  </conditionalFormatting>
  <conditionalFormatting sqref="AV85">
    <cfRule type="expression" dxfId="12271" priority="5435">
      <formula>AV85="X"</formula>
    </cfRule>
    <cfRule type="expression" dxfId="12270" priority="5436">
      <formula>AV85="후보"</formula>
    </cfRule>
  </conditionalFormatting>
  <conditionalFormatting sqref="AC85">
    <cfRule type="cellIs" dxfId="12269" priority="5433" operator="greaterThan">
      <formula>0.9</formula>
    </cfRule>
    <cfRule type="cellIs" dxfId="12268" priority="5434" operator="greaterThan">
      <formula>0.85</formula>
    </cfRule>
  </conditionalFormatting>
  <conditionalFormatting sqref="N85">
    <cfRule type="cellIs" dxfId="12267" priority="5431" operator="greaterThan">
      <formula>0.9</formula>
    </cfRule>
    <cfRule type="cellIs" dxfId="12266" priority="5432" operator="greaterThan">
      <formula>0.85</formula>
    </cfRule>
  </conditionalFormatting>
  <conditionalFormatting sqref="E85">
    <cfRule type="expression" dxfId="12265" priority="5427">
      <formula>AND(IF(OR($Q85=1,$Q85=2),1,0),IF($X85&lt;=20,1,0))</formula>
    </cfRule>
    <cfRule type="expression" dxfId="12264" priority="5428">
      <formula>AND(IF($Q85=2,1,0),IF($X85&lt;30,1,0))</formula>
    </cfRule>
    <cfRule type="expression" dxfId="12263" priority="5429">
      <formula>AND(IF($Q85=3,1,0),IF($X85&lt;30,1,0))</formula>
    </cfRule>
    <cfRule type="expression" dxfId="12262" priority="5430">
      <formula>AND(IF($Q85=3,1,IF($Q85=4,1,0)),IF($F85&lt;=85,1,0))</formula>
    </cfRule>
  </conditionalFormatting>
  <conditionalFormatting sqref="X85">
    <cfRule type="expression" dxfId="12261" priority="5423">
      <formula>AND(IF(OR($Q85=1,$Q85=2),1,0),IF($X85&lt;=20,1,0))</formula>
    </cfRule>
    <cfRule type="expression" dxfId="12260" priority="5424">
      <formula>AND(IF($Q85=2,1,0),IF($X85&lt;30,1,0))</formula>
    </cfRule>
    <cfRule type="expression" dxfId="12259" priority="5425">
      <formula>AND(IF($Q85=3,1,0),IF($X85&lt;30,1,0))</formula>
    </cfRule>
    <cfRule type="expression" dxfId="12258" priority="5426">
      <formula>AND(IF($Q85=3,1,IF($Q85=4,1,0)),IF($F85&lt;=85,1,0))</formula>
    </cfRule>
  </conditionalFormatting>
  <conditionalFormatting sqref="AI85">
    <cfRule type="expression" dxfId="12257" priority="5419">
      <formula>AND(IF(OR($Q85=1,$Q85=2),1,0),IF($X85&lt;=20,1,0))</formula>
    </cfRule>
    <cfRule type="expression" dxfId="12256" priority="5420">
      <formula>AND(IF($Q85=2,1,0),IF($X85&lt;30,1,0))</formula>
    </cfRule>
    <cfRule type="expression" dxfId="12255" priority="5421">
      <formula>AND(IF($Q85=3,1,0),IF($X85&lt;30,1,0))</formula>
    </cfRule>
    <cfRule type="expression" dxfId="12254" priority="5422">
      <formula>AND(IF($Q85=3,1,IF($Q85=4,1,0)),IF($F85&lt;=85,1,0))</formula>
    </cfRule>
  </conditionalFormatting>
  <conditionalFormatting sqref="AV86">
    <cfRule type="expression" dxfId="12253" priority="5417">
      <formula>AV86="X"</formula>
    </cfRule>
    <cfRule type="expression" dxfId="12252" priority="5418">
      <formula>AV86="후보"</formula>
    </cfRule>
  </conditionalFormatting>
  <conditionalFormatting sqref="AC86">
    <cfRule type="cellIs" dxfId="12251" priority="5415" operator="greaterThan">
      <formula>0.9</formula>
    </cfRule>
    <cfRule type="cellIs" dxfId="12250" priority="5416" operator="greaterThan">
      <formula>0.85</formula>
    </cfRule>
  </conditionalFormatting>
  <conditionalFormatting sqref="N86">
    <cfRule type="cellIs" dxfId="12249" priority="5413" operator="greaterThan">
      <formula>0.9</formula>
    </cfRule>
    <cfRule type="cellIs" dxfId="12248" priority="5414" operator="greaterThan">
      <formula>0.85</formula>
    </cfRule>
  </conditionalFormatting>
  <conditionalFormatting sqref="E86">
    <cfRule type="expression" dxfId="12247" priority="5409">
      <formula>AND(IF(OR($Q86=1,$Q86=2),1,0),IF($X86&lt;=20,1,0))</formula>
    </cfRule>
    <cfRule type="expression" dxfId="12246" priority="5410">
      <formula>AND(IF($Q86=2,1,0),IF($X86&lt;30,1,0))</formula>
    </cfRule>
    <cfRule type="expression" dxfId="12245" priority="5411">
      <formula>AND(IF($Q86=3,1,0),IF($X86&lt;30,1,0))</formula>
    </cfRule>
    <cfRule type="expression" dxfId="12244" priority="5412">
      <formula>AND(IF($Q86=3,1,IF($Q86=4,1,0)),IF($F86&lt;=85,1,0))</formula>
    </cfRule>
  </conditionalFormatting>
  <conditionalFormatting sqref="X86">
    <cfRule type="expression" dxfId="12243" priority="5405">
      <formula>AND(IF(OR($Q86=1,$Q86=2),1,0),IF($X86&lt;=20,1,0))</formula>
    </cfRule>
    <cfRule type="expression" dxfId="12242" priority="5406">
      <formula>AND(IF($Q86=2,1,0),IF($X86&lt;30,1,0))</formula>
    </cfRule>
    <cfRule type="expression" dxfId="12241" priority="5407">
      <formula>AND(IF($Q86=3,1,0),IF($X86&lt;30,1,0))</formula>
    </cfRule>
    <cfRule type="expression" dxfId="12240" priority="5408">
      <formula>AND(IF($Q86=3,1,IF($Q86=4,1,0)),IF($F86&lt;=85,1,0))</formula>
    </cfRule>
  </conditionalFormatting>
  <conditionalFormatting sqref="AI86">
    <cfRule type="expression" dxfId="12239" priority="5401">
      <formula>AND(IF(OR($Q86=1,$Q86=2),1,0),IF($X86&lt;=20,1,0))</formula>
    </cfRule>
    <cfRule type="expression" dxfId="12238" priority="5402">
      <formula>AND(IF($Q86=2,1,0),IF($X86&lt;30,1,0))</formula>
    </cfRule>
    <cfRule type="expression" dxfId="12237" priority="5403">
      <formula>AND(IF($Q86=3,1,0),IF($X86&lt;30,1,0))</formula>
    </cfRule>
    <cfRule type="expression" dxfId="12236" priority="5404">
      <formula>AND(IF($Q86=3,1,IF($Q86=4,1,0)),IF($F86&lt;=85,1,0))</formula>
    </cfRule>
  </conditionalFormatting>
  <conditionalFormatting sqref="AV87">
    <cfRule type="expression" dxfId="12235" priority="5399">
      <formula>AV87="X"</formula>
    </cfRule>
    <cfRule type="expression" dxfId="12234" priority="5400">
      <formula>AV87="후보"</formula>
    </cfRule>
  </conditionalFormatting>
  <conditionalFormatting sqref="AC87">
    <cfRule type="cellIs" dxfId="12233" priority="5397" operator="greaterThan">
      <formula>0.9</formula>
    </cfRule>
    <cfRule type="cellIs" dxfId="12232" priority="5398" operator="greaterThan">
      <formula>0.85</formula>
    </cfRule>
  </conditionalFormatting>
  <conditionalFormatting sqref="N87">
    <cfRule type="cellIs" dxfId="12231" priority="5395" operator="greaterThan">
      <formula>0.9</formula>
    </cfRule>
    <cfRule type="cellIs" dxfId="12230" priority="5396" operator="greaterThan">
      <formula>0.85</formula>
    </cfRule>
  </conditionalFormatting>
  <conditionalFormatting sqref="E87">
    <cfRule type="expression" dxfId="12229" priority="5391">
      <formula>AND(IF(OR($Q87=1,$Q87=2),1,0),IF($X87&lt;=20,1,0))</formula>
    </cfRule>
    <cfRule type="expression" dxfId="12228" priority="5392">
      <formula>AND(IF($Q87=2,1,0),IF($X87&lt;30,1,0))</formula>
    </cfRule>
    <cfRule type="expression" dxfId="12227" priority="5393">
      <formula>AND(IF($Q87=3,1,0),IF($X87&lt;30,1,0))</formula>
    </cfRule>
    <cfRule type="expression" dxfId="12226" priority="5394">
      <formula>AND(IF($Q87=3,1,IF($Q87=4,1,0)),IF($F87&lt;=85,1,0))</formula>
    </cfRule>
  </conditionalFormatting>
  <conditionalFormatting sqref="X87">
    <cfRule type="expression" dxfId="12225" priority="5387">
      <formula>AND(IF(OR($Q87=1,$Q87=2),1,0),IF($X87&lt;=20,1,0))</formula>
    </cfRule>
    <cfRule type="expression" dxfId="12224" priority="5388">
      <formula>AND(IF($Q87=2,1,0),IF($X87&lt;30,1,0))</formula>
    </cfRule>
    <cfRule type="expression" dxfId="12223" priority="5389">
      <formula>AND(IF($Q87=3,1,0),IF($X87&lt;30,1,0))</formula>
    </cfRule>
    <cfRule type="expression" dxfId="12222" priority="5390">
      <formula>AND(IF($Q87=3,1,IF($Q87=4,1,0)),IF($F87&lt;=85,1,0))</formula>
    </cfRule>
  </conditionalFormatting>
  <conditionalFormatting sqref="AI87">
    <cfRule type="expression" dxfId="12221" priority="5383">
      <formula>AND(IF(OR($Q87=1,$Q87=2),1,0),IF($X87&lt;=20,1,0))</formula>
    </cfRule>
    <cfRule type="expression" dxfId="12220" priority="5384">
      <formula>AND(IF($Q87=2,1,0),IF($X87&lt;30,1,0))</formula>
    </cfRule>
    <cfRule type="expression" dxfId="12219" priority="5385">
      <formula>AND(IF($Q87=3,1,0),IF($X87&lt;30,1,0))</formula>
    </cfRule>
    <cfRule type="expression" dxfId="12218" priority="5386">
      <formula>AND(IF($Q87=3,1,IF($Q87=4,1,0)),IF($F87&lt;=85,1,0))</formula>
    </cfRule>
  </conditionalFormatting>
  <conditionalFormatting sqref="AV88">
    <cfRule type="expression" dxfId="12217" priority="5381">
      <formula>AV88="X"</formula>
    </cfRule>
    <cfRule type="expression" dxfId="12216" priority="5382">
      <formula>AV88="후보"</formula>
    </cfRule>
  </conditionalFormatting>
  <conditionalFormatting sqref="AC88">
    <cfRule type="cellIs" dxfId="12215" priority="5379" operator="greaterThan">
      <formula>0.9</formula>
    </cfRule>
    <cfRule type="cellIs" dxfId="12214" priority="5380" operator="greaterThan">
      <formula>0.85</formula>
    </cfRule>
  </conditionalFormatting>
  <conditionalFormatting sqref="N88">
    <cfRule type="cellIs" dxfId="12213" priority="5377" operator="greaterThan">
      <formula>0.9</formula>
    </cfRule>
    <cfRule type="cellIs" dxfId="12212" priority="5378" operator="greaterThan">
      <formula>0.85</formula>
    </cfRule>
  </conditionalFormatting>
  <conditionalFormatting sqref="E88">
    <cfRule type="expression" dxfId="12211" priority="5373">
      <formula>AND(IF(OR($Q88=1,$Q88=2),1,0),IF($X88&lt;=20,1,0))</formula>
    </cfRule>
    <cfRule type="expression" dxfId="12210" priority="5374">
      <formula>AND(IF($Q88=2,1,0),IF($X88&lt;30,1,0))</formula>
    </cfRule>
    <cfRule type="expression" dxfId="12209" priority="5375">
      <formula>AND(IF($Q88=3,1,0),IF($X88&lt;30,1,0))</formula>
    </cfRule>
    <cfRule type="expression" dxfId="12208" priority="5376">
      <formula>AND(IF($Q88=3,1,IF($Q88=4,1,0)),IF($F88&lt;=85,1,0))</formula>
    </cfRule>
  </conditionalFormatting>
  <conditionalFormatting sqref="X88">
    <cfRule type="expression" dxfId="12207" priority="5369">
      <formula>AND(IF(OR($Q88=1,$Q88=2),1,0),IF($X88&lt;=20,1,0))</formula>
    </cfRule>
    <cfRule type="expression" dxfId="12206" priority="5370">
      <formula>AND(IF($Q88=2,1,0),IF($X88&lt;30,1,0))</formula>
    </cfRule>
    <cfRule type="expression" dxfId="12205" priority="5371">
      <formula>AND(IF($Q88=3,1,0),IF($X88&lt;30,1,0))</formula>
    </cfRule>
    <cfRule type="expression" dxfId="12204" priority="5372">
      <formula>AND(IF($Q88=3,1,IF($Q88=4,1,0)),IF($F88&lt;=85,1,0))</formula>
    </cfRule>
  </conditionalFormatting>
  <conditionalFormatting sqref="AI88">
    <cfRule type="expression" dxfId="12203" priority="5365">
      <formula>AND(IF(OR($Q88=1,$Q88=2),1,0),IF($X88&lt;=20,1,0))</formula>
    </cfRule>
    <cfRule type="expression" dxfId="12202" priority="5366">
      <formula>AND(IF($Q88=2,1,0),IF($X88&lt;30,1,0))</formula>
    </cfRule>
    <cfRule type="expression" dxfId="12201" priority="5367">
      <formula>AND(IF($Q88=3,1,0),IF($X88&lt;30,1,0))</formula>
    </cfRule>
    <cfRule type="expression" dxfId="12200" priority="5368">
      <formula>AND(IF($Q88=3,1,IF($Q88=4,1,0)),IF($F88&lt;=85,1,0))</formula>
    </cfRule>
  </conditionalFormatting>
  <conditionalFormatting sqref="AV89">
    <cfRule type="expression" dxfId="12199" priority="5363">
      <formula>AV89="X"</formula>
    </cfRule>
    <cfRule type="expression" dxfId="12198" priority="5364">
      <formula>AV89="후보"</formula>
    </cfRule>
  </conditionalFormatting>
  <conditionalFormatting sqref="AC89">
    <cfRule type="cellIs" dxfId="12197" priority="5361" operator="greaterThan">
      <formula>0.9</formula>
    </cfRule>
    <cfRule type="cellIs" dxfId="12196" priority="5362" operator="greaterThan">
      <formula>0.85</formula>
    </cfRule>
  </conditionalFormatting>
  <conditionalFormatting sqref="N89">
    <cfRule type="cellIs" dxfId="12195" priority="5359" operator="greaterThan">
      <formula>0.9</formula>
    </cfRule>
    <cfRule type="cellIs" dxfId="12194" priority="5360" operator="greaterThan">
      <formula>0.85</formula>
    </cfRule>
  </conditionalFormatting>
  <conditionalFormatting sqref="E89">
    <cfRule type="expression" dxfId="12193" priority="5355">
      <formula>AND(IF(OR($Q89=1,$Q89=2),1,0),IF($X89&lt;=20,1,0))</formula>
    </cfRule>
    <cfRule type="expression" dxfId="12192" priority="5356">
      <formula>AND(IF($Q89=2,1,0),IF($X89&lt;30,1,0))</formula>
    </cfRule>
    <cfRule type="expression" dxfId="12191" priority="5357">
      <formula>AND(IF($Q89=3,1,0),IF($X89&lt;30,1,0))</formula>
    </cfRule>
    <cfRule type="expression" dxfId="12190" priority="5358">
      <formula>AND(IF($Q89=3,1,IF($Q89=4,1,0)),IF($F89&lt;=85,1,0))</formula>
    </cfRule>
  </conditionalFormatting>
  <conditionalFormatting sqref="X89">
    <cfRule type="expression" dxfId="12189" priority="5351">
      <formula>AND(IF(OR($Q89=1,$Q89=2),1,0),IF($X89&lt;=20,1,0))</formula>
    </cfRule>
    <cfRule type="expression" dxfId="12188" priority="5352">
      <formula>AND(IF($Q89=2,1,0),IF($X89&lt;30,1,0))</formula>
    </cfRule>
    <cfRule type="expression" dxfId="12187" priority="5353">
      <formula>AND(IF($Q89=3,1,0),IF($X89&lt;30,1,0))</formula>
    </cfRule>
    <cfRule type="expression" dxfId="12186" priority="5354">
      <formula>AND(IF($Q89=3,1,IF($Q89=4,1,0)),IF($F89&lt;=85,1,0))</formula>
    </cfRule>
  </conditionalFormatting>
  <conditionalFormatting sqref="AI89">
    <cfRule type="expression" dxfId="12185" priority="5347">
      <formula>AND(IF(OR($Q89=1,$Q89=2),1,0),IF($X89&lt;=20,1,0))</formula>
    </cfRule>
    <cfRule type="expression" dxfId="12184" priority="5348">
      <formula>AND(IF($Q89=2,1,0),IF($X89&lt;30,1,0))</formula>
    </cfRule>
    <cfRule type="expression" dxfId="12183" priority="5349">
      <formula>AND(IF($Q89=3,1,0),IF($X89&lt;30,1,0))</formula>
    </cfRule>
    <cfRule type="expression" dxfId="12182" priority="5350">
      <formula>AND(IF($Q89=3,1,IF($Q89=4,1,0)),IF($F89&lt;=85,1,0))</formula>
    </cfRule>
  </conditionalFormatting>
  <conditionalFormatting sqref="AV90">
    <cfRule type="expression" dxfId="12181" priority="5345">
      <formula>AV90="X"</formula>
    </cfRule>
    <cfRule type="expression" dxfId="12180" priority="5346">
      <formula>AV90="후보"</formula>
    </cfRule>
  </conditionalFormatting>
  <conditionalFormatting sqref="AC90">
    <cfRule type="cellIs" dxfId="12179" priority="5343" operator="greaterThan">
      <formula>0.9</formula>
    </cfRule>
    <cfRule type="cellIs" dxfId="12178" priority="5344" operator="greaterThan">
      <formula>0.85</formula>
    </cfRule>
  </conditionalFormatting>
  <conditionalFormatting sqref="N90">
    <cfRule type="cellIs" dxfId="12177" priority="5341" operator="greaterThan">
      <formula>0.9</formula>
    </cfRule>
    <cfRule type="cellIs" dxfId="12176" priority="5342" operator="greaterThan">
      <formula>0.85</formula>
    </cfRule>
  </conditionalFormatting>
  <conditionalFormatting sqref="E90">
    <cfRule type="expression" dxfId="12175" priority="5337">
      <formula>AND(IF(OR($Q90=1,$Q90=2),1,0),IF($X90&lt;=20,1,0))</formula>
    </cfRule>
    <cfRule type="expression" dxfId="12174" priority="5338">
      <formula>AND(IF($Q90=2,1,0),IF($X90&lt;30,1,0))</formula>
    </cfRule>
    <cfRule type="expression" dxfId="12173" priority="5339">
      <formula>AND(IF($Q90=3,1,0),IF($X90&lt;30,1,0))</formula>
    </cfRule>
    <cfRule type="expression" dxfId="12172" priority="5340">
      <formula>AND(IF($Q90=3,1,IF($Q90=4,1,0)),IF($F90&lt;=85,1,0))</formula>
    </cfRule>
  </conditionalFormatting>
  <conditionalFormatting sqref="X90">
    <cfRule type="expression" dxfId="12171" priority="5333">
      <formula>AND(IF(OR($Q90=1,$Q90=2),1,0),IF($X90&lt;=20,1,0))</formula>
    </cfRule>
    <cfRule type="expression" dxfId="12170" priority="5334">
      <formula>AND(IF($Q90=2,1,0),IF($X90&lt;30,1,0))</formula>
    </cfRule>
    <cfRule type="expression" dxfId="12169" priority="5335">
      <formula>AND(IF($Q90=3,1,0),IF($X90&lt;30,1,0))</formula>
    </cfRule>
    <cfRule type="expression" dxfId="12168" priority="5336">
      <formula>AND(IF($Q90=3,1,IF($Q90=4,1,0)),IF($F90&lt;=85,1,0))</formula>
    </cfRule>
  </conditionalFormatting>
  <conditionalFormatting sqref="AI90">
    <cfRule type="expression" dxfId="12167" priority="5329">
      <formula>AND(IF(OR($Q90=1,$Q90=2),1,0),IF($X90&lt;=20,1,0))</formula>
    </cfRule>
    <cfRule type="expression" dxfId="12166" priority="5330">
      <formula>AND(IF($Q90=2,1,0),IF($X90&lt;30,1,0))</formula>
    </cfRule>
    <cfRule type="expression" dxfId="12165" priority="5331">
      <formula>AND(IF($Q90=3,1,0),IF($X90&lt;30,1,0))</formula>
    </cfRule>
    <cfRule type="expression" dxfId="12164" priority="5332">
      <formula>AND(IF($Q90=3,1,IF($Q90=4,1,0)),IF($F90&lt;=85,1,0))</formula>
    </cfRule>
  </conditionalFormatting>
  <conditionalFormatting sqref="AV91">
    <cfRule type="expression" dxfId="12163" priority="5327">
      <formula>AV91="X"</formula>
    </cfRule>
    <cfRule type="expression" dxfId="12162" priority="5328">
      <formula>AV91="후보"</formula>
    </cfRule>
  </conditionalFormatting>
  <conditionalFormatting sqref="AC91">
    <cfRule type="cellIs" dxfId="12161" priority="5325" operator="greaterThan">
      <formula>0.9</formula>
    </cfRule>
    <cfRule type="cellIs" dxfId="12160" priority="5326" operator="greaterThan">
      <formula>0.85</formula>
    </cfRule>
  </conditionalFormatting>
  <conditionalFormatting sqref="N91">
    <cfRule type="cellIs" dxfId="12159" priority="5323" operator="greaterThan">
      <formula>0.9</formula>
    </cfRule>
    <cfRule type="cellIs" dxfId="12158" priority="5324" operator="greaterThan">
      <formula>0.85</formula>
    </cfRule>
  </conditionalFormatting>
  <conditionalFormatting sqref="E91">
    <cfRule type="expression" dxfId="12157" priority="5319">
      <formula>AND(IF(OR($Q91=1,$Q91=2),1,0),IF($X91&lt;=20,1,0))</formula>
    </cfRule>
    <cfRule type="expression" dxfId="12156" priority="5320">
      <formula>AND(IF($Q91=2,1,0),IF($X91&lt;30,1,0))</formula>
    </cfRule>
    <cfRule type="expression" dxfId="12155" priority="5321">
      <formula>AND(IF($Q91=3,1,0),IF($X91&lt;30,1,0))</formula>
    </cfRule>
    <cfRule type="expression" dxfId="12154" priority="5322">
      <formula>AND(IF($Q91=3,1,IF($Q91=4,1,0)),IF($F91&lt;=85,1,0))</formula>
    </cfRule>
  </conditionalFormatting>
  <conditionalFormatting sqref="X91">
    <cfRule type="expression" dxfId="12153" priority="5315">
      <formula>AND(IF(OR($Q91=1,$Q91=2),1,0),IF($X91&lt;=20,1,0))</formula>
    </cfRule>
    <cfRule type="expression" dxfId="12152" priority="5316">
      <formula>AND(IF($Q91=2,1,0),IF($X91&lt;30,1,0))</formula>
    </cfRule>
    <cfRule type="expression" dxfId="12151" priority="5317">
      <formula>AND(IF($Q91=3,1,0),IF($X91&lt;30,1,0))</formula>
    </cfRule>
    <cfRule type="expression" dxfId="12150" priority="5318">
      <formula>AND(IF($Q91=3,1,IF($Q91=4,1,0)),IF($F91&lt;=85,1,0))</formula>
    </cfRule>
  </conditionalFormatting>
  <conditionalFormatting sqref="AI91">
    <cfRule type="expression" dxfId="12149" priority="5311">
      <formula>AND(IF(OR($Q91=1,$Q91=2),1,0),IF($X91&lt;=20,1,0))</formula>
    </cfRule>
    <cfRule type="expression" dxfId="12148" priority="5312">
      <formula>AND(IF($Q91=2,1,0),IF($X91&lt;30,1,0))</formula>
    </cfRule>
    <cfRule type="expression" dxfId="12147" priority="5313">
      <formula>AND(IF($Q91=3,1,0),IF($X91&lt;30,1,0))</formula>
    </cfRule>
    <cfRule type="expression" dxfId="12146" priority="5314">
      <formula>AND(IF($Q91=3,1,IF($Q91=4,1,0)),IF($F91&lt;=85,1,0))</formula>
    </cfRule>
  </conditionalFormatting>
  <conditionalFormatting sqref="AV92">
    <cfRule type="expression" dxfId="12145" priority="5309">
      <formula>AV92="X"</formula>
    </cfRule>
    <cfRule type="expression" dxfId="12144" priority="5310">
      <formula>AV92="후보"</formula>
    </cfRule>
  </conditionalFormatting>
  <conditionalFormatting sqref="AC92">
    <cfRule type="cellIs" dxfId="12143" priority="5307" operator="greaterThan">
      <formula>0.9</formula>
    </cfRule>
    <cfRule type="cellIs" dxfId="12142" priority="5308" operator="greaterThan">
      <formula>0.85</formula>
    </cfRule>
  </conditionalFormatting>
  <conditionalFormatting sqref="N92">
    <cfRule type="cellIs" dxfId="12141" priority="5305" operator="greaterThan">
      <formula>0.9</formula>
    </cfRule>
    <cfRule type="cellIs" dxfId="12140" priority="5306" operator="greaterThan">
      <formula>0.85</formula>
    </cfRule>
  </conditionalFormatting>
  <conditionalFormatting sqref="E92">
    <cfRule type="expression" dxfId="12139" priority="5301">
      <formula>AND(IF(OR($Q92=1,$Q92=2),1,0),IF($X92&lt;=20,1,0))</formula>
    </cfRule>
    <cfRule type="expression" dxfId="12138" priority="5302">
      <formula>AND(IF($Q92=2,1,0),IF($X92&lt;30,1,0))</formula>
    </cfRule>
    <cfRule type="expression" dxfId="12137" priority="5303">
      <formula>AND(IF($Q92=3,1,0),IF($X92&lt;30,1,0))</formula>
    </cfRule>
    <cfRule type="expression" dxfId="12136" priority="5304">
      <formula>AND(IF($Q92=3,1,IF($Q92=4,1,0)),IF($F92&lt;=85,1,0))</formula>
    </cfRule>
  </conditionalFormatting>
  <conditionalFormatting sqref="X92">
    <cfRule type="expression" dxfId="12135" priority="5297">
      <formula>AND(IF(OR($Q92=1,$Q92=2),1,0),IF($X92&lt;=20,1,0))</formula>
    </cfRule>
    <cfRule type="expression" dxfId="12134" priority="5298">
      <formula>AND(IF($Q92=2,1,0),IF($X92&lt;30,1,0))</formula>
    </cfRule>
    <cfRule type="expression" dxfId="12133" priority="5299">
      <formula>AND(IF($Q92=3,1,0),IF($X92&lt;30,1,0))</formula>
    </cfRule>
    <cfRule type="expression" dxfId="12132" priority="5300">
      <formula>AND(IF($Q92=3,1,IF($Q92=4,1,0)),IF($F92&lt;=85,1,0))</formula>
    </cfRule>
  </conditionalFormatting>
  <conditionalFormatting sqref="AI92">
    <cfRule type="expression" dxfId="12131" priority="5293">
      <formula>AND(IF(OR($Q92=1,$Q92=2),1,0),IF($X92&lt;=20,1,0))</formula>
    </cfRule>
    <cfRule type="expression" dxfId="12130" priority="5294">
      <formula>AND(IF($Q92=2,1,0),IF($X92&lt;30,1,0))</formula>
    </cfRule>
    <cfRule type="expression" dxfId="12129" priority="5295">
      <formula>AND(IF($Q92=3,1,0),IF($X92&lt;30,1,0))</formula>
    </cfRule>
    <cfRule type="expression" dxfId="12128" priority="5296">
      <formula>AND(IF($Q92=3,1,IF($Q92=4,1,0)),IF($F92&lt;=85,1,0))</formula>
    </cfRule>
  </conditionalFormatting>
  <conditionalFormatting sqref="AV93">
    <cfRule type="expression" dxfId="12127" priority="5291">
      <formula>AV93="X"</formula>
    </cfRule>
    <cfRule type="expression" dxfId="12126" priority="5292">
      <formula>AV93="후보"</formula>
    </cfRule>
  </conditionalFormatting>
  <conditionalFormatting sqref="AC93">
    <cfRule type="cellIs" dxfId="12125" priority="5289" operator="greaterThan">
      <formula>0.9</formula>
    </cfRule>
    <cfRule type="cellIs" dxfId="12124" priority="5290" operator="greaterThan">
      <formula>0.85</formula>
    </cfRule>
  </conditionalFormatting>
  <conditionalFormatting sqref="N93">
    <cfRule type="cellIs" dxfId="12123" priority="5287" operator="greaterThan">
      <formula>0.9</formula>
    </cfRule>
    <cfRule type="cellIs" dxfId="12122" priority="5288" operator="greaterThan">
      <formula>0.85</formula>
    </cfRule>
  </conditionalFormatting>
  <conditionalFormatting sqref="E93">
    <cfRule type="expression" dxfId="12121" priority="5283">
      <formula>AND(IF(OR($Q93=1,$Q93=2),1,0),IF($X93&lt;=20,1,0))</formula>
    </cfRule>
    <cfRule type="expression" dxfId="12120" priority="5284">
      <formula>AND(IF($Q93=2,1,0),IF($X93&lt;30,1,0))</formula>
    </cfRule>
    <cfRule type="expression" dxfId="12119" priority="5285">
      <formula>AND(IF($Q93=3,1,0),IF($X93&lt;30,1,0))</formula>
    </cfRule>
    <cfRule type="expression" dxfId="12118" priority="5286">
      <formula>AND(IF($Q93=3,1,IF($Q93=4,1,0)),IF($F93&lt;=85,1,0))</formula>
    </cfRule>
  </conditionalFormatting>
  <conditionalFormatting sqref="X93">
    <cfRule type="expression" dxfId="12117" priority="5279">
      <formula>AND(IF(OR($Q93=1,$Q93=2),1,0),IF($X93&lt;=20,1,0))</formula>
    </cfRule>
    <cfRule type="expression" dxfId="12116" priority="5280">
      <formula>AND(IF($Q93=2,1,0),IF($X93&lt;30,1,0))</formula>
    </cfRule>
    <cfRule type="expression" dxfId="12115" priority="5281">
      <formula>AND(IF($Q93=3,1,0),IF($X93&lt;30,1,0))</formula>
    </cfRule>
    <cfRule type="expression" dxfId="12114" priority="5282">
      <formula>AND(IF($Q93=3,1,IF($Q93=4,1,0)),IF($F93&lt;=85,1,0))</formula>
    </cfRule>
  </conditionalFormatting>
  <conditionalFormatting sqref="AI93">
    <cfRule type="expression" dxfId="12113" priority="5275">
      <formula>AND(IF(OR($Q93=1,$Q93=2),1,0),IF($X93&lt;=20,1,0))</formula>
    </cfRule>
    <cfRule type="expression" dxfId="12112" priority="5276">
      <formula>AND(IF($Q93=2,1,0),IF($X93&lt;30,1,0))</formula>
    </cfRule>
    <cfRule type="expression" dxfId="12111" priority="5277">
      <formula>AND(IF($Q93=3,1,0),IF($X93&lt;30,1,0))</formula>
    </cfRule>
    <cfRule type="expression" dxfId="12110" priority="5278">
      <formula>AND(IF($Q93=3,1,IF($Q93=4,1,0)),IF($F93&lt;=85,1,0))</formula>
    </cfRule>
  </conditionalFormatting>
  <conditionalFormatting sqref="AV94">
    <cfRule type="expression" dxfId="12109" priority="5273">
      <formula>AV94="X"</formula>
    </cfRule>
    <cfRule type="expression" dxfId="12108" priority="5274">
      <formula>AV94="후보"</formula>
    </cfRule>
  </conditionalFormatting>
  <conditionalFormatting sqref="AC94">
    <cfRule type="cellIs" dxfId="12107" priority="5271" operator="greaterThan">
      <formula>0.9</formula>
    </cfRule>
    <cfRule type="cellIs" dxfId="12106" priority="5272" operator="greaterThan">
      <formula>0.85</formula>
    </cfRule>
  </conditionalFormatting>
  <conditionalFormatting sqref="N94">
    <cfRule type="cellIs" dxfId="12105" priority="5269" operator="greaterThan">
      <formula>0.9</formula>
    </cfRule>
    <cfRule type="cellIs" dxfId="12104" priority="5270" operator="greaterThan">
      <formula>0.85</formula>
    </cfRule>
  </conditionalFormatting>
  <conditionalFormatting sqref="E94">
    <cfRule type="expression" dxfId="12103" priority="5265">
      <formula>AND(IF(OR($Q94=1,$Q94=2),1,0),IF($X94&lt;=20,1,0))</formula>
    </cfRule>
    <cfRule type="expression" dxfId="12102" priority="5266">
      <formula>AND(IF($Q94=2,1,0),IF($X94&lt;30,1,0))</formula>
    </cfRule>
    <cfRule type="expression" dxfId="12101" priority="5267">
      <formula>AND(IF($Q94=3,1,0),IF($X94&lt;30,1,0))</formula>
    </cfRule>
    <cfRule type="expression" dxfId="12100" priority="5268">
      <formula>AND(IF($Q94=3,1,IF($Q94=4,1,0)),IF($F94&lt;=85,1,0))</formula>
    </cfRule>
  </conditionalFormatting>
  <conditionalFormatting sqref="X94">
    <cfRule type="expression" dxfId="12099" priority="5261">
      <formula>AND(IF(OR($Q94=1,$Q94=2),1,0),IF($X94&lt;=20,1,0))</formula>
    </cfRule>
    <cfRule type="expression" dxfId="12098" priority="5262">
      <formula>AND(IF($Q94=2,1,0),IF($X94&lt;30,1,0))</formula>
    </cfRule>
    <cfRule type="expression" dxfId="12097" priority="5263">
      <formula>AND(IF($Q94=3,1,0),IF($X94&lt;30,1,0))</formula>
    </cfRule>
    <cfRule type="expression" dxfId="12096" priority="5264">
      <formula>AND(IF($Q94=3,1,IF($Q94=4,1,0)),IF($F94&lt;=85,1,0))</formula>
    </cfRule>
  </conditionalFormatting>
  <conditionalFormatting sqref="AI94">
    <cfRule type="expression" dxfId="12095" priority="5257">
      <formula>AND(IF(OR($Q94=1,$Q94=2),1,0),IF($X94&lt;=20,1,0))</formula>
    </cfRule>
    <cfRule type="expression" dxfId="12094" priority="5258">
      <formula>AND(IF($Q94=2,1,0),IF($X94&lt;30,1,0))</formula>
    </cfRule>
    <cfRule type="expression" dxfId="12093" priority="5259">
      <formula>AND(IF($Q94=3,1,0),IF($X94&lt;30,1,0))</formula>
    </cfRule>
    <cfRule type="expression" dxfId="12092" priority="5260">
      <formula>AND(IF($Q94=3,1,IF($Q94=4,1,0)),IF($F94&lt;=85,1,0))</formula>
    </cfRule>
  </conditionalFormatting>
  <conditionalFormatting sqref="AV95">
    <cfRule type="expression" dxfId="12091" priority="5255">
      <formula>AV95="X"</formula>
    </cfRule>
    <cfRule type="expression" dxfId="12090" priority="5256">
      <formula>AV95="후보"</formula>
    </cfRule>
  </conditionalFormatting>
  <conditionalFormatting sqref="AC95">
    <cfRule type="cellIs" dxfId="12089" priority="5253" operator="greaterThan">
      <formula>0.9</formula>
    </cfRule>
    <cfRule type="cellIs" dxfId="12088" priority="5254" operator="greaterThan">
      <formula>0.85</formula>
    </cfRule>
  </conditionalFormatting>
  <conditionalFormatting sqref="N95">
    <cfRule type="cellIs" dxfId="12087" priority="5251" operator="greaterThan">
      <formula>0.9</formula>
    </cfRule>
    <cfRule type="cellIs" dxfId="12086" priority="5252" operator="greaterThan">
      <formula>0.85</formula>
    </cfRule>
  </conditionalFormatting>
  <conditionalFormatting sqref="E95">
    <cfRule type="expression" dxfId="12085" priority="5247">
      <formula>AND(IF(OR($Q95=1,$Q95=2),1,0),IF($X95&lt;=20,1,0))</formula>
    </cfRule>
    <cfRule type="expression" dxfId="12084" priority="5248">
      <formula>AND(IF($Q95=2,1,0),IF($X95&lt;30,1,0))</formula>
    </cfRule>
    <cfRule type="expression" dxfId="12083" priority="5249">
      <formula>AND(IF($Q95=3,1,0),IF($X95&lt;30,1,0))</formula>
    </cfRule>
    <cfRule type="expression" dxfId="12082" priority="5250">
      <formula>AND(IF($Q95=3,1,IF($Q95=4,1,0)),IF($F95&lt;=85,1,0))</formula>
    </cfRule>
  </conditionalFormatting>
  <conditionalFormatting sqref="X95">
    <cfRule type="expression" dxfId="12081" priority="5243">
      <formula>AND(IF(OR($Q95=1,$Q95=2),1,0),IF($X95&lt;=20,1,0))</formula>
    </cfRule>
    <cfRule type="expression" dxfId="12080" priority="5244">
      <formula>AND(IF($Q95=2,1,0),IF($X95&lt;30,1,0))</formula>
    </cfRule>
    <cfRule type="expression" dxfId="12079" priority="5245">
      <formula>AND(IF($Q95=3,1,0),IF($X95&lt;30,1,0))</formula>
    </cfRule>
    <cfRule type="expression" dxfId="12078" priority="5246">
      <formula>AND(IF($Q95=3,1,IF($Q95=4,1,0)),IF($F95&lt;=85,1,0))</formula>
    </cfRule>
  </conditionalFormatting>
  <conditionalFormatting sqref="AI95">
    <cfRule type="expression" dxfId="12077" priority="5239">
      <formula>AND(IF(OR($Q95=1,$Q95=2),1,0),IF($X95&lt;=20,1,0))</formula>
    </cfRule>
    <cfRule type="expression" dxfId="12076" priority="5240">
      <formula>AND(IF($Q95=2,1,0),IF($X95&lt;30,1,0))</formula>
    </cfRule>
    <cfRule type="expression" dxfId="12075" priority="5241">
      <formula>AND(IF($Q95=3,1,0),IF($X95&lt;30,1,0))</formula>
    </cfRule>
    <cfRule type="expression" dxfId="12074" priority="5242">
      <formula>AND(IF($Q95=3,1,IF($Q95=4,1,0)),IF($F95&lt;=85,1,0))</formula>
    </cfRule>
  </conditionalFormatting>
  <conditionalFormatting sqref="AV96">
    <cfRule type="expression" dxfId="12073" priority="5237">
      <formula>AV96="X"</formula>
    </cfRule>
    <cfRule type="expression" dxfId="12072" priority="5238">
      <formula>AV96="후보"</formula>
    </cfRule>
  </conditionalFormatting>
  <conditionalFormatting sqref="AC96">
    <cfRule type="cellIs" dxfId="12071" priority="5235" operator="greaterThan">
      <formula>0.9</formula>
    </cfRule>
    <cfRule type="cellIs" dxfId="12070" priority="5236" operator="greaterThan">
      <formula>0.85</formula>
    </cfRule>
  </conditionalFormatting>
  <conditionalFormatting sqref="N96">
    <cfRule type="cellIs" dxfId="12069" priority="5233" operator="greaterThan">
      <formula>0.9</formula>
    </cfRule>
    <cfRule type="cellIs" dxfId="12068" priority="5234" operator="greaterThan">
      <formula>0.85</formula>
    </cfRule>
  </conditionalFormatting>
  <conditionalFormatting sqref="E96">
    <cfRule type="expression" dxfId="12067" priority="5229">
      <formula>AND(IF(OR($Q96=1,$Q96=2),1,0),IF($X96&lt;=20,1,0))</formula>
    </cfRule>
    <cfRule type="expression" dxfId="12066" priority="5230">
      <formula>AND(IF($Q96=2,1,0),IF($X96&lt;30,1,0))</formula>
    </cfRule>
    <cfRule type="expression" dxfId="12065" priority="5231">
      <formula>AND(IF($Q96=3,1,0),IF($X96&lt;30,1,0))</formula>
    </cfRule>
    <cfRule type="expression" dxfId="12064" priority="5232">
      <formula>AND(IF($Q96=3,1,IF($Q96=4,1,0)),IF($F96&lt;=85,1,0))</formula>
    </cfRule>
  </conditionalFormatting>
  <conditionalFormatting sqref="X96">
    <cfRule type="expression" dxfId="12063" priority="5225">
      <formula>AND(IF(OR($Q96=1,$Q96=2),1,0),IF($X96&lt;=20,1,0))</formula>
    </cfRule>
    <cfRule type="expression" dxfId="12062" priority="5226">
      <formula>AND(IF($Q96=2,1,0),IF($X96&lt;30,1,0))</formula>
    </cfRule>
    <cfRule type="expression" dxfId="12061" priority="5227">
      <formula>AND(IF($Q96=3,1,0),IF($X96&lt;30,1,0))</formula>
    </cfRule>
    <cfRule type="expression" dxfId="12060" priority="5228">
      <formula>AND(IF($Q96=3,1,IF($Q96=4,1,0)),IF($F96&lt;=85,1,0))</formula>
    </cfRule>
  </conditionalFormatting>
  <conditionalFormatting sqref="AI96">
    <cfRule type="expression" dxfId="12059" priority="5221">
      <formula>AND(IF(OR($Q96=1,$Q96=2),1,0),IF($X96&lt;=20,1,0))</formula>
    </cfRule>
    <cfRule type="expression" dxfId="12058" priority="5222">
      <formula>AND(IF($Q96=2,1,0),IF($X96&lt;30,1,0))</formula>
    </cfRule>
    <cfRule type="expression" dxfId="12057" priority="5223">
      <formula>AND(IF($Q96=3,1,0),IF($X96&lt;30,1,0))</formula>
    </cfRule>
    <cfRule type="expression" dxfId="12056" priority="5224">
      <formula>AND(IF($Q96=3,1,IF($Q96=4,1,0)),IF($F96&lt;=85,1,0))</formula>
    </cfRule>
  </conditionalFormatting>
  <conditionalFormatting sqref="AV97">
    <cfRule type="expression" dxfId="12055" priority="5219">
      <formula>AV97="X"</formula>
    </cfRule>
    <cfRule type="expression" dxfId="12054" priority="5220">
      <formula>AV97="후보"</formula>
    </cfRule>
  </conditionalFormatting>
  <conditionalFormatting sqref="AC97">
    <cfRule type="cellIs" dxfId="12053" priority="5217" operator="greaterThan">
      <formula>0.9</formula>
    </cfRule>
    <cfRule type="cellIs" dxfId="12052" priority="5218" operator="greaterThan">
      <formula>0.85</formula>
    </cfRule>
  </conditionalFormatting>
  <conditionalFormatting sqref="N97">
    <cfRule type="cellIs" dxfId="12051" priority="5215" operator="greaterThan">
      <formula>0.9</formula>
    </cfRule>
    <cfRule type="cellIs" dxfId="12050" priority="5216" operator="greaterThan">
      <formula>0.85</formula>
    </cfRule>
  </conditionalFormatting>
  <conditionalFormatting sqref="E97">
    <cfRule type="expression" dxfId="12049" priority="5211">
      <formula>AND(IF(OR($Q97=1,$Q97=2),1,0),IF($X97&lt;=20,1,0))</formula>
    </cfRule>
    <cfRule type="expression" dxfId="12048" priority="5212">
      <formula>AND(IF($Q97=2,1,0),IF($X97&lt;30,1,0))</formula>
    </cfRule>
    <cfRule type="expression" dxfId="12047" priority="5213">
      <formula>AND(IF($Q97=3,1,0),IF($X97&lt;30,1,0))</formula>
    </cfRule>
    <cfRule type="expression" dxfId="12046" priority="5214">
      <formula>AND(IF($Q97=3,1,IF($Q97=4,1,0)),IF($F97&lt;=85,1,0))</formula>
    </cfRule>
  </conditionalFormatting>
  <conditionalFormatting sqref="X97">
    <cfRule type="expression" dxfId="12045" priority="5207">
      <formula>AND(IF(OR($Q97=1,$Q97=2),1,0),IF($X97&lt;=20,1,0))</formula>
    </cfRule>
    <cfRule type="expression" dxfId="12044" priority="5208">
      <formula>AND(IF($Q97=2,1,0),IF($X97&lt;30,1,0))</formula>
    </cfRule>
    <cfRule type="expression" dxfId="12043" priority="5209">
      <formula>AND(IF($Q97=3,1,0),IF($X97&lt;30,1,0))</formula>
    </cfRule>
    <cfRule type="expression" dxfId="12042" priority="5210">
      <formula>AND(IF($Q97=3,1,IF($Q97=4,1,0)),IF($F97&lt;=85,1,0))</formula>
    </cfRule>
  </conditionalFormatting>
  <conditionalFormatting sqref="AI97">
    <cfRule type="expression" dxfId="12041" priority="5203">
      <formula>AND(IF(OR($Q97=1,$Q97=2),1,0),IF($X97&lt;=20,1,0))</formula>
    </cfRule>
    <cfRule type="expression" dxfId="12040" priority="5204">
      <formula>AND(IF($Q97=2,1,0),IF($X97&lt;30,1,0))</formula>
    </cfRule>
    <cfRule type="expression" dxfId="12039" priority="5205">
      <formula>AND(IF($Q97=3,1,0),IF($X97&lt;30,1,0))</formula>
    </cfRule>
    <cfRule type="expression" dxfId="12038" priority="5206">
      <formula>AND(IF($Q97=3,1,IF($Q97=4,1,0)),IF($F97&lt;=85,1,0))</formula>
    </cfRule>
  </conditionalFormatting>
  <conditionalFormatting sqref="AV98">
    <cfRule type="expression" dxfId="12037" priority="5201">
      <formula>AV98="X"</formula>
    </cfRule>
    <cfRule type="expression" dxfId="12036" priority="5202">
      <formula>AV98="후보"</formula>
    </cfRule>
  </conditionalFormatting>
  <conditionalFormatting sqref="AC98">
    <cfRule type="cellIs" dxfId="12035" priority="5199" operator="greaterThan">
      <formula>0.9</formula>
    </cfRule>
    <cfRule type="cellIs" dxfId="12034" priority="5200" operator="greaterThan">
      <formula>0.85</formula>
    </cfRule>
  </conditionalFormatting>
  <conditionalFormatting sqref="N98">
    <cfRule type="cellIs" dxfId="12033" priority="5197" operator="greaterThan">
      <formula>0.9</formula>
    </cfRule>
    <cfRule type="cellIs" dxfId="12032" priority="5198" operator="greaterThan">
      <formula>0.85</formula>
    </cfRule>
  </conditionalFormatting>
  <conditionalFormatting sqref="E98">
    <cfRule type="expression" dxfId="12031" priority="5193">
      <formula>AND(IF(OR($Q98=1,$Q98=2),1,0),IF($X98&lt;=20,1,0))</formula>
    </cfRule>
    <cfRule type="expression" dxfId="12030" priority="5194">
      <formula>AND(IF($Q98=2,1,0),IF($X98&lt;30,1,0))</formula>
    </cfRule>
    <cfRule type="expression" dxfId="12029" priority="5195">
      <formula>AND(IF($Q98=3,1,0),IF($X98&lt;30,1,0))</formula>
    </cfRule>
    <cfRule type="expression" dxfId="12028" priority="5196">
      <formula>AND(IF($Q98=3,1,IF($Q98=4,1,0)),IF($F98&lt;=85,1,0))</formula>
    </cfRule>
  </conditionalFormatting>
  <conditionalFormatting sqref="X98">
    <cfRule type="expression" dxfId="12027" priority="5189">
      <formula>AND(IF(OR($Q98=1,$Q98=2),1,0),IF($X98&lt;=20,1,0))</formula>
    </cfRule>
    <cfRule type="expression" dxfId="12026" priority="5190">
      <formula>AND(IF($Q98=2,1,0),IF($X98&lt;30,1,0))</formula>
    </cfRule>
    <cfRule type="expression" dxfId="12025" priority="5191">
      <formula>AND(IF($Q98=3,1,0),IF($X98&lt;30,1,0))</formula>
    </cfRule>
    <cfRule type="expression" dxfId="12024" priority="5192">
      <formula>AND(IF($Q98=3,1,IF($Q98=4,1,0)),IF($F98&lt;=85,1,0))</formula>
    </cfRule>
  </conditionalFormatting>
  <conditionalFormatting sqref="AI98">
    <cfRule type="expression" dxfId="12023" priority="5185">
      <formula>AND(IF(OR($Q98=1,$Q98=2),1,0),IF($X98&lt;=20,1,0))</formula>
    </cfRule>
    <cfRule type="expression" dxfId="12022" priority="5186">
      <formula>AND(IF($Q98=2,1,0),IF($X98&lt;30,1,0))</formula>
    </cfRule>
    <cfRule type="expression" dxfId="12021" priority="5187">
      <formula>AND(IF($Q98=3,1,0),IF($X98&lt;30,1,0))</formula>
    </cfRule>
    <cfRule type="expression" dxfId="12020" priority="5188">
      <formula>AND(IF($Q98=3,1,IF($Q98=4,1,0)),IF($F98&lt;=85,1,0))</formula>
    </cfRule>
  </conditionalFormatting>
  <conditionalFormatting sqref="AV99">
    <cfRule type="expression" dxfId="12019" priority="5183">
      <formula>AV99="X"</formula>
    </cfRule>
    <cfRule type="expression" dxfId="12018" priority="5184">
      <formula>AV99="후보"</formula>
    </cfRule>
  </conditionalFormatting>
  <conditionalFormatting sqref="AC99">
    <cfRule type="cellIs" dxfId="12017" priority="5181" operator="greaterThan">
      <formula>0.9</formula>
    </cfRule>
    <cfRule type="cellIs" dxfId="12016" priority="5182" operator="greaterThan">
      <formula>0.85</formula>
    </cfRule>
  </conditionalFormatting>
  <conditionalFormatting sqref="N99">
    <cfRule type="cellIs" dxfId="12015" priority="5179" operator="greaterThan">
      <formula>0.9</formula>
    </cfRule>
    <cfRule type="cellIs" dxfId="12014" priority="5180" operator="greaterThan">
      <formula>0.85</formula>
    </cfRule>
  </conditionalFormatting>
  <conditionalFormatting sqref="E99">
    <cfRule type="expression" dxfId="12013" priority="5175">
      <formula>AND(IF(OR($Q99=1,$Q99=2),1,0),IF($X99&lt;=20,1,0))</formula>
    </cfRule>
    <cfRule type="expression" dxfId="12012" priority="5176">
      <formula>AND(IF($Q99=2,1,0),IF($X99&lt;30,1,0))</formula>
    </cfRule>
    <cfRule type="expression" dxfId="12011" priority="5177">
      <formula>AND(IF($Q99=3,1,0),IF($X99&lt;30,1,0))</formula>
    </cfRule>
    <cfRule type="expression" dxfId="12010" priority="5178">
      <formula>AND(IF($Q99=3,1,IF($Q99=4,1,0)),IF($F99&lt;=85,1,0))</formula>
    </cfRule>
  </conditionalFormatting>
  <conditionalFormatting sqref="X99">
    <cfRule type="expression" dxfId="12009" priority="5171">
      <formula>AND(IF(OR($Q99=1,$Q99=2),1,0),IF($X99&lt;=20,1,0))</formula>
    </cfRule>
    <cfRule type="expression" dxfId="12008" priority="5172">
      <formula>AND(IF($Q99=2,1,0),IF($X99&lt;30,1,0))</formula>
    </cfRule>
    <cfRule type="expression" dxfId="12007" priority="5173">
      <formula>AND(IF($Q99=3,1,0),IF($X99&lt;30,1,0))</formula>
    </cfRule>
    <cfRule type="expression" dxfId="12006" priority="5174">
      <formula>AND(IF($Q99=3,1,IF($Q99=4,1,0)),IF($F99&lt;=85,1,0))</formula>
    </cfRule>
  </conditionalFormatting>
  <conditionalFormatting sqref="AI99">
    <cfRule type="expression" dxfId="12005" priority="5167">
      <formula>AND(IF(OR($Q99=1,$Q99=2),1,0),IF($X99&lt;=20,1,0))</formula>
    </cfRule>
    <cfRule type="expression" dxfId="12004" priority="5168">
      <formula>AND(IF($Q99=2,1,0),IF($X99&lt;30,1,0))</formula>
    </cfRule>
    <cfRule type="expression" dxfId="12003" priority="5169">
      <formula>AND(IF($Q99=3,1,0),IF($X99&lt;30,1,0))</formula>
    </cfRule>
    <cfRule type="expression" dxfId="12002" priority="5170">
      <formula>AND(IF($Q99=3,1,IF($Q99=4,1,0)),IF($F99&lt;=85,1,0))</formula>
    </cfRule>
  </conditionalFormatting>
  <conditionalFormatting sqref="AV100">
    <cfRule type="expression" dxfId="12001" priority="5165">
      <formula>AV100="X"</formula>
    </cfRule>
    <cfRule type="expression" dxfId="12000" priority="5166">
      <formula>AV100="후보"</formula>
    </cfRule>
  </conditionalFormatting>
  <conditionalFormatting sqref="AC100">
    <cfRule type="cellIs" dxfId="11999" priority="5163" operator="greaterThan">
      <formula>0.9</formula>
    </cfRule>
    <cfRule type="cellIs" dxfId="11998" priority="5164" operator="greaterThan">
      <formula>0.85</formula>
    </cfRule>
  </conditionalFormatting>
  <conditionalFormatting sqref="N100">
    <cfRule type="cellIs" dxfId="11997" priority="5161" operator="greaterThan">
      <formula>0.9</formula>
    </cfRule>
    <cfRule type="cellIs" dxfId="11996" priority="5162" operator="greaterThan">
      <formula>0.85</formula>
    </cfRule>
  </conditionalFormatting>
  <conditionalFormatting sqref="E100">
    <cfRule type="expression" dxfId="11995" priority="5157">
      <formula>AND(IF(OR($Q100=1,$Q100=2),1,0),IF($X100&lt;=20,1,0))</formula>
    </cfRule>
    <cfRule type="expression" dxfId="11994" priority="5158">
      <formula>AND(IF($Q100=2,1,0),IF($X100&lt;30,1,0))</formula>
    </cfRule>
    <cfRule type="expression" dxfId="11993" priority="5159">
      <formula>AND(IF($Q100=3,1,0),IF($X100&lt;30,1,0))</formula>
    </cfRule>
    <cfRule type="expression" dxfId="11992" priority="5160">
      <formula>AND(IF($Q100=3,1,IF($Q100=4,1,0)),IF($F100&lt;=85,1,0))</formula>
    </cfRule>
  </conditionalFormatting>
  <conditionalFormatting sqref="X100">
    <cfRule type="expression" dxfId="11991" priority="5153">
      <formula>AND(IF(OR($Q100=1,$Q100=2),1,0),IF($X100&lt;=20,1,0))</formula>
    </cfRule>
    <cfRule type="expression" dxfId="11990" priority="5154">
      <formula>AND(IF($Q100=2,1,0),IF($X100&lt;30,1,0))</formula>
    </cfRule>
    <cfRule type="expression" dxfId="11989" priority="5155">
      <formula>AND(IF($Q100=3,1,0),IF($X100&lt;30,1,0))</formula>
    </cfRule>
    <cfRule type="expression" dxfId="11988" priority="5156">
      <formula>AND(IF($Q100=3,1,IF($Q100=4,1,0)),IF($F100&lt;=85,1,0))</formula>
    </cfRule>
  </conditionalFormatting>
  <conditionalFormatting sqref="AI100">
    <cfRule type="expression" dxfId="11987" priority="5149">
      <formula>AND(IF(OR($Q100=1,$Q100=2),1,0),IF($X100&lt;=20,1,0))</formula>
    </cfRule>
    <cfRule type="expression" dxfId="11986" priority="5150">
      <formula>AND(IF($Q100=2,1,0),IF($X100&lt;30,1,0))</formula>
    </cfRule>
    <cfRule type="expression" dxfId="11985" priority="5151">
      <formula>AND(IF($Q100=3,1,0),IF($X100&lt;30,1,0))</formula>
    </cfRule>
    <cfRule type="expression" dxfId="11984" priority="5152">
      <formula>AND(IF($Q100=3,1,IF($Q100=4,1,0)),IF($F100&lt;=85,1,0))</formula>
    </cfRule>
  </conditionalFormatting>
  <conditionalFormatting sqref="AV101">
    <cfRule type="expression" dxfId="11983" priority="5147">
      <formula>AV101="X"</formula>
    </cfRule>
    <cfRule type="expression" dxfId="11982" priority="5148">
      <formula>AV101="후보"</formula>
    </cfRule>
  </conditionalFormatting>
  <conditionalFormatting sqref="AC101">
    <cfRule type="cellIs" dxfId="11981" priority="5145" operator="greaterThan">
      <formula>0.9</formula>
    </cfRule>
    <cfRule type="cellIs" dxfId="11980" priority="5146" operator="greaterThan">
      <formula>0.85</formula>
    </cfRule>
  </conditionalFormatting>
  <conditionalFormatting sqref="N101">
    <cfRule type="cellIs" dxfId="11979" priority="5143" operator="greaterThan">
      <formula>0.9</formula>
    </cfRule>
    <cfRule type="cellIs" dxfId="11978" priority="5144" operator="greaterThan">
      <formula>0.85</formula>
    </cfRule>
  </conditionalFormatting>
  <conditionalFormatting sqref="E101">
    <cfRule type="expression" dxfId="11977" priority="5139">
      <formula>AND(IF(OR($Q101=1,$Q101=2),1,0),IF($X101&lt;=20,1,0))</formula>
    </cfRule>
    <cfRule type="expression" dxfId="11976" priority="5140">
      <formula>AND(IF($Q101=2,1,0),IF($X101&lt;30,1,0))</formula>
    </cfRule>
    <cfRule type="expression" dxfId="11975" priority="5141">
      <formula>AND(IF($Q101=3,1,0),IF($X101&lt;30,1,0))</formula>
    </cfRule>
    <cfRule type="expression" dxfId="11974" priority="5142">
      <formula>AND(IF($Q101=3,1,IF($Q101=4,1,0)),IF($F101&lt;=85,1,0))</formula>
    </cfRule>
  </conditionalFormatting>
  <conditionalFormatting sqref="X101">
    <cfRule type="expression" dxfId="11973" priority="5135">
      <formula>AND(IF(OR($Q101=1,$Q101=2),1,0),IF($X101&lt;=20,1,0))</formula>
    </cfRule>
    <cfRule type="expression" dxfId="11972" priority="5136">
      <formula>AND(IF($Q101=2,1,0),IF($X101&lt;30,1,0))</formula>
    </cfRule>
    <cfRule type="expression" dxfId="11971" priority="5137">
      <formula>AND(IF($Q101=3,1,0),IF($X101&lt;30,1,0))</formula>
    </cfRule>
    <cfRule type="expression" dxfId="11970" priority="5138">
      <formula>AND(IF($Q101=3,1,IF($Q101=4,1,0)),IF($F101&lt;=85,1,0))</formula>
    </cfRule>
  </conditionalFormatting>
  <conditionalFormatting sqref="AI101">
    <cfRule type="expression" dxfId="11969" priority="5131">
      <formula>AND(IF(OR($Q101=1,$Q101=2),1,0),IF($X101&lt;=20,1,0))</formula>
    </cfRule>
    <cfRule type="expression" dxfId="11968" priority="5132">
      <formula>AND(IF($Q101=2,1,0),IF($X101&lt;30,1,0))</formula>
    </cfRule>
    <cfRule type="expression" dxfId="11967" priority="5133">
      <formula>AND(IF($Q101=3,1,0),IF($X101&lt;30,1,0))</formula>
    </cfRule>
    <cfRule type="expression" dxfId="11966" priority="5134">
      <formula>AND(IF($Q101=3,1,IF($Q101=4,1,0)),IF($F101&lt;=85,1,0))</formula>
    </cfRule>
  </conditionalFormatting>
  <conditionalFormatting sqref="AV102">
    <cfRule type="expression" dxfId="11965" priority="5129">
      <formula>AV102="X"</formula>
    </cfRule>
    <cfRule type="expression" dxfId="11964" priority="5130">
      <formula>AV102="후보"</formula>
    </cfRule>
  </conditionalFormatting>
  <conditionalFormatting sqref="AC102">
    <cfRule type="cellIs" dxfId="11963" priority="5127" operator="greaterThan">
      <formula>0.9</formula>
    </cfRule>
    <cfRule type="cellIs" dxfId="11962" priority="5128" operator="greaterThan">
      <formula>0.85</formula>
    </cfRule>
  </conditionalFormatting>
  <conditionalFormatting sqref="N102">
    <cfRule type="cellIs" dxfId="11961" priority="5125" operator="greaterThan">
      <formula>0.9</formula>
    </cfRule>
    <cfRule type="cellIs" dxfId="11960" priority="5126" operator="greaterThan">
      <formula>0.85</formula>
    </cfRule>
  </conditionalFormatting>
  <conditionalFormatting sqref="E102">
    <cfRule type="expression" dxfId="11959" priority="5121">
      <formula>AND(IF(OR($Q102=1,$Q102=2),1,0),IF($X102&lt;=20,1,0))</formula>
    </cfRule>
    <cfRule type="expression" dxfId="11958" priority="5122">
      <formula>AND(IF($Q102=2,1,0),IF($X102&lt;30,1,0))</formula>
    </cfRule>
    <cfRule type="expression" dxfId="11957" priority="5123">
      <formula>AND(IF($Q102=3,1,0),IF($X102&lt;30,1,0))</formula>
    </cfRule>
    <cfRule type="expression" dxfId="11956" priority="5124">
      <formula>AND(IF($Q102=3,1,IF($Q102=4,1,0)),IF($F102&lt;=85,1,0))</formula>
    </cfRule>
  </conditionalFormatting>
  <conditionalFormatting sqref="X102">
    <cfRule type="expression" dxfId="11955" priority="5117">
      <formula>AND(IF(OR($Q102=1,$Q102=2),1,0),IF($X102&lt;=20,1,0))</formula>
    </cfRule>
    <cfRule type="expression" dxfId="11954" priority="5118">
      <formula>AND(IF($Q102=2,1,0),IF($X102&lt;30,1,0))</formula>
    </cfRule>
    <cfRule type="expression" dxfId="11953" priority="5119">
      <formula>AND(IF($Q102=3,1,0),IF($X102&lt;30,1,0))</formula>
    </cfRule>
    <cfRule type="expression" dxfId="11952" priority="5120">
      <formula>AND(IF($Q102=3,1,IF($Q102=4,1,0)),IF($F102&lt;=85,1,0))</formula>
    </cfRule>
  </conditionalFormatting>
  <conditionalFormatting sqref="AI102">
    <cfRule type="expression" dxfId="11951" priority="5113">
      <formula>AND(IF(OR($Q102=1,$Q102=2),1,0),IF($X102&lt;=20,1,0))</formula>
    </cfRule>
    <cfRule type="expression" dxfId="11950" priority="5114">
      <formula>AND(IF($Q102=2,1,0),IF($X102&lt;30,1,0))</formula>
    </cfRule>
    <cfRule type="expression" dxfId="11949" priority="5115">
      <formula>AND(IF($Q102=3,1,0),IF($X102&lt;30,1,0))</formula>
    </cfRule>
    <cfRule type="expression" dxfId="11948" priority="5116">
      <formula>AND(IF($Q102=3,1,IF($Q102=4,1,0)),IF($F102&lt;=85,1,0))</formula>
    </cfRule>
  </conditionalFormatting>
  <conditionalFormatting sqref="AV103">
    <cfRule type="expression" dxfId="11947" priority="5111">
      <formula>AV103="X"</formula>
    </cfRule>
    <cfRule type="expression" dxfId="11946" priority="5112">
      <formula>AV103="후보"</formula>
    </cfRule>
  </conditionalFormatting>
  <conditionalFormatting sqref="AC103">
    <cfRule type="cellIs" dxfId="11945" priority="5109" operator="greaterThan">
      <formula>0.9</formula>
    </cfRule>
    <cfRule type="cellIs" dxfId="11944" priority="5110" operator="greaterThan">
      <formula>0.85</formula>
    </cfRule>
  </conditionalFormatting>
  <conditionalFormatting sqref="N103">
    <cfRule type="cellIs" dxfId="11943" priority="5107" operator="greaterThan">
      <formula>0.9</formula>
    </cfRule>
    <cfRule type="cellIs" dxfId="11942" priority="5108" operator="greaterThan">
      <formula>0.85</formula>
    </cfRule>
  </conditionalFormatting>
  <conditionalFormatting sqref="E103">
    <cfRule type="expression" dxfId="11941" priority="5103">
      <formula>AND(IF(OR($Q103=1,$Q103=2),1,0),IF($X103&lt;=20,1,0))</formula>
    </cfRule>
    <cfRule type="expression" dxfId="11940" priority="5104">
      <formula>AND(IF($Q103=2,1,0),IF($X103&lt;30,1,0))</formula>
    </cfRule>
    <cfRule type="expression" dxfId="11939" priority="5105">
      <formula>AND(IF($Q103=3,1,0),IF($X103&lt;30,1,0))</formula>
    </cfRule>
    <cfRule type="expression" dxfId="11938" priority="5106">
      <formula>AND(IF($Q103=3,1,IF($Q103=4,1,0)),IF($F103&lt;=85,1,0))</formula>
    </cfRule>
  </conditionalFormatting>
  <conditionalFormatting sqref="X103">
    <cfRule type="expression" dxfId="11937" priority="5099">
      <formula>AND(IF(OR($Q103=1,$Q103=2),1,0),IF($X103&lt;=20,1,0))</formula>
    </cfRule>
    <cfRule type="expression" dxfId="11936" priority="5100">
      <formula>AND(IF($Q103=2,1,0),IF($X103&lt;30,1,0))</formula>
    </cfRule>
    <cfRule type="expression" dxfId="11935" priority="5101">
      <formula>AND(IF($Q103=3,1,0),IF($X103&lt;30,1,0))</formula>
    </cfRule>
    <cfRule type="expression" dxfId="11934" priority="5102">
      <formula>AND(IF($Q103=3,1,IF($Q103=4,1,0)),IF($F103&lt;=85,1,0))</formula>
    </cfRule>
  </conditionalFormatting>
  <conditionalFormatting sqref="AI103">
    <cfRule type="expression" dxfId="11933" priority="5095">
      <formula>AND(IF(OR($Q103=1,$Q103=2),1,0),IF($X103&lt;=20,1,0))</formula>
    </cfRule>
    <cfRule type="expression" dxfId="11932" priority="5096">
      <formula>AND(IF($Q103=2,1,0),IF($X103&lt;30,1,0))</formula>
    </cfRule>
    <cfRule type="expression" dxfId="11931" priority="5097">
      <formula>AND(IF($Q103=3,1,0),IF($X103&lt;30,1,0))</formula>
    </cfRule>
    <cfRule type="expression" dxfId="11930" priority="5098">
      <formula>AND(IF($Q103=3,1,IF($Q103=4,1,0)),IF($F103&lt;=85,1,0))</formula>
    </cfRule>
  </conditionalFormatting>
  <conditionalFormatting sqref="AV104">
    <cfRule type="expression" dxfId="11929" priority="5093">
      <formula>AV104="X"</formula>
    </cfRule>
    <cfRule type="expression" dxfId="11928" priority="5094">
      <formula>AV104="후보"</formula>
    </cfRule>
  </conditionalFormatting>
  <conditionalFormatting sqref="AC104">
    <cfRule type="cellIs" dxfId="11927" priority="5091" operator="greaterThan">
      <formula>0.9</formula>
    </cfRule>
    <cfRule type="cellIs" dxfId="11926" priority="5092" operator="greaterThan">
      <formula>0.85</formula>
    </cfRule>
  </conditionalFormatting>
  <conditionalFormatting sqref="N104">
    <cfRule type="cellIs" dxfId="11925" priority="5089" operator="greaterThan">
      <formula>0.9</formula>
    </cfRule>
    <cfRule type="cellIs" dxfId="11924" priority="5090" operator="greaterThan">
      <formula>0.85</formula>
    </cfRule>
  </conditionalFormatting>
  <conditionalFormatting sqref="E104">
    <cfRule type="expression" dxfId="11923" priority="5085">
      <formula>AND(IF(OR($Q104=1,$Q104=2),1,0),IF($X104&lt;=20,1,0))</formula>
    </cfRule>
    <cfRule type="expression" dxfId="11922" priority="5086">
      <formula>AND(IF($Q104=2,1,0),IF($X104&lt;30,1,0))</formula>
    </cfRule>
    <cfRule type="expression" dxfId="11921" priority="5087">
      <formula>AND(IF($Q104=3,1,0),IF($X104&lt;30,1,0))</formula>
    </cfRule>
    <cfRule type="expression" dxfId="11920" priority="5088">
      <formula>AND(IF($Q104=3,1,IF($Q104=4,1,0)),IF($F104&lt;=85,1,0))</formula>
    </cfRule>
  </conditionalFormatting>
  <conditionalFormatting sqref="X104">
    <cfRule type="expression" dxfId="11919" priority="5081">
      <formula>AND(IF(OR($Q104=1,$Q104=2),1,0),IF($X104&lt;=20,1,0))</formula>
    </cfRule>
    <cfRule type="expression" dxfId="11918" priority="5082">
      <formula>AND(IF($Q104=2,1,0),IF($X104&lt;30,1,0))</formula>
    </cfRule>
    <cfRule type="expression" dxfId="11917" priority="5083">
      <formula>AND(IF($Q104=3,1,0),IF($X104&lt;30,1,0))</formula>
    </cfRule>
    <cfRule type="expression" dxfId="11916" priority="5084">
      <formula>AND(IF($Q104=3,1,IF($Q104=4,1,0)),IF($F104&lt;=85,1,0))</formula>
    </cfRule>
  </conditionalFormatting>
  <conditionalFormatting sqref="AI104">
    <cfRule type="expression" dxfId="11915" priority="5077">
      <formula>AND(IF(OR($Q104=1,$Q104=2),1,0),IF($X104&lt;=20,1,0))</formula>
    </cfRule>
    <cfRule type="expression" dxfId="11914" priority="5078">
      <formula>AND(IF($Q104=2,1,0),IF($X104&lt;30,1,0))</formula>
    </cfRule>
    <cfRule type="expression" dxfId="11913" priority="5079">
      <formula>AND(IF($Q104=3,1,0),IF($X104&lt;30,1,0))</formula>
    </cfRule>
    <cfRule type="expression" dxfId="11912" priority="5080">
      <formula>AND(IF($Q104=3,1,IF($Q104=4,1,0)),IF($F104&lt;=85,1,0))</formula>
    </cfRule>
  </conditionalFormatting>
  <conditionalFormatting sqref="AV105">
    <cfRule type="expression" dxfId="11911" priority="5075">
      <formula>AV105="X"</formula>
    </cfRule>
    <cfRule type="expression" dxfId="11910" priority="5076">
      <formula>AV105="후보"</formula>
    </cfRule>
  </conditionalFormatting>
  <conditionalFormatting sqref="AC105">
    <cfRule type="cellIs" dxfId="11909" priority="5073" operator="greaterThan">
      <formula>0.9</formula>
    </cfRule>
    <cfRule type="cellIs" dxfId="11908" priority="5074" operator="greaterThan">
      <formula>0.85</formula>
    </cfRule>
  </conditionalFormatting>
  <conditionalFormatting sqref="N105">
    <cfRule type="cellIs" dxfId="11907" priority="5071" operator="greaterThan">
      <formula>0.9</formula>
    </cfRule>
    <cfRule type="cellIs" dxfId="11906" priority="5072" operator="greaterThan">
      <formula>0.85</formula>
    </cfRule>
  </conditionalFormatting>
  <conditionalFormatting sqref="E105">
    <cfRule type="expression" dxfId="11905" priority="5067">
      <formula>AND(IF(OR($Q105=1,$Q105=2),1,0),IF($X105&lt;=20,1,0))</formula>
    </cfRule>
    <cfRule type="expression" dxfId="11904" priority="5068">
      <formula>AND(IF($Q105=2,1,0),IF($X105&lt;30,1,0))</formula>
    </cfRule>
    <cfRule type="expression" dxfId="11903" priority="5069">
      <formula>AND(IF($Q105=3,1,0),IF($X105&lt;30,1,0))</formula>
    </cfRule>
    <cfRule type="expression" dxfId="11902" priority="5070">
      <formula>AND(IF($Q105=3,1,IF($Q105=4,1,0)),IF($F105&lt;=85,1,0))</formula>
    </cfRule>
  </conditionalFormatting>
  <conditionalFormatting sqref="X105">
    <cfRule type="expression" dxfId="11901" priority="5063">
      <formula>AND(IF(OR($Q105=1,$Q105=2),1,0),IF($X105&lt;=20,1,0))</formula>
    </cfRule>
    <cfRule type="expression" dxfId="11900" priority="5064">
      <formula>AND(IF($Q105=2,1,0),IF($X105&lt;30,1,0))</formula>
    </cfRule>
    <cfRule type="expression" dxfId="11899" priority="5065">
      <formula>AND(IF($Q105=3,1,0),IF($X105&lt;30,1,0))</formula>
    </cfRule>
    <cfRule type="expression" dxfId="11898" priority="5066">
      <formula>AND(IF($Q105=3,1,IF($Q105=4,1,0)),IF($F105&lt;=85,1,0))</formula>
    </cfRule>
  </conditionalFormatting>
  <conditionalFormatting sqref="AI105">
    <cfRule type="expression" dxfId="11897" priority="5059">
      <formula>AND(IF(OR($Q105=1,$Q105=2),1,0),IF($X105&lt;=20,1,0))</formula>
    </cfRule>
    <cfRule type="expression" dxfId="11896" priority="5060">
      <formula>AND(IF($Q105=2,1,0),IF($X105&lt;30,1,0))</formula>
    </cfRule>
    <cfRule type="expression" dxfId="11895" priority="5061">
      <formula>AND(IF($Q105=3,1,0),IF($X105&lt;30,1,0))</formula>
    </cfRule>
    <cfRule type="expression" dxfId="11894" priority="5062">
      <formula>AND(IF($Q105=3,1,IF($Q105=4,1,0)),IF($F105&lt;=85,1,0))</formula>
    </cfRule>
  </conditionalFormatting>
  <conditionalFormatting sqref="AV106">
    <cfRule type="expression" dxfId="11893" priority="5057">
      <formula>AV106="X"</formula>
    </cfRule>
    <cfRule type="expression" dxfId="11892" priority="5058">
      <formula>AV106="후보"</formula>
    </cfRule>
  </conditionalFormatting>
  <conditionalFormatting sqref="AC106">
    <cfRule type="cellIs" dxfId="11891" priority="5055" operator="greaterThan">
      <formula>0.9</formula>
    </cfRule>
    <cfRule type="cellIs" dxfId="11890" priority="5056" operator="greaterThan">
      <formula>0.85</formula>
    </cfRule>
  </conditionalFormatting>
  <conditionalFormatting sqref="N106">
    <cfRule type="cellIs" dxfId="11889" priority="5053" operator="greaterThan">
      <formula>0.9</formula>
    </cfRule>
    <cfRule type="cellIs" dxfId="11888" priority="5054" operator="greaterThan">
      <formula>0.85</formula>
    </cfRule>
  </conditionalFormatting>
  <conditionalFormatting sqref="E106">
    <cfRule type="expression" dxfId="11887" priority="5049">
      <formula>AND(IF(OR($Q106=1,$Q106=2),1,0),IF($X106&lt;=20,1,0))</formula>
    </cfRule>
    <cfRule type="expression" dxfId="11886" priority="5050">
      <formula>AND(IF($Q106=2,1,0),IF($X106&lt;30,1,0))</formula>
    </cfRule>
    <cfRule type="expression" dxfId="11885" priority="5051">
      <formula>AND(IF($Q106=3,1,0),IF($X106&lt;30,1,0))</formula>
    </cfRule>
    <cfRule type="expression" dxfId="11884" priority="5052">
      <formula>AND(IF($Q106=3,1,IF($Q106=4,1,0)),IF($F106&lt;=85,1,0))</formula>
    </cfRule>
  </conditionalFormatting>
  <conditionalFormatting sqref="X106">
    <cfRule type="expression" dxfId="11883" priority="5045">
      <formula>AND(IF(OR($Q106=1,$Q106=2),1,0),IF($X106&lt;=20,1,0))</formula>
    </cfRule>
    <cfRule type="expression" dxfId="11882" priority="5046">
      <formula>AND(IF($Q106=2,1,0),IF($X106&lt;30,1,0))</formula>
    </cfRule>
    <cfRule type="expression" dxfId="11881" priority="5047">
      <formula>AND(IF($Q106=3,1,0),IF($X106&lt;30,1,0))</formula>
    </cfRule>
    <cfRule type="expression" dxfId="11880" priority="5048">
      <formula>AND(IF($Q106=3,1,IF($Q106=4,1,0)),IF($F106&lt;=85,1,0))</formula>
    </cfRule>
  </conditionalFormatting>
  <conditionalFormatting sqref="AI106">
    <cfRule type="expression" dxfId="11879" priority="5041">
      <formula>AND(IF(OR($Q106=1,$Q106=2),1,0),IF($X106&lt;=20,1,0))</formula>
    </cfRule>
    <cfRule type="expression" dxfId="11878" priority="5042">
      <formula>AND(IF($Q106=2,1,0),IF($X106&lt;30,1,0))</formula>
    </cfRule>
    <cfRule type="expression" dxfId="11877" priority="5043">
      <formula>AND(IF($Q106=3,1,0),IF($X106&lt;30,1,0))</formula>
    </cfRule>
    <cfRule type="expression" dxfId="11876" priority="5044">
      <formula>AND(IF($Q106=3,1,IF($Q106=4,1,0)),IF($F106&lt;=85,1,0))</formula>
    </cfRule>
  </conditionalFormatting>
  <conditionalFormatting sqref="AV107">
    <cfRule type="expression" dxfId="11875" priority="5039">
      <formula>AV107="X"</formula>
    </cfRule>
    <cfRule type="expression" dxfId="11874" priority="5040">
      <formula>AV107="후보"</formula>
    </cfRule>
  </conditionalFormatting>
  <conditionalFormatting sqref="AC107">
    <cfRule type="cellIs" dxfId="11873" priority="5037" operator="greaterThan">
      <formula>0.9</formula>
    </cfRule>
    <cfRule type="cellIs" dxfId="11872" priority="5038" operator="greaterThan">
      <formula>0.85</formula>
    </cfRule>
  </conditionalFormatting>
  <conditionalFormatting sqref="N107">
    <cfRule type="cellIs" dxfId="11871" priority="5035" operator="greaterThan">
      <formula>0.9</formula>
    </cfRule>
    <cfRule type="cellIs" dxfId="11870" priority="5036" operator="greaterThan">
      <formula>0.85</formula>
    </cfRule>
  </conditionalFormatting>
  <conditionalFormatting sqref="E107">
    <cfRule type="expression" dxfId="11869" priority="5031">
      <formula>AND(IF(OR($Q107=1,$Q107=2),1,0),IF($X107&lt;=20,1,0))</formula>
    </cfRule>
    <cfRule type="expression" dxfId="11868" priority="5032">
      <formula>AND(IF($Q107=2,1,0),IF($X107&lt;30,1,0))</formula>
    </cfRule>
    <cfRule type="expression" dxfId="11867" priority="5033">
      <formula>AND(IF($Q107=3,1,0),IF($X107&lt;30,1,0))</formula>
    </cfRule>
    <cfRule type="expression" dxfId="11866" priority="5034">
      <formula>AND(IF($Q107=3,1,IF($Q107=4,1,0)),IF($F107&lt;=85,1,0))</formula>
    </cfRule>
  </conditionalFormatting>
  <conditionalFormatting sqref="X107">
    <cfRule type="expression" dxfId="11865" priority="5027">
      <formula>AND(IF(OR($Q107=1,$Q107=2),1,0),IF($X107&lt;=20,1,0))</formula>
    </cfRule>
    <cfRule type="expression" dxfId="11864" priority="5028">
      <formula>AND(IF($Q107=2,1,0),IF($X107&lt;30,1,0))</formula>
    </cfRule>
    <cfRule type="expression" dxfId="11863" priority="5029">
      <formula>AND(IF($Q107=3,1,0),IF($X107&lt;30,1,0))</formula>
    </cfRule>
    <cfRule type="expression" dxfId="11862" priority="5030">
      <formula>AND(IF($Q107=3,1,IF($Q107=4,1,0)),IF($F107&lt;=85,1,0))</formula>
    </cfRule>
  </conditionalFormatting>
  <conditionalFormatting sqref="AI107">
    <cfRule type="expression" dxfId="11861" priority="5023">
      <formula>AND(IF(OR($Q107=1,$Q107=2),1,0),IF($X107&lt;=20,1,0))</formula>
    </cfRule>
    <cfRule type="expression" dxfId="11860" priority="5024">
      <formula>AND(IF($Q107=2,1,0),IF($X107&lt;30,1,0))</formula>
    </cfRule>
    <cfRule type="expression" dxfId="11859" priority="5025">
      <formula>AND(IF($Q107=3,1,0),IF($X107&lt;30,1,0))</formula>
    </cfRule>
    <cfRule type="expression" dxfId="11858" priority="5026">
      <formula>AND(IF($Q107=3,1,IF($Q107=4,1,0)),IF($F107&lt;=85,1,0))</formula>
    </cfRule>
  </conditionalFormatting>
  <conditionalFormatting sqref="AV108">
    <cfRule type="expression" dxfId="11857" priority="5021">
      <formula>AV108="X"</formula>
    </cfRule>
    <cfRule type="expression" dxfId="11856" priority="5022">
      <formula>AV108="후보"</formula>
    </cfRule>
  </conditionalFormatting>
  <conditionalFormatting sqref="AC108">
    <cfRule type="cellIs" dxfId="11855" priority="5019" operator="greaterThan">
      <formula>0.9</formula>
    </cfRule>
    <cfRule type="cellIs" dxfId="11854" priority="5020" operator="greaterThan">
      <formula>0.85</formula>
    </cfRule>
  </conditionalFormatting>
  <conditionalFormatting sqref="N108">
    <cfRule type="cellIs" dxfId="11853" priority="5017" operator="greaterThan">
      <formula>0.9</formula>
    </cfRule>
    <cfRule type="cellIs" dxfId="11852" priority="5018" operator="greaterThan">
      <formula>0.85</formula>
    </cfRule>
  </conditionalFormatting>
  <conditionalFormatting sqref="E108">
    <cfRule type="expression" dxfId="11851" priority="5013">
      <formula>AND(IF(OR($Q108=1,$Q108=2),1,0),IF($X108&lt;=20,1,0))</formula>
    </cfRule>
    <cfRule type="expression" dxfId="11850" priority="5014">
      <formula>AND(IF($Q108=2,1,0),IF($X108&lt;30,1,0))</formula>
    </cfRule>
    <cfRule type="expression" dxfId="11849" priority="5015">
      <formula>AND(IF($Q108=3,1,0),IF($X108&lt;30,1,0))</formula>
    </cfRule>
    <cfRule type="expression" dxfId="11848" priority="5016">
      <formula>AND(IF($Q108=3,1,IF($Q108=4,1,0)),IF($F108&lt;=85,1,0))</formula>
    </cfRule>
  </conditionalFormatting>
  <conditionalFormatting sqref="X108">
    <cfRule type="expression" dxfId="11847" priority="5009">
      <formula>AND(IF(OR($Q108=1,$Q108=2),1,0),IF($X108&lt;=20,1,0))</formula>
    </cfRule>
    <cfRule type="expression" dxfId="11846" priority="5010">
      <formula>AND(IF($Q108=2,1,0),IF($X108&lt;30,1,0))</formula>
    </cfRule>
    <cfRule type="expression" dxfId="11845" priority="5011">
      <formula>AND(IF($Q108=3,1,0),IF($X108&lt;30,1,0))</formula>
    </cfRule>
    <cfRule type="expression" dxfId="11844" priority="5012">
      <formula>AND(IF($Q108=3,1,IF($Q108=4,1,0)),IF($F108&lt;=85,1,0))</formula>
    </cfRule>
  </conditionalFormatting>
  <conditionalFormatting sqref="AI108">
    <cfRule type="expression" dxfId="11843" priority="5005">
      <formula>AND(IF(OR($Q108=1,$Q108=2),1,0),IF($X108&lt;=20,1,0))</formula>
    </cfRule>
    <cfRule type="expression" dxfId="11842" priority="5006">
      <formula>AND(IF($Q108=2,1,0),IF($X108&lt;30,1,0))</formula>
    </cfRule>
    <cfRule type="expression" dxfId="11841" priority="5007">
      <formula>AND(IF($Q108=3,1,0),IF($X108&lt;30,1,0))</formula>
    </cfRule>
    <cfRule type="expression" dxfId="11840" priority="5008">
      <formula>AND(IF($Q108=3,1,IF($Q108=4,1,0)),IF($F108&lt;=85,1,0))</formula>
    </cfRule>
  </conditionalFormatting>
  <conditionalFormatting sqref="AV109">
    <cfRule type="expression" dxfId="11839" priority="5003">
      <formula>AV109="X"</formula>
    </cfRule>
    <cfRule type="expression" dxfId="11838" priority="5004">
      <formula>AV109="후보"</formula>
    </cfRule>
  </conditionalFormatting>
  <conditionalFormatting sqref="AC109">
    <cfRule type="cellIs" dxfId="11837" priority="5001" operator="greaterThan">
      <formula>0.9</formula>
    </cfRule>
    <cfRule type="cellIs" dxfId="11836" priority="5002" operator="greaterThan">
      <formula>0.85</formula>
    </cfRule>
  </conditionalFormatting>
  <conditionalFormatting sqref="N109">
    <cfRule type="cellIs" dxfId="11835" priority="4999" operator="greaterThan">
      <formula>0.9</formula>
    </cfRule>
    <cfRule type="cellIs" dxfId="11834" priority="5000" operator="greaterThan">
      <formula>0.85</formula>
    </cfRule>
  </conditionalFormatting>
  <conditionalFormatting sqref="E109">
    <cfRule type="expression" dxfId="11833" priority="4995">
      <formula>AND(IF(OR($Q109=1,$Q109=2),1,0),IF($X109&lt;=20,1,0))</formula>
    </cfRule>
    <cfRule type="expression" dxfId="11832" priority="4996">
      <formula>AND(IF($Q109=2,1,0),IF($X109&lt;30,1,0))</formula>
    </cfRule>
    <cfRule type="expression" dxfId="11831" priority="4997">
      <formula>AND(IF($Q109=3,1,0),IF($X109&lt;30,1,0))</formula>
    </cfRule>
    <cfRule type="expression" dxfId="11830" priority="4998">
      <formula>AND(IF($Q109=3,1,IF($Q109=4,1,0)),IF($F109&lt;=85,1,0))</formula>
    </cfRule>
  </conditionalFormatting>
  <conditionalFormatting sqref="X109">
    <cfRule type="expression" dxfId="11829" priority="4991">
      <formula>AND(IF(OR($Q109=1,$Q109=2),1,0),IF($X109&lt;=20,1,0))</formula>
    </cfRule>
    <cfRule type="expression" dxfId="11828" priority="4992">
      <formula>AND(IF($Q109=2,1,0),IF($X109&lt;30,1,0))</formula>
    </cfRule>
    <cfRule type="expression" dxfId="11827" priority="4993">
      <formula>AND(IF($Q109=3,1,0),IF($X109&lt;30,1,0))</formula>
    </cfRule>
    <cfRule type="expression" dxfId="11826" priority="4994">
      <formula>AND(IF($Q109=3,1,IF($Q109=4,1,0)),IF($F109&lt;=85,1,0))</formula>
    </cfRule>
  </conditionalFormatting>
  <conditionalFormatting sqref="AI109">
    <cfRule type="expression" dxfId="11825" priority="4987">
      <formula>AND(IF(OR($Q109=1,$Q109=2),1,0),IF($X109&lt;=20,1,0))</formula>
    </cfRule>
    <cfRule type="expression" dxfId="11824" priority="4988">
      <formula>AND(IF($Q109=2,1,0),IF($X109&lt;30,1,0))</formula>
    </cfRule>
    <cfRule type="expression" dxfId="11823" priority="4989">
      <formula>AND(IF($Q109=3,1,0),IF($X109&lt;30,1,0))</formula>
    </cfRule>
    <cfRule type="expression" dxfId="11822" priority="4990">
      <formula>AND(IF($Q109=3,1,IF($Q109=4,1,0)),IF($F109&lt;=85,1,0))</formula>
    </cfRule>
  </conditionalFormatting>
  <conditionalFormatting sqref="AV110">
    <cfRule type="expression" dxfId="11821" priority="4985">
      <formula>AV110="X"</formula>
    </cfRule>
    <cfRule type="expression" dxfId="11820" priority="4986">
      <formula>AV110="후보"</formula>
    </cfRule>
  </conditionalFormatting>
  <conditionalFormatting sqref="AC110">
    <cfRule type="cellIs" dxfId="11819" priority="4983" operator="greaterThan">
      <formula>0.9</formula>
    </cfRule>
    <cfRule type="cellIs" dxfId="11818" priority="4984" operator="greaterThan">
      <formula>0.85</formula>
    </cfRule>
  </conditionalFormatting>
  <conditionalFormatting sqref="N110">
    <cfRule type="cellIs" dxfId="11817" priority="4981" operator="greaterThan">
      <formula>0.9</formula>
    </cfRule>
    <cfRule type="cellIs" dxfId="11816" priority="4982" operator="greaterThan">
      <formula>0.85</formula>
    </cfRule>
  </conditionalFormatting>
  <conditionalFormatting sqref="E110">
    <cfRule type="expression" dxfId="11815" priority="4977">
      <formula>AND(IF(OR($Q110=1,$Q110=2),1,0),IF($X110&lt;=20,1,0))</formula>
    </cfRule>
    <cfRule type="expression" dxfId="11814" priority="4978">
      <formula>AND(IF($Q110=2,1,0),IF($X110&lt;30,1,0))</formula>
    </cfRule>
    <cfRule type="expression" dxfId="11813" priority="4979">
      <formula>AND(IF($Q110=3,1,0),IF($X110&lt;30,1,0))</formula>
    </cfRule>
    <cfRule type="expression" dxfId="11812" priority="4980">
      <formula>AND(IF($Q110=3,1,IF($Q110=4,1,0)),IF($F110&lt;=85,1,0))</formula>
    </cfRule>
  </conditionalFormatting>
  <conditionalFormatting sqref="X110">
    <cfRule type="expression" dxfId="11811" priority="4973">
      <formula>AND(IF(OR($Q110=1,$Q110=2),1,0),IF($X110&lt;=20,1,0))</formula>
    </cfRule>
    <cfRule type="expression" dxfId="11810" priority="4974">
      <formula>AND(IF($Q110=2,1,0),IF($X110&lt;30,1,0))</formula>
    </cfRule>
    <cfRule type="expression" dxfId="11809" priority="4975">
      <formula>AND(IF($Q110=3,1,0),IF($X110&lt;30,1,0))</formula>
    </cfRule>
    <cfRule type="expression" dxfId="11808" priority="4976">
      <formula>AND(IF($Q110=3,1,IF($Q110=4,1,0)),IF($F110&lt;=85,1,0))</formula>
    </cfRule>
  </conditionalFormatting>
  <conditionalFormatting sqref="AI110">
    <cfRule type="expression" dxfId="11807" priority="4969">
      <formula>AND(IF(OR($Q110=1,$Q110=2),1,0),IF($X110&lt;=20,1,0))</formula>
    </cfRule>
    <cfRule type="expression" dxfId="11806" priority="4970">
      <formula>AND(IF($Q110=2,1,0),IF($X110&lt;30,1,0))</formula>
    </cfRule>
    <cfRule type="expression" dxfId="11805" priority="4971">
      <formula>AND(IF($Q110=3,1,0),IF($X110&lt;30,1,0))</formula>
    </cfRule>
    <cfRule type="expression" dxfId="11804" priority="4972">
      <formula>AND(IF($Q110=3,1,IF($Q110=4,1,0)),IF($F110&lt;=85,1,0))</formula>
    </cfRule>
  </conditionalFormatting>
  <conditionalFormatting sqref="AV111">
    <cfRule type="expression" dxfId="11803" priority="4967">
      <formula>AV111="X"</formula>
    </cfRule>
    <cfRule type="expression" dxfId="11802" priority="4968">
      <formula>AV111="후보"</formula>
    </cfRule>
  </conditionalFormatting>
  <conditionalFormatting sqref="AC111">
    <cfRule type="cellIs" dxfId="11801" priority="4965" operator="greaterThan">
      <formula>0.9</formula>
    </cfRule>
    <cfRule type="cellIs" dxfId="11800" priority="4966" operator="greaterThan">
      <formula>0.85</formula>
    </cfRule>
  </conditionalFormatting>
  <conditionalFormatting sqref="N111">
    <cfRule type="cellIs" dxfId="11799" priority="4963" operator="greaterThan">
      <formula>0.9</formula>
    </cfRule>
    <cfRule type="cellIs" dxfId="11798" priority="4964" operator="greaterThan">
      <formula>0.85</formula>
    </cfRule>
  </conditionalFormatting>
  <conditionalFormatting sqref="E111">
    <cfRule type="expression" dxfId="11797" priority="4959">
      <formula>AND(IF(OR($Q111=1,$Q111=2),1,0),IF($X111&lt;=20,1,0))</formula>
    </cfRule>
    <cfRule type="expression" dxfId="11796" priority="4960">
      <formula>AND(IF($Q111=2,1,0),IF($X111&lt;30,1,0))</formula>
    </cfRule>
    <cfRule type="expression" dxfId="11795" priority="4961">
      <formula>AND(IF($Q111=3,1,0),IF($X111&lt;30,1,0))</formula>
    </cfRule>
    <cfRule type="expression" dxfId="11794" priority="4962">
      <formula>AND(IF($Q111=3,1,IF($Q111=4,1,0)),IF($F111&lt;=85,1,0))</formula>
    </cfRule>
  </conditionalFormatting>
  <conditionalFormatting sqref="X111">
    <cfRule type="expression" dxfId="11793" priority="4955">
      <formula>AND(IF(OR($Q111=1,$Q111=2),1,0),IF($X111&lt;=20,1,0))</formula>
    </cfRule>
    <cfRule type="expression" dxfId="11792" priority="4956">
      <formula>AND(IF($Q111=2,1,0),IF($X111&lt;30,1,0))</formula>
    </cfRule>
    <cfRule type="expression" dxfId="11791" priority="4957">
      <formula>AND(IF($Q111=3,1,0),IF($X111&lt;30,1,0))</formula>
    </cfRule>
    <cfRule type="expression" dxfId="11790" priority="4958">
      <formula>AND(IF($Q111=3,1,IF($Q111=4,1,0)),IF($F111&lt;=85,1,0))</formula>
    </cfRule>
  </conditionalFormatting>
  <conditionalFormatting sqref="AI111">
    <cfRule type="expression" dxfId="11789" priority="4951">
      <formula>AND(IF(OR($Q111=1,$Q111=2),1,0),IF($X111&lt;=20,1,0))</formula>
    </cfRule>
    <cfRule type="expression" dxfId="11788" priority="4952">
      <formula>AND(IF($Q111=2,1,0),IF($X111&lt;30,1,0))</formula>
    </cfRule>
    <cfRule type="expression" dxfId="11787" priority="4953">
      <formula>AND(IF($Q111=3,1,0),IF($X111&lt;30,1,0))</formula>
    </cfRule>
    <cfRule type="expression" dxfId="11786" priority="4954">
      <formula>AND(IF($Q111=3,1,IF($Q111=4,1,0)),IF($F111&lt;=85,1,0))</formula>
    </cfRule>
  </conditionalFormatting>
  <conditionalFormatting sqref="AV112">
    <cfRule type="expression" dxfId="11785" priority="4949">
      <formula>AV112="X"</formula>
    </cfRule>
    <cfRule type="expression" dxfId="11784" priority="4950">
      <formula>AV112="후보"</formula>
    </cfRule>
  </conditionalFormatting>
  <conditionalFormatting sqref="AC112">
    <cfRule type="cellIs" dxfId="11783" priority="4947" operator="greaterThan">
      <formula>0.9</formula>
    </cfRule>
    <cfRule type="cellIs" dxfId="11782" priority="4948" operator="greaterThan">
      <formula>0.85</formula>
    </cfRule>
  </conditionalFormatting>
  <conditionalFormatting sqref="N112">
    <cfRule type="cellIs" dxfId="11781" priority="4945" operator="greaterThan">
      <formula>0.9</formula>
    </cfRule>
    <cfRule type="cellIs" dxfId="11780" priority="4946" operator="greaterThan">
      <formula>0.85</formula>
    </cfRule>
  </conditionalFormatting>
  <conditionalFormatting sqref="E112">
    <cfRule type="expression" dxfId="11779" priority="4941">
      <formula>AND(IF(OR($Q112=1,$Q112=2),1,0),IF($X112&lt;=20,1,0))</formula>
    </cfRule>
    <cfRule type="expression" dxfId="11778" priority="4942">
      <formula>AND(IF($Q112=2,1,0),IF($X112&lt;30,1,0))</formula>
    </cfRule>
    <cfRule type="expression" dxfId="11777" priority="4943">
      <formula>AND(IF($Q112=3,1,0),IF($X112&lt;30,1,0))</formula>
    </cfRule>
    <cfRule type="expression" dxfId="11776" priority="4944">
      <formula>AND(IF($Q112=3,1,IF($Q112=4,1,0)),IF($F112&lt;=85,1,0))</formula>
    </cfRule>
  </conditionalFormatting>
  <conditionalFormatting sqref="X112">
    <cfRule type="expression" dxfId="11775" priority="4937">
      <formula>AND(IF(OR($Q112=1,$Q112=2),1,0),IF($X112&lt;=20,1,0))</formula>
    </cfRule>
    <cfRule type="expression" dxfId="11774" priority="4938">
      <formula>AND(IF($Q112=2,1,0),IF($X112&lt;30,1,0))</formula>
    </cfRule>
    <cfRule type="expression" dxfId="11773" priority="4939">
      <formula>AND(IF($Q112=3,1,0),IF($X112&lt;30,1,0))</formula>
    </cfRule>
    <cfRule type="expression" dxfId="11772" priority="4940">
      <formula>AND(IF($Q112=3,1,IF($Q112=4,1,0)),IF($F112&lt;=85,1,0))</formula>
    </cfRule>
  </conditionalFormatting>
  <conditionalFormatting sqref="AI112">
    <cfRule type="expression" dxfId="11771" priority="4933">
      <formula>AND(IF(OR($Q112=1,$Q112=2),1,0),IF($X112&lt;=20,1,0))</formula>
    </cfRule>
    <cfRule type="expression" dxfId="11770" priority="4934">
      <formula>AND(IF($Q112=2,1,0),IF($X112&lt;30,1,0))</formula>
    </cfRule>
    <cfRule type="expression" dxfId="11769" priority="4935">
      <formula>AND(IF($Q112=3,1,0),IF($X112&lt;30,1,0))</formula>
    </cfRule>
    <cfRule type="expression" dxfId="11768" priority="4936">
      <formula>AND(IF($Q112=3,1,IF($Q112=4,1,0)),IF($F112&lt;=85,1,0))</formula>
    </cfRule>
  </conditionalFormatting>
  <conditionalFormatting sqref="AV113">
    <cfRule type="expression" dxfId="11767" priority="4931">
      <formula>AV113="X"</formula>
    </cfRule>
    <cfRule type="expression" dxfId="11766" priority="4932">
      <formula>AV113="후보"</formula>
    </cfRule>
  </conditionalFormatting>
  <conditionalFormatting sqref="AC113">
    <cfRule type="cellIs" dxfId="11765" priority="4929" operator="greaterThan">
      <formula>0.9</formula>
    </cfRule>
    <cfRule type="cellIs" dxfId="11764" priority="4930" operator="greaterThan">
      <formula>0.85</formula>
    </cfRule>
  </conditionalFormatting>
  <conditionalFormatting sqref="N113">
    <cfRule type="cellIs" dxfId="11763" priority="4927" operator="greaterThan">
      <formula>0.9</formula>
    </cfRule>
    <cfRule type="cellIs" dxfId="11762" priority="4928" operator="greaterThan">
      <formula>0.85</formula>
    </cfRule>
  </conditionalFormatting>
  <conditionalFormatting sqref="E113">
    <cfRule type="expression" dxfId="11761" priority="4923">
      <formula>AND(IF(OR($Q113=1,$Q113=2),1,0),IF($X113&lt;=20,1,0))</formula>
    </cfRule>
    <cfRule type="expression" dxfId="11760" priority="4924">
      <formula>AND(IF($Q113=2,1,0),IF($X113&lt;30,1,0))</formula>
    </cfRule>
    <cfRule type="expression" dxfId="11759" priority="4925">
      <formula>AND(IF($Q113=3,1,0),IF($X113&lt;30,1,0))</formula>
    </cfRule>
    <cfRule type="expression" dxfId="11758" priority="4926">
      <formula>AND(IF($Q113=3,1,IF($Q113=4,1,0)),IF($F113&lt;=85,1,0))</formula>
    </cfRule>
  </conditionalFormatting>
  <conditionalFormatting sqref="X113">
    <cfRule type="expression" dxfId="11757" priority="4919">
      <formula>AND(IF(OR($Q113=1,$Q113=2),1,0),IF($X113&lt;=20,1,0))</formula>
    </cfRule>
    <cfRule type="expression" dxfId="11756" priority="4920">
      <formula>AND(IF($Q113=2,1,0),IF($X113&lt;30,1,0))</formula>
    </cfRule>
    <cfRule type="expression" dxfId="11755" priority="4921">
      <formula>AND(IF($Q113=3,1,0),IF($X113&lt;30,1,0))</formula>
    </cfRule>
    <cfRule type="expression" dxfId="11754" priority="4922">
      <formula>AND(IF($Q113=3,1,IF($Q113=4,1,0)),IF($F113&lt;=85,1,0))</formula>
    </cfRule>
  </conditionalFormatting>
  <conditionalFormatting sqref="AI113">
    <cfRule type="expression" dxfId="11753" priority="4915">
      <formula>AND(IF(OR($Q113=1,$Q113=2),1,0),IF($X113&lt;=20,1,0))</formula>
    </cfRule>
    <cfRule type="expression" dxfId="11752" priority="4916">
      <formula>AND(IF($Q113=2,1,0),IF($X113&lt;30,1,0))</formula>
    </cfRule>
    <cfRule type="expression" dxfId="11751" priority="4917">
      <formula>AND(IF($Q113=3,1,0),IF($X113&lt;30,1,0))</formula>
    </cfRule>
    <cfRule type="expression" dxfId="11750" priority="4918">
      <formula>AND(IF($Q113=3,1,IF($Q113=4,1,0)),IF($F113&lt;=85,1,0))</formula>
    </cfRule>
  </conditionalFormatting>
  <conditionalFormatting sqref="AV114">
    <cfRule type="expression" dxfId="11749" priority="4913">
      <formula>AV114="X"</formula>
    </cfRule>
    <cfRule type="expression" dxfId="11748" priority="4914">
      <formula>AV114="후보"</formula>
    </cfRule>
  </conditionalFormatting>
  <conditionalFormatting sqref="AC114">
    <cfRule type="cellIs" dxfId="11747" priority="4911" operator="greaterThan">
      <formula>0.9</formula>
    </cfRule>
    <cfRule type="cellIs" dxfId="11746" priority="4912" operator="greaterThan">
      <formula>0.85</formula>
    </cfRule>
  </conditionalFormatting>
  <conditionalFormatting sqref="N114">
    <cfRule type="cellIs" dxfId="11745" priority="4909" operator="greaterThan">
      <formula>0.9</formula>
    </cfRule>
    <cfRule type="cellIs" dxfId="11744" priority="4910" operator="greaterThan">
      <formula>0.85</formula>
    </cfRule>
  </conditionalFormatting>
  <conditionalFormatting sqref="E114">
    <cfRule type="expression" dxfId="11743" priority="4905">
      <formula>AND(IF(OR($Q114=1,$Q114=2),1,0),IF($X114&lt;=20,1,0))</formula>
    </cfRule>
    <cfRule type="expression" dxfId="11742" priority="4906">
      <formula>AND(IF($Q114=2,1,0),IF($X114&lt;30,1,0))</formula>
    </cfRule>
    <cfRule type="expression" dxfId="11741" priority="4907">
      <formula>AND(IF($Q114=3,1,0),IF($X114&lt;30,1,0))</formula>
    </cfRule>
    <cfRule type="expression" dxfId="11740" priority="4908">
      <formula>AND(IF($Q114=3,1,IF($Q114=4,1,0)),IF($F114&lt;=85,1,0))</formula>
    </cfRule>
  </conditionalFormatting>
  <conditionalFormatting sqref="X114">
    <cfRule type="expression" dxfId="11739" priority="4901">
      <formula>AND(IF(OR($Q114=1,$Q114=2),1,0),IF($X114&lt;=20,1,0))</formula>
    </cfRule>
    <cfRule type="expression" dxfId="11738" priority="4902">
      <formula>AND(IF($Q114=2,1,0),IF($X114&lt;30,1,0))</formula>
    </cfRule>
    <cfRule type="expression" dxfId="11737" priority="4903">
      <formula>AND(IF($Q114=3,1,0),IF($X114&lt;30,1,0))</formula>
    </cfRule>
    <cfRule type="expression" dxfId="11736" priority="4904">
      <formula>AND(IF($Q114=3,1,IF($Q114=4,1,0)),IF($F114&lt;=85,1,0))</formula>
    </cfRule>
  </conditionalFormatting>
  <conditionalFormatting sqref="AI114">
    <cfRule type="expression" dxfId="11735" priority="4897">
      <formula>AND(IF(OR($Q114=1,$Q114=2),1,0),IF($X114&lt;=20,1,0))</formula>
    </cfRule>
    <cfRule type="expression" dxfId="11734" priority="4898">
      <formula>AND(IF($Q114=2,1,0),IF($X114&lt;30,1,0))</formula>
    </cfRule>
    <cfRule type="expression" dxfId="11733" priority="4899">
      <formula>AND(IF($Q114=3,1,0),IF($X114&lt;30,1,0))</formula>
    </cfRule>
    <cfRule type="expression" dxfId="11732" priority="4900">
      <formula>AND(IF($Q114=3,1,IF($Q114=4,1,0)),IF($F114&lt;=85,1,0))</formula>
    </cfRule>
  </conditionalFormatting>
  <conditionalFormatting sqref="AV115">
    <cfRule type="expression" dxfId="11731" priority="4895">
      <formula>AV115="X"</formula>
    </cfRule>
    <cfRule type="expression" dxfId="11730" priority="4896">
      <formula>AV115="후보"</formula>
    </cfRule>
  </conditionalFormatting>
  <conditionalFormatting sqref="AC115">
    <cfRule type="cellIs" dxfId="11729" priority="4893" operator="greaterThan">
      <formula>0.9</formula>
    </cfRule>
    <cfRule type="cellIs" dxfId="11728" priority="4894" operator="greaterThan">
      <formula>0.85</formula>
    </cfRule>
  </conditionalFormatting>
  <conditionalFormatting sqref="N115">
    <cfRule type="cellIs" dxfId="11727" priority="4891" operator="greaterThan">
      <formula>0.9</formula>
    </cfRule>
    <cfRule type="cellIs" dxfId="11726" priority="4892" operator="greaterThan">
      <formula>0.85</formula>
    </cfRule>
  </conditionalFormatting>
  <conditionalFormatting sqref="E115">
    <cfRule type="expression" dxfId="11725" priority="4887">
      <formula>AND(IF(OR($Q115=1,$Q115=2),1,0),IF($X115&lt;=20,1,0))</formula>
    </cfRule>
    <cfRule type="expression" dxfId="11724" priority="4888">
      <formula>AND(IF($Q115=2,1,0),IF($X115&lt;30,1,0))</formula>
    </cfRule>
    <cfRule type="expression" dxfId="11723" priority="4889">
      <formula>AND(IF($Q115=3,1,0),IF($X115&lt;30,1,0))</formula>
    </cfRule>
    <cfRule type="expression" dxfId="11722" priority="4890">
      <formula>AND(IF($Q115=3,1,IF($Q115=4,1,0)),IF($F115&lt;=85,1,0))</formula>
    </cfRule>
  </conditionalFormatting>
  <conditionalFormatting sqref="X115">
    <cfRule type="expression" dxfId="11721" priority="4883">
      <formula>AND(IF(OR($Q115=1,$Q115=2),1,0),IF($X115&lt;=20,1,0))</formula>
    </cfRule>
    <cfRule type="expression" dxfId="11720" priority="4884">
      <formula>AND(IF($Q115=2,1,0),IF($X115&lt;30,1,0))</formula>
    </cfRule>
    <cfRule type="expression" dxfId="11719" priority="4885">
      <formula>AND(IF($Q115=3,1,0),IF($X115&lt;30,1,0))</formula>
    </cfRule>
    <cfRule type="expression" dxfId="11718" priority="4886">
      <formula>AND(IF($Q115=3,1,IF($Q115=4,1,0)),IF($F115&lt;=85,1,0))</formula>
    </cfRule>
  </conditionalFormatting>
  <conditionalFormatting sqref="AI115">
    <cfRule type="expression" dxfId="11717" priority="4879">
      <formula>AND(IF(OR($Q115=1,$Q115=2),1,0),IF($X115&lt;=20,1,0))</formula>
    </cfRule>
    <cfRule type="expression" dxfId="11716" priority="4880">
      <formula>AND(IF($Q115=2,1,0),IF($X115&lt;30,1,0))</formula>
    </cfRule>
    <cfRule type="expression" dxfId="11715" priority="4881">
      <formula>AND(IF($Q115=3,1,0),IF($X115&lt;30,1,0))</formula>
    </cfRule>
    <cfRule type="expression" dxfId="11714" priority="4882">
      <formula>AND(IF($Q115=3,1,IF($Q115=4,1,0)),IF($F115&lt;=85,1,0))</formula>
    </cfRule>
  </conditionalFormatting>
  <conditionalFormatting sqref="AV116">
    <cfRule type="expression" dxfId="11713" priority="4877">
      <formula>AV116="X"</formula>
    </cfRule>
    <cfRule type="expression" dxfId="11712" priority="4878">
      <formula>AV116="후보"</formula>
    </cfRule>
  </conditionalFormatting>
  <conditionalFormatting sqref="AC116">
    <cfRule type="cellIs" dxfId="11711" priority="4875" operator="greaterThan">
      <formula>0.9</formula>
    </cfRule>
    <cfRule type="cellIs" dxfId="11710" priority="4876" operator="greaterThan">
      <formula>0.85</formula>
    </cfRule>
  </conditionalFormatting>
  <conditionalFormatting sqref="N116">
    <cfRule type="cellIs" dxfId="11709" priority="4873" operator="greaterThan">
      <formula>0.9</formula>
    </cfRule>
    <cfRule type="cellIs" dxfId="11708" priority="4874" operator="greaterThan">
      <formula>0.85</formula>
    </cfRule>
  </conditionalFormatting>
  <conditionalFormatting sqref="E116">
    <cfRule type="expression" dxfId="11707" priority="4869">
      <formula>AND(IF(OR($Q116=1,$Q116=2),1,0),IF($X116&lt;=20,1,0))</formula>
    </cfRule>
    <cfRule type="expression" dxfId="11706" priority="4870">
      <formula>AND(IF($Q116=2,1,0),IF($X116&lt;30,1,0))</formula>
    </cfRule>
    <cfRule type="expression" dxfId="11705" priority="4871">
      <formula>AND(IF($Q116=3,1,0),IF($X116&lt;30,1,0))</formula>
    </cfRule>
    <cfRule type="expression" dxfId="11704" priority="4872">
      <formula>AND(IF($Q116=3,1,IF($Q116=4,1,0)),IF($F116&lt;=85,1,0))</formula>
    </cfRule>
  </conditionalFormatting>
  <conditionalFormatting sqref="X116">
    <cfRule type="expression" dxfId="11703" priority="4865">
      <formula>AND(IF(OR($Q116=1,$Q116=2),1,0),IF($X116&lt;=20,1,0))</formula>
    </cfRule>
    <cfRule type="expression" dxfId="11702" priority="4866">
      <formula>AND(IF($Q116=2,1,0),IF($X116&lt;30,1,0))</formula>
    </cfRule>
    <cfRule type="expression" dxfId="11701" priority="4867">
      <formula>AND(IF($Q116=3,1,0),IF($X116&lt;30,1,0))</formula>
    </cfRule>
    <cfRule type="expression" dxfId="11700" priority="4868">
      <formula>AND(IF($Q116=3,1,IF($Q116=4,1,0)),IF($F116&lt;=85,1,0))</formula>
    </cfRule>
  </conditionalFormatting>
  <conditionalFormatting sqref="AI116">
    <cfRule type="expression" dxfId="11699" priority="4861">
      <formula>AND(IF(OR($Q116=1,$Q116=2),1,0),IF($X116&lt;=20,1,0))</formula>
    </cfRule>
    <cfRule type="expression" dxfId="11698" priority="4862">
      <formula>AND(IF($Q116=2,1,0),IF($X116&lt;30,1,0))</formula>
    </cfRule>
    <cfRule type="expression" dxfId="11697" priority="4863">
      <formula>AND(IF($Q116=3,1,0),IF($X116&lt;30,1,0))</formula>
    </cfRule>
    <cfRule type="expression" dxfId="11696" priority="4864">
      <formula>AND(IF($Q116=3,1,IF($Q116=4,1,0)),IF($F116&lt;=85,1,0))</formula>
    </cfRule>
  </conditionalFormatting>
  <conditionalFormatting sqref="AV117">
    <cfRule type="expression" dxfId="11695" priority="4859">
      <formula>AV117="X"</formula>
    </cfRule>
    <cfRule type="expression" dxfId="11694" priority="4860">
      <formula>AV117="후보"</formula>
    </cfRule>
  </conditionalFormatting>
  <conditionalFormatting sqref="AC117">
    <cfRule type="cellIs" dxfId="11693" priority="4857" operator="greaterThan">
      <formula>0.9</formula>
    </cfRule>
    <cfRule type="cellIs" dxfId="11692" priority="4858" operator="greaterThan">
      <formula>0.85</formula>
    </cfRule>
  </conditionalFormatting>
  <conditionalFormatting sqref="N117">
    <cfRule type="cellIs" dxfId="11691" priority="4855" operator="greaterThan">
      <formula>0.9</formula>
    </cfRule>
    <cfRule type="cellIs" dxfId="11690" priority="4856" operator="greaterThan">
      <formula>0.85</formula>
    </cfRule>
  </conditionalFormatting>
  <conditionalFormatting sqref="E117">
    <cfRule type="expression" dxfId="11689" priority="4851">
      <formula>AND(IF(OR($Q117=1,$Q117=2),1,0),IF($X117&lt;=20,1,0))</formula>
    </cfRule>
    <cfRule type="expression" dxfId="11688" priority="4852">
      <formula>AND(IF($Q117=2,1,0),IF($X117&lt;30,1,0))</formula>
    </cfRule>
    <cfRule type="expression" dxfId="11687" priority="4853">
      <formula>AND(IF($Q117=3,1,0),IF($X117&lt;30,1,0))</formula>
    </cfRule>
    <cfRule type="expression" dxfId="11686" priority="4854">
      <formula>AND(IF($Q117=3,1,IF($Q117=4,1,0)),IF($F117&lt;=85,1,0))</formula>
    </cfRule>
  </conditionalFormatting>
  <conditionalFormatting sqref="X117">
    <cfRule type="expression" dxfId="11685" priority="4847">
      <formula>AND(IF(OR($Q117=1,$Q117=2),1,0),IF($X117&lt;=20,1,0))</formula>
    </cfRule>
    <cfRule type="expression" dxfId="11684" priority="4848">
      <formula>AND(IF($Q117=2,1,0),IF($X117&lt;30,1,0))</formula>
    </cfRule>
    <cfRule type="expression" dxfId="11683" priority="4849">
      <formula>AND(IF($Q117=3,1,0),IF($X117&lt;30,1,0))</formula>
    </cfRule>
    <cfRule type="expression" dxfId="11682" priority="4850">
      <formula>AND(IF($Q117=3,1,IF($Q117=4,1,0)),IF($F117&lt;=85,1,0))</formula>
    </cfRule>
  </conditionalFormatting>
  <conditionalFormatting sqref="AI117">
    <cfRule type="expression" dxfId="11681" priority="4843">
      <formula>AND(IF(OR($Q117=1,$Q117=2),1,0),IF($X117&lt;=20,1,0))</formula>
    </cfRule>
    <cfRule type="expression" dxfId="11680" priority="4844">
      <formula>AND(IF($Q117=2,1,0),IF($X117&lt;30,1,0))</formula>
    </cfRule>
    <cfRule type="expression" dxfId="11679" priority="4845">
      <formula>AND(IF($Q117=3,1,0),IF($X117&lt;30,1,0))</formula>
    </cfRule>
    <cfRule type="expression" dxfId="11678" priority="4846">
      <formula>AND(IF($Q117=3,1,IF($Q117=4,1,0)),IF($F117&lt;=85,1,0))</formula>
    </cfRule>
  </conditionalFormatting>
  <conditionalFormatting sqref="AV118">
    <cfRule type="expression" dxfId="11677" priority="4841">
      <formula>AV118="X"</formula>
    </cfRule>
    <cfRule type="expression" dxfId="11676" priority="4842">
      <formula>AV118="후보"</formula>
    </cfRule>
  </conditionalFormatting>
  <conditionalFormatting sqref="AC118">
    <cfRule type="cellIs" dxfId="11675" priority="4839" operator="greaterThan">
      <formula>0.9</formula>
    </cfRule>
    <cfRule type="cellIs" dxfId="11674" priority="4840" operator="greaterThan">
      <formula>0.85</formula>
    </cfRule>
  </conditionalFormatting>
  <conditionalFormatting sqref="N118">
    <cfRule type="cellIs" dxfId="11673" priority="4837" operator="greaterThan">
      <formula>0.9</formula>
    </cfRule>
    <cfRule type="cellIs" dxfId="11672" priority="4838" operator="greaterThan">
      <formula>0.85</formula>
    </cfRule>
  </conditionalFormatting>
  <conditionalFormatting sqref="E118">
    <cfRule type="expression" dxfId="11671" priority="4833">
      <formula>AND(IF(OR($Q118=1,$Q118=2),1,0),IF($X118&lt;=20,1,0))</formula>
    </cfRule>
    <cfRule type="expression" dxfId="11670" priority="4834">
      <formula>AND(IF($Q118=2,1,0),IF($X118&lt;30,1,0))</formula>
    </cfRule>
    <cfRule type="expression" dxfId="11669" priority="4835">
      <formula>AND(IF($Q118=3,1,0),IF($X118&lt;30,1,0))</formula>
    </cfRule>
    <cfRule type="expression" dxfId="11668" priority="4836">
      <formula>AND(IF($Q118=3,1,IF($Q118=4,1,0)),IF($F118&lt;=85,1,0))</formula>
    </cfRule>
  </conditionalFormatting>
  <conditionalFormatting sqref="X118">
    <cfRule type="expression" dxfId="11667" priority="4829">
      <formula>AND(IF(OR($Q118=1,$Q118=2),1,0),IF($X118&lt;=20,1,0))</formula>
    </cfRule>
    <cfRule type="expression" dxfId="11666" priority="4830">
      <formula>AND(IF($Q118=2,1,0),IF($X118&lt;30,1,0))</formula>
    </cfRule>
    <cfRule type="expression" dxfId="11665" priority="4831">
      <formula>AND(IF($Q118=3,1,0),IF($X118&lt;30,1,0))</formula>
    </cfRule>
    <cfRule type="expression" dxfId="11664" priority="4832">
      <formula>AND(IF($Q118=3,1,IF($Q118=4,1,0)),IF($F118&lt;=85,1,0))</formula>
    </cfRule>
  </conditionalFormatting>
  <conditionalFormatting sqref="AI118">
    <cfRule type="expression" dxfId="11663" priority="4825">
      <formula>AND(IF(OR($Q118=1,$Q118=2),1,0),IF($X118&lt;=20,1,0))</formula>
    </cfRule>
    <cfRule type="expression" dxfId="11662" priority="4826">
      <formula>AND(IF($Q118=2,1,0),IF($X118&lt;30,1,0))</formula>
    </cfRule>
    <cfRule type="expression" dxfId="11661" priority="4827">
      <formula>AND(IF($Q118=3,1,0),IF($X118&lt;30,1,0))</formula>
    </cfRule>
    <cfRule type="expression" dxfId="11660" priority="4828">
      <formula>AND(IF($Q118=3,1,IF($Q118=4,1,0)),IF($F118&lt;=85,1,0))</formula>
    </cfRule>
  </conditionalFormatting>
  <conditionalFormatting sqref="AV119">
    <cfRule type="expression" dxfId="11659" priority="4823">
      <formula>AV119="X"</formula>
    </cfRule>
    <cfRule type="expression" dxfId="11658" priority="4824">
      <formula>AV119="후보"</formula>
    </cfRule>
  </conditionalFormatting>
  <conditionalFormatting sqref="AC119">
    <cfRule type="cellIs" dxfId="11657" priority="4821" operator="greaterThan">
      <formula>0.9</formula>
    </cfRule>
    <cfRule type="cellIs" dxfId="11656" priority="4822" operator="greaterThan">
      <formula>0.85</formula>
    </cfRule>
  </conditionalFormatting>
  <conditionalFormatting sqref="N119">
    <cfRule type="cellIs" dxfId="11655" priority="4819" operator="greaterThan">
      <formula>0.9</formula>
    </cfRule>
    <cfRule type="cellIs" dxfId="11654" priority="4820" operator="greaterThan">
      <formula>0.85</formula>
    </cfRule>
  </conditionalFormatting>
  <conditionalFormatting sqref="E119">
    <cfRule type="expression" dxfId="11653" priority="4815">
      <formula>AND(IF(OR($Q119=1,$Q119=2),1,0),IF($X119&lt;=20,1,0))</formula>
    </cfRule>
    <cfRule type="expression" dxfId="11652" priority="4816">
      <formula>AND(IF($Q119=2,1,0),IF($X119&lt;30,1,0))</formula>
    </cfRule>
    <cfRule type="expression" dxfId="11651" priority="4817">
      <formula>AND(IF($Q119=3,1,0),IF($X119&lt;30,1,0))</formula>
    </cfRule>
    <cfRule type="expression" dxfId="11650" priority="4818">
      <formula>AND(IF($Q119=3,1,IF($Q119=4,1,0)),IF($F119&lt;=85,1,0))</formula>
    </cfRule>
  </conditionalFormatting>
  <conditionalFormatting sqref="X119">
    <cfRule type="expression" dxfId="11649" priority="4811">
      <formula>AND(IF(OR($Q119=1,$Q119=2),1,0),IF($X119&lt;=20,1,0))</formula>
    </cfRule>
    <cfRule type="expression" dxfId="11648" priority="4812">
      <formula>AND(IF($Q119=2,1,0),IF($X119&lt;30,1,0))</formula>
    </cfRule>
    <cfRule type="expression" dxfId="11647" priority="4813">
      <formula>AND(IF($Q119=3,1,0),IF($X119&lt;30,1,0))</formula>
    </cfRule>
    <cfRule type="expression" dxfId="11646" priority="4814">
      <formula>AND(IF($Q119=3,1,IF($Q119=4,1,0)),IF($F119&lt;=85,1,0))</formula>
    </cfRule>
  </conditionalFormatting>
  <conditionalFormatting sqref="AI119">
    <cfRule type="expression" dxfId="11645" priority="4807">
      <formula>AND(IF(OR($Q119=1,$Q119=2),1,0),IF($X119&lt;=20,1,0))</formula>
    </cfRule>
    <cfRule type="expression" dxfId="11644" priority="4808">
      <formula>AND(IF($Q119=2,1,0),IF($X119&lt;30,1,0))</formula>
    </cfRule>
    <cfRule type="expression" dxfId="11643" priority="4809">
      <formula>AND(IF($Q119=3,1,0),IF($X119&lt;30,1,0))</formula>
    </cfRule>
    <cfRule type="expression" dxfId="11642" priority="4810">
      <formula>AND(IF($Q119=3,1,IF($Q119=4,1,0)),IF($F119&lt;=85,1,0))</formula>
    </cfRule>
  </conditionalFormatting>
  <conditionalFormatting sqref="AV120">
    <cfRule type="expression" dxfId="11641" priority="4805">
      <formula>AV120="X"</formula>
    </cfRule>
    <cfRule type="expression" dxfId="11640" priority="4806">
      <formula>AV120="후보"</formula>
    </cfRule>
  </conditionalFormatting>
  <conditionalFormatting sqref="AC120">
    <cfRule type="cellIs" dxfId="11639" priority="4803" operator="greaterThan">
      <formula>0.9</formula>
    </cfRule>
    <cfRule type="cellIs" dxfId="11638" priority="4804" operator="greaterThan">
      <formula>0.85</formula>
    </cfRule>
  </conditionalFormatting>
  <conditionalFormatting sqref="N120">
    <cfRule type="cellIs" dxfId="11637" priority="4801" operator="greaterThan">
      <formula>0.9</formula>
    </cfRule>
    <cfRule type="cellIs" dxfId="11636" priority="4802" operator="greaterThan">
      <formula>0.85</formula>
    </cfRule>
  </conditionalFormatting>
  <conditionalFormatting sqref="E120">
    <cfRule type="expression" dxfId="11635" priority="4797">
      <formula>AND(IF(OR($Q120=1,$Q120=2),1,0),IF($X120&lt;=20,1,0))</formula>
    </cfRule>
    <cfRule type="expression" dxfId="11634" priority="4798">
      <formula>AND(IF($Q120=2,1,0),IF($X120&lt;30,1,0))</formula>
    </cfRule>
    <cfRule type="expression" dxfId="11633" priority="4799">
      <formula>AND(IF($Q120=3,1,0),IF($X120&lt;30,1,0))</formula>
    </cfRule>
    <cfRule type="expression" dxfId="11632" priority="4800">
      <formula>AND(IF($Q120=3,1,IF($Q120=4,1,0)),IF($F120&lt;=85,1,0))</formula>
    </cfRule>
  </conditionalFormatting>
  <conditionalFormatting sqref="X120">
    <cfRule type="expression" dxfId="11631" priority="4793">
      <formula>AND(IF(OR($Q120=1,$Q120=2),1,0),IF($X120&lt;=20,1,0))</formula>
    </cfRule>
    <cfRule type="expression" dxfId="11630" priority="4794">
      <formula>AND(IF($Q120=2,1,0),IF($X120&lt;30,1,0))</formula>
    </cfRule>
    <cfRule type="expression" dxfId="11629" priority="4795">
      <formula>AND(IF($Q120=3,1,0),IF($X120&lt;30,1,0))</formula>
    </cfRule>
    <cfRule type="expression" dxfId="11628" priority="4796">
      <formula>AND(IF($Q120=3,1,IF($Q120=4,1,0)),IF($F120&lt;=85,1,0))</formula>
    </cfRule>
  </conditionalFormatting>
  <conditionalFormatting sqref="AI120">
    <cfRule type="expression" dxfId="11627" priority="4789">
      <formula>AND(IF(OR($Q120=1,$Q120=2),1,0),IF($X120&lt;=20,1,0))</formula>
    </cfRule>
    <cfRule type="expression" dxfId="11626" priority="4790">
      <formula>AND(IF($Q120=2,1,0),IF($X120&lt;30,1,0))</formula>
    </cfRule>
    <cfRule type="expression" dxfId="11625" priority="4791">
      <formula>AND(IF($Q120=3,1,0),IF($X120&lt;30,1,0))</formula>
    </cfRule>
    <cfRule type="expression" dxfId="11624" priority="4792">
      <formula>AND(IF($Q120=3,1,IF($Q120=4,1,0)),IF($F120&lt;=85,1,0))</formula>
    </cfRule>
  </conditionalFormatting>
  <conditionalFormatting sqref="AV121">
    <cfRule type="expression" dxfId="11623" priority="4787">
      <formula>AV121="X"</formula>
    </cfRule>
    <cfRule type="expression" dxfId="11622" priority="4788">
      <formula>AV121="후보"</formula>
    </cfRule>
  </conditionalFormatting>
  <conditionalFormatting sqref="AC121">
    <cfRule type="cellIs" dxfId="11621" priority="4785" operator="greaterThan">
      <formula>0.9</formula>
    </cfRule>
    <cfRule type="cellIs" dxfId="11620" priority="4786" operator="greaterThan">
      <formula>0.85</formula>
    </cfRule>
  </conditionalFormatting>
  <conditionalFormatting sqref="N121">
    <cfRule type="cellIs" dxfId="11619" priority="4783" operator="greaterThan">
      <formula>0.9</formula>
    </cfRule>
    <cfRule type="cellIs" dxfId="11618" priority="4784" operator="greaterThan">
      <formula>0.85</formula>
    </cfRule>
  </conditionalFormatting>
  <conditionalFormatting sqref="E121">
    <cfRule type="expression" dxfId="11617" priority="4779">
      <formula>AND(IF(OR($Q121=1,$Q121=2),1,0),IF($X121&lt;=20,1,0))</formula>
    </cfRule>
    <cfRule type="expression" dxfId="11616" priority="4780">
      <formula>AND(IF($Q121=2,1,0),IF($X121&lt;30,1,0))</formula>
    </cfRule>
    <cfRule type="expression" dxfId="11615" priority="4781">
      <formula>AND(IF($Q121=3,1,0),IF($X121&lt;30,1,0))</formula>
    </cfRule>
    <cfRule type="expression" dxfId="11614" priority="4782">
      <formula>AND(IF($Q121=3,1,IF($Q121=4,1,0)),IF($F121&lt;=85,1,0))</formula>
    </cfRule>
  </conditionalFormatting>
  <conditionalFormatting sqref="X121">
    <cfRule type="expression" dxfId="11613" priority="4775">
      <formula>AND(IF(OR($Q121=1,$Q121=2),1,0),IF($X121&lt;=20,1,0))</formula>
    </cfRule>
    <cfRule type="expression" dxfId="11612" priority="4776">
      <formula>AND(IF($Q121=2,1,0),IF($X121&lt;30,1,0))</formula>
    </cfRule>
    <cfRule type="expression" dxfId="11611" priority="4777">
      <formula>AND(IF($Q121=3,1,0),IF($X121&lt;30,1,0))</formula>
    </cfRule>
    <cfRule type="expression" dxfId="11610" priority="4778">
      <formula>AND(IF($Q121=3,1,IF($Q121=4,1,0)),IF($F121&lt;=85,1,0))</formula>
    </cfRule>
  </conditionalFormatting>
  <conditionalFormatting sqref="AI121">
    <cfRule type="expression" dxfId="11609" priority="4771">
      <formula>AND(IF(OR($Q121=1,$Q121=2),1,0),IF($X121&lt;=20,1,0))</formula>
    </cfRule>
    <cfRule type="expression" dxfId="11608" priority="4772">
      <formula>AND(IF($Q121=2,1,0),IF($X121&lt;30,1,0))</formula>
    </cfRule>
    <cfRule type="expression" dxfId="11607" priority="4773">
      <formula>AND(IF($Q121=3,1,0),IF($X121&lt;30,1,0))</formula>
    </cfRule>
    <cfRule type="expression" dxfId="11606" priority="4774">
      <formula>AND(IF($Q121=3,1,IF($Q121=4,1,0)),IF($F121&lt;=85,1,0))</formula>
    </cfRule>
  </conditionalFormatting>
  <conditionalFormatting sqref="AV122">
    <cfRule type="expression" dxfId="11605" priority="4769">
      <formula>AV122="X"</formula>
    </cfRule>
    <cfRule type="expression" dxfId="11604" priority="4770">
      <formula>AV122="후보"</formula>
    </cfRule>
  </conditionalFormatting>
  <conditionalFormatting sqref="AC122">
    <cfRule type="cellIs" dxfId="11603" priority="4767" operator="greaterThan">
      <formula>0.9</formula>
    </cfRule>
    <cfRule type="cellIs" dxfId="11602" priority="4768" operator="greaterThan">
      <formula>0.85</formula>
    </cfRule>
  </conditionalFormatting>
  <conditionalFormatting sqref="N122">
    <cfRule type="cellIs" dxfId="11601" priority="4765" operator="greaterThan">
      <formula>0.9</formula>
    </cfRule>
    <cfRule type="cellIs" dxfId="11600" priority="4766" operator="greaterThan">
      <formula>0.85</formula>
    </cfRule>
  </conditionalFormatting>
  <conditionalFormatting sqref="E122">
    <cfRule type="expression" dxfId="11599" priority="4761">
      <formula>AND(IF(OR($Q122=1,$Q122=2),1,0),IF($X122&lt;=20,1,0))</formula>
    </cfRule>
    <cfRule type="expression" dxfId="11598" priority="4762">
      <formula>AND(IF($Q122=2,1,0),IF($X122&lt;30,1,0))</formula>
    </cfRule>
    <cfRule type="expression" dxfId="11597" priority="4763">
      <formula>AND(IF($Q122=3,1,0),IF($X122&lt;30,1,0))</formula>
    </cfRule>
    <cfRule type="expression" dxfId="11596" priority="4764">
      <formula>AND(IF($Q122=3,1,IF($Q122=4,1,0)),IF($F122&lt;=85,1,0))</formula>
    </cfRule>
  </conditionalFormatting>
  <conditionalFormatting sqref="X122">
    <cfRule type="expression" dxfId="11595" priority="4757">
      <formula>AND(IF(OR($Q122=1,$Q122=2),1,0),IF($X122&lt;=20,1,0))</formula>
    </cfRule>
    <cfRule type="expression" dxfId="11594" priority="4758">
      <formula>AND(IF($Q122=2,1,0),IF($X122&lt;30,1,0))</formula>
    </cfRule>
    <cfRule type="expression" dxfId="11593" priority="4759">
      <formula>AND(IF($Q122=3,1,0),IF($X122&lt;30,1,0))</formula>
    </cfRule>
    <cfRule type="expression" dxfId="11592" priority="4760">
      <formula>AND(IF($Q122=3,1,IF($Q122=4,1,0)),IF($F122&lt;=85,1,0))</formula>
    </cfRule>
  </conditionalFormatting>
  <conditionalFormatting sqref="AI122">
    <cfRule type="expression" dxfId="11591" priority="4753">
      <formula>AND(IF(OR($Q122=1,$Q122=2),1,0),IF($X122&lt;=20,1,0))</formula>
    </cfRule>
    <cfRule type="expression" dxfId="11590" priority="4754">
      <formula>AND(IF($Q122=2,1,0),IF($X122&lt;30,1,0))</formula>
    </cfRule>
    <cfRule type="expression" dxfId="11589" priority="4755">
      <formula>AND(IF($Q122=3,1,0),IF($X122&lt;30,1,0))</formula>
    </cfRule>
    <cfRule type="expression" dxfId="11588" priority="4756">
      <formula>AND(IF($Q122=3,1,IF($Q122=4,1,0)),IF($F122&lt;=85,1,0))</formula>
    </cfRule>
  </conditionalFormatting>
  <conditionalFormatting sqref="AV123">
    <cfRule type="expression" dxfId="11587" priority="4751">
      <formula>AV123="X"</formula>
    </cfRule>
    <cfRule type="expression" dxfId="11586" priority="4752">
      <formula>AV123="후보"</formula>
    </cfRule>
  </conditionalFormatting>
  <conditionalFormatting sqref="AC123">
    <cfRule type="cellIs" dxfId="11585" priority="4749" operator="greaterThan">
      <formula>0.9</formula>
    </cfRule>
    <cfRule type="cellIs" dxfId="11584" priority="4750" operator="greaterThan">
      <formula>0.85</formula>
    </cfRule>
  </conditionalFormatting>
  <conditionalFormatting sqref="N123">
    <cfRule type="cellIs" dxfId="11583" priority="4747" operator="greaterThan">
      <formula>0.9</formula>
    </cfRule>
    <cfRule type="cellIs" dxfId="11582" priority="4748" operator="greaterThan">
      <formula>0.85</formula>
    </cfRule>
  </conditionalFormatting>
  <conditionalFormatting sqref="E123">
    <cfRule type="expression" dxfId="11581" priority="4743">
      <formula>AND(IF(OR($Q123=1,$Q123=2),1,0),IF($X123&lt;=20,1,0))</formula>
    </cfRule>
    <cfRule type="expression" dxfId="11580" priority="4744">
      <formula>AND(IF($Q123=2,1,0),IF($X123&lt;30,1,0))</formula>
    </cfRule>
    <cfRule type="expression" dxfId="11579" priority="4745">
      <formula>AND(IF($Q123=3,1,0),IF($X123&lt;30,1,0))</formula>
    </cfRule>
    <cfRule type="expression" dxfId="11578" priority="4746">
      <formula>AND(IF($Q123=3,1,IF($Q123=4,1,0)),IF($F123&lt;=85,1,0))</formula>
    </cfRule>
  </conditionalFormatting>
  <conditionalFormatting sqref="X123">
    <cfRule type="expression" dxfId="11577" priority="4739">
      <formula>AND(IF(OR($Q123=1,$Q123=2),1,0),IF($X123&lt;=20,1,0))</formula>
    </cfRule>
    <cfRule type="expression" dxfId="11576" priority="4740">
      <formula>AND(IF($Q123=2,1,0),IF($X123&lt;30,1,0))</formula>
    </cfRule>
    <cfRule type="expression" dxfId="11575" priority="4741">
      <formula>AND(IF($Q123=3,1,0),IF($X123&lt;30,1,0))</formula>
    </cfRule>
    <cfRule type="expression" dxfId="11574" priority="4742">
      <formula>AND(IF($Q123=3,1,IF($Q123=4,1,0)),IF($F123&lt;=85,1,0))</formula>
    </cfRule>
  </conditionalFormatting>
  <conditionalFormatting sqref="AI123">
    <cfRule type="expression" dxfId="11573" priority="4735">
      <formula>AND(IF(OR($Q123=1,$Q123=2),1,0),IF($X123&lt;=20,1,0))</formula>
    </cfRule>
    <cfRule type="expression" dxfId="11572" priority="4736">
      <formula>AND(IF($Q123=2,1,0),IF($X123&lt;30,1,0))</formula>
    </cfRule>
    <cfRule type="expression" dxfId="11571" priority="4737">
      <formula>AND(IF($Q123=3,1,0),IF($X123&lt;30,1,0))</formula>
    </cfRule>
    <cfRule type="expression" dxfId="11570" priority="4738">
      <formula>AND(IF($Q123=3,1,IF($Q123=4,1,0)),IF($F123&lt;=85,1,0))</formula>
    </cfRule>
  </conditionalFormatting>
  <conditionalFormatting sqref="AV124">
    <cfRule type="expression" dxfId="11569" priority="4733">
      <formula>AV124="X"</formula>
    </cfRule>
    <cfRule type="expression" dxfId="11568" priority="4734">
      <formula>AV124="후보"</formula>
    </cfRule>
  </conditionalFormatting>
  <conditionalFormatting sqref="AC124">
    <cfRule type="cellIs" dxfId="11567" priority="4731" operator="greaterThan">
      <formula>0.9</formula>
    </cfRule>
    <cfRule type="cellIs" dxfId="11566" priority="4732" operator="greaterThan">
      <formula>0.85</formula>
    </cfRule>
  </conditionalFormatting>
  <conditionalFormatting sqref="N124">
    <cfRule type="cellIs" dxfId="11565" priority="4729" operator="greaterThan">
      <formula>0.9</formula>
    </cfRule>
    <cfRule type="cellIs" dxfId="11564" priority="4730" operator="greaterThan">
      <formula>0.85</formula>
    </cfRule>
  </conditionalFormatting>
  <conditionalFormatting sqref="E124">
    <cfRule type="expression" dxfId="11563" priority="4725">
      <formula>AND(IF(OR($Q124=1,$Q124=2),1,0),IF($X124&lt;=20,1,0))</formula>
    </cfRule>
    <cfRule type="expression" dxfId="11562" priority="4726">
      <formula>AND(IF($Q124=2,1,0),IF($X124&lt;30,1,0))</formula>
    </cfRule>
    <cfRule type="expression" dxfId="11561" priority="4727">
      <formula>AND(IF($Q124=3,1,0),IF($X124&lt;30,1,0))</formula>
    </cfRule>
    <cfRule type="expression" dxfId="11560" priority="4728">
      <formula>AND(IF($Q124=3,1,IF($Q124=4,1,0)),IF($F124&lt;=85,1,0))</formula>
    </cfRule>
  </conditionalFormatting>
  <conditionalFormatting sqref="X124">
    <cfRule type="expression" dxfId="11559" priority="4721">
      <formula>AND(IF(OR($Q124=1,$Q124=2),1,0),IF($X124&lt;=20,1,0))</formula>
    </cfRule>
    <cfRule type="expression" dxfId="11558" priority="4722">
      <formula>AND(IF($Q124=2,1,0),IF($X124&lt;30,1,0))</formula>
    </cfRule>
    <cfRule type="expression" dxfId="11557" priority="4723">
      <formula>AND(IF($Q124=3,1,0),IF($X124&lt;30,1,0))</formula>
    </cfRule>
    <cfRule type="expression" dxfId="11556" priority="4724">
      <formula>AND(IF($Q124=3,1,IF($Q124=4,1,0)),IF($F124&lt;=85,1,0))</formula>
    </cfRule>
  </conditionalFormatting>
  <conditionalFormatting sqref="AI124">
    <cfRule type="expression" dxfId="11555" priority="4717">
      <formula>AND(IF(OR($Q124=1,$Q124=2),1,0),IF($X124&lt;=20,1,0))</formula>
    </cfRule>
    <cfRule type="expression" dxfId="11554" priority="4718">
      <formula>AND(IF($Q124=2,1,0),IF($X124&lt;30,1,0))</formula>
    </cfRule>
    <cfRule type="expression" dxfId="11553" priority="4719">
      <formula>AND(IF($Q124=3,1,0),IF($X124&lt;30,1,0))</formula>
    </cfRule>
    <cfRule type="expression" dxfId="11552" priority="4720">
      <formula>AND(IF($Q124=3,1,IF($Q124=4,1,0)),IF($F124&lt;=85,1,0))</formula>
    </cfRule>
  </conditionalFormatting>
  <conditionalFormatting sqref="AV125">
    <cfRule type="expression" dxfId="11551" priority="4715">
      <formula>AV125="X"</formula>
    </cfRule>
    <cfRule type="expression" dxfId="11550" priority="4716">
      <formula>AV125="후보"</formula>
    </cfRule>
  </conditionalFormatting>
  <conditionalFormatting sqref="AC125">
    <cfRule type="cellIs" dxfId="11549" priority="4713" operator="greaterThan">
      <formula>0.9</formula>
    </cfRule>
    <cfRule type="cellIs" dxfId="11548" priority="4714" operator="greaterThan">
      <formula>0.85</formula>
    </cfRule>
  </conditionalFormatting>
  <conditionalFormatting sqref="N125">
    <cfRule type="cellIs" dxfId="11547" priority="4711" operator="greaterThan">
      <formula>0.9</formula>
    </cfRule>
    <cfRule type="cellIs" dxfId="11546" priority="4712" operator="greaterThan">
      <formula>0.85</formula>
    </cfRule>
  </conditionalFormatting>
  <conditionalFormatting sqref="E125">
    <cfRule type="expression" dxfId="11545" priority="4707">
      <formula>AND(IF(OR($Q125=1,$Q125=2),1,0),IF($X125&lt;=20,1,0))</formula>
    </cfRule>
    <cfRule type="expression" dxfId="11544" priority="4708">
      <formula>AND(IF($Q125=2,1,0),IF($X125&lt;30,1,0))</formula>
    </cfRule>
    <cfRule type="expression" dxfId="11543" priority="4709">
      <formula>AND(IF($Q125=3,1,0),IF($X125&lt;30,1,0))</formula>
    </cfRule>
    <cfRule type="expression" dxfId="11542" priority="4710">
      <formula>AND(IF($Q125=3,1,IF($Q125=4,1,0)),IF($F125&lt;=85,1,0))</formula>
    </cfRule>
  </conditionalFormatting>
  <conditionalFormatting sqref="X125">
    <cfRule type="expression" dxfId="11541" priority="4703">
      <formula>AND(IF(OR($Q125=1,$Q125=2),1,0),IF($X125&lt;=20,1,0))</formula>
    </cfRule>
    <cfRule type="expression" dxfId="11540" priority="4704">
      <formula>AND(IF($Q125=2,1,0),IF($X125&lt;30,1,0))</formula>
    </cfRule>
    <cfRule type="expression" dxfId="11539" priority="4705">
      <formula>AND(IF($Q125=3,1,0),IF($X125&lt;30,1,0))</formula>
    </cfRule>
    <cfRule type="expression" dxfId="11538" priority="4706">
      <formula>AND(IF($Q125=3,1,IF($Q125=4,1,0)),IF($F125&lt;=85,1,0))</formula>
    </cfRule>
  </conditionalFormatting>
  <conditionalFormatting sqref="AI125">
    <cfRule type="expression" dxfId="11537" priority="4699">
      <formula>AND(IF(OR($Q125=1,$Q125=2),1,0),IF($X125&lt;=20,1,0))</formula>
    </cfRule>
    <cfRule type="expression" dxfId="11536" priority="4700">
      <formula>AND(IF($Q125=2,1,0),IF($X125&lt;30,1,0))</formula>
    </cfRule>
    <cfRule type="expression" dxfId="11535" priority="4701">
      <formula>AND(IF($Q125=3,1,0),IF($X125&lt;30,1,0))</formula>
    </cfRule>
    <cfRule type="expression" dxfId="11534" priority="4702">
      <formula>AND(IF($Q125=3,1,IF($Q125=4,1,0)),IF($F125&lt;=85,1,0))</formula>
    </cfRule>
  </conditionalFormatting>
  <conditionalFormatting sqref="AV126">
    <cfRule type="expression" dxfId="11533" priority="4697">
      <formula>AV126="X"</formula>
    </cfRule>
    <cfRule type="expression" dxfId="11532" priority="4698">
      <formula>AV126="후보"</formula>
    </cfRule>
  </conditionalFormatting>
  <conditionalFormatting sqref="AC126">
    <cfRule type="cellIs" dxfId="11531" priority="4695" operator="greaterThan">
      <formula>0.9</formula>
    </cfRule>
    <cfRule type="cellIs" dxfId="11530" priority="4696" operator="greaterThan">
      <formula>0.85</formula>
    </cfRule>
  </conditionalFormatting>
  <conditionalFormatting sqref="N126">
    <cfRule type="cellIs" dxfId="11529" priority="4693" operator="greaterThan">
      <formula>0.9</formula>
    </cfRule>
    <cfRule type="cellIs" dxfId="11528" priority="4694" operator="greaterThan">
      <formula>0.85</formula>
    </cfRule>
  </conditionalFormatting>
  <conditionalFormatting sqref="E126">
    <cfRule type="expression" dxfId="11527" priority="4689">
      <formula>AND(IF(OR($Q126=1,$Q126=2),1,0),IF($X126&lt;=20,1,0))</formula>
    </cfRule>
    <cfRule type="expression" dxfId="11526" priority="4690">
      <formula>AND(IF($Q126=2,1,0),IF($X126&lt;30,1,0))</formula>
    </cfRule>
    <cfRule type="expression" dxfId="11525" priority="4691">
      <formula>AND(IF($Q126=3,1,0),IF($X126&lt;30,1,0))</formula>
    </cfRule>
    <cfRule type="expression" dxfId="11524" priority="4692">
      <formula>AND(IF($Q126=3,1,IF($Q126=4,1,0)),IF($F126&lt;=85,1,0))</formula>
    </cfRule>
  </conditionalFormatting>
  <conditionalFormatting sqref="X126">
    <cfRule type="expression" dxfId="11523" priority="4685">
      <formula>AND(IF(OR($Q126=1,$Q126=2),1,0),IF($X126&lt;=20,1,0))</formula>
    </cfRule>
    <cfRule type="expression" dxfId="11522" priority="4686">
      <formula>AND(IF($Q126=2,1,0),IF($X126&lt;30,1,0))</formula>
    </cfRule>
    <cfRule type="expression" dxfId="11521" priority="4687">
      <formula>AND(IF($Q126=3,1,0),IF($X126&lt;30,1,0))</formula>
    </cfRule>
    <cfRule type="expression" dxfId="11520" priority="4688">
      <formula>AND(IF($Q126=3,1,IF($Q126=4,1,0)),IF($F126&lt;=85,1,0))</formula>
    </cfRule>
  </conditionalFormatting>
  <conditionalFormatting sqref="AI126">
    <cfRule type="expression" dxfId="11519" priority="4681">
      <formula>AND(IF(OR($Q126=1,$Q126=2),1,0),IF($X126&lt;=20,1,0))</formula>
    </cfRule>
    <cfRule type="expression" dxfId="11518" priority="4682">
      <formula>AND(IF($Q126=2,1,0),IF($X126&lt;30,1,0))</formula>
    </cfRule>
    <cfRule type="expression" dxfId="11517" priority="4683">
      <formula>AND(IF($Q126=3,1,0),IF($X126&lt;30,1,0))</formula>
    </cfRule>
    <cfRule type="expression" dxfId="11516" priority="4684">
      <formula>AND(IF($Q126=3,1,IF($Q126=4,1,0)),IF($F126&lt;=85,1,0))</formula>
    </cfRule>
  </conditionalFormatting>
  <conditionalFormatting sqref="AV127">
    <cfRule type="expression" dxfId="11515" priority="4679">
      <formula>AV127="X"</formula>
    </cfRule>
    <cfRule type="expression" dxfId="11514" priority="4680">
      <formula>AV127="후보"</formula>
    </cfRule>
  </conditionalFormatting>
  <conditionalFormatting sqref="AC127">
    <cfRule type="cellIs" dxfId="11513" priority="4677" operator="greaterThan">
      <formula>0.9</formula>
    </cfRule>
    <cfRule type="cellIs" dxfId="11512" priority="4678" operator="greaterThan">
      <formula>0.85</formula>
    </cfRule>
  </conditionalFormatting>
  <conditionalFormatting sqref="N127">
    <cfRule type="cellIs" dxfId="11511" priority="4675" operator="greaterThan">
      <formula>0.9</formula>
    </cfRule>
    <cfRule type="cellIs" dxfId="11510" priority="4676" operator="greaterThan">
      <formula>0.85</formula>
    </cfRule>
  </conditionalFormatting>
  <conditionalFormatting sqref="E127">
    <cfRule type="expression" dxfId="11509" priority="4671">
      <formula>AND(IF(OR($Q127=1,$Q127=2),1,0),IF($X127&lt;=20,1,0))</formula>
    </cfRule>
    <cfRule type="expression" dxfId="11508" priority="4672">
      <formula>AND(IF($Q127=2,1,0),IF($X127&lt;30,1,0))</formula>
    </cfRule>
    <cfRule type="expression" dxfId="11507" priority="4673">
      <formula>AND(IF($Q127=3,1,0),IF($X127&lt;30,1,0))</formula>
    </cfRule>
    <cfRule type="expression" dxfId="11506" priority="4674">
      <formula>AND(IF($Q127=3,1,IF($Q127=4,1,0)),IF($F127&lt;=85,1,0))</formula>
    </cfRule>
  </conditionalFormatting>
  <conditionalFormatting sqref="X127">
    <cfRule type="expression" dxfId="11505" priority="4667">
      <formula>AND(IF(OR($Q127=1,$Q127=2),1,0),IF($X127&lt;=20,1,0))</formula>
    </cfRule>
    <cfRule type="expression" dxfId="11504" priority="4668">
      <formula>AND(IF($Q127=2,1,0),IF($X127&lt;30,1,0))</formula>
    </cfRule>
    <cfRule type="expression" dxfId="11503" priority="4669">
      <formula>AND(IF($Q127=3,1,0),IF($X127&lt;30,1,0))</formula>
    </cfRule>
    <cfRule type="expression" dxfId="11502" priority="4670">
      <formula>AND(IF($Q127=3,1,IF($Q127=4,1,0)),IF($F127&lt;=85,1,0))</formula>
    </cfRule>
  </conditionalFormatting>
  <conditionalFormatting sqref="AI127">
    <cfRule type="expression" dxfId="11501" priority="4663">
      <formula>AND(IF(OR($Q127=1,$Q127=2),1,0),IF($X127&lt;=20,1,0))</formula>
    </cfRule>
    <cfRule type="expression" dxfId="11500" priority="4664">
      <formula>AND(IF($Q127=2,1,0),IF($X127&lt;30,1,0))</formula>
    </cfRule>
    <cfRule type="expression" dxfId="11499" priority="4665">
      <formula>AND(IF($Q127=3,1,0),IF($X127&lt;30,1,0))</formula>
    </cfRule>
    <cfRule type="expression" dxfId="11498" priority="4666">
      <formula>AND(IF($Q127=3,1,IF($Q127=4,1,0)),IF($F127&lt;=85,1,0))</formula>
    </cfRule>
  </conditionalFormatting>
  <conditionalFormatting sqref="AV128">
    <cfRule type="expression" dxfId="11497" priority="4661">
      <formula>AV128="X"</formula>
    </cfRule>
    <cfRule type="expression" dxfId="11496" priority="4662">
      <formula>AV128="후보"</formula>
    </cfRule>
  </conditionalFormatting>
  <conditionalFormatting sqref="AC128">
    <cfRule type="cellIs" dxfId="11495" priority="4659" operator="greaterThan">
      <formula>0.9</formula>
    </cfRule>
    <cfRule type="cellIs" dxfId="11494" priority="4660" operator="greaterThan">
      <formula>0.85</formula>
    </cfRule>
  </conditionalFormatting>
  <conditionalFormatting sqref="N128">
    <cfRule type="cellIs" dxfId="11493" priority="4657" operator="greaterThan">
      <formula>0.9</formula>
    </cfRule>
    <cfRule type="cellIs" dxfId="11492" priority="4658" operator="greaterThan">
      <formula>0.85</formula>
    </cfRule>
  </conditionalFormatting>
  <conditionalFormatting sqref="E128">
    <cfRule type="expression" dxfId="11491" priority="4653">
      <formula>AND(IF(OR($Q128=1,$Q128=2),1,0),IF($X128&lt;=20,1,0))</formula>
    </cfRule>
    <cfRule type="expression" dxfId="11490" priority="4654">
      <formula>AND(IF($Q128=2,1,0),IF($X128&lt;30,1,0))</formula>
    </cfRule>
    <cfRule type="expression" dxfId="11489" priority="4655">
      <formula>AND(IF($Q128=3,1,0),IF($X128&lt;30,1,0))</formula>
    </cfRule>
    <cfRule type="expression" dxfId="11488" priority="4656">
      <formula>AND(IF($Q128=3,1,IF($Q128=4,1,0)),IF($F128&lt;=85,1,0))</formula>
    </cfRule>
  </conditionalFormatting>
  <conditionalFormatting sqref="X128">
    <cfRule type="expression" dxfId="11487" priority="4649">
      <formula>AND(IF(OR($Q128=1,$Q128=2),1,0),IF($X128&lt;=20,1,0))</formula>
    </cfRule>
    <cfRule type="expression" dxfId="11486" priority="4650">
      <formula>AND(IF($Q128=2,1,0),IF($X128&lt;30,1,0))</formula>
    </cfRule>
    <cfRule type="expression" dxfId="11485" priority="4651">
      <formula>AND(IF($Q128=3,1,0),IF($X128&lt;30,1,0))</formula>
    </cfRule>
    <cfRule type="expression" dxfId="11484" priority="4652">
      <formula>AND(IF($Q128=3,1,IF($Q128=4,1,0)),IF($F128&lt;=85,1,0))</formula>
    </cfRule>
  </conditionalFormatting>
  <conditionalFormatting sqref="AI128">
    <cfRule type="expression" dxfId="11483" priority="4645">
      <formula>AND(IF(OR($Q128=1,$Q128=2),1,0),IF($X128&lt;=20,1,0))</formula>
    </cfRule>
    <cfRule type="expression" dxfId="11482" priority="4646">
      <formula>AND(IF($Q128=2,1,0),IF($X128&lt;30,1,0))</formula>
    </cfRule>
    <cfRule type="expression" dxfId="11481" priority="4647">
      <formula>AND(IF($Q128=3,1,0),IF($X128&lt;30,1,0))</formula>
    </cfRule>
    <cfRule type="expression" dxfId="11480" priority="4648">
      <formula>AND(IF($Q128=3,1,IF($Q128=4,1,0)),IF($F128&lt;=85,1,0))</formula>
    </cfRule>
  </conditionalFormatting>
  <conditionalFormatting sqref="AV129">
    <cfRule type="expression" dxfId="11479" priority="4643">
      <formula>AV129="X"</formula>
    </cfRule>
    <cfRule type="expression" dxfId="11478" priority="4644">
      <formula>AV129="후보"</formula>
    </cfRule>
  </conditionalFormatting>
  <conditionalFormatting sqref="AC129">
    <cfRule type="cellIs" dxfId="11477" priority="4641" operator="greaterThan">
      <formula>0.9</formula>
    </cfRule>
    <cfRule type="cellIs" dxfId="11476" priority="4642" operator="greaterThan">
      <formula>0.85</formula>
    </cfRule>
  </conditionalFormatting>
  <conditionalFormatting sqref="N129">
    <cfRule type="cellIs" dxfId="11475" priority="4639" operator="greaterThan">
      <formula>0.9</formula>
    </cfRule>
    <cfRule type="cellIs" dxfId="11474" priority="4640" operator="greaterThan">
      <formula>0.85</formula>
    </cfRule>
  </conditionalFormatting>
  <conditionalFormatting sqref="E129">
    <cfRule type="expression" dxfId="11473" priority="4635">
      <formula>AND(IF(OR($Q129=1,$Q129=2),1,0),IF($X129&lt;=20,1,0))</formula>
    </cfRule>
    <cfRule type="expression" dxfId="11472" priority="4636">
      <formula>AND(IF($Q129=2,1,0),IF($X129&lt;30,1,0))</formula>
    </cfRule>
    <cfRule type="expression" dxfId="11471" priority="4637">
      <formula>AND(IF($Q129=3,1,0),IF($X129&lt;30,1,0))</formula>
    </cfRule>
    <cfRule type="expression" dxfId="11470" priority="4638">
      <formula>AND(IF($Q129=3,1,IF($Q129=4,1,0)),IF($F129&lt;=85,1,0))</formula>
    </cfRule>
  </conditionalFormatting>
  <conditionalFormatting sqref="X129">
    <cfRule type="expression" dxfId="11469" priority="4631">
      <formula>AND(IF(OR($Q129=1,$Q129=2),1,0),IF($X129&lt;=20,1,0))</formula>
    </cfRule>
    <cfRule type="expression" dxfId="11468" priority="4632">
      <formula>AND(IF($Q129=2,1,0),IF($X129&lt;30,1,0))</formula>
    </cfRule>
    <cfRule type="expression" dxfId="11467" priority="4633">
      <formula>AND(IF($Q129=3,1,0),IF($X129&lt;30,1,0))</formula>
    </cfRule>
    <cfRule type="expression" dxfId="11466" priority="4634">
      <formula>AND(IF($Q129=3,1,IF($Q129=4,1,0)),IF($F129&lt;=85,1,0))</formula>
    </cfRule>
  </conditionalFormatting>
  <conditionalFormatting sqref="AI129">
    <cfRule type="expression" dxfId="11465" priority="4627">
      <formula>AND(IF(OR($Q129=1,$Q129=2),1,0),IF($X129&lt;=20,1,0))</formula>
    </cfRule>
    <cfRule type="expression" dxfId="11464" priority="4628">
      <formula>AND(IF($Q129=2,1,0),IF($X129&lt;30,1,0))</formula>
    </cfRule>
    <cfRule type="expression" dxfId="11463" priority="4629">
      <formula>AND(IF($Q129=3,1,0),IF($X129&lt;30,1,0))</formula>
    </cfRule>
    <cfRule type="expression" dxfId="11462" priority="4630">
      <formula>AND(IF($Q129=3,1,IF($Q129=4,1,0)),IF($F129&lt;=85,1,0))</formula>
    </cfRule>
  </conditionalFormatting>
  <conditionalFormatting sqref="AV130">
    <cfRule type="expression" dxfId="11461" priority="4625">
      <formula>AV130="X"</formula>
    </cfRule>
    <cfRule type="expression" dxfId="11460" priority="4626">
      <formula>AV130="후보"</formula>
    </cfRule>
  </conditionalFormatting>
  <conditionalFormatting sqref="AC130">
    <cfRule type="cellIs" dxfId="11459" priority="4623" operator="greaterThan">
      <formula>0.9</formula>
    </cfRule>
    <cfRule type="cellIs" dxfId="11458" priority="4624" operator="greaterThan">
      <formula>0.85</formula>
    </cfRule>
  </conditionalFormatting>
  <conditionalFormatting sqref="N130">
    <cfRule type="cellIs" dxfId="11457" priority="4621" operator="greaterThan">
      <formula>0.9</formula>
    </cfRule>
    <cfRule type="cellIs" dxfId="11456" priority="4622" operator="greaterThan">
      <formula>0.85</formula>
    </cfRule>
  </conditionalFormatting>
  <conditionalFormatting sqref="E130">
    <cfRule type="expression" dxfId="11455" priority="4617">
      <formula>AND(IF(OR($Q130=1,$Q130=2),1,0),IF($X130&lt;=20,1,0))</formula>
    </cfRule>
    <cfRule type="expression" dxfId="11454" priority="4618">
      <formula>AND(IF($Q130=2,1,0),IF($X130&lt;30,1,0))</formula>
    </cfRule>
    <cfRule type="expression" dxfId="11453" priority="4619">
      <formula>AND(IF($Q130=3,1,0),IF($X130&lt;30,1,0))</formula>
    </cfRule>
    <cfRule type="expression" dxfId="11452" priority="4620">
      <formula>AND(IF($Q130=3,1,IF($Q130=4,1,0)),IF($F130&lt;=85,1,0))</formula>
    </cfRule>
  </conditionalFormatting>
  <conditionalFormatting sqref="X130">
    <cfRule type="expression" dxfId="11451" priority="4613">
      <formula>AND(IF(OR($Q130=1,$Q130=2),1,0),IF($X130&lt;=20,1,0))</formula>
    </cfRule>
    <cfRule type="expression" dxfId="11450" priority="4614">
      <formula>AND(IF($Q130=2,1,0),IF($X130&lt;30,1,0))</formula>
    </cfRule>
    <cfRule type="expression" dxfId="11449" priority="4615">
      <formula>AND(IF($Q130=3,1,0),IF($X130&lt;30,1,0))</formula>
    </cfRule>
    <cfRule type="expression" dxfId="11448" priority="4616">
      <formula>AND(IF($Q130=3,1,IF($Q130=4,1,0)),IF($F130&lt;=85,1,0))</formula>
    </cfRule>
  </conditionalFormatting>
  <conditionalFormatting sqref="AI130">
    <cfRule type="expression" dxfId="11447" priority="4609">
      <formula>AND(IF(OR($Q130=1,$Q130=2),1,0),IF($X130&lt;=20,1,0))</formula>
    </cfRule>
    <cfRule type="expression" dxfId="11446" priority="4610">
      <formula>AND(IF($Q130=2,1,0),IF($X130&lt;30,1,0))</formula>
    </cfRule>
    <cfRule type="expression" dxfId="11445" priority="4611">
      <formula>AND(IF($Q130=3,1,0),IF($X130&lt;30,1,0))</formula>
    </cfRule>
    <cfRule type="expression" dxfId="11444" priority="4612">
      <formula>AND(IF($Q130=3,1,IF($Q130=4,1,0)),IF($F130&lt;=85,1,0))</formula>
    </cfRule>
  </conditionalFormatting>
  <conditionalFormatting sqref="AV131">
    <cfRule type="expression" dxfId="11443" priority="4607">
      <formula>AV131="X"</formula>
    </cfRule>
    <cfRule type="expression" dxfId="11442" priority="4608">
      <formula>AV131="후보"</formula>
    </cfRule>
  </conditionalFormatting>
  <conditionalFormatting sqref="AC131">
    <cfRule type="cellIs" dxfId="11441" priority="4605" operator="greaterThan">
      <formula>0.9</formula>
    </cfRule>
    <cfRule type="cellIs" dxfId="11440" priority="4606" operator="greaterThan">
      <formula>0.85</formula>
    </cfRule>
  </conditionalFormatting>
  <conditionalFormatting sqref="N131">
    <cfRule type="cellIs" dxfId="11439" priority="4603" operator="greaterThan">
      <formula>0.9</formula>
    </cfRule>
    <cfRule type="cellIs" dxfId="11438" priority="4604" operator="greaterThan">
      <formula>0.85</formula>
    </cfRule>
  </conditionalFormatting>
  <conditionalFormatting sqref="E131">
    <cfRule type="expression" dxfId="11437" priority="4599">
      <formula>AND(IF(OR($Q131=1,$Q131=2),1,0),IF($X131&lt;=20,1,0))</formula>
    </cfRule>
    <cfRule type="expression" dxfId="11436" priority="4600">
      <formula>AND(IF($Q131=2,1,0),IF($X131&lt;30,1,0))</formula>
    </cfRule>
    <cfRule type="expression" dxfId="11435" priority="4601">
      <formula>AND(IF($Q131=3,1,0),IF($X131&lt;30,1,0))</formula>
    </cfRule>
    <cfRule type="expression" dxfId="11434" priority="4602">
      <formula>AND(IF($Q131=3,1,IF($Q131=4,1,0)),IF($F131&lt;=85,1,0))</formula>
    </cfRule>
  </conditionalFormatting>
  <conditionalFormatting sqref="X131">
    <cfRule type="expression" dxfId="11433" priority="4595">
      <formula>AND(IF(OR($Q131=1,$Q131=2),1,0),IF($X131&lt;=20,1,0))</formula>
    </cfRule>
    <cfRule type="expression" dxfId="11432" priority="4596">
      <formula>AND(IF($Q131=2,1,0),IF($X131&lt;30,1,0))</formula>
    </cfRule>
    <cfRule type="expression" dxfId="11431" priority="4597">
      <formula>AND(IF($Q131=3,1,0),IF($X131&lt;30,1,0))</formula>
    </cfRule>
    <cfRule type="expression" dxfId="11430" priority="4598">
      <formula>AND(IF($Q131=3,1,IF($Q131=4,1,0)),IF($F131&lt;=85,1,0))</formula>
    </cfRule>
  </conditionalFormatting>
  <conditionalFormatting sqref="AI131">
    <cfRule type="expression" dxfId="11429" priority="4591">
      <formula>AND(IF(OR($Q131=1,$Q131=2),1,0),IF($X131&lt;=20,1,0))</formula>
    </cfRule>
    <cfRule type="expression" dxfId="11428" priority="4592">
      <formula>AND(IF($Q131=2,1,0),IF($X131&lt;30,1,0))</formula>
    </cfRule>
    <cfRule type="expression" dxfId="11427" priority="4593">
      <formula>AND(IF($Q131=3,1,0),IF($X131&lt;30,1,0))</formula>
    </cfRule>
    <cfRule type="expression" dxfId="11426" priority="4594">
      <formula>AND(IF($Q131=3,1,IF($Q131=4,1,0)),IF($F131&lt;=85,1,0))</formula>
    </cfRule>
  </conditionalFormatting>
  <conditionalFormatting sqref="AV132">
    <cfRule type="expression" dxfId="11425" priority="4589">
      <formula>AV132="X"</formula>
    </cfRule>
    <cfRule type="expression" dxfId="11424" priority="4590">
      <formula>AV132="후보"</formula>
    </cfRule>
  </conditionalFormatting>
  <conditionalFormatting sqref="AC132">
    <cfRule type="cellIs" dxfId="11423" priority="4587" operator="greaterThan">
      <formula>0.9</formula>
    </cfRule>
    <cfRule type="cellIs" dxfId="11422" priority="4588" operator="greaterThan">
      <formula>0.85</formula>
    </cfRule>
  </conditionalFormatting>
  <conditionalFormatting sqref="N132">
    <cfRule type="cellIs" dxfId="11421" priority="4585" operator="greaterThan">
      <formula>0.9</formula>
    </cfRule>
    <cfRule type="cellIs" dxfId="11420" priority="4586" operator="greaterThan">
      <formula>0.85</formula>
    </cfRule>
  </conditionalFormatting>
  <conditionalFormatting sqref="E132">
    <cfRule type="expression" dxfId="11419" priority="4581">
      <formula>AND(IF(OR($Q132=1,$Q132=2),1,0),IF($X132&lt;=20,1,0))</formula>
    </cfRule>
    <cfRule type="expression" dxfId="11418" priority="4582">
      <formula>AND(IF($Q132=2,1,0),IF($X132&lt;30,1,0))</formula>
    </cfRule>
    <cfRule type="expression" dxfId="11417" priority="4583">
      <formula>AND(IF($Q132=3,1,0),IF($X132&lt;30,1,0))</formula>
    </cfRule>
    <cfRule type="expression" dxfId="11416" priority="4584">
      <formula>AND(IF($Q132=3,1,IF($Q132=4,1,0)),IF($F132&lt;=85,1,0))</formula>
    </cfRule>
  </conditionalFormatting>
  <conditionalFormatting sqref="X132">
    <cfRule type="expression" dxfId="11415" priority="4577">
      <formula>AND(IF(OR($Q132=1,$Q132=2),1,0),IF($X132&lt;=20,1,0))</formula>
    </cfRule>
    <cfRule type="expression" dxfId="11414" priority="4578">
      <formula>AND(IF($Q132=2,1,0),IF($X132&lt;30,1,0))</formula>
    </cfRule>
    <cfRule type="expression" dxfId="11413" priority="4579">
      <formula>AND(IF($Q132=3,1,0),IF($X132&lt;30,1,0))</formula>
    </cfRule>
    <cfRule type="expression" dxfId="11412" priority="4580">
      <formula>AND(IF($Q132=3,1,IF($Q132=4,1,0)),IF($F132&lt;=85,1,0))</formula>
    </cfRule>
  </conditionalFormatting>
  <conditionalFormatting sqref="AI132">
    <cfRule type="expression" dxfId="11411" priority="4573">
      <formula>AND(IF(OR($Q132=1,$Q132=2),1,0),IF($X132&lt;=20,1,0))</formula>
    </cfRule>
    <cfRule type="expression" dxfId="11410" priority="4574">
      <formula>AND(IF($Q132=2,1,0),IF($X132&lt;30,1,0))</formula>
    </cfRule>
    <cfRule type="expression" dxfId="11409" priority="4575">
      <formula>AND(IF($Q132=3,1,0),IF($X132&lt;30,1,0))</formula>
    </cfRule>
    <cfRule type="expression" dxfId="11408" priority="4576">
      <formula>AND(IF($Q132=3,1,IF($Q132=4,1,0)),IF($F132&lt;=85,1,0))</formula>
    </cfRule>
  </conditionalFormatting>
  <conditionalFormatting sqref="AV133">
    <cfRule type="expression" dxfId="11407" priority="4571">
      <formula>AV133="X"</formula>
    </cfRule>
    <cfRule type="expression" dxfId="11406" priority="4572">
      <formula>AV133="후보"</formula>
    </cfRule>
  </conditionalFormatting>
  <conditionalFormatting sqref="AC133">
    <cfRule type="cellIs" dxfId="11405" priority="4569" operator="greaterThan">
      <formula>0.9</formula>
    </cfRule>
    <cfRule type="cellIs" dxfId="11404" priority="4570" operator="greaterThan">
      <formula>0.85</formula>
    </cfRule>
  </conditionalFormatting>
  <conditionalFormatting sqref="N133">
    <cfRule type="cellIs" dxfId="11403" priority="4567" operator="greaterThan">
      <formula>0.9</formula>
    </cfRule>
    <cfRule type="cellIs" dxfId="11402" priority="4568" operator="greaterThan">
      <formula>0.85</formula>
    </cfRule>
  </conditionalFormatting>
  <conditionalFormatting sqref="E133">
    <cfRule type="expression" dxfId="11401" priority="4563">
      <formula>AND(IF(OR($Q133=1,$Q133=2),1,0),IF($X133&lt;=20,1,0))</formula>
    </cfRule>
    <cfRule type="expression" dxfId="11400" priority="4564">
      <formula>AND(IF($Q133=2,1,0),IF($X133&lt;30,1,0))</formula>
    </cfRule>
    <cfRule type="expression" dxfId="11399" priority="4565">
      <formula>AND(IF($Q133=3,1,0),IF($X133&lt;30,1,0))</formula>
    </cfRule>
    <cfRule type="expression" dxfId="11398" priority="4566">
      <formula>AND(IF($Q133=3,1,IF($Q133=4,1,0)),IF($F133&lt;=85,1,0))</formula>
    </cfRule>
  </conditionalFormatting>
  <conditionalFormatting sqref="X133">
    <cfRule type="expression" dxfId="11397" priority="4559">
      <formula>AND(IF(OR($Q133=1,$Q133=2),1,0),IF($X133&lt;=20,1,0))</formula>
    </cfRule>
    <cfRule type="expression" dxfId="11396" priority="4560">
      <formula>AND(IF($Q133=2,1,0),IF($X133&lt;30,1,0))</formula>
    </cfRule>
    <cfRule type="expression" dxfId="11395" priority="4561">
      <formula>AND(IF($Q133=3,1,0),IF($X133&lt;30,1,0))</formula>
    </cfRule>
    <cfRule type="expression" dxfId="11394" priority="4562">
      <formula>AND(IF($Q133=3,1,IF($Q133=4,1,0)),IF($F133&lt;=85,1,0))</formula>
    </cfRule>
  </conditionalFormatting>
  <conditionalFormatting sqref="AI133">
    <cfRule type="expression" dxfId="11393" priority="4555">
      <formula>AND(IF(OR($Q133=1,$Q133=2),1,0),IF($X133&lt;=20,1,0))</formula>
    </cfRule>
    <cfRule type="expression" dxfId="11392" priority="4556">
      <formula>AND(IF($Q133=2,1,0),IF($X133&lt;30,1,0))</formula>
    </cfRule>
    <cfRule type="expression" dxfId="11391" priority="4557">
      <formula>AND(IF($Q133=3,1,0),IF($X133&lt;30,1,0))</formula>
    </cfRule>
    <cfRule type="expression" dxfId="11390" priority="4558">
      <formula>AND(IF($Q133=3,1,IF($Q133=4,1,0)),IF($F133&lt;=85,1,0))</formula>
    </cfRule>
  </conditionalFormatting>
  <conditionalFormatting sqref="AV134">
    <cfRule type="expression" dxfId="11389" priority="4553">
      <formula>AV134="X"</formula>
    </cfRule>
    <cfRule type="expression" dxfId="11388" priority="4554">
      <formula>AV134="후보"</formula>
    </cfRule>
  </conditionalFormatting>
  <conditionalFormatting sqref="AC134">
    <cfRule type="cellIs" dxfId="11387" priority="4551" operator="greaterThan">
      <formula>0.9</formula>
    </cfRule>
    <cfRule type="cellIs" dxfId="11386" priority="4552" operator="greaterThan">
      <formula>0.85</formula>
    </cfRule>
  </conditionalFormatting>
  <conditionalFormatting sqref="N134">
    <cfRule type="cellIs" dxfId="11385" priority="4549" operator="greaterThan">
      <formula>0.9</formula>
    </cfRule>
    <cfRule type="cellIs" dxfId="11384" priority="4550" operator="greaterThan">
      <formula>0.85</formula>
    </cfRule>
  </conditionalFormatting>
  <conditionalFormatting sqref="E134">
    <cfRule type="expression" dxfId="11383" priority="4545">
      <formula>AND(IF(OR($Q134=1,$Q134=2),1,0),IF($X134&lt;=20,1,0))</formula>
    </cfRule>
    <cfRule type="expression" dxfId="11382" priority="4546">
      <formula>AND(IF($Q134=2,1,0),IF($X134&lt;30,1,0))</formula>
    </cfRule>
    <cfRule type="expression" dxfId="11381" priority="4547">
      <formula>AND(IF($Q134=3,1,0),IF($X134&lt;30,1,0))</formula>
    </cfRule>
    <cfRule type="expression" dxfId="11380" priority="4548">
      <formula>AND(IF($Q134=3,1,IF($Q134=4,1,0)),IF($F134&lt;=85,1,0))</formula>
    </cfRule>
  </conditionalFormatting>
  <conditionalFormatting sqref="X134">
    <cfRule type="expression" dxfId="11379" priority="4541">
      <formula>AND(IF(OR($Q134=1,$Q134=2),1,0),IF($X134&lt;=20,1,0))</formula>
    </cfRule>
    <cfRule type="expression" dxfId="11378" priority="4542">
      <formula>AND(IF($Q134=2,1,0),IF($X134&lt;30,1,0))</formula>
    </cfRule>
    <cfRule type="expression" dxfId="11377" priority="4543">
      <formula>AND(IF($Q134=3,1,0),IF($X134&lt;30,1,0))</formula>
    </cfRule>
    <cfRule type="expression" dxfId="11376" priority="4544">
      <formula>AND(IF($Q134=3,1,IF($Q134=4,1,0)),IF($F134&lt;=85,1,0))</formula>
    </cfRule>
  </conditionalFormatting>
  <conditionalFormatting sqref="AI134">
    <cfRule type="expression" dxfId="11375" priority="4537">
      <formula>AND(IF(OR($Q134=1,$Q134=2),1,0),IF($X134&lt;=20,1,0))</formula>
    </cfRule>
    <cfRule type="expression" dxfId="11374" priority="4538">
      <formula>AND(IF($Q134=2,1,0),IF($X134&lt;30,1,0))</formula>
    </cfRule>
    <cfRule type="expression" dxfId="11373" priority="4539">
      <formula>AND(IF($Q134=3,1,0),IF($X134&lt;30,1,0))</formula>
    </cfRule>
    <cfRule type="expression" dxfId="11372" priority="4540">
      <formula>AND(IF($Q134=3,1,IF($Q134=4,1,0)),IF($F134&lt;=85,1,0))</formula>
    </cfRule>
  </conditionalFormatting>
  <conditionalFormatting sqref="AV135">
    <cfRule type="expression" dxfId="11371" priority="4535">
      <formula>AV135="X"</formula>
    </cfRule>
    <cfRule type="expression" dxfId="11370" priority="4536">
      <formula>AV135="후보"</formula>
    </cfRule>
  </conditionalFormatting>
  <conditionalFormatting sqref="AC135">
    <cfRule type="cellIs" dxfId="11369" priority="4533" operator="greaterThan">
      <formula>0.9</formula>
    </cfRule>
    <cfRule type="cellIs" dxfId="11368" priority="4534" operator="greaterThan">
      <formula>0.85</formula>
    </cfRule>
  </conditionalFormatting>
  <conditionalFormatting sqref="N135">
    <cfRule type="cellIs" dxfId="11367" priority="4531" operator="greaterThan">
      <formula>0.9</formula>
    </cfRule>
    <cfRule type="cellIs" dxfId="11366" priority="4532" operator="greaterThan">
      <formula>0.85</formula>
    </cfRule>
  </conditionalFormatting>
  <conditionalFormatting sqref="E135">
    <cfRule type="expression" dxfId="11365" priority="4527">
      <formula>AND(IF(OR($Q135=1,$Q135=2),1,0),IF($X135&lt;=20,1,0))</formula>
    </cfRule>
    <cfRule type="expression" dxfId="11364" priority="4528">
      <formula>AND(IF($Q135=2,1,0),IF($X135&lt;30,1,0))</formula>
    </cfRule>
    <cfRule type="expression" dxfId="11363" priority="4529">
      <formula>AND(IF($Q135=3,1,0),IF($X135&lt;30,1,0))</formula>
    </cfRule>
    <cfRule type="expression" dxfId="11362" priority="4530">
      <formula>AND(IF($Q135=3,1,IF($Q135=4,1,0)),IF($F135&lt;=85,1,0))</formula>
    </cfRule>
  </conditionalFormatting>
  <conditionalFormatting sqref="X135">
    <cfRule type="expression" dxfId="11361" priority="4523">
      <formula>AND(IF(OR($Q135=1,$Q135=2),1,0),IF($X135&lt;=20,1,0))</formula>
    </cfRule>
    <cfRule type="expression" dxfId="11360" priority="4524">
      <formula>AND(IF($Q135=2,1,0),IF($X135&lt;30,1,0))</formula>
    </cfRule>
    <cfRule type="expression" dxfId="11359" priority="4525">
      <formula>AND(IF($Q135=3,1,0),IF($X135&lt;30,1,0))</formula>
    </cfRule>
    <cfRule type="expression" dxfId="11358" priority="4526">
      <formula>AND(IF($Q135=3,1,IF($Q135=4,1,0)),IF($F135&lt;=85,1,0))</formula>
    </cfRule>
  </conditionalFormatting>
  <conditionalFormatting sqref="AI135">
    <cfRule type="expression" dxfId="11357" priority="4519">
      <formula>AND(IF(OR($Q135=1,$Q135=2),1,0),IF($X135&lt;=20,1,0))</formula>
    </cfRule>
    <cfRule type="expression" dxfId="11356" priority="4520">
      <formula>AND(IF($Q135=2,1,0),IF($X135&lt;30,1,0))</formula>
    </cfRule>
    <cfRule type="expression" dxfId="11355" priority="4521">
      <formula>AND(IF($Q135=3,1,0),IF($X135&lt;30,1,0))</formula>
    </cfRule>
    <cfRule type="expression" dxfId="11354" priority="4522">
      <formula>AND(IF($Q135=3,1,IF($Q135=4,1,0)),IF($F135&lt;=85,1,0))</formula>
    </cfRule>
  </conditionalFormatting>
  <conditionalFormatting sqref="AV136">
    <cfRule type="expression" dxfId="11353" priority="4517">
      <formula>AV136="X"</formula>
    </cfRule>
    <cfRule type="expression" dxfId="11352" priority="4518">
      <formula>AV136="후보"</formula>
    </cfRule>
  </conditionalFormatting>
  <conditionalFormatting sqref="AC136">
    <cfRule type="cellIs" dxfId="11351" priority="4515" operator="greaterThan">
      <formula>0.9</formula>
    </cfRule>
    <cfRule type="cellIs" dxfId="11350" priority="4516" operator="greaterThan">
      <formula>0.85</formula>
    </cfRule>
  </conditionalFormatting>
  <conditionalFormatting sqref="N136">
    <cfRule type="cellIs" dxfId="11349" priority="4513" operator="greaterThan">
      <formula>0.9</formula>
    </cfRule>
    <cfRule type="cellIs" dxfId="11348" priority="4514" operator="greaterThan">
      <formula>0.85</formula>
    </cfRule>
  </conditionalFormatting>
  <conditionalFormatting sqref="E136">
    <cfRule type="expression" dxfId="11347" priority="4509">
      <formula>AND(IF(OR($Q136=1,$Q136=2),1,0),IF($X136&lt;=20,1,0))</formula>
    </cfRule>
    <cfRule type="expression" dxfId="11346" priority="4510">
      <formula>AND(IF($Q136=2,1,0),IF($X136&lt;30,1,0))</formula>
    </cfRule>
    <cfRule type="expression" dxfId="11345" priority="4511">
      <formula>AND(IF($Q136=3,1,0),IF($X136&lt;30,1,0))</formula>
    </cfRule>
    <cfRule type="expression" dxfId="11344" priority="4512">
      <formula>AND(IF($Q136=3,1,IF($Q136=4,1,0)),IF($F136&lt;=85,1,0))</formula>
    </cfRule>
  </conditionalFormatting>
  <conditionalFormatting sqref="X136">
    <cfRule type="expression" dxfId="11343" priority="4505">
      <formula>AND(IF(OR($Q136=1,$Q136=2),1,0),IF($X136&lt;=20,1,0))</formula>
    </cfRule>
    <cfRule type="expression" dxfId="11342" priority="4506">
      <formula>AND(IF($Q136=2,1,0),IF($X136&lt;30,1,0))</formula>
    </cfRule>
    <cfRule type="expression" dxfId="11341" priority="4507">
      <formula>AND(IF($Q136=3,1,0),IF($X136&lt;30,1,0))</formula>
    </cfRule>
    <cfRule type="expression" dxfId="11340" priority="4508">
      <formula>AND(IF($Q136=3,1,IF($Q136=4,1,0)),IF($F136&lt;=85,1,0))</formula>
    </cfRule>
  </conditionalFormatting>
  <conditionalFormatting sqref="AI136">
    <cfRule type="expression" dxfId="11339" priority="4501">
      <formula>AND(IF(OR($Q136=1,$Q136=2),1,0),IF($X136&lt;=20,1,0))</formula>
    </cfRule>
    <cfRule type="expression" dxfId="11338" priority="4502">
      <formula>AND(IF($Q136=2,1,0),IF($X136&lt;30,1,0))</formula>
    </cfRule>
    <cfRule type="expression" dxfId="11337" priority="4503">
      <formula>AND(IF($Q136=3,1,0),IF($X136&lt;30,1,0))</formula>
    </cfRule>
    <cfRule type="expression" dxfId="11336" priority="4504">
      <formula>AND(IF($Q136=3,1,IF($Q136=4,1,0)),IF($F136&lt;=85,1,0))</formula>
    </cfRule>
  </conditionalFormatting>
  <conditionalFormatting sqref="AV137">
    <cfRule type="expression" dxfId="11335" priority="4499">
      <formula>AV137="X"</formula>
    </cfRule>
    <cfRule type="expression" dxfId="11334" priority="4500">
      <formula>AV137="후보"</formula>
    </cfRule>
  </conditionalFormatting>
  <conditionalFormatting sqref="AC137">
    <cfRule type="cellIs" dxfId="11333" priority="4497" operator="greaterThan">
      <formula>0.9</formula>
    </cfRule>
    <cfRule type="cellIs" dxfId="11332" priority="4498" operator="greaterThan">
      <formula>0.85</formula>
    </cfRule>
  </conditionalFormatting>
  <conditionalFormatting sqref="N137">
    <cfRule type="cellIs" dxfId="11331" priority="4495" operator="greaterThan">
      <formula>0.9</formula>
    </cfRule>
    <cfRule type="cellIs" dxfId="11330" priority="4496" operator="greaterThan">
      <formula>0.85</formula>
    </cfRule>
  </conditionalFormatting>
  <conditionalFormatting sqref="E137">
    <cfRule type="expression" dxfId="11329" priority="4491">
      <formula>AND(IF(OR($Q137=1,$Q137=2),1,0),IF($X137&lt;=20,1,0))</formula>
    </cfRule>
    <cfRule type="expression" dxfId="11328" priority="4492">
      <formula>AND(IF($Q137=2,1,0),IF($X137&lt;30,1,0))</formula>
    </cfRule>
    <cfRule type="expression" dxfId="11327" priority="4493">
      <formula>AND(IF($Q137=3,1,0),IF($X137&lt;30,1,0))</formula>
    </cfRule>
    <cfRule type="expression" dxfId="11326" priority="4494">
      <formula>AND(IF($Q137=3,1,IF($Q137=4,1,0)),IF($F137&lt;=85,1,0))</formula>
    </cfRule>
  </conditionalFormatting>
  <conditionalFormatting sqref="X137">
    <cfRule type="expression" dxfId="11325" priority="4487">
      <formula>AND(IF(OR($Q137=1,$Q137=2),1,0),IF($X137&lt;=20,1,0))</formula>
    </cfRule>
    <cfRule type="expression" dxfId="11324" priority="4488">
      <formula>AND(IF($Q137=2,1,0),IF($X137&lt;30,1,0))</formula>
    </cfRule>
    <cfRule type="expression" dxfId="11323" priority="4489">
      <formula>AND(IF($Q137=3,1,0),IF($X137&lt;30,1,0))</formula>
    </cfRule>
    <cfRule type="expression" dxfId="11322" priority="4490">
      <formula>AND(IF($Q137=3,1,IF($Q137=4,1,0)),IF($F137&lt;=85,1,0))</formula>
    </cfRule>
  </conditionalFormatting>
  <conditionalFormatting sqref="AI137">
    <cfRule type="expression" dxfId="11321" priority="4483">
      <formula>AND(IF(OR($Q137=1,$Q137=2),1,0),IF($X137&lt;=20,1,0))</formula>
    </cfRule>
    <cfRule type="expression" dxfId="11320" priority="4484">
      <formula>AND(IF($Q137=2,1,0),IF($X137&lt;30,1,0))</formula>
    </cfRule>
    <cfRule type="expression" dxfId="11319" priority="4485">
      <formula>AND(IF($Q137=3,1,0),IF($X137&lt;30,1,0))</formula>
    </cfRule>
    <cfRule type="expression" dxfId="11318" priority="4486">
      <formula>AND(IF($Q137=3,1,IF($Q137=4,1,0)),IF($F137&lt;=85,1,0))</formula>
    </cfRule>
  </conditionalFormatting>
  <conditionalFormatting sqref="AV138">
    <cfRule type="expression" dxfId="11317" priority="4481">
      <formula>AV138="X"</formula>
    </cfRule>
    <cfRule type="expression" dxfId="11316" priority="4482">
      <formula>AV138="후보"</formula>
    </cfRule>
  </conditionalFormatting>
  <conditionalFormatting sqref="AC138">
    <cfRule type="cellIs" dxfId="11315" priority="4479" operator="greaterThan">
      <formula>0.9</formula>
    </cfRule>
    <cfRule type="cellIs" dxfId="11314" priority="4480" operator="greaterThan">
      <formula>0.85</formula>
    </cfRule>
  </conditionalFormatting>
  <conditionalFormatting sqref="N138">
    <cfRule type="cellIs" dxfId="11313" priority="4477" operator="greaterThan">
      <formula>0.9</formula>
    </cfRule>
    <cfRule type="cellIs" dxfId="11312" priority="4478" operator="greaterThan">
      <formula>0.85</formula>
    </cfRule>
  </conditionalFormatting>
  <conditionalFormatting sqref="E138">
    <cfRule type="expression" dxfId="11311" priority="4473">
      <formula>AND(IF(OR($Q138=1,$Q138=2),1,0),IF($X138&lt;=20,1,0))</formula>
    </cfRule>
    <cfRule type="expression" dxfId="11310" priority="4474">
      <formula>AND(IF($Q138=2,1,0),IF($X138&lt;30,1,0))</formula>
    </cfRule>
    <cfRule type="expression" dxfId="11309" priority="4475">
      <formula>AND(IF($Q138=3,1,0),IF($X138&lt;30,1,0))</formula>
    </cfRule>
    <cfRule type="expression" dxfId="11308" priority="4476">
      <formula>AND(IF($Q138=3,1,IF($Q138=4,1,0)),IF($F138&lt;=85,1,0))</formula>
    </cfRule>
  </conditionalFormatting>
  <conditionalFormatting sqref="X138">
    <cfRule type="expression" dxfId="11307" priority="4469">
      <formula>AND(IF(OR($Q138=1,$Q138=2),1,0),IF($X138&lt;=20,1,0))</formula>
    </cfRule>
    <cfRule type="expression" dxfId="11306" priority="4470">
      <formula>AND(IF($Q138=2,1,0),IF($X138&lt;30,1,0))</formula>
    </cfRule>
    <cfRule type="expression" dxfId="11305" priority="4471">
      <formula>AND(IF($Q138=3,1,0),IF($X138&lt;30,1,0))</formula>
    </cfRule>
    <cfRule type="expression" dxfId="11304" priority="4472">
      <formula>AND(IF($Q138=3,1,IF($Q138=4,1,0)),IF($F138&lt;=85,1,0))</formula>
    </cfRule>
  </conditionalFormatting>
  <conditionalFormatting sqref="AI138">
    <cfRule type="expression" dxfId="11303" priority="4465">
      <formula>AND(IF(OR($Q138=1,$Q138=2),1,0),IF($X138&lt;=20,1,0))</formula>
    </cfRule>
    <cfRule type="expression" dxfId="11302" priority="4466">
      <formula>AND(IF($Q138=2,1,0),IF($X138&lt;30,1,0))</formula>
    </cfRule>
    <cfRule type="expression" dxfId="11301" priority="4467">
      <formula>AND(IF($Q138=3,1,0),IF($X138&lt;30,1,0))</formula>
    </cfRule>
    <cfRule type="expression" dxfId="11300" priority="4468">
      <formula>AND(IF($Q138=3,1,IF($Q138=4,1,0)),IF($F138&lt;=85,1,0))</formula>
    </cfRule>
  </conditionalFormatting>
  <conditionalFormatting sqref="AV139">
    <cfRule type="expression" dxfId="11299" priority="4463">
      <formula>AV139="X"</formula>
    </cfRule>
    <cfRule type="expression" dxfId="11298" priority="4464">
      <formula>AV139="후보"</formula>
    </cfRule>
  </conditionalFormatting>
  <conditionalFormatting sqref="AC139">
    <cfRule type="cellIs" dxfId="11297" priority="4461" operator="greaterThan">
      <formula>0.9</formula>
    </cfRule>
    <cfRule type="cellIs" dxfId="11296" priority="4462" operator="greaterThan">
      <formula>0.85</formula>
    </cfRule>
  </conditionalFormatting>
  <conditionalFormatting sqref="N139">
    <cfRule type="cellIs" dxfId="11295" priority="4459" operator="greaterThan">
      <formula>0.9</formula>
    </cfRule>
    <cfRule type="cellIs" dxfId="11294" priority="4460" operator="greaterThan">
      <formula>0.85</formula>
    </cfRule>
  </conditionalFormatting>
  <conditionalFormatting sqref="E139">
    <cfRule type="expression" dxfId="11293" priority="4455">
      <formula>AND(IF(OR($Q139=1,$Q139=2),1,0),IF($X139&lt;=20,1,0))</formula>
    </cfRule>
    <cfRule type="expression" dxfId="11292" priority="4456">
      <formula>AND(IF($Q139=2,1,0),IF($X139&lt;30,1,0))</formula>
    </cfRule>
    <cfRule type="expression" dxfId="11291" priority="4457">
      <formula>AND(IF($Q139=3,1,0),IF($X139&lt;30,1,0))</formula>
    </cfRule>
    <cfRule type="expression" dxfId="11290" priority="4458">
      <formula>AND(IF($Q139=3,1,IF($Q139=4,1,0)),IF($F139&lt;=85,1,0))</formula>
    </cfRule>
  </conditionalFormatting>
  <conditionalFormatting sqref="X139">
    <cfRule type="expression" dxfId="11289" priority="4451">
      <formula>AND(IF(OR($Q139=1,$Q139=2),1,0),IF($X139&lt;=20,1,0))</formula>
    </cfRule>
    <cfRule type="expression" dxfId="11288" priority="4452">
      <formula>AND(IF($Q139=2,1,0),IF($X139&lt;30,1,0))</formula>
    </cfRule>
    <cfRule type="expression" dxfId="11287" priority="4453">
      <formula>AND(IF($Q139=3,1,0),IF($X139&lt;30,1,0))</formula>
    </cfRule>
    <cfRule type="expression" dxfId="11286" priority="4454">
      <formula>AND(IF($Q139=3,1,IF($Q139=4,1,0)),IF($F139&lt;=85,1,0))</formula>
    </cfRule>
  </conditionalFormatting>
  <conditionalFormatting sqref="AI139">
    <cfRule type="expression" dxfId="11285" priority="4447">
      <formula>AND(IF(OR($Q139=1,$Q139=2),1,0),IF($X139&lt;=20,1,0))</formula>
    </cfRule>
    <cfRule type="expression" dxfId="11284" priority="4448">
      <formula>AND(IF($Q139=2,1,0),IF($X139&lt;30,1,0))</formula>
    </cfRule>
    <cfRule type="expression" dxfId="11283" priority="4449">
      <formula>AND(IF($Q139=3,1,0),IF($X139&lt;30,1,0))</formula>
    </cfRule>
    <cfRule type="expression" dxfId="11282" priority="4450">
      <formula>AND(IF($Q139=3,1,IF($Q139=4,1,0)),IF($F139&lt;=85,1,0))</formula>
    </cfRule>
  </conditionalFormatting>
  <conditionalFormatting sqref="AV140">
    <cfRule type="expression" dxfId="11281" priority="4445">
      <formula>AV140="X"</formula>
    </cfRule>
    <cfRule type="expression" dxfId="11280" priority="4446">
      <formula>AV140="후보"</formula>
    </cfRule>
  </conditionalFormatting>
  <conditionalFormatting sqref="AC140">
    <cfRule type="cellIs" dxfId="11279" priority="4443" operator="greaterThan">
      <formula>0.9</formula>
    </cfRule>
    <cfRule type="cellIs" dxfId="11278" priority="4444" operator="greaterThan">
      <formula>0.85</formula>
    </cfRule>
  </conditionalFormatting>
  <conditionalFormatting sqref="N140">
    <cfRule type="cellIs" dxfId="11277" priority="4441" operator="greaterThan">
      <formula>0.9</formula>
    </cfRule>
    <cfRule type="cellIs" dxfId="11276" priority="4442" operator="greaterThan">
      <formula>0.85</formula>
    </cfRule>
  </conditionalFormatting>
  <conditionalFormatting sqref="E140">
    <cfRule type="expression" dxfId="11275" priority="4437">
      <formula>AND(IF(OR($Q140=1,$Q140=2),1,0),IF($X140&lt;=20,1,0))</formula>
    </cfRule>
    <cfRule type="expression" dxfId="11274" priority="4438">
      <formula>AND(IF($Q140=2,1,0),IF($X140&lt;30,1,0))</formula>
    </cfRule>
    <cfRule type="expression" dxfId="11273" priority="4439">
      <formula>AND(IF($Q140=3,1,0),IF($X140&lt;30,1,0))</formula>
    </cfRule>
    <cfRule type="expression" dxfId="11272" priority="4440">
      <formula>AND(IF($Q140=3,1,IF($Q140=4,1,0)),IF($F140&lt;=85,1,0))</formula>
    </cfRule>
  </conditionalFormatting>
  <conditionalFormatting sqref="X140">
    <cfRule type="expression" dxfId="11271" priority="4433">
      <formula>AND(IF(OR($Q140=1,$Q140=2),1,0),IF($X140&lt;=20,1,0))</formula>
    </cfRule>
    <cfRule type="expression" dxfId="11270" priority="4434">
      <formula>AND(IF($Q140=2,1,0),IF($X140&lt;30,1,0))</formula>
    </cfRule>
    <cfRule type="expression" dxfId="11269" priority="4435">
      <formula>AND(IF($Q140=3,1,0),IF($X140&lt;30,1,0))</formula>
    </cfRule>
    <cfRule type="expression" dxfId="11268" priority="4436">
      <formula>AND(IF($Q140=3,1,IF($Q140=4,1,0)),IF($F140&lt;=85,1,0))</formula>
    </cfRule>
  </conditionalFormatting>
  <conditionalFormatting sqref="AI140">
    <cfRule type="expression" dxfId="11267" priority="4429">
      <formula>AND(IF(OR($Q140=1,$Q140=2),1,0),IF($X140&lt;=20,1,0))</formula>
    </cfRule>
    <cfRule type="expression" dxfId="11266" priority="4430">
      <formula>AND(IF($Q140=2,1,0),IF($X140&lt;30,1,0))</formula>
    </cfRule>
    <cfRule type="expression" dxfId="11265" priority="4431">
      <formula>AND(IF($Q140=3,1,0),IF($X140&lt;30,1,0))</formula>
    </cfRule>
    <cfRule type="expression" dxfId="11264" priority="4432">
      <formula>AND(IF($Q140=3,1,IF($Q140=4,1,0)),IF($F140&lt;=85,1,0))</formula>
    </cfRule>
  </conditionalFormatting>
  <conditionalFormatting sqref="AV141">
    <cfRule type="expression" dxfId="11263" priority="4427">
      <formula>AV141="X"</formula>
    </cfRule>
    <cfRule type="expression" dxfId="11262" priority="4428">
      <formula>AV141="후보"</formula>
    </cfRule>
  </conditionalFormatting>
  <conditionalFormatting sqref="AC141">
    <cfRule type="cellIs" dxfId="11261" priority="4425" operator="greaterThan">
      <formula>0.9</formula>
    </cfRule>
    <cfRule type="cellIs" dxfId="11260" priority="4426" operator="greaterThan">
      <formula>0.85</formula>
    </cfRule>
  </conditionalFormatting>
  <conditionalFormatting sqref="N141">
    <cfRule type="cellIs" dxfId="11259" priority="4423" operator="greaterThan">
      <formula>0.9</formula>
    </cfRule>
    <cfRule type="cellIs" dxfId="11258" priority="4424" operator="greaterThan">
      <formula>0.85</formula>
    </cfRule>
  </conditionalFormatting>
  <conditionalFormatting sqref="E141">
    <cfRule type="expression" dxfId="11257" priority="4419">
      <formula>AND(IF(OR($Q141=1,$Q141=2),1,0),IF($X141&lt;=20,1,0))</formula>
    </cfRule>
    <cfRule type="expression" dxfId="11256" priority="4420">
      <formula>AND(IF($Q141=2,1,0),IF($X141&lt;30,1,0))</formula>
    </cfRule>
    <cfRule type="expression" dxfId="11255" priority="4421">
      <formula>AND(IF($Q141=3,1,0),IF($X141&lt;30,1,0))</formula>
    </cfRule>
    <cfRule type="expression" dxfId="11254" priority="4422">
      <formula>AND(IF($Q141=3,1,IF($Q141=4,1,0)),IF($F141&lt;=85,1,0))</formula>
    </cfRule>
  </conditionalFormatting>
  <conditionalFormatting sqref="X141">
    <cfRule type="expression" dxfId="11253" priority="4415">
      <formula>AND(IF(OR($Q141=1,$Q141=2),1,0),IF($X141&lt;=20,1,0))</formula>
    </cfRule>
    <cfRule type="expression" dxfId="11252" priority="4416">
      <formula>AND(IF($Q141=2,1,0),IF($X141&lt;30,1,0))</formula>
    </cfRule>
    <cfRule type="expression" dxfId="11251" priority="4417">
      <formula>AND(IF($Q141=3,1,0),IF($X141&lt;30,1,0))</formula>
    </cfRule>
    <cfRule type="expression" dxfId="11250" priority="4418">
      <formula>AND(IF($Q141=3,1,IF($Q141=4,1,0)),IF($F141&lt;=85,1,0))</formula>
    </cfRule>
  </conditionalFormatting>
  <conditionalFormatting sqref="AI141">
    <cfRule type="expression" dxfId="11249" priority="4411">
      <formula>AND(IF(OR($Q141=1,$Q141=2),1,0),IF($X141&lt;=20,1,0))</formula>
    </cfRule>
    <cfRule type="expression" dxfId="11248" priority="4412">
      <formula>AND(IF($Q141=2,1,0),IF($X141&lt;30,1,0))</formula>
    </cfRule>
    <cfRule type="expression" dxfId="11247" priority="4413">
      <formula>AND(IF($Q141=3,1,0),IF($X141&lt;30,1,0))</formula>
    </cfRule>
    <cfRule type="expression" dxfId="11246" priority="4414">
      <formula>AND(IF($Q141=3,1,IF($Q141=4,1,0)),IF($F141&lt;=85,1,0))</formula>
    </cfRule>
  </conditionalFormatting>
  <conditionalFormatting sqref="AV142">
    <cfRule type="expression" dxfId="11245" priority="4409">
      <formula>AV142="X"</formula>
    </cfRule>
    <cfRule type="expression" dxfId="11244" priority="4410">
      <formula>AV142="후보"</formula>
    </cfRule>
  </conditionalFormatting>
  <conditionalFormatting sqref="AC142">
    <cfRule type="cellIs" dxfId="11243" priority="4407" operator="greaterThan">
      <formula>0.9</formula>
    </cfRule>
    <cfRule type="cellIs" dxfId="11242" priority="4408" operator="greaterThan">
      <formula>0.85</formula>
    </cfRule>
  </conditionalFormatting>
  <conditionalFormatting sqref="N142">
    <cfRule type="cellIs" dxfId="11241" priority="4405" operator="greaterThan">
      <formula>0.9</formula>
    </cfRule>
    <cfRule type="cellIs" dxfId="11240" priority="4406" operator="greaterThan">
      <formula>0.85</formula>
    </cfRule>
  </conditionalFormatting>
  <conditionalFormatting sqref="E142">
    <cfRule type="expression" dxfId="11239" priority="4401">
      <formula>AND(IF(OR($Q142=1,$Q142=2),1,0),IF($X142&lt;=20,1,0))</formula>
    </cfRule>
    <cfRule type="expression" dxfId="11238" priority="4402">
      <formula>AND(IF($Q142=2,1,0),IF($X142&lt;30,1,0))</formula>
    </cfRule>
    <cfRule type="expression" dxfId="11237" priority="4403">
      <formula>AND(IF($Q142=3,1,0),IF($X142&lt;30,1,0))</formula>
    </cfRule>
    <cfRule type="expression" dxfId="11236" priority="4404">
      <formula>AND(IF($Q142=3,1,IF($Q142=4,1,0)),IF($F142&lt;=85,1,0))</formula>
    </cfRule>
  </conditionalFormatting>
  <conditionalFormatting sqref="X142">
    <cfRule type="expression" dxfId="11235" priority="4397">
      <formula>AND(IF(OR($Q142=1,$Q142=2),1,0),IF($X142&lt;=20,1,0))</formula>
    </cfRule>
    <cfRule type="expression" dxfId="11234" priority="4398">
      <formula>AND(IF($Q142=2,1,0),IF($X142&lt;30,1,0))</formula>
    </cfRule>
    <cfRule type="expression" dxfId="11233" priority="4399">
      <formula>AND(IF($Q142=3,1,0),IF($X142&lt;30,1,0))</formula>
    </cfRule>
    <cfRule type="expression" dxfId="11232" priority="4400">
      <formula>AND(IF($Q142=3,1,IF($Q142=4,1,0)),IF($F142&lt;=85,1,0))</formula>
    </cfRule>
  </conditionalFormatting>
  <conditionalFormatting sqref="AI142">
    <cfRule type="expression" dxfId="11231" priority="4393">
      <formula>AND(IF(OR($Q142=1,$Q142=2),1,0),IF($X142&lt;=20,1,0))</formula>
    </cfRule>
    <cfRule type="expression" dxfId="11230" priority="4394">
      <formula>AND(IF($Q142=2,1,0),IF($X142&lt;30,1,0))</formula>
    </cfRule>
    <cfRule type="expression" dxfId="11229" priority="4395">
      <formula>AND(IF($Q142=3,1,0),IF($X142&lt;30,1,0))</formula>
    </cfRule>
    <cfRule type="expression" dxfId="11228" priority="4396">
      <formula>AND(IF($Q142=3,1,IF($Q142=4,1,0)),IF($F142&lt;=85,1,0))</formula>
    </cfRule>
  </conditionalFormatting>
  <conditionalFormatting sqref="AV143">
    <cfRule type="expression" dxfId="11227" priority="4391">
      <formula>AV143="X"</formula>
    </cfRule>
    <cfRule type="expression" dxfId="11226" priority="4392">
      <formula>AV143="후보"</formula>
    </cfRule>
  </conditionalFormatting>
  <conditionalFormatting sqref="AC143">
    <cfRule type="cellIs" dxfId="11225" priority="4389" operator="greaterThan">
      <formula>0.9</formula>
    </cfRule>
    <cfRule type="cellIs" dxfId="11224" priority="4390" operator="greaterThan">
      <formula>0.85</formula>
    </cfRule>
  </conditionalFormatting>
  <conditionalFormatting sqref="N143">
    <cfRule type="cellIs" dxfId="11223" priority="4387" operator="greaterThan">
      <formula>0.9</formula>
    </cfRule>
    <cfRule type="cellIs" dxfId="11222" priority="4388" operator="greaterThan">
      <formula>0.85</formula>
    </cfRule>
  </conditionalFormatting>
  <conditionalFormatting sqref="E143">
    <cfRule type="expression" dxfId="11221" priority="4383">
      <formula>AND(IF(OR($Q143=1,$Q143=2),1,0),IF($X143&lt;=20,1,0))</formula>
    </cfRule>
    <cfRule type="expression" dxfId="11220" priority="4384">
      <formula>AND(IF($Q143=2,1,0),IF($X143&lt;30,1,0))</formula>
    </cfRule>
    <cfRule type="expression" dxfId="11219" priority="4385">
      <formula>AND(IF($Q143=3,1,0),IF($X143&lt;30,1,0))</formula>
    </cfRule>
    <cfRule type="expression" dxfId="11218" priority="4386">
      <formula>AND(IF($Q143=3,1,IF($Q143=4,1,0)),IF($F143&lt;=85,1,0))</formula>
    </cfRule>
  </conditionalFormatting>
  <conditionalFormatting sqref="X143">
    <cfRule type="expression" dxfId="11217" priority="4379">
      <formula>AND(IF(OR($Q143=1,$Q143=2),1,0),IF($X143&lt;=20,1,0))</formula>
    </cfRule>
    <cfRule type="expression" dxfId="11216" priority="4380">
      <formula>AND(IF($Q143=2,1,0),IF($X143&lt;30,1,0))</formula>
    </cfRule>
    <cfRule type="expression" dxfId="11215" priority="4381">
      <formula>AND(IF($Q143=3,1,0),IF($X143&lt;30,1,0))</formula>
    </cfRule>
    <cfRule type="expression" dxfId="11214" priority="4382">
      <formula>AND(IF($Q143=3,1,IF($Q143=4,1,0)),IF($F143&lt;=85,1,0))</formula>
    </cfRule>
  </conditionalFormatting>
  <conditionalFormatting sqref="AI143">
    <cfRule type="expression" dxfId="11213" priority="4375">
      <formula>AND(IF(OR($Q143=1,$Q143=2),1,0),IF($X143&lt;=20,1,0))</formula>
    </cfRule>
    <cfRule type="expression" dxfId="11212" priority="4376">
      <formula>AND(IF($Q143=2,1,0),IF($X143&lt;30,1,0))</formula>
    </cfRule>
    <cfRule type="expression" dxfId="11211" priority="4377">
      <formula>AND(IF($Q143=3,1,0),IF($X143&lt;30,1,0))</formula>
    </cfRule>
    <cfRule type="expression" dxfId="11210" priority="4378">
      <formula>AND(IF($Q143=3,1,IF($Q143=4,1,0)),IF($F143&lt;=85,1,0))</formula>
    </cfRule>
  </conditionalFormatting>
  <conditionalFormatting sqref="AV144">
    <cfRule type="expression" dxfId="11209" priority="4373">
      <formula>AV144="X"</formula>
    </cfRule>
    <cfRule type="expression" dxfId="11208" priority="4374">
      <formula>AV144="후보"</formula>
    </cfRule>
  </conditionalFormatting>
  <conditionalFormatting sqref="AC144">
    <cfRule type="cellIs" dxfId="11207" priority="4371" operator="greaterThan">
      <formula>0.9</formula>
    </cfRule>
    <cfRule type="cellIs" dxfId="11206" priority="4372" operator="greaterThan">
      <formula>0.85</formula>
    </cfRule>
  </conditionalFormatting>
  <conditionalFormatting sqref="N144">
    <cfRule type="cellIs" dxfId="11205" priority="4369" operator="greaterThan">
      <formula>0.9</formula>
    </cfRule>
    <cfRule type="cellIs" dxfId="11204" priority="4370" operator="greaterThan">
      <formula>0.85</formula>
    </cfRule>
  </conditionalFormatting>
  <conditionalFormatting sqref="E144">
    <cfRule type="expression" dxfId="11203" priority="4365">
      <formula>AND(IF(OR($Q144=1,$Q144=2),1,0),IF($X144&lt;=20,1,0))</formula>
    </cfRule>
    <cfRule type="expression" dxfId="11202" priority="4366">
      <formula>AND(IF($Q144=2,1,0),IF($X144&lt;30,1,0))</formula>
    </cfRule>
    <cfRule type="expression" dxfId="11201" priority="4367">
      <formula>AND(IF($Q144=3,1,0),IF($X144&lt;30,1,0))</formula>
    </cfRule>
    <cfRule type="expression" dxfId="11200" priority="4368">
      <formula>AND(IF($Q144=3,1,IF($Q144=4,1,0)),IF($F144&lt;=85,1,0))</formula>
    </cfRule>
  </conditionalFormatting>
  <conditionalFormatting sqref="X144">
    <cfRule type="expression" dxfId="11199" priority="4361">
      <formula>AND(IF(OR($Q144=1,$Q144=2),1,0),IF($X144&lt;=20,1,0))</formula>
    </cfRule>
    <cfRule type="expression" dxfId="11198" priority="4362">
      <formula>AND(IF($Q144=2,1,0),IF($X144&lt;30,1,0))</formula>
    </cfRule>
    <cfRule type="expression" dxfId="11197" priority="4363">
      <formula>AND(IF($Q144=3,1,0),IF($X144&lt;30,1,0))</formula>
    </cfRule>
    <cfRule type="expression" dxfId="11196" priority="4364">
      <formula>AND(IF($Q144=3,1,IF($Q144=4,1,0)),IF($F144&lt;=85,1,0))</formula>
    </cfRule>
  </conditionalFormatting>
  <conditionalFormatting sqref="AI144">
    <cfRule type="expression" dxfId="11195" priority="4357">
      <formula>AND(IF(OR($Q144=1,$Q144=2),1,0),IF($X144&lt;=20,1,0))</formula>
    </cfRule>
    <cfRule type="expression" dxfId="11194" priority="4358">
      <formula>AND(IF($Q144=2,1,0),IF($X144&lt;30,1,0))</formula>
    </cfRule>
    <cfRule type="expression" dxfId="11193" priority="4359">
      <formula>AND(IF($Q144=3,1,0),IF($X144&lt;30,1,0))</formula>
    </cfRule>
    <cfRule type="expression" dxfId="11192" priority="4360">
      <formula>AND(IF($Q144=3,1,IF($Q144=4,1,0)),IF($F144&lt;=85,1,0))</formula>
    </cfRule>
  </conditionalFormatting>
  <conditionalFormatting sqref="AV145">
    <cfRule type="expression" dxfId="11191" priority="4355">
      <formula>AV145="X"</formula>
    </cfRule>
    <cfRule type="expression" dxfId="11190" priority="4356">
      <formula>AV145="후보"</formula>
    </cfRule>
  </conditionalFormatting>
  <conditionalFormatting sqref="AC145">
    <cfRule type="cellIs" dxfId="11189" priority="4353" operator="greaterThan">
      <formula>0.9</formula>
    </cfRule>
    <cfRule type="cellIs" dxfId="11188" priority="4354" operator="greaterThan">
      <formula>0.85</formula>
    </cfRule>
  </conditionalFormatting>
  <conditionalFormatting sqref="N145">
    <cfRule type="cellIs" dxfId="11187" priority="4351" operator="greaterThan">
      <formula>0.9</formula>
    </cfRule>
    <cfRule type="cellIs" dxfId="11186" priority="4352" operator="greaterThan">
      <formula>0.85</formula>
    </cfRule>
  </conditionalFormatting>
  <conditionalFormatting sqref="E145">
    <cfRule type="expression" dxfId="11185" priority="4347">
      <formula>AND(IF(OR($Q145=1,$Q145=2),1,0),IF($X145&lt;=20,1,0))</formula>
    </cfRule>
    <cfRule type="expression" dxfId="11184" priority="4348">
      <formula>AND(IF($Q145=2,1,0),IF($X145&lt;30,1,0))</formula>
    </cfRule>
    <cfRule type="expression" dxfId="11183" priority="4349">
      <formula>AND(IF($Q145=3,1,0),IF($X145&lt;30,1,0))</formula>
    </cfRule>
    <cfRule type="expression" dxfId="11182" priority="4350">
      <formula>AND(IF($Q145=3,1,IF($Q145=4,1,0)),IF($F145&lt;=85,1,0))</formula>
    </cfRule>
  </conditionalFormatting>
  <conditionalFormatting sqref="X145">
    <cfRule type="expression" dxfId="11181" priority="4343">
      <formula>AND(IF(OR($Q145=1,$Q145=2),1,0),IF($X145&lt;=20,1,0))</formula>
    </cfRule>
    <cfRule type="expression" dxfId="11180" priority="4344">
      <formula>AND(IF($Q145=2,1,0),IF($X145&lt;30,1,0))</formula>
    </cfRule>
    <cfRule type="expression" dxfId="11179" priority="4345">
      <formula>AND(IF($Q145=3,1,0),IF($X145&lt;30,1,0))</formula>
    </cfRule>
    <cfRule type="expression" dxfId="11178" priority="4346">
      <formula>AND(IF($Q145=3,1,IF($Q145=4,1,0)),IF($F145&lt;=85,1,0))</formula>
    </cfRule>
  </conditionalFormatting>
  <conditionalFormatting sqref="AI145">
    <cfRule type="expression" dxfId="11177" priority="4339">
      <formula>AND(IF(OR($Q145=1,$Q145=2),1,0),IF($X145&lt;=20,1,0))</formula>
    </cfRule>
    <cfRule type="expression" dxfId="11176" priority="4340">
      <formula>AND(IF($Q145=2,1,0),IF($X145&lt;30,1,0))</formula>
    </cfRule>
    <cfRule type="expression" dxfId="11175" priority="4341">
      <formula>AND(IF($Q145=3,1,0),IF($X145&lt;30,1,0))</formula>
    </cfRule>
    <cfRule type="expression" dxfId="11174" priority="4342">
      <formula>AND(IF($Q145=3,1,IF($Q145=4,1,0)),IF($F145&lt;=85,1,0))</formula>
    </cfRule>
  </conditionalFormatting>
  <conditionalFormatting sqref="AV146">
    <cfRule type="expression" dxfId="11173" priority="4337">
      <formula>AV146="X"</formula>
    </cfRule>
    <cfRule type="expression" dxfId="11172" priority="4338">
      <formula>AV146="후보"</formula>
    </cfRule>
  </conditionalFormatting>
  <conditionalFormatting sqref="AC146">
    <cfRule type="cellIs" dxfId="11171" priority="4335" operator="greaterThan">
      <formula>0.9</formula>
    </cfRule>
    <cfRule type="cellIs" dxfId="11170" priority="4336" operator="greaterThan">
      <formula>0.85</formula>
    </cfRule>
  </conditionalFormatting>
  <conditionalFormatting sqref="N146">
    <cfRule type="cellIs" dxfId="11169" priority="4333" operator="greaterThan">
      <formula>0.9</formula>
    </cfRule>
    <cfRule type="cellIs" dxfId="11168" priority="4334" operator="greaterThan">
      <formula>0.85</formula>
    </cfRule>
  </conditionalFormatting>
  <conditionalFormatting sqref="E146">
    <cfRule type="expression" dxfId="11167" priority="4329">
      <formula>AND(IF(OR($Q146=1,$Q146=2),1,0),IF($X146&lt;=20,1,0))</formula>
    </cfRule>
    <cfRule type="expression" dxfId="11166" priority="4330">
      <formula>AND(IF($Q146=2,1,0),IF($X146&lt;30,1,0))</formula>
    </cfRule>
    <cfRule type="expression" dxfId="11165" priority="4331">
      <formula>AND(IF($Q146=3,1,0),IF($X146&lt;30,1,0))</formula>
    </cfRule>
    <cfRule type="expression" dxfId="11164" priority="4332">
      <formula>AND(IF($Q146=3,1,IF($Q146=4,1,0)),IF($F146&lt;=85,1,0))</formula>
    </cfRule>
  </conditionalFormatting>
  <conditionalFormatting sqref="X146">
    <cfRule type="expression" dxfId="11163" priority="4325">
      <formula>AND(IF(OR($Q146=1,$Q146=2),1,0),IF($X146&lt;=20,1,0))</formula>
    </cfRule>
    <cfRule type="expression" dxfId="11162" priority="4326">
      <formula>AND(IF($Q146=2,1,0),IF($X146&lt;30,1,0))</formula>
    </cfRule>
    <cfRule type="expression" dxfId="11161" priority="4327">
      <formula>AND(IF($Q146=3,1,0),IF($X146&lt;30,1,0))</formula>
    </cfRule>
    <cfRule type="expression" dxfId="11160" priority="4328">
      <formula>AND(IF($Q146=3,1,IF($Q146=4,1,0)),IF($F146&lt;=85,1,0))</formula>
    </cfRule>
  </conditionalFormatting>
  <conditionalFormatting sqref="AI146">
    <cfRule type="expression" dxfId="11159" priority="4321">
      <formula>AND(IF(OR($Q146=1,$Q146=2),1,0),IF($X146&lt;=20,1,0))</formula>
    </cfRule>
    <cfRule type="expression" dxfId="11158" priority="4322">
      <formula>AND(IF($Q146=2,1,0),IF($X146&lt;30,1,0))</formula>
    </cfRule>
    <cfRule type="expression" dxfId="11157" priority="4323">
      <formula>AND(IF($Q146=3,1,0),IF($X146&lt;30,1,0))</formula>
    </cfRule>
    <cfRule type="expression" dxfId="11156" priority="4324">
      <formula>AND(IF($Q146=3,1,IF($Q146=4,1,0)),IF($F146&lt;=85,1,0))</formula>
    </cfRule>
  </conditionalFormatting>
  <conditionalFormatting sqref="AV147">
    <cfRule type="expression" dxfId="11155" priority="4319">
      <formula>AV147="X"</formula>
    </cfRule>
    <cfRule type="expression" dxfId="11154" priority="4320">
      <formula>AV147="후보"</formula>
    </cfRule>
  </conditionalFormatting>
  <conditionalFormatting sqref="AC147">
    <cfRule type="cellIs" dxfId="11153" priority="4317" operator="greaterThan">
      <formula>0.9</formula>
    </cfRule>
    <cfRule type="cellIs" dxfId="11152" priority="4318" operator="greaterThan">
      <formula>0.85</formula>
    </cfRule>
  </conditionalFormatting>
  <conditionalFormatting sqref="N147">
    <cfRule type="cellIs" dxfId="11151" priority="4315" operator="greaterThan">
      <formula>0.9</formula>
    </cfRule>
    <cfRule type="cellIs" dxfId="11150" priority="4316" operator="greaterThan">
      <formula>0.85</formula>
    </cfRule>
  </conditionalFormatting>
  <conditionalFormatting sqref="E147">
    <cfRule type="expression" dxfId="11149" priority="4311">
      <formula>AND(IF(OR($Q147=1,$Q147=2),1,0),IF($X147&lt;=20,1,0))</formula>
    </cfRule>
    <cfRule type="expression" dxfId="11148" priority="4312">
      <formula>AND(IF($Q147=2,1,0),IF($X147&lt;30,1,0))</formula>
    </cfRule>
    <cfRule type="expression" dxfId="11147" priority="4313">
      <formula>AND(IF($Q147=3,1,0),IF($X147&lt;30,1,0))</formula>
    </cfRule>
    <cfRule type="expression" dxfId="11146" priority="4314">
      <formula>AND(IF($Q147=3,1,IF($Q147=4,1,0)),IF($F147&lt;=85,1,0))</formula>
    </cfRule>
  </conditionalFormatting>
  <conditionalFormatting sqref="X147">
    <cfRule type="expression" dxfId="11145" priority="4307">
      <formula>AND(IF(OR($Q147=1,$Q147=2),1,0),IF($X147&lt;=20,1,0))</formula>
    </cfRule>
    <cfRule type="expression" dxfId="11144" priority="4308">
      <formula>AND(IF($Q147=2,1,0),IF($X147&lt;30,1,0))</formula>
    </cfRule>
    <cfRule type="expression" dxfId="11143" priority="4309">
      <formula>AND(IF($Q147=3,1,0),IF($X147&lt;30,1,0))</formula>
    </cfRule>
    <cfRule type="expression" dxfId="11142" priority="4310">
      <formula>AND(IF($Q147=3,1,IF($Q147=4,1,0)),IF($F147&lt;=85,1,0))</formula>
    </cfRule>
  </conditionalFormatting>
  <conditionalFormatting sqref="AI147">
    <cfRule type="expression" dxfId="11141" priority="4303">
      <formula>AND(IF(OR($Q147=1,$Q147=2),1,0),IF($X147&lt;=20,1,0))</formula>
    </cfRule>
    <cfRule type="expression" dxfId="11140" priority="4304">
      <formula>AND(IF($Q147=2,1,0),IF($X147&lt;30,1,0))</formula>
    </cfRule>
    <cfRule type="expression" dxfId="11139" priority="4305">
      <formula>AND(IF($Q147=3,1,0),IF($X147&lt;30,1,0))</formula>
    </cfRule>
    <cfRule type="expression" dxfId="11138" priority="4306">
      <formula>AND(IF($Q147=3,1,IF($Q147=4,1,0)),IF($F147&lt;=85,1,0))</formula>
    </cfRule>
  </conditionalFormatting>
  <conditionalFormatting sqref="AV148">
    <cfRule type="expression" dxfId="11137" priority="4301">
      <formula>AV148="X"</formula>
    </cfRule>
    <cfRule type="expression" dxfId="11136" priority="4302">
      <formula>AV148="후보"</formula>
    </cfRule>
  </conditionalFormatting>
  <conditionalFormatting sqref="AC148">
    <cfRule type="cellIs" dxfId="11135" priority="4299" operator="greaterThan">
      <formula>0.9</formula>
    </cfRule>
    <cfRule type="cellIs" dxfId="11134" priority="4300" operator="greaterThan">
      <formula>0.85</formula>
    </cfRule>
  </conditionalFormatting>
  <conditionalFormatting sqref="N148">
    <cfRule type="cellIs" dxfId="11133" priority="4297" operator="greaterThan">
      <formula>0.9</formula>
    </cfRule>
    <cfRule type="cellIs" dxfId="11132" priority="4298" operator="greaterThan">
      <formula>0.85</formula>
    </cfRule>
  </conditionalFormatting>
  <conditionalFormatting sqref="E148">
    <cfRule type="expression" dxfId="11131" priority="4293">
      <formula>AND(IF(OR($Q148=1,$Q148=2),1,0),IF($X148&lt;=20,1,0))</formula>
    </cfRule>
    <cfRule type="expression" dxfId="11130" priority="4294">
      <formula>AND(IF($Q148=2,1,0),IF($X148&lt;30,1,0))</formula>
    </cfRule>
    <cfRule type="expression" dxfId="11129" priority="4295">
      <formula>AND(IF($Q148=3,1,0),IF($X148&lt;30,1,0))</formula>
    </cfRule>
    <cfRule type="expression" dxfId="11128" priority="4296">
      <formula>AND(IF($Q148=3,1,IF($Q148=4,1,0)),IF($F148&lt;=85,1,0))</formula>
    </cfRule>
  </conditionalFormatting>
  <conditionalFormatting sqref="X148">
    <cfRule type="expression" dxfId="11127" priority="4289">
      <formula>AND(IF(OR($Q148=1,$Q148=2),1,0),IF($X148&lt;=20,1,0))</formula>
    </cfRule>
    <cfRule type="expression" dxfId="11126" priority="4290">
      <formula>AND(IF($Q148=2,1,0),IF($X148&lt;30,1,0))</formula>
    </cfRule>
    <cfRule type="expression" dxfId="11125" priority="4291">
      <formula>AND(IF($Q148=3,1,0),IF($X148&lt;30,1,0))</formula>
    </cfRule>
    <cfRule type="expression" dxfId="11124" priority="4292">
      <formula>AND(IF($Q148=3,1,IF($Q148=4,1,0)),IF($F148&lt;=85,1,0))</formula>
    </cfRule>
  </conditionalFormatting>
  <conditionalFormatting sqref="AI148">
    <cfRule type="expression" dxfId="11123" priority="4285">
      <formula>AND(IF(OR($Q148=1,$Q148=2),1,0),IF($X148&lt;=20,1,0))</formula>
    </cfRule>
    <cfRule type="expression" dxfId="11122" priority="4286">
      <formula>AND(IF($Q148=2,1,0),IF($X148&lt;30,1,0))</formula>
    </cfRule>
    <cfRule type="expression" dxfId="11121" priority="4287">
      <formula>AND(IF($Q148=3,1,0),IF($X148&lt;30,1,0))</formula>
    </cfRule>
    <cfRule type="expression" dxfId="11120" priority="4288">
      <formula>AND(IF($Q148=3,1,IF($Q148=4,1,0)),IF($F148&lt;=85,1,0))</formula>
    </cfRule>
  </conditionalFormatting>
  <conditionalFormatting sqref="AV149">
    <cfRule type="expression" dxfId="11119" priority="4283">
      <formula>AV149="X"</formula>
    </cfRule>
    <cfRule type="expression" dxfId="11118" priority="4284">
      <formula>AV149="후보"</formula>
    </cfRule>
  </conditionalFormatting>
  <conditionalFormatting sqref="AC149">
    <cfRule type="cellIs" dxfId="11117" priority="4281" operator="greaterThan">
      <formula>0.9</formula>
    </cfRule>
    <cfRule type="cellIs" dxfId="11116" priority="4282" operator="greaterThan">
      <formula>0.85</formula>
    </cfRule>
  </conditionalFormatting>
  <conditionalFormatting sqref="N149">
    <cfRule type="cellIs" dxfId="11115" priority="4279" operator="greaterThan">
      <formula>0.9</formula>
    </cfRule>
    <cfRule type="cellIs" dxfId="11114" priority="4280" operator="greaterThan">
      <formula>0.85</formula>
    </cfRule>
  </conditionalFormatting>
  <conditionalFormatting sqref="E149">
    <cfRule type="expression" dxfId="11113" priority="4275">
      <formula>AND(IF(OR($Q149=1,$Q149=2),1,0),IF($X149&lt;=20,1,0))</formula>
    </cfRule>
    <cfRule type="expression" dxfId="11112" priority="4276">
      <formula>AND(IF($Q149=2,1,0),IF($X149&lt;30,1,0))</formula>
    </cfRule>
    <cfRule type="expression" dxfId="11111" priority="4277">
      <formula>AND(IF($Q149=3,1,0),IF($X149&lt;30,1,0))</formula>
    </cfRule>
    <cfRule type="expression" dxfId="11110" priority="4278">
      <formula>AND(IF($Q149=3,1,IF($Q149=4,1,0)),IF($F149&lt;=85,1,0))</formula>
    </cfRule>
  </conditionalFormatting>
  <conditionalFormatting sqref="X149">
    <cfRule type="expression" dxfId="11109" priority="4271">
      <formula>AND(IF(OR($Q149=1,$Q149=2),1,0),IF($X149&lt;=20,1,0))</formula>
    </cfRule>
    <cfRule type="expression" dxfId="11108" priority="4272">
      <formula>AND(IF($Q149=2,1,0),IF($X149&lt;30,1,0))</formula>
    </cfRule>
    <cfRule type="expression" dxfId="11107" priority="4273">
      <formula>AND(IF($Q149=3,1,0),IF($X149&lt;30,1,0))</formula>
    </cfRule>
    <cfRule type="expression" dxfId="11106" priority="4274">
      <formula>AND(IF($Q149=3,1,IF($Q149=4,1,0)),IF($F149&lt;=85,1,0))</formula>
    </cfRule>
  </conditionalFormatting>
  <conditionalFormatting sqref="AI149">
    <cfRule type="expression" dxfId="11105" priority="4267">
      <formula>AND(IF(OR($Q149=1,$Q149=2),1,0),IF($X149&lt;=20,1,0))</formula>
    </cfRule>
    <cfRule type="expression" dxfId="11104" priority="4268">
      <formula>AND(IF($Q149=2,1,0),IF($X149&lt;30,1,0))</formula>
    </cfRule>
    <cfRule type="expression" dxfId="11103" priority="4269">
      <formula>AND(IF($Q149=3,1,0),IF($X149&lt;30,1,0))</formula>
    </cfRule>
    <cfRule type="expression" dxfId="11102" priority="4270">
      <formula>AND(IF($Q149=3,1,IF($Q149=4,1,0)),IF($F149&lt;=85,1,0))</formula>
    </cfRule>
  </conditionalFormatting>
  <conditionalFormatting sqref="AV150">
    <cfRule type="expression" dxfId="11101" priority="4265">
      <formula>AV150="X"</formula>
    </cfRule>
    <cfRule type="expression" dxfId="11100" priority="4266">
      <formula>AV150="후보"</formula>
    </cfRule>
  </conditionalFormatting>
  <conditionalFormatting sqref="AC150">
    <cfRule type="cellIs" dxfId="11099" priority="4263" operator="greaterThan">
      <formula>0.9</formula>
    </cfRule>
    <cfRule type="cellIs" dxfId="11098" priority="4264" operator="greaterThan">
      <formula>0.85</formula>
    </cfRule>
  </conditionalFormatting>
  <conditionalFormatting sqref="N150">
    <cfRule type="cellIs" dxfId="11097" priority="4261" operator="greaterThan">
      <formula>0.9</formula>
    </cfRule>
    <cfRule type="cellIs" dxfId="11096" priority="4262" operator="greaterThan">
      <formula>0.85</formula>
    </cfRule>
  </conditionalFormatting>
  <conditionalFormatting sqref="E150">
    <cfRule type="expression" dxfId="11095" priority="4257">
      <formula>AND(IF(OR($Q150=1,$Q150=2),1,0),IF($X150&lt;=20,1,0))</formula>
    </cfRule>
    <cfRule type="expression" dxfId="11094" priority="4258">
      <formula>AND(IF($Q150=2,1,0),IF($X150&lt;30,1,0))</formula>
    </cfRule>
    <cfRule type="expression" dxfId="11093" priority="4259">
      <formula>AND(IF($Q150=3,1,0),IF($X150&lt;30,1,0))</formula>
    </cfRule>
    <cfRule type="expression" dxfId="11092" priority="4260">
      <formula>AND(IF($Q150=3,1,IF($Q150=4,1,0)),IF($F150&lt;=85,1,0))</formula>
    </cfRule>
  </conditionalFormatting>
  <conditionalFormatting sqref="X150">
    <cfRule type="expression" dxfId="11091" priority="4253">
      <formula>AND(IF(OR($Q150=1,$Q150=2),1,0),IF($X150&lt;=20,1,0))</formula>
    </cfRule>
    <cfRule type="expression" dxfId="11090" priority="4254">
      <formula>AND(IF($Q150=2,1,0),IF($X150&lt;30,1,0))</formula>
    </cfRule>
    <cfRule type="expression" dxfId="11089" priority="4255">
      <formula>AND(IF($Q150=3,1,0),IF($X150&lt;30,1,0))</formula>
    </cfRule>
    <cfRule type="expression" dxfId="11088" priority="4256">
      <formula>AND(IF($Q150=3,1,IF($Q150=4,1,0)),IF($F150&lt;=85,1,0))</formula>
    </cfRule>
  </conditionalFormatting>
  <conditionalFormatting sqref="AI150">
    <cfRule type="expression" dxfId="11087" priority="4249">
      <formula>AND(IF(OR($Q150=1,$Q150=2),1,0),IF($X150&lt;=20,1,0))</formula>
    </cfRule>
    <cfRule type="expression" dxfId="11086" priority="4250">
      <formula>AND(IF($Q150=2,1,0),IF($X150&lt;30,1,0))</formula>
    </cfRule>
    <cfRule type="expression" dxfId="11085" priority="4251">
      <formula>AND(IF($Q150=3,1,0),IF($X150&lt;30,1,0))</formula>
    </cfRule>
    <cfRule type="expression" dxfId="11084" priority="4252">
      <formula>AND(IF($Q150=3,1,IF($Q150=4,1,0)),IF($F150&lt;=85,1,0))</formula>
    </cfRule>
  </conditionalFormatting>
  <conditionalFormatting sqref="AV151">
    <cfRule type="expression" dxfId="11083" priority="4247">
      <formula>AV151="X"</formula>
    </cfRule>
    <cfRule type="expression" dxfId="11082" priority="4248">
      <formula>AV151="후보"</formula>
    </cfRule>
  </conditionalFormatting>
  <conditionalFormatting sqref="AC151">
    <cfRule type="cellIs" dxfId="11081" priority="4245" operator="greaterThan">
      <formula>0.9</formula>
    </cfRule>
    <cfRule type="cellIs" dxfId="11080" priority="4246" operator="greaterThan">
      <formula>0.85</formula>
    </cfRule>
  </conditionalFormatting>
  <conditionalFormatting sqref="N151">
    <cfRule type="cellIs" dxfId="11079" priority="4243" operator="greaterThan">
      <formula>0.9</formula>
    </cfRule>
    <cfRule type="cellIs" dxfId="11078" priority="4244" operator="greaterThan">
      <formula>0.85</formula>
    </cfRule>
  </conditionalFormatting>
  <conditionalFormatting sqref="E151">
    <cfRule type="expression" dxfId="11077" priority="4239">
      <formula>AND(IF(OR($Q151=1,$Q151=2),1,0),IF($X151&lt;=20,1,0))</formula>
    </cfRule>
    <cfRule type="expression" dxfId="11076" priority="4240">
      <formula>AND(IF($Q151=2,1,0),IF($X151&lt;30,1,0))</formula>
    </cfRule>
    <cfRule type="expression" dxfId="11075" priority="4241">
      <formula>AND(IF($Q151=3,1,0),IF($X151&lt;30,1,0))</formula>
    </cfRule>
    <cfRule type="expression" dxfId="11074" priority="4242">
      <formula>AND(IF($Q151=3,1,IF($Q151=4,1,0)),IF($F151&lt;=85,1,0))</formula>
    </cfRule>
  </conditionalFormatting>
  <conditionalFormatting sqref="X151">
    <cfRule type="expression" dxfId="11073" priority="4235">
      <formula>AND(IF(OR($Q151=1,$Q151=2),1,0),IF($X151&lt;=20,1,0))</formula>
    </cfRule>
    <cfRule type="expression" dxfId="11072" priority="4236">
      <formula>AND(IF($Q151=2,1,0),IF($X151&lt;30,1,0))</formula>
    </cfRule>
    <cfRule type="expression" dxfId="11071" priority="4237">
      <formula>AND(IF($Q151=3,1,0),IF($X151&lt;30,1,0))</formula>
    </cfRule>
    <cfRule type="expression" dxfId="11070" priority="4238">
      <formula>AND(IF($Q151=3,1,IF($Q151=4,1,0)),IF($F151&lt;=85,1,0))</formula>
    </cfRule>
  </conditionalFormatting>
  <conditionalFormatting sqref="AI151">
    <cfRule type="expression" dxfId="11069" priority="4231">
      <formula>AND(IF(OR($Q151=1,$Q151=2),1,0),IF($X151&lt;=20,1,0))</formula>
    </cfRule>
    <cfRule type="expression" dxfId="11068" priority="4232">
      <formula>AND(IF($Q151=2,1,0),IF($X151&lt;30,1,0))</formula>
    </cfRule>
    <cfRule type="expression" dxfId="11067" priority="4233">
      <formula>AND(IF($Q151=3,1,0),IF($X151&lt;30,1,0))</formula>
    </cfRule>
    <cfRule type="expression" dxfId="11066" priority="4234">
      <formula>AND(IF($Q151=3,1,IF($Q151=4,1,0)),IF($F151&lt;=85,1,0))</formula>
    </cfRule>
  </conditionalFormatting>
  <conditionalFormatting sqref="AV152">
    <cfRule type="expression" dxfId="11065" priority="4229">
      <formula>AV152="X"</formula>
    </cfRule>
    <cfRule type="expression" dxfId="11064" priority="4230">
      <formula>AV152="후보"</formula>
    </cfRule>
  </conditionalFormatting>
  <conditionalFormatting sqref="AC152">
    <cfRule type="cellIs" dxfId="11063" priority="4227" operator="greaterThan">
      <formula>0.9</formula>
    </cfRule>
    <cfRule type="cellIs" dxfId="11062" priority="4228" operator="greaterThan">
      <formula>0.85</formula>
    </cfRule>
  </conditionalFormatting>
  <conditionalFormatting sqref="N152">
    <cfRule type="cellIs" dxfId="11061" priority="4225" operator="greaterThan">
      <formula>0.9</formula>
    </cfRule>
    <cfRule type="cellIs" dxfId="11060" priority="4226" operator="greaterThan">
      <formula>0.85</formula>
    </cfRule>
  </conditionalFormatting>
  <conditionalFormatting sqref="E152">
    <cfRule type="expression" dxfId="11059" priority="4221">
      <formula>AND(IF(OR($Q152=1,$Q152=2),1,0),IF($X152&lt;=20,1,0))</formula>
    </cfRule>
    <cfRule type="expression" dxfId="11058" priority="4222">
      <formula>AND(IF($Q152=2,1,0),IF($X152&lt;30,1,0))</formula>
    </cfRule>
    <cfRule type="expression" dxfId="11057" priority="4223">
      <formula>AND(IF($Q152=3,1,0),IF($X152&lt;30,1,0))</formula>
    </cfRule>
    <cfRule type="expression" dxfId="11056" priority="4224">
      <formula>AND(IF($Q152=3,1,IF($Q152=4,1,0)),IF($F152&lt;=85,1,0))</formula>
    </cfRule>
  </conditionalFormatting>
  <conditionalFormatting sqref="X152">
    <cfRule type="expression" dxfId="11055" priority="4217">
      <formula>AND(IF(OR($Q152=1,$Q152=2),1,0),IF($X152&lt;=20,1,0))</formula>
    </cfRule>
    <cfRule type="expression" dxfId="11054" priority="4218">
      <formula>AND(IF($Q152=2,1,0),IF($X152&lt;30,1,0))</formula>
    </cfRule>
    <cfRule type="expression" dxfId="11053" priority="4219">
      <formula>AND(IF($Q152=3,1,0),IF($X152&lt;30,1,0))</formula>
    </cfRule>
    <cfRule type="expression" dxfId="11052" priority="4220">
      <formula>AND(IF($Q152=3,1,IF($Q152=4,1,0)),IF($F152&lt;=85,1,0))</formula>
    </cfRule>
  </conditionalFormatting>
  <conditionalFormatting sqref="AI152">
    <cfRule type="expression" dxfId="11051" priority="4213">
      <formula>AND(IF(OR($Q152=1,$Q152=2),1,0),IF($X152&lt;=20,1,0))</formula>
    </cfRule>
    <cfRule type="expression" dxfId="11050" priority="4214">
      <formula>AND(IF($Q152=2,1,0),IF($X152&lt;30,1,0))</formula>
    </cfRule>
    <cfRule type="expression" dxfId="11049" priority="4215">
      <formula>AND(IF($Q152=3,1,0),IF($X152&lt;30,1,0))</formula>
    </cfRule>
    <cfRule type="expression" dxfId="11048" priority="4216">
      <formula>AND(IF($Q152=3,1,IF($Q152=4,1,0)),IF($F152&lt;=85,1,0))</formula>
    </cfRule>
  </conditionalFormatting>
  <conditionalFormatting sqref="AV153">
    <cfRule type="expression" dxfId="11047" priority="4211">
      <formula>AV153="X"</formula>
    </cfRule>
    <cfRule type="expression" dxfId="11046" priority="4212">
      <formula>AV153="후보"</formula>
    </cfRule>
  </conditionalFormatting>
  <conditionalFormatting sqref="AC153">
    <cfRule type="cellIs" dxfId="11045" priority="4209" operator="greaterThan">
      <formula>0.9</formula>
    </cfRule>
    <cfRule type="cellIs" dxfId="11044" priority="4210" operator="greaterThan">
      <formula>0.85</formula>
    </cfRule>
  </conditionalFormatting>
  <conditionalFormatting sqref="N153">
    <cfRule type="cellIs" dxfId="11043" priority="4207" operator="greaterThan">
      <formula>0.9</formula>
    </cfRule>
    <cfRule type="cellIs" dxfId="11042" priority="4208" operator="greaterThan">
      <formula>0.85</formula>
    </cfRule>
  </conditionalFormatting>
  <conditionalFormatting sqref="E153">
    <cfRule type="expression" dxfId="11041" priority="4203">
      <formula>AND(IF(OR($Q153=1,$Q153=2),1,0),IF($X153&lt;=20,1,0))</formula>
    </cfRule>
    <cfRule type="expression" dxfId="11040" priority="4204">
      <formula>AND(IF($Q153=2,1,0),IF($X153&lt;30,1,0))</formula>
    </cfRule>
    <cfRule type="expression" dxfId="11039" priority="4205">
      <formula>AND(IF($Q153=3,1,0),IF($X153&lt;30,1,0))</formula>
    </cfRule>
    <cfRule type="expression" dxfId="11038" priority="4206">
      <formula>AND(IF($Q153=3,1,IF($Q153=4,1,0)),IF($F153&lt;=85,1,0))</formula>
    </cfRule>
  </conditionalFormatting>
  <conditionalFormatting sqref="X153">
    <cfRule type="expression" dxfId="11037" priority="4199">
      <formula>AND(IF(OR($Q153=1,$Q153=2),1,0),IF($X153&lt;=20,1,0))</formula>
    </cfRule>
    <cfRule type="expression" dxfId="11036" priority="4200">
      <formula>AND(IF($Q153=2,1,0),IF($X153&lt;30,1,0))</formula>
    </cfRule>
    <cfRule type="expression" dxfId="11035" priority="4201">
      <formula>AND(IF($Q153=3,1,0),IF($X153&lt;30,1,0))</formula>
    </cfRule>
    <cfRule type="expression" dxfId="11034" priority="4202">
      <formula>AND(IF($Q153=3,1,IF($Q153=4,1,0)),IF($F153&lt;=85,1,0))</formula>
    </cfRule>
  </conditionalFormatting>
  <conditionalFormatting sqref="AI153">
    <cfRule type="expression" dxfId="11033" priority="4195">
      <formula>AND(IF(OR($Q153=1,$Q153=2),1,0),IF($X153&lt;=20,1,0))</formula>
    </cfRule>
    <cfRule type="expression" dxfId="11032" priority="4196">
      <formula>AND(IF($Q153=2,1,0),IF($X153&lt;30,1,0))</formula>
    </cfRule>
    <cfRule type="expression" dxfId="11031" priority="4197">
      <formula>AND(IF($Q153=3,1,0),IF($X153&lt;30,1,0))</formula>
    </cfRule>
    <cfRule type="expression" dxfId="11030" priority="4198">
      <formula>AND(IF($Q153=3,1,IF($Q153=4,1,0)),IF($F153&lt;=85,1,0))</formula>
    </cfRule>
  </conditionalFormatting>
  <conditionalFormatting sqref="AV154">
    <cfRule type="expression" dxfId="11029" priority="4193">
      <formula>AV154="X"</formula>
    </cfRule>
    <cfRule type="expression" dxfId="11028" priority="4194">
      <formula>AV154="후보"</formula>
    </cfRule>
  </conditionalFormatting>
  <conditionalFormatting sqref="AC154">
    <cfRule type="cellIs" dxfId="11027" priority="4191" operator="greaterThan">
      <formula>0.9</formula>
    </cfRule>
    <cfRule type="cellIs" dxfId="11026" priority="4192" operator="greaterThan">
      <formula>0.85</formula>
    </cfRule>
  </conditionalFormatting>
  <conditionalFormatting sqref="N154">
    <cfRule type="cellIs" dxfId="11025" priority="4189" operator="greaterThan">
      <formula>0.9</formula>
    </cfRule>
    <cfRule type="cellIs" dxfId="11024" priority="4190" operator="greaterThan">
      <formula>0.85</formula>
    </cfRule>
  </conditionalFormatting>
  <conditionalFormatting sqref="E154">
    <cfRule type="expression" dxfId="11023" priority="4185">
      <formula>AND(IF(OR($Q154=1,$Q154=2),1,0),IF($X154&lt;=20,1,0))</formula>
    </cfRule>
    <cfRule type="expression" dxfId="11022" priority="4186">
      <formula>AND(IF($Q154=2,1,0),IF($X154&lt;30,1,0))</formula>
    </cfRule>
    <cfRule type="expression" dxfId="11021" priority="4187">
      <formula>AND(IF($Q154=3,1,0),IF($X154&lt;30,1,0))</formula>
    </cfRule>
    <cfRule type="expression" dxfId="11020" priority="4188">
      <formula>AND(IF($Q154=3,1,IF($Q154=4,1,0)),IF($F154&lt;=85,1,0))</formula>
    </cfRule>
  </conditionalFormatting>
  <conditionalFormatting sqref="X154">
    <cfRule type="expression" dxfId="11019" priority="4181">
      <formula>AND(IF(OR($Q154=1,$Q154=2),1,0),IF($X154&lt;=20,1,0))</formula>
    </cfRule>
    <cfRule type="expression" dxfId="11018" priority="4182">
      <formula>AND(IF($Q154=2,1,0),IF($X154&lt;30,1,0))</formula>
    </cfRule>
    <cfRule type="expression" dxfId="11017" priority="4183">
      <formula>AND(IF($Q154=3,1,0),IF($X154&lt;30,1,0))</formula>
    </cfRule>
    <cfRule type="expression" dxfId="11016" priority="4184">
      <formula>AND(IF($Q154=3,1,IF($Q154=4,1,0)),IF($F154&lt;=85,1,0))</formula>
    </cfRule>
  </conditionalFormatting>
  <conditionalFormatting sqref="AI154">
    <cfRule type="expression" dxfId="11015" priority="4177">
      <formula>AND(IF(OR($Q154=1,$Q154=2),1,0),IF($X154&lt;=20,1,0))</formula>
    </cfRule>
    <cfRule type="expression" dxfId="11014" priority="4178">
      <formula>AND(IF($Q154=2,1,0),IF($X154&lt;30,1,0))</formula>
    </cfRule>
    <cfRule type="expression" dxfId="11013" priority="4179">
      <formula>AND(IF($Q154=3,1,0),IF($X154&lt;30,1,0))</formula>
    </cfRule>
    <cfRule type="expression" dxfId="11012" priority="4180">
      <formula>AND(IF($Q154=3,1,IF($Q154=4,1,0)),IF($F154&lt;=85,1,0))</formula>
    </cfRule>
  </conditionalFormatting>
  <conditionalFormatting sqref="AV155">
    <cfRule type="expression" dxfId="11011" priority="4175">
      <formula>AV155="X"</formula>
    </cfRule>
    <cfRule type="expression" dxfId="11010" priority="4176">
      <formula>AV155="후보"</formula>
    </cfRule>
  </conditionalFormatting>
  <conditionalFormatting sqref="AC155">
    <cfRule type="cellIs" dxfId="11009" priority="4173" operator="greaterThan">
      <formula>0.9</formula>
    </cfRule>
    <cfRule type="cellIs" dxfId="11008" priority="4174" operator="greaterThan">
      <formula>0.85</formula>
    </cfRule>
  </conditionalFormatting>
  <conditionalFormatting sqref="N155">
    <cfRule type="cellIs" dxfId="11007" priority="4171" operator="greaterThan">
      <formula>0.9</formula>
    </cfRule>
    <cfRule type="cellIs" dxfId="11006" priority="4172" operator="greaterThan">
      <formula>0.85</formula>
    </cfRule>
  </conditionalFormatting>
  <conditionalFormatting sqref="E155">
    <cfRule type="expression" dxfId="11005" priority="4167">
      <formula>AND(IF(OR($Q155=1,$Q155=2),1,0),IF($X155&lt;=20,1,0))</formula>
    </cfRule>
    <cfRule type="expression" dxfId="11004" priority="4168">
      <formula>AND(IF($Q155=2,1,0),IF($X155&lt;30,1,0))</formula>
    </cfRule>
    <cfRule type="expression" dxfId="11003" priority="4169">
      <formula>AND(IF($Q155=3,1,0),IF($X155&lt;30,1,0))</formula>
    </cfRule>
    <cfRule type="expression" dxfId="11002" priority="4170">
      <formula>AND(IF($Q155=3,1,IF($Q155=4,1,0)),IF($F155&lt;=85,1,0))</formula>
    </cfRule>
  </conditionalFormatting>
  <conditionalFormatting sqref="X155">
    <cfRule type="expression" dxfId="11001" priority="4163">
      <formula>AND(IF(OR($Q155=1,$Q155=2),1,0),IF($X155&lt;=20,1,0))</formula>
    </cfRule>
    <cfRule type="expression" dxfId="11000" priority="4164">
      <formula>AND(IF($Q155=2,1,0),IF($X155&lt;30,1,0))</formula>
    </cfRule>
    <cfRule type="expression" dxfId="10999" priority="4165">
      <formula>AND(IF($Q155=3,1,0),IF($X155&lt;30,1,0))</formula>
    </cfRule>
    <cfRule type="expression" dxfId="10998" priority="4166">
      <formula>AND(IF($Q155=3,1,IF($Q155=4,1,0)),IF($F155&lt;=85,1,0))</formula>
    </cfRule>
  </conditionalFormatting>
  <conditionalFormatting sqref="AI155">
    <cfRule type="expression" dxfId="10997" priority="4159">
      <formula>AND(IF(OR($Q155=1,$Q155=2),1,0),IF($X155&lt;=20,1,0))</formula>
    </cfRule>
    <cfRule type="expression" dxfId="10996" priority="4160">
      <formula>AND(IF($Q155=2,1,0),IF($X155&lt;30,1,0))</formula>
    </cfRule>
    <cfRule type="expression" dxfId="10995" priority="4161">
      <formula>AND(IF($Q155=3,1,0),IF($X155&lt;30,1,0))</formula>
    </cfRule>
    <cfRule type="expression" dxfId="10994" priority="4162">
      <formula>AND(IF($Q155=3,1,IF($Q155=4,1,0)),IF($F155&lt;=85,1,0))</formula>
    </cfRule>
  </conditionalFormatting>
  <conditionalFormatting sqref="AV156">
    <cfRule type="expression" dxfId="10993" priority="4157">
      <formula>AV156="X"</formula>
    </cfRule>
    <cfRule type="expression" dxfId="10992" priority="4158">
      <formula>AV156="후보"</formula>
    </cfRule>
  </conditionalFormatting>
  <conditionalFormatting sqref="AC156">
    <cfRule type="cellIs" dxfId="10991" priority="4155" operator="greaterThan">
      <formula>0.9</formula>
    </cfRule>
    <cfRule type="cellIs" dxfId="10990" priority="4156" operator="greaterThan">
      <formula>0.85</formula>
    </cfRule>
  </conditionalFormatting>
  <conditionalFormatting sqref="N156">
    <cfRule type="cellIs" dxfId="10989" priority="4153" operator="greaterThan">
      <formula>0.9</formula>
    </cfRule>
    <cfRule type="cellIs" dxfId="10988" priority="4154" operator="greaterThan">
      <formula>0.85</formula>
    </cfRule>
  </conditionalFormatting>
  <conditionalFormatting sqref="E156">
    <cfRule type="expression" dxfId="10987" priority="4149">
      <formula>AND(IF(OR($Q156=1,$Q156=2),1,0),IF($X156&lt;=20,1,0))</formula>
    </cfRule>
    <cfRule type="expression" dxfId="10986" priority="4150">
      <formula>AND(IF($Q156=2,1,0),IF($X156&lt;30,1,0))</formula>
    </cfRule>
    <cfRule type="expression" dxfId="10985" priority="4151">
      <formula>AND(IF($Q156=3,1,0),IF($X156&lt;30,1,0))</formula>
    </cfRule>
    <cfRule type="expression" dxfId="10984" priority="4152">
      <formula>AND(IF($Q156=3,1,IF($Q156=4,1,0)),IF($F156&lt;=85,1,0))</formula>
    </cfRule>
  </conditionalFormatting>
  <conditionalFormatting sqref="X156">
    <cfRule type="expression" dxfId="10983" priority="4145">
      <formula>AND(IF(OR($Q156=1,$Q156=2),1,0),IF($X156&lt;=20,1,0))</formula>
    </cfRule>
    <cfRule type="expression" dxfId="10982" priority="4146">
      <formula>AND(IF($Q156=2,1,0),IF($X156&lt;30,1,0))</formula>
    </cfRule>
    <cfRule type="expression" dxfId="10981" priority="4147">
      <formula>AND(IF($Q156=3,1,0),IF($X156&lt;30,1,0))</formula>
    </cfRule>
    <cfRule type="expression" dxfId="10980" priority="4148">
      <formula>AND(IF($Q156=3,1,IF($Q156=4,1,0)),IF($F156&lt;=85,1,0))</formula>
    </cfRule>
  </conditionalFormatting>
  <conditionalFormatting sqref="AI156">
    <cfRule type="expression" dxfId="10979" priority="4141">
      <formula>AND(IF(OR($Q156=1,$Q156=2),1,0),IF($X156&lt;=20,1,0))</formula>
    </cfRule>
    <cfRule type="expression" dxfId="10978" priority="4142">
      <formula>AND(IF($Q156=2,1,0),IF($X156&lt;30,1,0))</formula>
    </cfRule>
    <cfRule type="expression" dxfId="10977" priority="4143">
      <formula>AND(IF($Q156=3,1,0),IF($X156&lt;30,1,0))</formula>
    </cfRule>
    <cfRule type="expression" dxfId="10976" priority="4144">
      <formula>AND(IF($Q156=3,1,IF($Q156=4,1,0)),IF($F156&lt;=85,1,0))</formula>
    </cfRule>
  </conditionalFormatting>
  <conditionalFormatting sqref="AV157">
    <cfRule type="expression" dxfId="10975" priority="4139">
      <formula>AV157="X"</formula>
    </cfRule>
    <cfRule type="expression" dxfId="10974" priority="4140">
      <formula>AV157="후보"</formula>
    </cfRule>
  </conditionalFormatting>
  <conditionalFormatting sqref="AC157">
    <cfRule type="cellIs" dxfId="10973" priority="4137" operator="greaterThan">
      <formula>0.9</formula>
    </cfRule>
    <cfRule type="cellIs" dxfId="10972" priority="4138" operator="greaterThan">
      <formula>0.85</formula>
    </cfRule>
  </conditionalFormatting>
  <conditionalFormatting sqref="N157">
    <cfRule type="cellIs" dxfId="10971" priority="4135" operator="greaterThan">
      <formula>0.9</formula>
    </cfRule>
    <cfRule type="cellIs" dxfId="10970" priority="4136" operator="greaterThan">
      <formula>0.85</formula>
    </cfRule>
  </conditionalFormatting>
  <conditionalFormatting sqref="E157">
    <cfRule type="expression" dxfId="10969" priority="4131">
      <formula>AND(IF(OR($Q157=1,$Q157=2),1,0),IF($X157&lt;=20,1,0))</formula>
    </cfRule>
    <cfRule type="expression" dxfId="10968" priority="4132">
      <formula>AND(IF($Q157=2,1,0),IF($X157&lt;30,1,0))</formula>
    </cfRule>
    <cfRule type="expression" dxfId="10967" priority="4133">
      <formula>AND(IF($Q157=3,1,0),IF($X157&lt;30,1,0))</formula>
    </cfRule>
    <cfRule type="expression" dxfId="10966" priority="4134">
      <formula>AND(IF($Q157=3,1,IF($Q157=4,1,0)),IF($F157&lt;=85,1,0))</formula>
    </cfRule>
  </conditionalFormatting>
  <conditionalFormatting sqref="X157">
    <cfRule type="expression" dxfId="10965" priority="4127">
      <formula>AND(IF(OR($Q157=1,$Q157=2),1,0),IF($X157&lt;=20,1,0))</formula>
    </cfRule>
    <cfRule type="expression" dxfId="10964" priority="4128">
      <formula>AND(IF($Q157=2,1,0),IF($X157&lt;30,1,0))</formula>
    </cfRule>
    <cfRule type="expression" dxfId="10963" priority="4129">
      <formula>AND(IF($Q157=3,1,0),IF($X157&lt;30,1,0))</formula>
    </cfRule>
    <cfRule type="expression" dxfId="10962" priority="4130">
      <formula>AND(IF($Q157=3,1,IF($Q157=4,1,0)),IF($F157&lt;=85,1,0))</formula>
    </cfRule>
  </conditionalFormatting>
  <conditionalFormatting sqref="AI157">
    <cfRule type="expression" dxfId="10961" priority="4123">
      <formula>AND(IF(OR($Q157=1,$Q157=2),1,0),IF($X157&lt;=20,1,0))</formula>
    </cfRule>
    <cfRule type="expression" dxfId="10960" priority="4124">
      <formula>AND(IF($Q157=2,1,0),IF($X157&lt;30,1,0))</formula>
    </cfRule>
    <cfRule type="expression" dxfId="10959" priority="4125">
      <formula>AND(IF($Q157=3,1,0),IF($X157&lt;30,1,0))</formula>
    </cfRule>
    <cfRule type="expression" dxfId="10958" priority="4126">
      <formula>AND(IF($Q157=3,1,IF($Q157=4,1,0)),IF($F157&lt;=85,1,0))</formula>
    </cfRule>
  </conditionalFormatting>
  <conditionalFormatting sqref="AV158">
    <cfRule type="expression" dxfId="10957" priority="4121">
      <formula>AV158="X"</formula>
    </cfRule>
    <cfRule type="expression" dxfId="10956" priority="4122">
      <formula>AV158="후보"</formula>
    </cfRule>
  </conditionalFormatting>
  <conditionalFormatting sqref="AC158">
    <cfRule type="cellIs" dxfId="10955" priority="4119" operator="greaterThan">
      <formula>0.9</formula>
    </cfRule>
    <cfRule type="cellIs" dxfId="10954" priority="4120" operator="greaterThan">
      <formula>0.85</formula>
    </cfRule>
  </conditionalFormatting>
  <conditionalFormatting sqref="N158">
    <cfRule type="cellIs" dxfId="10953" priority="4117" operator="greaterThan">
      <formula>0.9</formula>
    </cfRule>
    <cfRule type="cellIs" dxfId="10952" priority="4118" operator="greaterThan">
      <formula>0.85</formula>
    </cfRule>
  </conditionalFormatting>
  <conditionalFormatting sqref="E158">
    <cfRule type="expression" dxfId="10951" priority="4113">
      <formula>AND(IF(OR($Q158=1,$Q158=2),1,0),IF($X158&lt;=20,1,0))</formula>
    </cfRule>
    <cfRule type="expression" dxfId="10950" priority="4114">
      <formula>AND(IF($Q158=2,1,0),IF($X158&lt;30,1,0))</formula>
    </cfRule>
    <cfRule type="expression" dxfId="10949" priority="4115">
      <formula>AND(IF($Q158=3,1,0),IF($X158&lt;30,1,0))</formula>
    </cfRule>
    <cfRule type="expression" dxfId="10948" priority="4116">
      <formula>AND(IF($Q158=3,1,IF($Q158=4,1,0)),IF($F158&lt;=85,1,0))</formula>
    </cfRule>
  </conditionalFormatting>
  <conditionalFormatting sqref="X158">
    <cfRule type="expression" dxfId="10947" priority="4109">
      <formula>AND(IF(OR($Q158=1,$Q158=2),1,0),IF($X158&lt;=20,1,0))</formula>
    </cfRule>
    <cfRule type="expression" dxfId="10946" priority="4110">
      <formula>AND(IF($Q158=2,1,0),IF($X158&lt;30,1,0))</formula>
    </cfRule>
    <cfRule type="expression" dxfId="10945" priority="4111">
      <formula>AND(IF($Q158=3,1,0),IF($X158&lt;30,1,0))</formula>
    </cfRule>
    <cfRule type="expression" dxfId="10944" priority="4112">
      <formula>AND(IF($Q158=3,1,IF($Q158=4,1,0)),IF($F158&lt;=85,1,0))</formula>
    </cfRule>
  </conditionalFormatting>
  <conditionalFormatting sqref="AI158">
    <cfRule type="expression" dxfId="10943" priority="4105">
      <formula>AND(IF(OR($Q158=1,$Q158=2),1,0),IF($X158&lt;=20,1,0))</formula>
    </cfRule>
    <cfRule type="expression" dxfId="10942" priority="4106">
      <formula>AND(IF($Q158=2,1,0),IF($X158&lt;30,1,0))</formula>
    </cfRule>
    <cfRule type="expression" dxfId="10941" priority="4107">
      <formula>AND(IF($Q158=3,1,0),IF($X158&lt;30,1,0))</formula>
    </cfRule>
    <cfRule type="expression" dxfId="10940" priority="4108">
      <formula>AND(IF($Q158=3,1,IF($Q158=4,1,0)),IF($F158&lt;=85,1,0))</formula>
    </cfRule>
  </conditionalFormatting>
  <conditionalFormatting sqref="AV159">
    <cfRule type="expression" dxfId="10939" priority="4103">
      <formula>AV159="X"</formula>
    </cfRule>
    <cfRule type="expression" dxfId="10938" priority="4104">
      <formula>AV159="후보"</formula>
    </cfRule>
  </conditionalFormatting>
  <conditionalFormatting sqref="AC159">
    <cfRule type="cellIs" dxfId="10937" priority="4101" operator="greaterThan">
      <formula>0.9</formula>
    </cfRule>
    <cfRule type="cellIs" dxfId="10936" priority="4102" operator="greaterThan">
      <formula>0.85</formula>
    </cfRule>
  </conditionalFormatting>
  <conditionalFormatting sqref="N159">
    <cfRule type="cellIs" dxfId="10935" priority="4099" operator="greaterThan">
      <formula>0.9</formula>
    </cfRule>
    <cfRule type="cellIs" dxfId="10934" priority="4100" operator="greaterThan">
      <formula>0.85</formula>
    </cfRule>
  </conditionalFormatting>
  <conditionalFormatting sqref="E159">
    <cfRule type="expression" dxfId="10933" priority="4095">
      <formula>AND(IF(OR($Q159=1,$Q159=2),1,0),IF($X159&lt;=20,1,0))</formula>
    </cfRule>
    <cfRule type="expression" dxfId="10932" priority="4096">
      <formula>AND(IF($Q159=2,1,0),IF($X159&lt;30,1,0))</formula>
    </cfRule>
    <cfRule type="expression" dxfId="10931" priority="4097">
      <formula>AND(IF($Q159=3,1,0),IF($X159&lt;30,1,0))</formula>
    </cfRule>
    <cfRule type="expression" dxfId="10930" priority="4098">
      <formula>AND(IF($Q159=3,1,IF($Q159=4,1,0)),IF($F159&lt;=85,1,0))</formula>
    </cfRule>
  </conditionalFormatting>
  <conditionalFormatting sqref="X159">
    <cfRule type="expression" dxfId="10929" priority="4091">
      <formula>AND(IF(OR($Q159=1,$Q159=2),1,0),IF($X159&lt;=20,1,0))</formula>
    </cfRule>
    <cfRule type="expression" dxfId="10928" priority="4092">
      <formula>AND(IF($Q159=2,1,0),IF($X159&lt;30,1,0))</formula>
    </cfRule>
    <cfRule type="expression" dxfId="10927" priority="4093">
      <formula>AND(IF($Q159=3,1,0),IF($X159&lt;30,1,0))</formula>
    </cfRule>
    <cfRule type="expression" dxfId="10926" priority="4094">
      <formula>AND(IF($Q159=3,1,IF($Q159=4,1,0)),IF($F159&lt;=85,1,0))</formula>
    </cfRule>
  </conditionalFormatting>
  <conditionalFormatting sqref="AI159">
    <cfRule type="expression" dxfId="10925" priority="4087">
      <formula>AND(IF(OR($Q159=1,$Q159=2),1,0),IF($X159&lt;=20,1,0))</formula>
    </cfRule>
    <cfRule type="expression" dxfId="10924" priority="4088">
      <formula>AND(IF($Q159=2,1,0),IF($X159&lt;30,1,0))</formula>
    </cfRule>
    <cfRule type="expression" dxfId="10923" priority="4089">
      <formula>AND(IF($Q159=3,1,0),IF($X159&lt;30,1,0))</formula>
    </cfRule>
    <cfRule type="expression" dxfId="10922" priority="4090">
      <formula>AND(IF($Q159=3,1,IF($Q159=4,1,0)),IF($F159&lt;=85,1,0))</formula>
    </cfRule>
  </conditionalFormatting>
  <conditionalFormatting sqref="AV160">
    <cfRule type="expression" dxfId="10921" priority="4085">
      <formula>AV160="X"</formula>
    </cfRule>
    <cfRule type="expression" dxfId="10920" priority="4086">
      <formula>AV160="후보"</formula>
    </cfRule>
  </conditionalFormatting>
  <conditionalFormatting sqref="AC160">
    <cfRule type="cellIs" dxfId="10919" priority="4083" operator="greaterThan">
      <formula>0.9</formula>
    </cfRule>
    <cfRule type="cellIs" dxfId="10918" priority="4084" operator="greaterThan">
      <formula>0.85</formula>
    </cfRule>
  </conditionalFormatting>
  <conditionalFormatting sqref="N160">
    <cfRule type="cellIs" dxfId="10917" priority="4081" operator="greaterThan">
      <formula>0.9</formula>
    </cfRule>
    <cfRule type="cellIs" dxfId="10916" priority="4082" operator="greaterThan">
      <formula>0.85</formula>
    </cfRule>
  </conditionalFormatting>
  <conditionalFormatting sqref="E160">
    <cfRule type="expression" dxfId="10915" priority="4077">
      <formula>AND(IF(OR($Q160=1,$Q160=2),1,0),IF($X160&lt;=20,1,0))</formula>
    </cfRule>
    <cfRule type="expression" dxfId="10914" priority="4078">
      <formula>AND(IF($Q160=2,1,0),IF($X160&lt;30,1,0))</formula>
    </cfRule>
    <cfRule type="expression" dxfId="10913" priority="4079">
      <formula>AND(IF($Q160=3,1,0),IF($X160&lt;30,1,0))</formula>
    </cfRule>
    <cfRule type="expression" dxfId="10912" priority="4080">
      <formula>AND(IF($Q160=3,1,IF($Q160=4,1,0)),IF($F160&lt;=85,1,0))</formula>
    </cfRule>
  </conditionalFormatting>
  <conditionalFormatting sqref="X160">
    <cfRule type="expression" dxfId="10911" priority="4073">
      <formula>AND(IF(OR($Q160=1,$Q160=2),1,0),IF($X160&lt;=20,1,0))</formula>
    </cfRule>
    <cfRule type="expression" dxfId="10910" priority="4074">
      <formula>AND(IF($Q160=2,1,0),IF($X160&lt;30,1,0))</formula>
    </cfRule>
    <cfRule type="expression" dxfId="10909" priority="4075">
      <formula>AND(IF($Q160=3,1,0),IF($X160&lt;30,1,0))</formula>
    </cfRule>
    <cfRule type="expression" dxfId="10908" priority="4076">
      <formula>AND(IF($Q160=3,1,IF($Q160=4,1,0)),IF($F160&lt;=85,1,0))</formula>
    </cfRule>
  </conditionalFormatting>
  <conditionalFormatting sqref="AI160">
    <cfRule type="expression" dxfId="10907" priority="4069">
      <formula>AND(IF(OR($Q160=1,$Q160=2),1,0),IF($X160&lt;=20,1,0))</formula>
    </cfRule>
    <cfRule type="expression" dxfId="10906" priority="4070">
      <formula>AND(IF($Q160=2,1,0),IF($X160&lt;30,1,0))</formula>
    </cfRule>
    <cfRule type="expression" dxfId="10905" priority="4071">
      <formula>AND(IF($Q160=3,1,0),IF($X160&lt;30,1,0))</formula>
    </cfRule>
    <cfRule type="expression" dxfId="10904" priority="4072">
      <formula>AND(IF($Q160=3,1,IF($Q160=4,1,0)),IF($F160&lt;=85,1,0))</formula>
    </cfRule>
  </conditionalFormatting>
  <conditionalFormatting sqref="AV161">
    <cfRule type="expression" dxfId="10903" priority="4067">
      <formula>AV161="X"</formula>
    </cfRule>
    <cfRule type="expression" dxfId="10902" priority="4068">
      <formula>AV161="후보"</formula>
    </cfRule>
  </conditionalFormatting>
  <conditionalFormatting sqref="AC161">
    <cfRule type="cellIs" dxfId="10901" priority="4065" operator="greaterThan">
      <formula>0.9</formula>
    </cfRule>
    <cfRule type="cellIs" dxfId="10900" priority="4066" operator="greaterThan">
      <formula>0.85</formula>
    </cfRule>
  </conditionalFormatting>
  <conditionalFormatting sqref="N161">
    <cfRule type="cellIs" dxfId="10899" priority="4063" operator="greaterThan">
      <formula>0.9</formula>
    </cfRule>
    <cfRule type="cellIs" dxfId="10898" priority="4064" operator="greaterThan">
      <formula>0.85</formula>
    </cfRule>
  </conditionalFormatting>
  <conditionalFormatting sqref="E161">
    <cfRule type="expression" dxfId="10897" priority="4059">
      <formula>AND(IF(OR($Q161=1,$Q161=2),1,0),IF($X161&lt;=20,1,0))</formula>
    </cfRule>
    <cfRule type="expression" dxfId="10896" priority="4060">
      <formula>AND(IF($Q161=2,1,0),IF($X161&lt;30,1,0))</formula>
    </cfRule>
    <cfRule type="expression" dxfId="10895" priority="4061">
      <formula>AND(IF($Q161=3,1,0),IF($X161&lt;30,1,0))</formula>
    </cfRule>
    <cfRule type="expression" dxfId="10894" priority="4062">
      <formula>AND(IF($Q161=3,1,IF($Q161=4,1,0)),IF($F161&lt;=85,1,0))</formula>
    </cfRule>
  </conditionalFormatting>
  <conditionalFormatting sqref="X161">
    <cfRule type="expression" dxfId="10893" priority="4055">
      <formula>AND(IF(OR($Q161=1,$Q161=2),1,0),IF($X161&lt;=20,1,0))</formula>
    </cfRule>
    <cfRule type="expression" dxfId="10892" priority="4056">
      <formula>AND(IF($Q161=2,1,0),IF($X161&lt;30,1,0))</formula>
    </cfRule>
    <cfRule type="expression" dxfId="10891" priority="4057">
      <formula>AND(IF($Q161=3,1,0),IF($X161&lt;30,1,0))</formula>
    </cfRule>
    <cfRule type="expression" dxfId="10890" priority="4058">
      <formula>AND(IF($Q161=3,1,IF($Q161=4,1,0)),IF($F161&lt;=85,1,0))</formula>
    </cfRule>
  </conditionalFormatting>
  <conditionalFormatting sqref="AI161">
    <cfRule type="expression" dxfId="10889" priority="4051">
      <formula>AND(IF(OR($Q161=1,$Q161=2),1,0),IF($X161&lt;=20,1,0))</formula>
    </cfRule>
    <cfRule type="expression" dxfId="10888" priority="4052">
      <formula>AND(IF($Q161=2,1,0),IF($X161&lt;30,1,0))</formula>
    </cfRule>
    <cfRule type="expression" dxfId="10887" priority="4053">
      <formula>AND(IF($Q161=3,1,0),IF($X161&lt;30,1,0))</formula>
    </cfRule>
    <cfRule type="expression" dxfId="10886" priority="4054">
      <formula>AND(IF($Q161=3,1,IF($Q161=4,1,0)),IF($F161&lt;=85,1,0))</formula>
    </cfRule>
  </conditionalFormatting>
  <conditionalFormatting sqref="AV162">
    <cfRule type="expression" dxfId="10885" priority="4049">
      <formula>AV162="X"</formula>
    </cfRule>
    <cfRule type="expression" dxfId="10884" priority="4050">
      <formula>AV162="후보"</formula>
    </cfRule>
  </conditionalFormatting>
  <conditionalFormatting sqref="AC162">
    <cfRule type="cellIs" dxfId="10883" priority="4047" operator="greaterThan">
      <formula>0.9</formula>
    </cfRule>
    <cfRule type="cellIs" dxfId="10882" priority="4048" operator="greaterThan">
      <formula>0.85</formula>
    </cfRule>
  </conditionalFormatting>
  <conditionalFormatting sqref="N162">
    <cfRule type="cellIs" dxfId="10881" priority="4045" operator="greaterThan">
      <formula>0.9</formula>
    </cfRule>
    <cfRule type="cellIs" dxfId="10880" priority="4046" operator="greaterThan">
      <formula>0.85</formula>
    </cfRule>
  </conditionalFormatting>
  <conditionalFormatting sqref="E162">
    <cfRule type="expression" dxfId="10879" priority="4041">
      <formula>AND(IF(OR($Q162=1,$Q162=2),1,0),IF($X162&lt;=20,1,0))</formula>
    </cfRule>
    <cfRule type="expression" dxfId="10878" priority="4042">
      <formula>AND(IF($Q162=2,1,0),IF($X162&lt;30,1,0))</formula>
    </cfRule>
    <cfRule type="expression" dxfId="10877" priority="4043">
      <formula>AND(IF($Q162=3,1,0),IF($X162&lt;30,1,0))</formula>
    </cfRule>
    <cfRule type="expression" dxfId="10876" priority="4044">
      <formula>AND(IF($Q162=3,1,IF($Q162=4,1,0)),IF($F162&lt;=85,1,0))</formula>
    </cfRule>
  </conditionalFormatting>
  <conditionalFormatting sqref="X162">
    <cfRule type="expression" dxfId="10875" priority="4037">
      <formula>AND(IF(OR($Q162=1,$Q162=2),1,0),IF($X162&lt;=20,1,0))</formula>
    </cfRule>
    <cfRule type="expression" dxfId="10874" priority="4038">
      <formula>AND(IF($Q162=2,1,0),IF($X162&lt;30,1,0))</formula>
    </cfRule>
    <cfRule type="expression" dxfId="10873" priority="4039">
      <formula>AND(IF($Q162=3,1,0),IF($X162&lt;30,1,0))</formula>
    </cfRule>
    <cfRule type="expression" dxfId="10872" priority="4040">
      <formula>AND(IF($Q162=3,1,IF($Q162=4,1,0)),IF($F162&lt;=85,1,0))</formula>
    </cfRule>
  </conditionalFormatting>
  <conditionalFormatting sqref="AI162">
    <cfRule type="expression" dxfId="10871" priority="4033">
      <formula>AND(IF(OR($Q162=1,$Q162=2),1,0),IF($X162&lt;=20,1,0))</formula>
    </cfRule>
    <cfRule type="expression" dxfId="10870" priority="4034">
      <formula>AND(IF($Q162=2,1,0),IF($X162&lt;30,1,0))</formula>
    </cfRule>
    <cfRule type="expression" dxfId="10869" priority="4035">
      <formula>AND(IF($Q162=3,1,0),IF($X162&lt;30,1,0))</formula>
    </cfRule>
    <cfRule type="expression" dxfId="10868" priority="4036">
      <formula>AND(IF($Q162=3,1,IF($Q162=4,1,0)),IF($F162&lt;=85,1,0))</formula>
    </cfRule>
  </conditionalFormatting>
  <conditionalFormatting sqref="AV163">
    <cfRule type="expression" dxfId="10867" priority="4031">
      <formula>AV163="X"</formula>
    </cfRule>
    <cfRule type="expression" dxfId="10866" priority="4032">
      <formula>AV163="후보"</formula>
    </cfRule>
  </conditionalFormatting>
  <conditionalFormatting sqref="AC163">
    <cfRule type="cellIs" dxfId="10865" priority="4029" operator="greaterThan">
      <formula>0.9</formula>
    </cfRule>
    <cfRule type="cellIs" dxfId="10864" priority="4030" operator="greaterThan">
      <formula>0.85</formula>
    </cfRule>
  </conditionalFormatting>
  <conditionalFormatting sqref="N163">
    <cfRule type="cellIs" dxfId="10863" priority="4027" operator="greaterThan">
      <formula>0.9</formula>
    </cfRule>
    <cfRule type="cellIs" dxfId="10862" priority="4028" operator="greaterThan">
      <formula>0.85</formula>
    </cfRule>
  </conditionalFormatting>
  <conditionalFormatting sqref="E163">
    <cfRule type="expression" dxfId="10861" priority="4023">
      <formula>AND(IF(OR($Q163=1,$Q163=2),1,0),IF($X163&lt;=20,1,0))</formula>
    </cfRule>
    <cfRule type="expression" dxfId="10860" priority="4024">
      <formula>AND(IF($Q163=2,1,0),IF($X163&lt;30,1,0))</formula>
    </cfRule>
    <cfRule type="expression" dxfId="10859" priority="4025">
      <formula>AND(IF($Q163=3,1,0),IF($X163&lt;30,1,0))</formula>
    </cfRule>
    <cfRule type="expression" dxfId="10858" priority="4026">
      <formula>AND(IF($Q163=3,1,IF($Q163=4,1,0)),IF($F163&lt;=85,1,0))</formula>
    </cfRule>
  </conditionalFormatting>
  <conditionalFormatting sqref="X163">
    <cfRule type="expression" dxfId="10857" priority="4019">
      <formula>AND(IF(OR($Q163=1,$Q163=2),1,0),IF($X163&lt;=20,1,0))</formula>
    </cfRule>
    <cfRule type="expression" dxfId="10856" priority="4020">
      <formula>AND(IF($Q163=2,1,0),IF($X163&lt;30,1,0))</formula>
    </cfRule>
    <cfRule type="expression" dxfId="10855" priority="4021">
      <formula>AND(IF($Q163=3,1,0),IF($X163&lt;30,1,0))</formula>
    </cfRule>
    <cfRule type="expression" dxfId="10854" priority="4022">
      <formula>AND(IF($Q163=3,1,IF($Q163=4,1,0)),IF($F163&lt;=85,1,0))</formula>
    </cfRule>
  </conditionalFormatting>
  <conditionalFormatting sqref="AI163">
    <cfRule type="expression" dxfId="10853" priority="4015">
      <formula>AND(IF(OR($Q163=1,$Q163=2),1,0),IF($X163&lt;=20,1,0))</formula>
    </cfRule>
    <cfRule type="expression" dxfId="10852" priority="4016">
      <formula>AND(IF($Q163=2,1,0),IF($X163&lt;30,1,0))</formula>
    </cfRule>
    <cfRule type="expression" dxfId="10851" priority="4017">
      <formula>AND(IF($Q163=3,1,0),IF($X163&lt;30,1,0))</formula>
    </cfRule>
    <cfRule type="expression" dxfId="10850" priority="4018">
      <formula>AND(IF($Q163=3,1,IF($Q163=4,1,0)),IF($F163&lt;=85,1,0))</formula>
    </cfRule>
  </conditionalFormatting>
  <conditionalFormatting sqref="AV164">
    <cfRule type="expression" dxfId="10849" priority="4013">
      <formula>AV164="X"</formula>
    </cfRule>
    <cfRule type="expression" dxfId="10848" priority="4014">
      <formula>AV164="후보"</formula>
    </cfRule>
  </conditionalFormatting>
  <conditionalFormatting sqref="AC164">
    <cfRule type="cellIs" dxfId="10847" priority="4011" operator="greaterThan">
      <formula>0.9</formula>
    </cfRule>
    <cfRule type="cellIs" dxfId="10846" priority="4012" operator="greaterThan">
      <formula>0.85</formula>
    </cfRule>
  </conditionalFormatting>
  <conditionalFormatting sqref="N164">
    <cfRule type="cellIs" dxfId="10845" priority="4009" operator="greaterThan">
      <formula>0.9</formula>
    </cfRule>
    <cfRule type="cellIs" dxfId="10844" priority="4010" operator="greaterThan">
      <formula>0.85</formula>
    </cfRule>
  </conditionalFormatting>
  <conditionalFormatting sqref="E164">
    <cfRule type="expression" dxfId="10843" priority="4005">
      <formula>AND(IF(OR($Q164=1,$Q164=2),1,0),IF($X164&lt;=20,1,0))</formula>
    </cfRule>
    <cfRule type="expression" dxfId="10842" priority="4006">
      <formula>AND(IF($Q164=2,1,0),IF($X164&lt;30,1,0))</formula>
    </cfRule>
    <cfRule type="expression" dxfId="10841" priority="4007">
      <formula>AND(IF($Q164=3,1,0),IF($X164&lt;30,1,0))</formula>
    </cfRule>
    <cfRule type="expression" dxfId="10840" priority="4008">
      <formula>AND(IF($Q164=3,1,IF($Q164=4,1,0)),IF($F164&lt;=85,1,0))</formula>
    </cfRule>
  </conditionalFormatting>
  <conditionalFormatting sqref="X164">
    <cfRule type="expression" dxfId="10839" priority="4001">
      <formula>AND(IF(OR($Q164=1,$Q164=2),1,0),IF($X164&lt;=20,1,0))</formula>
    </cfRule>
    <cfRule type="expression" dxfId="10838" priority="4002">
      <formula>AND(IF($Q164=2,1,0),IF($X164&lt;30,1,0))</formula>
    </cfRule>
    <cfRule type="expression" dxfId="10837" priority="4003">
      <formula>AND(IF($Q164=3,1,0),IF($X164&lt;30,1,0))</formula>
    </cfRule>
    <cfRule type="expression" dxfId="10836" priority="4004">
      <formula>AND(IF($Q164=3,1,IF($Q164=4,1,0)),IF($F164&lt;=85,1,0))</formula>
    </cfRule>
  </conditionalFormatting>
  <conditionalFormatting sqref="AI164">
    <cfRule type="expression" dxfId="10835" priority="3997">
      <formula>AND(IF(OR($Q164=1,$Q164=2),1,0),IF($X164&lt;=20,1,0))</formula>
    </cfRule>
    <cfRule type="expression" dxfId="10834" priority="3998">
      <formula>AND(IF($Q164=2,1,0),IF($X164&lt;30,1,0))</formula>
    </cfRule>
    <cfRule type="expression" dxfId="10833" priority="3999">
      <formula>AND(IF($Q164=3,1,0),IF($X164&lt;30,1,0))</formula>
    </cfRule>
    <cfRule type="expression" dxfId="10832" priority="4000">
      <formula>AND(IF($Q164=3,1,IF($Q164=4,1,0)),IF($F164&lt;=85,1,0))</formula>
    </cfRule>
  </conditionalFormatting>
  <conditionalFormatting sqref="AV165">
    <cfRule type="expression" dxfId="10831" priority="3995">
      <formula>AV165="X"</formula>
    </cfRule>
    <cfRule type="expression" dxfId="10830" priority="3996">
      <formula>AV165="후보"</formula>
    </cfRule>
  </conditionalFormatting>
  <conditionalFormatting sqref="AC165">
    <cfRule type="cellIs" dxfId="10829" priority="3993" operator="greaterThan">
      <formula>0.9</formula>
    </cfRule>
    <cfRule type="cellIs" dxfId="10828" priority="3994" operator="greaterThan">
      <formula>0.85</formula>
    </cfRule>
  </conditionalFormatting>
  <conditionalFormatting sqref="N165">
    <cfRule type="cellIs" dxfId="10827" priority="3991" operator="greaterThan">
      <formula>0.9</formula>
    </cfRule>
    <cfRule type="cellIs" dxfId="10826" priority="3992" operator="greaterThan">
      <formula>0.85</formula>
    </cfRule>
  </conditionalFormatting>
  <conditionalFormatting sqref="E165">
    <cfRule type="expression" dxfId="10825" priority="3987">
      <formula>AND(IF(OR($Q165=1,$Q165=2),1,0),IF($X165&lt;=20,1,0))</formula>
    </cfRule>
    <cfRule type="expression" dxfId="10824" priority="3988">
      <formula>AND(IF($Q165=2,1,0),IF($X165&lt;30,1,0))</formula>
    </cfRule>
    <cfRule type="expression" dxfId="10823" priority="3989">
      <formula>AND(IF($Q165=3,1,0),IF($X165&lt;30,1,0))</formula>
    </cfRule>
    <cfRule type="expression" dxfId="10822" priority="3990">
      <formula>AND(IF($Q165=3,1,IF($Q165=4,1,0)),IF($F165&lt;=85,1,0))</formula>
    </cfRule>
  </conditionalFormatting>
  <conditionalFormatting sqref="X165">
    <cfRule type="expression" dxfId="10821" priority="3983">
      <formula>AND(IF(OR($Q165=1,$Q165=2),1,0),IF($X165&lt;=20,1,0))</formula>
    </cfRule>
    <cfRule type="expression" dxfId="10820" priority="3984">
      <formula>AND(IF($Q165=2,1,0),IF($X165&lt;30,1,0))</formula>
    </cfRule>
    <cfRule type="expression" dxfId="10819" priority="3985">
      <formula>AND(IF($Q165=3,1,0),IF($X165&lt;30,1,0))</formula>
    </cfRule>
    <cfRule type="expression" dxfId="10818" priority="3986">
      <formula>AND(IF($Q165=3,1,IF($Q165=4,1,0)),IF($F165&lt;=85,1,0))</formula>
    </cfRule>
  </conditionalFormatting>
  <conditionalFormatting sqref="AI165">
    <cfRule type="expression" dxfId="10817" priority="3979">
      <formula>AND(IF(OR($Q165=1,$Q165=2),1,0),IF($X165&lt;=20,1,0))</formula>
    </cfRule>
    <cfRule type="expression" dxfId="10816" priority="3980">
      <formula>AND(IF($Q165=2,1,0),IF($X165&lt;30,1,0))</formula>
    </cfRule>
    <cfRule type="expression" dxfId="10815" priority="3981">
      <formula>AND(IF($Q165=3,1,0),IF($X165&lt;30,1,0))</formula>
    </cfRule>
    <cfRule type="expression" dxfId="10814" priority="3982">
      <formula>AND(IF($Q165=3,1,IF($Q165=4,1,0)),IF($F165&lt;=85,1,0))</formula>
    </cfRule>
  </conditionalFormatting>
  <conditionalFormatting sqref="AV166">
    <cfRule type="expression" dxfId="10813" priority="3977">
      <formula>AV166="X"</formula>
    </cfRule>
    <cfRule type="expression" dxfId="10812" priority="3978">
      <formula>AV166="후보"</formula>
    </cfRule>
  </conditionalFormatting>
  <conditionalFormatting sqref="AC166">
    <cfRule type="cellIs" dxfId="10811" priority="3975" operator="greaterThan">
      <formula>0.9</formula>
    </cfRule>
    <cfRule type="cellIs" dxfId="10810" priority="3976" operator="greaterThan">
      <formula>0.85</formula>
    </cfRule>
  </conditionalFormatting>
  <conditionalFormatting sqref="N166">
    <cfRule type="cellIs" dxfId="10809" priority="3973" operator="greaterThan">
      <formula>0.9</formula>
    </cfRule>
    <cfRule type="cellIs" dxfId="10808" priority="3974" operator="greaterThan">
      <formula>0.85</formula>
    </cfRule>
  </conditionalFormatting>
  <conditionalFormatting sqref="E166">
    <cfRule type="expression" dxfId="10807" priority="3969">
      <formula>AND(IF(OR($Q166=1,$Q166=2),1,0),IF($X166&lt;=20,1,0))</formula>
    </cfRule>
    <cfRule type="expression" dxfId="10806" priority="3970">
      <formula>AND(IF($Q166=2,1,0),IF($X166&lt;30,1,0))</formula>
    </cfRule>
    <cfRule type="expression" dxfId="10805" priority="3971">
      <formula>AND(IF($Q166=3,1,0),IF($X166&lt;30,1,0))</formula>
    </cfRule>
    <cfRule type="expression" dxfId="10804" priority="3972">
      <formula>AND(IF($Q166=3,1,IF($Q166=4,1,0)),IF($F166&lt;=85,1,0))</formula>
    </cfRule>
  </conditionalFormatting>
  <conditionalFormatting sqref="X166">
    <cfRule type="expression" dxfId="10803" priority="3965">
      <formula>AND(IF(OR($Q166=1,$Q166=2),1,0),IF($X166&lt;=20,1,0))</formula>
    </cfRule>
    <cfRule type="expression" dxfId="10802" priority="3966">
      <formula>AND(IF($Q166=2,1,0),IF($X166&lt;30,1,0))</formula>
    </cfRule>
    <cfRule type="expression" dxfId="10801" priority="3967">
      <formula>AND(IF($Q166=3,1,0),IF($X166&lt;30,1,0))</formula>
    </cfRule>
    <cfRule type="expression" dxfId="10800" priority="3968">
      <formula>AND(IF($Q166=3,1,IF($Q166=4,1,0)),IF($F166&lt;=85,1,0))</formula>
    </cfRule>
  </conditionalFormatting>
  <conditionalFormatting sqref="AI166">
    <cfRule type="expression" dxfId="10799" priority="3961">
      <formula>AND(IF(OR($Q166=1,$Q166=2),1,0),IF($X166&lt;=20,1,0))</formula>
    </cfRule>
    <cfRule type="expression" dxfId="10798" priority="3962">
      <formula>AND(IF($Q166=2,1,0),IF($X166&lt;30,1,0))</formula>
    </cfRule>
    <cfRule type="expression" dxfId="10797" priority="3963">
      <formula>AND(IF($Q166=3,1,0),IF($X166&lt;30,1,0))</formula>
    </cfRule>
    <cfRule type="expression" dxfId="10796" priority="3964">
      <formula>AND(IF($Q166=3,1,IF($Q166=4,1,0)),IF($F166&lt;=85,1,0))</formula>
    </cfRule>
  </conditionalFormatting>
  <conditionalFormatting sqref="AV167">
    <cfRule type="expression" dxfId="10795" priority="3959">
      <formula>AV167="X"</formula>
    </cfRule>
    <cfRule type="expression" dxfId="10794" priority="3960">
      <formula>AV167="후보"</formula>
    </cfRule>
  </conditionalFormatting>
  <conditionalFormatting sqref="AC167">
    <cfRule type="cellIs" dxfId="10793" priority="3957" operator="greaterThan">
      <formula>0.9</formula>
    </cfRule>
    <cfRule type="cellIs" dxfId="10792" priority="3958" operator="greaterThan">
      <formula>0.85</formula>
    </cfRule>
  </conditionalFormatting>
  <conditionalFormatting sqref="N167">
    <cfRule type="cellIs" dxfId="10791" priority="3955" operator="greaterThan">
      <formula>0.9</formula>
    </cfRule>
    <cfRule type="cellIs" dxfId="10790" priority="3956" operator="greaterThan">
      <formula>0.85</formula>
    </cfRule>
  </conditionalFormatting>
  <conditionalFormatting sqref="E167">
    <cfRule type="expression" dxfId="10789" priority="3951">
      <formula>AND(IF(OR($Q167=1,$Q167=2),1,0),IF($X167&lt;=20,1,0))</formula>
    </cfRule>
    <cfRule type="expression" dxfId="10788" priority="3952">
      <formula>AND(IF($Q167=2,1,0),IF($X167&lt;30,1,0))</formula>
    </cfRule>
    <cfRule type="expression" dxfId="10787" priority="3953">
      <formula>AND(IF($Q167=3,1,0),IF($X167&lt;30,1,0))</formula>
    </cfRule>
    <cfRule type="expression" dxfId="10786" priority="3954">
      <formula>AND(IF($Q167=3,1,IF($Q167=4,1,0)),IF($F167&lt;=85,1,0))</formula>
    </cfRule>
  </conditionalFormatting>
  <conditionalFormatting sqref="X167">
    <cfRule type="expression" dxfId="10785" priority="3947">
      <formula>AND(IF(OR($Q167=1,$Q167=2),1,0),IF($X167&lt;=20,1,0))</formula>
    </cfRule>
    <cfRule type="expression" dxfId="10784" priority="3948">
      <formula>AND(IF($Q167=2,1,0),IF($X167&lt;30,1,0))</formula>
    </cfRule>
    <cfRule type="expression" dxfId="10783" priority="3949">
      <formula>AND(IF($Q167=3,1,0),IF($X167&lt;30,1,0))</formula>
    </cfRule>
    <cfRule type="expression" dxfId="10782" priority="3950">
      <formula>AND(IF($Q167=3,1,IF($Q167=4,1,0)),IF($F167&lt;=85,1,0))</formula>
    </cfRule>
  </conditionalFormatting>
  <conditionalFormatting sqref="AI167">
    <cfRule type="expression" dxfId="10781" priority="3943">
      <formula>AND(IF(OR($Q167=1,$Q167=2),1,0),IF($X167&lt;=20,1,0))</formula>
    </cfRule>
    <cfRule type="expression" dxfId="10780" priority="3944">
      <formula>AND(IF($Q167=2,1,0),IF($X167&lt;30,1,0))</formula>
    </cfRule>
    <cfRule type="expression" dxfId="10779" priority="3945">
      <formula>AND(IF($Q167=3,1,0),IF($X167&lt;30,1,0))</formula>
    </cfRule>
    <cfRule type="expression" dxfId="10778" priority="3946">
      <formula>AND(IF($Q167=3,1,IF($Q167=4,1,0)),IF($F167&lt;=85,1,0))</formula>
    </cfRule>
  </conditionalFormatting>
  <conditionalFormatting sqref="AV168">
    <cfRule type="expression" dxfId="10777" priority="3941">
      <formula>AV168="X"</formula>
    </cfRule>
    <cfRule type="expression" dxfId="10776" priority="3942">
      <formula>AV168="후보"</formula>
    </cfRule>
  </conditionalFormatting>
  <conditionalFormatting sqref="AC168">
    <cfRule type="cellIs" dxfId="10775" priority="3939" operator="greaterThan">
      <formula>0.9</formula>
    </cfRule>
    <cfRule type="cellIs" dxfId="10774" priority="3940" operator="greaterThan">
      <formula>0.85</formula>
    </cfRule>
  </conditionalFormatting>
  <conditionalFormatting sqref="N168">
    <cfRule type="cellIs" dxfId="10773" priority="3937" operator="greaterThan">
      <formula>0.9</formula>
    </cfRule>
    <cfRule type="cellIs" dxfId="10772" priority="3938" operator="greaterThan">
      <formula>0.85</formula>
    </cfRule>
  </conditionalFormatting>
  <conditionalFormatting sqref="E168">
    <cfRule type="expression" dxfId="10771" priority="3933">
      <formula>AND(IF(OR($Q168=1,$Q168=2),1,0),IF($X168&lt;=20,1,0))</formula>
    </cfRule>
    <cfRule type="expression" dxfId="10770" priority="3934">
      <formula>AND(IF($Q168=2,1,0),IF($X168&lt;30,1,0))</formula>
    </cfRule>
    <cfRule type="expression" dxfId="10769" priority="3935">
      <formula>AND(IF($Q168=3,1,0),IF($X168&lt;30,1,0))</formula>
    </cfRule>
    <cfRule type="expression" dxfId="10768" priority="3936">
      <formula>AND(IF($Q168=3,1,IF($Q168=4,1,0)),IF($F168&lt;=85,1,0))</formula>
    </cfRule>
  </conditionalFormatting>
  <conditionalFormatting sqref="X168">
    <cfRule type="expression" dxfId="10767" priority="3929">
      <formula>AND(IF(OR($Q168=1,$Q168=2),1,0),IF($X168&lt;=20,1,0))</formula>
    </cfRule>
    <cfRule type="expression" dxfId="10766" priority="3930">
      <formula>AND(IF($Q168=2,1,0),IF($X168&lt;30,1,0))</formula>
    </cfRule>
    <cfRule type="expression" dxfId="10765" priority="3931">
      <formula>AND(IF($Q168=3,1,0),IF($X168&lt;30,1,0))</formula>
    </cfRule>
    <cfRule type="expression" dxfId="10764" priority="3932">
      <formula>AND(IF($Q168=3,1,IF($Q168=4,1,0)),IF($F168&lt;=85,1,0))</formula>
    </cfRule>
  </conditionalFormatting>
  <conditionalFormatting sqref="AI168">
    <cfRule type="expression" dxfId="10763" priority="3925">
      <formula>AND(IF(OR($Q168=1,$Q168=2),1,0),IF($X168&lt;=20,1,0))</formula>
    </cfRule>
    <cfRule type="expression" dxfId="10762" priority="3926">
      <formula>AND(IF($Q168=2,1,0),IF($X168&lt;30,1,0))</formula>
    </cfRule>
    <cfRule type="expression" dxfId="10761" priority="3927">
      <formula>AND(IF($Q168=3,1,0),IF($X168&lt;30,1,0))</formula>
    </cfRule>
    <cfRule type="expression" dxfId="10760" priority="3928">
      <formula>AND(IF($Q168=3,1,IF($Q168=4,1,0)),IF($F168&lt;=85,1,0))</formula>
    </cfRule>
  </conditionalFormatting>
  <conditionalFormatting sqref="AV169">
    <cfRule type="expression" dxfId="10759" priority="3923">
      <formula>AV169="X"</formula>
    </cfRule>
    <cfRule type="expression" dxfId="10758" priority="3924">
      <formula>AV169="후보"</formula>
    </cfRule>
  </conditionalFormatting>
  <conditionalFormatting sqref="AC169">
    <cfRule type="cellIs" dxfId="10757" priority="3921" operator="greaterThan">
      <formula>0.9</formula>
    </cfRule>
    <cfRule type="cellIs" dxfId="10756" priority="3922" operator="greaterThan">
      <formula>0.85</formula>
    </cfRule>
  </conditionalFormatting>
  <conditionalFormatting sqref="N169">
    <cfRule type="cellIs" dxfId="10755" priority="3919" operator="greaterThan">
      <formula>0.9</formula>
    </cfRule>
    <cfRule type="cellIs" dxfId="10754" priority="3920" operator="greaterThan">
      <formula>0.85</formula>
    </cfRule>
  </conditionalFormatting>
  <conditionalFormatting sqref="E169">
    <cfRule type="expression" dxfId="10753" priority="3915">
      <formula>AND(IF(OR($Q169=1,$Q169=2),1,0),IF($X169&lt;=20,1,0))</formula>
    </cfRule>
    <cfRule type="expression" dxfId="10752" priority="3916">
      <formula>AND(IF($Q169=2,1,0),IF($X169&lt;30,1,0))</formula>
    </cfRule>
    <cfRule type="expression" dxfId="10751" priority="3917">
      <formula>AND(IF($Q169=3,1,0),IF($X169&lt;30,1,0))</formula>
    </cfRule>
    <cfRule type="expression" dxfId="10750" priority="3918">
      <formula>AND(IF($Q169=3,1,IF($Q169=4,1,0)),IF($F169&lt;=85,1,0))</formula>
    </cfRule>
  </conditionalFormatting>
  <conditionalFormatting sqref="X169">
    <cfRule type="expression" dxfId="10749" priority="3911">
      <formula>AND(IF(OR($Q169=1,$Q169=2),1,0),IF($X169&lt;=20,1,0))</formula>
    </cfRule>
    <cfRule type="expression" dxfId="10748" priority="3912">
      <formula>AND(IF($Q169=2,1,0),IF($X169&lt;30,1,0))</formula>
    </cfRule>
    <cfRule type="expression" dxfId="10747" priority="3913">
      <formula>AND(IF($Q169=3,1,0),IF($X169&lt;30,1,0))</formula>
    </cfRule>
    <cfRule type="expression" dxfId="10746" priority="3914">
      <formula>AND(IF($Q169=3,1,IF($Q169=4,1,0)),IF($F169&lt;=85,1,0))</formula>
    </cfRule>
  </conditionalFormatting>
  <conditionalFormatting sqref="AI169">
    <cfRule type="expression" dxfId="10745" priority="3907">
      <formula>AND(IF(OR($Q169=1,$Q169=2),1,0),IF($X169&lt;=20,1,0))</formula>
    </cfRule>
    <cfRule type="expression" dxfId="10744" priority="3908">
      <formula>AND(IF($Q169=2,1,0),IF($X169&lt;30,1,0))</formula>
    </cfRule>
    <cfRule type="expression" dxfId="10743" priority="3909">
      <formula>AND(IF($Q169=3,1,0),IF($X169&lt;30,1,0))</formula>
    </cfRule>
    <cfRule type="expression" dxfId="10742" priority="3910">
      <formula>AND(IF($Q169=3,1,IF($Q169=4,1,0)),IF($F169&lt;=85,1,0))</formula>
    </cfRule>
  </conditionalFormatting>
  <conditionalFormatting sqref="AV170">
    <cfRule type="expression" dxfId="10741" priority="3905">
      <formula>AV170="X"</formula>
    </cfRule>
    <cfRule type="expression" dxfId="10740" priority="3906">
      <formula>AV170="후보"</formula>
    </cfRule>
  </conditionalFormatting>
  <conditionalFormatting sqref="AC170">
    <cfRule type="cellIs" dxfId="10739" priority="3903" operator="greaterThan">
      <formula>0.9</formula>
    </cfRule>
    <cfRule type="cellIs" dxfId="10738" priority="3904" operator="greaterThan">
      <formula>0.85</formula>
    </cfRule>
  </conditionalFormatting>
  <conditionalFormatting sqref="N170">
    <cfRule type="cellIs" dxfId="10737" priority="3901" operator="greaterThan">
      <formula>0.9</formula>
    </cfRule>
    <cfRule type="cellIs" dxfId="10736" priority="3902" operator="greaterThan">
      <formula>0.85</formula>
    </cfRule>
  </conditionalFormatting>
  <conditionalFormatting sqref="E170">
    <cfRule type="expression" dxfId="10735" priority="3897">
      <formula>AND(IF(OR($Q170=1,$Q170=2),1,0),IF($X170&lt;=20,1,0))</formula>
    </cfRule>
    <cfRule type="expression" dxfId="10734" priority="3898">
      <formula>AND(IF($Q170=2,1,0),IF($X170&lt;30,1,0))</formula>
    </cfRule>
    <cfRule type="expression" dxfId="10733" priority="3899">
      <formula>AND(IF($Q170=3,1,0),IF($X170&lt;30,1,0))</formula>
    </cfRule>
    <cfRule type="expression" dxfId="10732" priority="3900">
      <formula>AND(IF($Q170=3,1,IF($Q170=4,1,0)),IF($F170&lt;=85,1,0))</formula>
    </cfRule>
  </conditionalFormatting>
  <conditionalFormatting sqref="X170">
    <cfRule type="expression" dxfId="10731" priority="3893">
      <formula>AND(IF(OR($Q170=1,$Q170=2),1,0),IF($X170&lt;=20,1,0))</formula>
    </cfRule>
    <cfRule type="expression" dxfId="10730" priority="3894">
      <formula>AND(IF($Q170=2,1,0),IF($X170&lt;30,1,0))</formula>
    </cfRule>
    <cfRule type="expression" dxfId="10729" priority="3895">
      <formula>AND(IF($Q170=3,1,0),IF($X170&lt;30,1,0))</formula>
    </cfRule>
    <cfRule type="expression" dxfId="10728" priority="3896">
      <formula>AND(IF($Q170=3,1,IF($Q170=4,1,0)),IF($F170&lt;=85,1,0))</formula>
    </cfRule>
  </conditionalFormatting>
  <conditionalFormatting sqref="AI170">
    <cfRule type="expression" dxfId="10727" priority="3889">
      <formula>AND(IF(OR($Q170=1,$Q170=2),1,0),IF($X170&lt;=20,1,0))</formula>
    </cfRule>
    <cfRule type="expression" dxfId="10726" priority="3890">
      <formula>AND(IF($Q170=2,1,0),IF($X170&lt;30,1,0))</formula>
    </cfRule>
    <cfRule type="expression" dxfId="10725" priority="3891">
      <formula>AND(IF($Q170=3,1,0),IF($X170&lt;30,1,0))</formula>
    </cfRule>
    <cfRule type="expression" dxfId="10724" priority="3892">
      <formula>AND(IF($Q170=3,1,IF($Q170=4,1,0)),IF($F170&lt;=85,1,0))</formula>
    </cfRule>
  </conditionalFormatting>
  <conditionalFormatting sqref="AV171">
    <cfRule type="expression" dxfId="10723" priority="3887">
      <formula>AV171="X"</formula>
    </cfRule>
    <cfRule type="expression" dxfId="10722" priority="3888">
      <formula>AV171="후보"</formula>
    </cfRule>
  </conditionalFormatting>
  <conditionalFormatting sqref="AC171">
    <cfRule type="cellIs" dxfId="10721" priority="3885" operator="greaterThan">
      <formula>0.9</formula>
    </cfRule>
    <cfRule type="cellIs" dxfId="10720" priority="3886" operator="greaterThan">
      <formula>0.85</formula>
    </cfRule>
  </conditionalFormatting>
  <conditionalFormatting sqref="N171">
    <cfRule type="cellIs" dxfId="10719" priority="3883" operator="greaterThan">
      <formula>0.9</formula>
    </cfRule>
    <cfRule type="cellIs" dxfId="10718" priority="3884" operator="greaterThan">
      <formula>0.85</formula>
    </cfRule>
  </conditionalFormatting>
  <conditionalFormatting sqref="E171">
    <cfRule type="expression" dxfId="10717" priority="3879">
      <formula>AND(IF(OR($Q171=1,$Q171=2),1,0),IF($X171&lt;=20,1,0))</formula>
    </cfRule>
    <cfRule type="expression" dxfId="10716" priority="3880">
      <formula>AND(IF($Q171=2,1,0),IF($X171&lt;30,1,0))</formula>
    </cfRule>
    <cfRule type="expression" dxfId="10715" priority="3881">
      <formula>AND(IF($Q171=3,1,0),IF($X171&lt;30,1,0))</formula>
    </cfRule>
    <cfRule type="expression" dxfId="10714" priority="3882">
      <formula>AND(IF($Q171=3,1,IF($Q171=4,1,0)),IF($F171&lt;=85,1,0))</formula>
    </cfRule>
  </conditionalFormatting>
  <conditionalFormatting sqref="X171">
    <cfRule type="expression" dxfId="10713" priority="3875">
      <formula>AND(IF(OR($Q171=1,$Q171=2),1,0),IF($X171&lt;=20,1,0))</formula>
    </cfRule>
    <cfRule type="expression" dxfId="10712" priority="3876">
      <formula>AND(IF($Q171=2,1,0),IF($X171&lt;30,1,0))</formula>
    </cfRule>
    <cfRule type="expression" dxfId="10711" priority="3877">
      <formula>AND(IF($Q171=3,1,0),IF($X171&lt;30,1,0))</formula>
    </cfRule>
    <cfRule type="expression" dxfId="10710" priority="3878">
      <formula>AND(IF($Q171=3,1,IF($Q171=4,1,0)),IF($F171&lt;=85,1,0))</formula>
    </cfRule>
  </conditionalFormatting>
  <conditionalFormatting sqref="AI171">
    <cfRule type="expression" dxfId="10709" priority="3871">
      <formula>AND(IF(OR($Q171=1,$Q171=2),1,0),IF($X171&lt;=20,1,0))</formula>
    </cfRule>
    <cfRule type="expression" dxfId="10708" priority="3872">
      <formula>AND(IF($Q171=2,1,0),IF($X171&lt;30,1,0))</formula>
    </cfRule>
    <cfRule type="expression" dxfId="10707" priority="3873">
      <formula>AND(IF($Q171=3,1,0),IF($X171&lt;30,1,0))</formula>
    </cfRule>
    <cfRule type="expression" dxfId="10706" priority="3874">
      <formula>AND(IF($Q171=3,1,IF($Q171=4,1,0)),IF($F171&lt;=85,1,0))</formula>
    </cfRule>
  </conditionalFormatting>
  <conditionalFormatting sqref="AV172">
    <cfRule type="expression" dxfId="10705" priority="3869">
      <formula>AV172="X"</formula>
    </cfRule>
    <cfRule type="expression" dxfId="10704" priority="3870">
      <formula>AV172="후보"</formula>
    </cfRule>
  </conditionalFormatting>
  <conditionalFormatting sqref="AC172">
    <cfRule type="cellIs" dxfId="10703" priority="3867" operator="greaterThan">
      <formula>0.9</formula>
    </cfRule>
    <cfRule type="cellIs" dxfId="10702" priority="3868" operator="greaterThan">
      <formula>0.85</formula>
    </cfRule>
  </conditionalFormatting>
  <conditionalFormatting sqref="N172">
    <cfRule type="cellIs" dxfId="10701" priority="3865" operator="greaterThan">
      <formula>0.9</formula>
    </cfRule>
    <cfRule type="cellIs" dxfId="10700" priority="3866" operator="greaterThan">
      <formula>0.85</formula>
    </cfRule>
  </conditionalFormatting>
  <conditionalFormatting sqref="E172">
    <cfRule type="expression" dxfId="10699" priority="3861">
      <formula>AND(IF(OR($Q172=1,$Q172=2),1,0),IF($X172&lt;=20,1,0))</formula>
    </cfRule>
    <cfRule type="expression" dxfId="10698" priority="3862">
      <formula>AND(IF($Q172=2,1,0),IF($X172&lt;30,1,0))</formula>
    </cfRule>
    <cfRule type="expression" dxfId="10697" priority="3863">
      <formula>AND(IF($Q172=3,1,0),IF($X172&lt;30,1,0))</formula>
    </cfRule>
    <cfRule type="expression" dxfId="10696" priority="3864">
      <formula>AND(IF($Q172=3,1,IF($Q172=4,1,0)),IF($F172&lt;=85,1,0))</formula>
    </cfRule>
  </conditionalFormatting>
  <conditionalFormatting sqref="X172">
    <cfRule type="expression" dxfId="10695" priority="3857">
      <formula>AND(IF(OR($Q172=1,$Q172=2),1,0),IF($X172&lt;=20,1,0))</formula>
    </cfRule>
    <cfRule type="expression" dxfId="10694" priority="3858">
      <formula>AND(IF($Q172=2,1,0),IF($X172&lt;30,1,0))</formula>
    </cfRule>
    <cfRule type="expression" dxfId="10693" priority="3859">
      <formula>AND(IF($Q172=3,1,0),IF($X172&lt;30,1,0))</formula>
    </cfRule>
    <cfRule type="expression" dxfId="10692" priority="3860">
      <formula>AND(IF($Q172=3,1,IF($Q172=4,1,0)),IF($F172&lt;=85,1,0))</formula>
    </cfRule>
  </conditionalFormatting>
  <conditionalFormatting sqref="AI172">
    <cfRule type="expression" dxfId="10691" priority="3853">
      <formula>AND(IF(OR($Q172=1,$Q172=2),1,0),IF($X172&lt;=20,1,0))</formula>
    </cfRule>
    <cfRule type="expression" dxfId="10690" priority="3854">
      <formula>AND(IF($Q172=2,1,0),IF($X172&lt;30,1,0))</formula>
    </cfRule>
    <cfRule type="expression" dxfId="10689" priority="3855">
      <formula>AND(IF($Q172=3,1,0),IF($X172&lt;30,1,0))</formula>
    </cfRule>
    <cfRule type="expression" dxfId="10688" priority="3856">
      <formula>AND(IF($Q172=3,1,IF($Q172=4,1,0)),IF($F172&lt;=85,1,0))</formula>
    </cfRule>
  </conditionalFormatting>
  <conditionalFormatting sqref="AV173">
    <cfRule type="expression" dxfId="10687" priority="3851">
      <formula>AV173="X"</formula>
    </cfRule>
    <cfRule type="expression" dxfId="10686" priority="3852">
      <formula>AV173="후보"</formula>
    </cfRule>
  </conditionalFormatting>
  <conditionalFormatting sqref="AC173">
    <cfRule type="cellIs" dxfId="10685" priority="3849" operator="greaterThan">
      <formula>0.9</formula>
    </cfRule>
    <cfRule type="cellIs" dxfId="10684" priority="3850" operator="greaterThan">
      <formula>0.85</formula>
    </cfRule>
  </conditionalFormatting>
  <conditionalFormatting sqref="N173">
    <cfRule type="cellIs" dxfId="10683" priority="3847" operator="greaterThan">
      <formula>0.9</formula>
    </cfRule>
    <cfRule type="cellIs" dxfId="10682" priority="3848" operator="greaterThan">
      <formula>0.85</formula>
    </cfRule>
  </conditionalFormatting>
  <conditionalFormatting sqref="E173">
    <cfRule type="expression" dxfId="10681" priority="3843">
      <formula>AND(IF(OR($Q173=1,$Q173=2),1,0),IF($X173&lt;=20,1,0))</formula>
    </cfRule>
    <cfRule type="expression" dxfId="10680" priority="3844">
      <formula>AND(IF($Q173=2,1,0),IF($X173&lt;30,1,0))</formula>
    </cfRule>
    <cfRule type="expression" dxfId="10679" priority="3845">
      <formula>AND(IF($Q173=3,1,0),IF($X173&lt;30,1,0))</formula>
    </cfRule>
    <cfRule type="expression" dxfId="10678" priority="3846">
      <formula>AND(IF($Q173=3,1,IF($Q173=4,1,0)),IF($F173&lt;=85,1,0))</formula>
    </cfRule>
  </conditionalFormatting>
  <conditionalFormatting sqref="X173">
    <cfRule type="expression" dxfId="10677" priority="3839">
      <formula>AND(IF(OR($Q173=1,$Q173=2),1,0),IF($X173&lt;=20,1,0))</formula>
    </cfRule>
    <cfRule type="expression" dxfId="10676" priority="3840">
      <formula>AND(IF($Q173=2,1,0),IF($X173&lt;30,1,0))</formula>
    </cfRule>
    <cfRule type="expression" dxfId="10675" priority="3841">
      <formula>AND(IF($Q173=3,1,0),IF($X173&lt;30,1,0))</formula>
    </cfRule>
    <cfRule type="expression" dxfId="10674" priority="3842">
      <formula>AND(IF($Q173=3,1,IF($Q173=4,1,0)),IF($F173&lt;=85,1,0))</formula>
    </cfRule>
  </conditionalFormatting>
  <conditionalFormatting sqref="AI173">
    <cfRule type="expression" dxfId="10673" priority="3835">
      <formula>AND(IF(OR($Q173=1,$Q173=2),1,0),IF($X173&lt;=20,1,0))</formula>
    </cfRule>
    <cfRule type="expression" dxfId="10672" priority="3836">
      <formula>AND(IF($Q173=2,1,0),IF($X173&lt;30,1,0))</formula>
    </cfRule>
    <cfRule type="expression" dxfId="10671" priority="3837">
      <formula>AND(IF($Q173=3,1,0),IF($X173&lt;30,1,0))</formula>
    </cfRule>
    <cfRule type="expression" dxfId="10670" priority="3838">
      <formula>AND(IF($Q173=3,1,IF($Q173=4,1,0)),IF($F173&lt;=85,1,0))</formula>
    </cfRule>
  </conditionalFormatting>
  <conditionalFormatting sqref="AV174">
    <cfRule type="expression" dxfId="10669" priority="3833">
      <formula>AV174="X"</formula>
    </cfRule>
    <cfRule type="expression" dxfId="10668" priority="3834">
      <formula>AV174="후보"</formula>
    </cfRule>
  </conditionalFormatting>
  <conditionalFormatting sqref="AC174">
    <cfRule type="cellIs" dxfId="10667" priority="3831" operator="greaterThan">
      <formula>0.9</formula>
    </cfRule>
    <cfRule type="cellIs" dxfId="10666" priority="3832" operator="greaterThan">
      <formula>0.85</formula>
    </cfRule>
  </conditionalFormatting>
  <conditionalFormatting sqref="N174">
    <cfRule type="cellIs" dxfId="10665" priority="3829" operator="greaterThan">
      <formula>0.9</formula>
    </cfRule>
    <cfRule type="cellIs" dxfId="10664" priority="3830" operator="greaterThan">
      <formula>0.85</formula>
    </cfRule>
  </conditionalFormatting>
  <conditionalFormatting sqref="E174">
    <cfRule type="expression" dxfId="10663" priority="3825">
      <formula>AND(IF(OR($Q174=1,$Q174=2),1,0),IF($X174&lt;=20,1,0))</formula>
    </cfRule>
    <cfRule type="expression" dxfId="10662" priority="3826">
      <formula>AND(IF($Q174=2,1,0),IF($X174&lt;30,1,0))</formula>
    </cfRule>
    <cfRule type="expression" dxfId="10661" priority="3827">
      <formula>AND(IF($Q174=3,1,0),IF($X174&lt;30,1,0))</formula>
    </cfRule>
    <cfRule type="expression" dxfId="10660" priority="3828">
      <formula>AND(IF($Q174=3,1,IF($Q174=4,1,0)),IF($F174&lt;=85,1,0))</formula>
    </cfRule>
  </conditionalFormatting>
  <conditionalFormatting sqref="X174">
    <cfRule type="expression" dxfId="10659" priority="3821">
      <formula>AND(IF(OR($Q174=1,$Q174=2),1,0),IF($X174&lt;=20,1,0))</formula>
    </cfRule>
    <cfRule type="expression" dxfId="10658" priority="3822">
      <formula>AND(IF($Q174=2,1,0),IF($X174&lt;30,1,0))</formula>
    </cfRule>
    <cfRule type="expression" dxfId="10657" priority="3823">
      <formula>AND(IF($Q174=3,1,0),IF($X174&lt;30,1,0))</formula>
    </cfRule>
    <cfRule type="expression" dxfId="10656" priority="3824">
      <formula>AND(IF($Q174=3,1,IF($Q174=4,1,0)),IF($F174&lt;=85,1,0))</formula>
    </cfRule>
  </conditionalFormatting>
  <conditionalFormatting sqref="AI174">
    <cfRule type="expression" dxfId="10655" priority="3817">
      <formula>AND(IF(OR($Q174=1,$Q174=2),1,0),IF($X174&lt;=20,1,0))</formula>
    </cfRule>
    <cfRule type="expression" dxfId="10654" priority="3818">
      <formula>AND(IF($Q174=2,1,0),IF($X174&lt;30,1,0))</formula>
    </cfRule>
    <cfRule type="expression" dxfId="10653" priority="3819">
      <formula>AND(IF($Q174=3,1,0),IF($X174&lt;30,1,0))</formula>
    </cfRule>
    <cfRule type="expression" dxfId="10652" priority="3820">
      <formula>AND(IF($Q174=3,1,IF($Q174=4,1,0)),IF($F174&lt;=85,1,0))</formula>
    </cfRule>
  </conditionalFormatting>
  <conditionalFormatting sqref="AV175">
    <cfRule type="expression" dxfId="10651" priority="3815">
      <formula>AV175="X"</formula>
    </cfRule>
    <cfRule type="expression" dxfId="10650" priority="3816">
      <formula>AV175="후보"</formula>
    </cfRule>
  </conditionalFormatting>
  <conditionalFormatting sqref="AC175">
    <cfRule type="cellIs" dxfId="10649" priority="3813" operator="greaterThan">
      <formula>0.9</formula>
    </cfRule>
    <cfRule type="cellIs" dxfId="10648" priority="3814" operator="greaterThan">
      <formula>0.85</formula>
    </cfRule>
  </conditionalFormatting>
  <conditionalFormatting sqref="N175">
    <cfRule type="cellIs" dxfId="10647" priority="3811" operator="greaterThan">
      <formula>0.9</formula>
    </cfRule>
    <cfRule type="cellIs" dxfId="10646" priority="3812" operator="greaterThan">
      <formula>0.85</formula>
    </cfRule>
  </conditionalFormatting>
  <conditionalFormatting sqref="E175">
    <cfRule type="expression" dxfId="10645" priority="3807">
      <formula>AND(IF(OR($Q175=1,$Q175=2),1,0),IF($X175&lt;=20,1,0))</formula>
    </cfRule>
    <cfRule type="expression" dxfId="10644" priority="3808">
      <formula>AND(IF($Q175=2,1,0),IF($X175&lt;30,1,0))</formula>
    </cfRule>
    <cfRule type="expression" dxfId="10643" priority="3809">
      <formula>AND(IF($Q175=3,1,0),IF($X175&lt;30,1,0))</formula>
    </cfRule>
    <cfRule type="expression" dxfId="10642" priority="3810">
      <formula>AND(IF($Q175=3,1,IF($Q175=4,1,0)),IF($F175&lt;=85,1,0))</formula>
    </cfRule>
  </conditionalFormatting>
  <conditionalFormatting sqref="X175">
    <cfRule type="expression" dxfId="10641" priority="3803">
      <formula>AND(IF(OR($Q175=1,$Q175=2),1,0),IF($X175&lt;=20,1,0))</formula>
    </cfRule>
    <cfRule type="expression" dxfId="10640" priority="3804">
      <formula>AND(IF($Q175=2,1,0),IF($X175&lt;30,1,0))</formula>
    </cfRule>
    <cfRule type="expression" dxfId="10639" priority="3805">
      <formula>AND(IF($Q175=3,1,0),IF($X175&lt;30,1,0))</formula>
    </cfRule>
    <cfRule type="expression" dxfId="10638" priority="3806">
      <formula>AND(IF($Q175=3,1,IF($Q175=4,1,0)),IF($F175&lt;=85,1,0))</formula>
    </cfRule>
  </conditionalFormatting>
  <conditionalFormatting sqref="AI175">
    <cfRule type="expression" dxfId="10637" priority="3799">
      <formula>AND(IF(OR($Q175=1,$Q175=2),1,0),IF($X175&lt;=20,1,0))</formula>
    </cfRule>
    <cfRule type="expression" dxfId="10636" priority="3800">
      <formula>AND(IF($Q175=2,1,0),IF($X175&lt;30,1,0))</formula>
    </cfRule>
    <cfRule type="expression" dxfId="10635" priority="3801">
      <formula>AND(IF($Q175=3,1,0),IF($X175&lt;30,1,0))</formula>
    </cfRule>
    <cfRule type="expression" dxfId="10634" priority="3802">
      <formula>AND(IF($Q175=3,1,IF($Q175=4,1,0)),IF($F175&lt;=85,1,0))</formula>
    </cfRule>
  </conditionalFormatting>
  <conditionalFormatting sqref="AV176">
    <cfRule type="expression" dxfId="10633" priority="3797">
      <formula>AV176="X"</formula>
    </cfRule>
    <cfRule type="expression" dxfId="10632" priority="3798">
      <formula>AV176="후보"</formula>
    </cfRule>
  </conditionalFormatting>
  <conditionalFormatting sqref="AC176">
    <cfRule type="cellIs" dxfId="10631" priority="3795" operator="greaterThan">
      <formula>0.9</formula>
    </cfRule>
    <cfRule type="cellIs" dxfId="10630" priority="3796" operator="greaterThan">
      <formula>0.85</formula>
    </cfRule>
  </conditionalFormatting>
  <conditionalFormatting sqref="N176">
    <cfRule type="cellIs" dxfId="10629" priority="3793" operator="greaterThan">
      <formula>0.9</formula>
    </cfRule>
    <cfRule type="cellIs" dxfId="10628" priority="3794" operator="greaterThan">
      <formula>0.85</formula>
    </cfRule>
  </conditionalFormatting>
  <conditionalFormatting sqref="E176">
    <cfRule type="expression" dxfId="10627" priority="3789">
      <formula>AND(IF(OR($Q176=1,$Q176=2),1,0),IF($X176&lt;=20,1,0))</formula>
    </cfRule>
    <cfRule type="expression" dxfId="10626" priority="3790">
      <formula>AND(IF($Q176=2,1,0),IF($X176&lt;30,1,0))</formula>
    </cfRule>
    <cfRule type="expression" dxfId="10625" priority="3791">
      <formula>AND(IF($Q176=3,1,0),IF($X176&lt;30,1,0))</formula>
    </cfRule>
    <cfRule type="expression" dxfId="10624" priority="3792">
      <formula>AND(IF($Q176=3,1,IF($Q176=4,1,0)),IF($F176&lt;=85,1,0))</formula>
    </cfRule>
  </conditionalFormatting>
  <conditionalFormatting sqref="X176">
    <cfRule type="expression" dxfId="10623" priority="3785">
      <formula>AND(IF(OR($Q176=1,$Q176=2),1,0),IF($X176&lt;=20,1,0))</formula>
    </cfRule>
    <cfRule type="expression" dxfId="10622" priority="3786">
      <formula>AND(IF($Q176=2,1,0),IF($X176&lt;30,1,0))</formula>
    </cfRule>
    <cfRule type="expression" dxfId="10621" priority="3787">
      <formula>AND(IF($Q176=3,1,0),IF($X176&lt;30,1,0))</formula>
    </cfRule>
    <cfRule type="expression" dxfId="10620" priority="3788">
      <formula>AND(IF($Q176=3,1,IF($Q176=4,1,0)),IF($F176&lt;=85,1,0))</formula>
    </cfRule>
  </conditionalFormatting>
  <conditionalFormatting sqref="AI176">
    <cfRule type="expression" dxfId="10619" priority="3781">
      <formula>AND(IF(OR($Q176=1,$Q176=2),1,0),IF($X176&lt;=20,1,0))</formula>
    </cfRule>
    <cfRule type="expression" dxfId="10618" priority="3782">
      <formula>AND(IF($Q176=2,1,0),IF($X176&lt;30,1,0))</formula>
    </cfRule>
    <cfRule type="expression" dxfId="10617" priority="3783">
      <formula>AND(IF($Q176=3,1,0),IF($X176&lt;30,1,0))</formula>
    </cfRule>
    <cfRule type="expression" dxfId="10616" priority="3784">
      <formula>AND(IF($Q176=3,1,IF($Q176=4,1,0)),IF($F176&lt;=85,1,0))</formula>
    </cfRule>
  </conditionalFormatting>
  <conditionalFormatting sqref="AV177">
    <cfRule type="expression" dxfId="10615" priority="3779">
      <formula>AV177="X"</formula>
    </cfRule>
    <cfRule type="expression" dxfId="10614" priority="3780">
      <formula>AV177="후보"</formula>
    </cfRule>
  </conditionalFormatting>
  <conditionalFormatting sqref="AC177">
    <cfRule type="cellIs" dxfId="10613" priority="3777" operator="greaterThan">
      <formula>0.9</formula>
    </cfRule>
    <cfRule type="cellIs" dxfId="10612" priority="3778" operator="greaterThan">
      <formula>0.85</formula>
    </cfRule>
  </conditionalFormatting>
  <conditionalFormatting sqref="N177">
    <cfRule type="cellIs" dxfId="10611" priority="3775" operator="greaterThan">
      <formula>0.9</formula>
    </cfRule>
    <cfRule type="cellIs" dxfId="10610" priority="3776" operator="greaterThan">
      <formula>0.85</formula>
    </cfRule>
  </conditionalFormatting>
  <conditionalFormatting sqref="E177">
    <cfRule type="expression" dxfId="10609" priority="3771">
      <formula>AND(IF(OR($Q177=1,$Q177=2),1,0),IF($X177&lt;=20,1,0))</formula>
    </cfRule>
    <cfRule type="expression" dxfId="10608" priority="3772">
      <formula>AND(IF($Q177=2,1,0),IF($X177&lt;30,1,0))</formula>
    </cfRule>
    <cfRule type="expression" dxfId="10607" priority="3773">
      <formula>AND(IF($Q177=3,1,0),IF($X177&lt;30,1,0))</formula>
    </cfRule>
    <cfRule type="expression" dxfId="10606" priority="3774">
      <formula>AND(IF($Q177=3,1,IF($Q177=4,1,0)),IF($F177&lt;=85,1,0))</formula>
    </cfRule>
  </conditionalFormatting>
  <conditionalFormatting sqref="X177">
    <cfRule type="expression" dxfId="10605" priority="3767">
      <formula>AND(IF(OR($Q177=1,$Q177=2),1,0),IF($X177&lt;=20,1,0))</formula>
    </cfRule>
    <cfRule type="expression" dxfId="10604" priority="3768">
      <formula>AND(IF($Q177=2,1,0),IF($X177&lt;30,1,0))</formula>
    </cfRule>
    <cfRule type="expression" dxfId="10603" priority="3769">
      <formula>AND(IF($Q177=3,1,0),IF($X177&lt;30,1,0))</formula>
    </cfRule>
    <cfRule type="expression" dxfId="10602" priority="3770">
      <formula>AND(IF($Q177=3,1,IF($Q177=4,1,0)),IF($F177&lt;=85,1,0))</formula>
    </cfRule>
  </conditionalFormatting>
  <conditionalFormatting sqref="AI177">
    <cfRule type="expression" dxfId="10601" priority="3763">
      <formula>AND(IF(OR($Q177=1,$Q177=2),1,0),IF($X177&lt;=20,1,0))</formula>
    </cfRule>
    <cfRule type="expression" dxfId="10600" priority="3764">
      <formula>AND(IF($Q177=2,1,0),IF($X177&lt;30,1,0))</formula>
    </cfRule>
    <cfRule type="expression" dxfId="10599" priority="3765">
      <formula>AND(IF($Q177=3,1,0),IF($X177&lt;30,1,0))</formula>
    </cfRule>
    <cfRule type="expression" dxfId="10598" priority="3766">
      <formula>AND(IF($Q177=3,1,IF($Q177=4,1,0)),IF($F177&lt;=85,1,0))</formula>
    </cfRule>
  </conditionalFormatting>
  <conditionalFormatting sqref="AV178">
    <cfRule type="expression" dxfId="10597" priority="3761">
      <formula>AV178="X"</formula>
    </cfRule>
    <cfRule type="expression" dxfId="10596" priority="3762">
      <formula>AV178="후보"</formula>
    </cfRule>
  </conditionalFormatting>
  <conditionalFormatting sqref="AC178">
    <cfRule type="cellIs" dxfId="10595" priority="3759" operator="greaterThan">
      <formula>0.9</formula>
    </cfRule>
    <cfRule type="cellIs" dxfId="10594" priority="3760" operator="greaterThan">
      <formula>0.85</formula>
    </cfRule>
  </conditionalFormatting>
  <conditionalFormatting sqref="N178">
    <cfRule type="cellIs" dxfId="10593" priority="3757" operator="greaterThan">
      <formula>0.9</formula>
    </cfRule>
    <cfRule type="cellIs" dxfId="10592" priority="3758" operator="greaterThan">
      <formula>0.85</formula>
    </cfRule>
  </conditionalFormatting>
  <conditionalFormatting sqref="E178">
    <cfRule type="expression" dxfId="10591" priority="3753">
      <formula>AND(IF(OR($Q178=1,$Q178=2),1,0),IF($X178&lt;=20,1,0))</formula>
    </cfRule>
    <cfRule type="expression" dxfId="10590" priority="3754">
      <formula>AND(IF($Q178=2,1,0),IF($X178&lt;30,1,0))</formula>
    </cfRule>
    <cfRule type="expression" dxfId="10589" priority="3755">
      <formula>AND(IF($Q178=3,1,0),IF($X178&lt;30,1,0))</formula>
    </cfRule>
    <cfRule type="expression" dxfId="10588" priority="3756">
      <formula>AND(IF($Q178=3,1,IF($Q178=4,1,0)),IF($F178&lt;=85,1,0))</formula>
    </cfRule>
  </conditionalFormatting>
  <conditionalFormatting sqref="X178">
    <cfRule type="expression" dxfId="10587" priority="3749">
      <formula>AND(IF(OR($Q178=1,$Q178=2),1,0),IF($X178&lt;=20,1,0))</formula>
    </cfRule>
    <cfRule type="expression" dxfId="10586" priority="3750">
      <formula>AND(IF($Q178=2,1,0),IF($X178&lt;30,1,0))</formula>
    </cfRule>
    <cfRule type="expression" dxfId="10585" priority="3751">
      <formula>AND(IF($Q178=3,1,0),IF($X178&lt;30,1,0))</formula>
    </cfRule>
    <cfRule type="expression" dxfId="10584" priority="3752">
      <formula>AND(IF($Q178=3,1,IF($Q178=4,1,0)),IF($F178&lt;=85,1,0))</formula>
    </cfRule>
  </conditionalFormatting>
  <conditionalFormatting sqref="AI178">
    <cfRule type="expression" dxfId="10583" priority="3745">
      <formula>AND(IF(OR($Q178=1,$Q178=2),1,0),IF($X178&lt;=20,1,0))</formula>
    </cfRule>
    <cfRule type="expression" dxfId="10582" priority="3746">
      <formula>AND(IF($Q178=2,1,0),IF($X178&lt;30,1,0))</formula>
    </cfRule>
    <cfRule type="expression" dxfId="10581" priority="3747">
      <formula>AND(IF($Q178=3,1,0),IF($X178&lt;30,1,0))</formula>
    </cfRule>
    <cfRule type="expression" dxfId="10580" priority="3748">
      <formula>AND(IF($Q178=3,1,IF($Q178=4,1,0)),IF($F178&lt;=85,1,0))</formula>
    </cfRule>
  </conditionalFormatting>
  <conditionalFormatting sqref="AV179">
    <cfRule type="expression" dxfId="10579" priority="3743">
      <formula>AV179="X"</formula>
    </cfRule>
    <cfRule type="expression" dxfId="10578" priority="3744">
      <formula>AV179="후보"</formula>
    </cfRule>
  </conditionalFormatting>
  <conditionalFormatting sqref="AC179">
    <cfRule type="cellIs" dxfId="10577" priority="3741" operator="greaterThan">
      <formula>0.9</formula>
    </cfRule>
    <cfRule type="cellIs" dxfId="10576" priority="3742" operator="greaterThan">
      <formula>0.85</formula>
    </cfRule>
  </conditionalFormatting>
  <conditionalFormatting sqref="N179">
    <cfRule type="cellIs" dxfId="10575" priority="3739" operator="greaterThan">
      <formula>0.9</formula>
    </cfRule>
    <cfRule type="cellIs" dxfId="10574" priority="3740" operator="greaterThan">
      <formula>0.85</formula>
    </cfRule>
  </conditionalFormatting>
  <conditionalFormatting sqref="E179">
    <cfRule type="expression" dxfId="10573" priority="3735">
      <formula>AND(IF(OR($Q179=1,$Q179=2),1,0),IF($X179&lt;=20,1,0))</formula>
    </cfRule>
    <cfRule type="expression" dxfId="10572" priority="3736">
      <formula>AND(IF($Q179=2,1,0),IF($X179&lt;30,1,0))</formula>
    </cfRule>
    <cfRule type="expression" dxfId="10571" priority="3737">
      <formula>AND(IF($Q179=3,1,0),IF($X179&lt;30,1,0))</formula>
    </cfRule>
    <cfRule type="expression" dxfId="10570" priority="3738">
      <formula>AND(IF($Q179=3,1,IF($Q179=4,1,0)),IF($F179&lt;=85,1,0))</formula>
    </cfRule>
  </conditionalFormatting>
  <conditionalFormatting sqref="X179">
    <cfRule type="expression" dxfId="10569" priority="3731">
      <formula>AND(IF(OR($Q179=1,$Q179=2),1,0),IF($X179&lt;=20,1,0))</formula>
    </cfRule>
    <cfRule type="expression" dxfId="10568" priority="3732">
      <formula>AND(IF($Q179=2,1,0),IF($X179&lt;30,1,0))</formula>
    </cfRule>
    <cfRule type="expression" dxfId="10567" priority="3733">
      <formula>AND(IF($Q179=3,1,0),IF($X179&lt;30,1,0))</formula>
    </cfRule>
    <cfRule type="expression" dxfId="10566" priority="3734">
      <formula>AND(IF($Q179=3,1,IF($Q179=4,1,0)),IF($F179&lt;=85,1,0))</formula>
    </cfRule>
  </conditionalFormatting>
  <conditionalFormatting sqref="AI179">
    <cfRule type="expression" dxfId="10565" priority="3727">
      <formula>AND(IF(OR($Q179=1,$Q179=2),1,0),IF($X179&lt;=20,1,0))</formula>
    </cfRule>
    <cfRule type="expression" dxfId="10564" priority="3728">
      <formula>AND(IF($Q179=2,1,0),IF($X179&lt;30,1,0))</formula>
    </cfRule>
    <cfRule type="expression" dxfId="10563" priority="3729">
      <formula>AND(IF($Q179=3,1,0),IF($X179&lt;30,1,0))</formula>
    </cfRule>
    <cfRule type="expression" dxfId="10562" priority="3730">
      <formula>AND(IF($Q179=3,1,IF($Q179=4,1,0)),IF($F179&lt;=85,1,0))</formula>
    </cfRule>
  </conditionalFormatting>
  <conditionalFormatting sqref="AV180">
    <cfRule type="expression" dxfId="10561" priority="3725">
      <formula>AV180="X"</formula>
    </cfRule>
    <cfRule type="expression" dxfId="10560" priority="3726">
      <formula>AV180="후보"</formula>
    </cfRule>
  </conditionalFormatting>
  <conditionalFormatting sqref="AC180">
    <cfRule type="cellIs" dxfId="10559" priority="3723" operator="greaterThan">
      <formula>0.9</formula>
    </cfRule>
    <cfRule type="cellIs" dxfId="10558" priority="3724" operator="greaterThan">
      <formula>0.85</formula>
    </cfRule>
  </conditionalFormatting>
  <conditionalFormatting sqref="N180">
    <cfRule type="cellIs" dxfId="10557" priority="3721" operator="greaterThan">
      <formula>0.9</formula>
    </cfRule>
    <cfRule type="cellIs" dxfId="10556" priority="3722" operator="greaterThan">
      <formula>0.85</formula>
    </cfRule>
  </conditionalFormatting>
  <conditionalFormatting sqref="E180">
    <cfRule type="expression" dxfId="10555" priority="3717">
      <formula>AND(IF(OR($Q180=1,$Q180=2),1,0),IF($X180&lt;=20,1,0))</formula>
    </cfRule>
    <cfRule type="expression" dxfId="10554" priority="3718">
      <formula>AND(IF($Q180=2,1,0),IF($X180&lt;30,1,0))</formula>
    </cfRule>
    <cfRule type="expression" dxfId="10553" priority="3719">
      <formula>AND(IF($Q180=3,1,0),IF($X180&lt;30,1,0))</formula>
    </cfRule>
    <cfRule type="expression" dxfId="10552" priority="3720">
      <formula>AND(IF($Q180=3,1,IF($Q180=4,1,0)),IF($F180&lt;=85,1,0))</formula>
    </cfRule>
  </conditionalFormatting>
  <conditionalFormatting sqref="X180">
    <cfRule type="expression" dxfId="10551" priority="3713">
      <formula>AND(IF(OR($Q180=1,$Q180=2),1,0),IF($X180&lt;=20,1,0))</formula>
    </cfRule>
    <cfRule type="expression" dxfId="10550" priority="3714">
      <formula>AND(IF($Q180=2,1,0),IF($X180&lt;30,1,0))</formula>
    </cfRule>
    <cfRule type="expression" dxfId="10549" priority="3715">
      <formula>AND(IF($Q180=3,1,0),IF($X180&lt;30,1,0))</formula>
    </cfRule>
    <cfRule type="expression" dxfId="10548" priority="3716">
      <formula>AND(IF($Q180=3,1,IF($Q180=4,1,0)),IF($F180&lt;=85,1,0))</formula>
    </cfRule>
  </conditionalFormatting>
  <conditionalFormatting sqref="AI180">
    <cfRule type="expression" dxfId="10547" priority="3709">
      <formula>AND(IF(OR($Q180=1,$Q180=2),1,0),IF($X180&lt;=20,1,0))</formula>
    </cfRule>
    <cfRule type="expression" dxfId="10546" priority="3710">
      <formula>AND(IF($Q180=2,1,0),IF($X180&lt;30,1,0))</formula>
    </cfRule>
    <cfRule type="expression" dxfId="10545" priority="3711">
      <formula>AND(IF($Q180=3,1,0),IF($X180&lt;30,1,0))</formula>
    </cfRule>
    <cfRule type="expression" dxfId="10544" priority="3712">
      <formula>AND(IF($Q180=3,1,IF($Q180=4,1,0)),IF($F180&lt;=85,1,0))</formula>
    </cfRule>
  </conditionalFormatting>
  <conditionalFormatting sqref="AV181">
    <cfRule type="expression" dxfId="10543" priority="3707">
      <formula>AV181="X"</formula>
    </cfRule>
    <cfRule type="expression" dxfId="10542" priority="3708">
      <formula>AV181="후보"</formula>
    </cfRule>
  </conditionalFormatting>
  <conditionalFormatting sqref="AC181">
    <cfRule type="cellIs" dxfId="10541" priority="3705" operator="greaterThan">
      <formula>0.9</formula>
    </cfRule>
    <cfRule type="cellIs" dxfId="10540" priority="3706" operator="greaterThan">
      <formula>0.85</formula>
    </cfRule>
  </conditionalFormatting>
  <conditionalFormatting sqref="N181">
    <cfRule type="cellIs" dxfId="10539" priority="3703" operator="greaterThan">
      <formula>0.9</formula>
    </cfRule>
    <cfRule type="cellIs" dxfId="10538" priority="3704" operator="greaterThan">
      <formula>0.85</formula>
    </cfRule>
  </conditionalFormatting>
  <conditionalFormatting sqref="E181">
    <cfRule type="expression" dxfId="10537" priority="3699">
      <formula>AND(IF(OR($Q181=1,$Q181=2),1,0),IF($X181&lt;=20,1,0))</formula>
    </cfRule>
    <cfRule type="expression" dxfId="10536" priority="3700">
      <formula>AND(IF($Q181=2,1,0),IF($X181&lt;30,1,0))</formula>
    </cfRule>
    <cfRule type="expression" dxfId="10535" priority="3701">
      <formula>AND(IF($Q181=3,1,0),IF($X181&lt;30,1,0))</formula>
    </cfRule>
    <cfRule type="expression" dxfId="10534" priority="3702">
      <formula>AND(IF($Q181=3,1,IF($Q181=4,1,0)),IF($F181&lt;=85,1,0))</formula>
    </cfRule>
  </conditionalFormatting>
  <conditionalFormatting sqref="X181">
    <cfRule type="expression" dxfId="10533" priority="3695">
      <formula>AND(IF(OR($Q181=1,$Q181=2),1,0),IF($X181&lt;=20,1,0))</formula>
    </cfRule>
    <cfRule type="expression" dxfId="10532" priority="3696">
      <formula>AND(IF($Q181=2,1,0),IF($X181&lt;30,1,0))</formula>
    </cfRule>
    <cfRule type="expression" dxfId="10531" priority="3697">
      <formula>AND(IF($Q181=3,1,0),IF($X181&lt;30,1,0))</formula>
    </cfRule>
    <cfRule type="expression" dxfId="10530" priority="3698">
      <formula>AND(IF($Q181=3,1,IF($Q181=4,1,0)),IF($F181&lt;=85,1,0))</formula>
    </cfRule>
  </conditionalFormatting>
  <conditionalFormatting sqref="AI181">
    <cfRule type="expression" dxfId="10529" priority="3691">
      <formula>AND(IF(OR($Q181=1,$Q181=2),1,0),IF($X181&lt;=20,1,0))</formula>
    </cfRule>
    <cfRule type="expression" dxfId="10528" priority="3692">
      <formula>AND(IF($Q181=2,1,0),IF($X181&lt;30,1,0))</formula>
    </cfRule>
    <cfRule type="expression" dxfId="10527" priority="3693">
      <formula>AND(IF($Q181=3,1,0),IF($X181&lt;30,1,0))</formula>
    </cfRule>
    <cfRule type="expression" dxfId="10526" priority="3694">
      <formula>AND(IF($Q181=3,1,IF($Q181=4,1,0)),IF($F181&lt;=85,1,0))</formula>
    </cfRule>
  </conditionalFormatting>
  <conditionalFormatting sqref="AV182">
    <cfRule type="expression" dxfId="10525" priority="3689">
      <formula>AV182="X"</formula>
    </cfRule>
    <cfRule type="expression" dxfId="10524" priority="3690">
      <formula>AV182="후보"</formula>
    </cfRule>
  </conditionalFormatting>
  <conditionalFormatting sqref="AC182">
    <cfRule type="cellIs" dxfId="10523" priority="3687" operator="greaterThan">
      <formula>0.9</formula>
    </cfRule>
    <cfRule type="cellIs" dxfId="10522" priority="3688" operator="greaterThan">
      <formula>0.85</formula>
    </cfRule>
  </conditionalFormatting>
  <conditionalFormatting sqref="N182">
    <cfRule type="cellIs" dxfId="10521" priority="3685" operator="greaterThan">
      <formula>0.9</formula>
    </cfRule>
    <cfRule type="cellIs" dxfId="10520" priority="3686" operator="greaterThan">
      <formula>0.85</formula>
    </cfRule>
  </conditionalFormatting>
  <conditionalFormatting sqref="E182">
    <cfRule type="expression" dxfId="10519" priority="3681">
      <formula>AND(IF(OR($Q182=1,$Q182=2),1,0),IF($X182&lt;=20,1,0))</formula>
    </cfRule>
    <cfRule type="expression" dxfId="10518" priority="3682">
      <formula>AND(IF($Q182=2,1,0),IF($X182&lt;30,1,0))</formula>
    </cfRule>
    <cfRule type="expression" dxfId="10517" priority="3683">
      <formula>AND(IF($Q182=3,1,0),IF($X182&lt;30,1,0))</formula>
    </cfRule>
    <cfRule type="expression" dxfId="10516" priority="3684">
      <formula>AND(IF($Q182=3,1,IF($Q182=4,1,0)),IF($F182&lt;=85,1,0))</formula>
    </cfRule>
  </conditionalFormatting>
  <conditionalFormatting sqref="X182">
    <cfRule type="expression" dxfId="10515" priority="3677">
      <formula>AND(IF(OR($Q182=1,$Q182=2),1,0),IF($X182&lt;=20,1,0))</formula>
    </cfRule>
    <cfRule type="expression" dxfId="10514" priority="3678">
      <formula>AND(IF($Q182=2,1,0),IF($X182&lt;30,1,0))</formula>
    </cfRule>
    <cfRule type="expression" dxfId="10513" priority="3679">
      <formula>AND(IF($Q182=3,1,0),IF($X182&lt;30,1,0))</formula>
    </cfRule>
    <cfRule type="expression" dxfId="10512" priority="3680">
      <formula>AND(IF($Q182=3,1,IF($Q182=4,1,0)),IF($F182&lt;=85,1,0))</formula>
    </cfRule>
  </conditionalFormatting>
  <conditionalFormatting sqref="AI182">
    <cfRule type="expression" dxfId="10511" priority="3673">
      <formula>AND(IF(OR($Q182=1,$Q182=2),1,0),IF($X182&lt;=20,1,0))</formula>
    </cfRule>
    <cfRule type="expression" dxfId="10510" priority="3674">
      <formula>AND(IF($Q182=2,1,0),IF($X182&lt;30,1,0))</formula>
    </cfRule>
    <cfRule type="expression" dxfId="10509" priority="3675">
      <formula>AND(IF($Q182=3,1,0),IF($X182&lt;30,1,0))</formula>
    </cfRule>
    <cfRule type="expression" dxfId="10508" priority="3676">
      <formula>AND(IF($Q182=3,1,IF($Q182=4,1,0)),IF($F182&lt;=85,1,0))</formula>
    </cfRule>
  </conditionalFormatting>
  <conditionalFormatting sqref="AV183">
    <cfRule type="expression" dxfId="10507" priority="3671">
      <formula>AV183="X"</formula>
    </cfRule>
    <cfRule type="expression" dxfId="10506" priority="3672">
      <formula>AV183="후보"</formula>
    </cfRule>
  </conditionalFormatting>
  <conditionalFormatting sqref="AC183">
    <cfRule type="cellIs" dxfId="10505" priority="3669" operator="greaterThan">
      <formula>0.9</formula>
    </cfRule>
    <cfRule type="cellIs" dxfId="10504" priority="3670" operator="greaterThan">
      <formula>0.85</formula>
    </cfRule>
  </conditionalFormatting>
  <conditionalFormatting sqref="N183">
    <cfRule type="cellIs" dxfId="10503" priority="3667" operator="greaterThan">
      <formula>0.9</formula>
    </cfRule>
    <cfRule type="cellIs" dxfId="10502" priority="3668" operator="greaterThan">
      <formula>0.85</formula>
    </cfRule>
  </conditionalFormatting>
  <conditionalFormatting sqref="E183">
    <cfRule type="expression" dxfId="10501" priority="3663">
      <formula>AND(IF(OR($Q183=1,$Q183=2),1,0),IF($X183&lt;=20,1,0))</formula>
    </cfRule>
    <cfRule type="expression" dxfId="10500" priority="3664">
      <formula>AND(IF($Q183=2,1,0),IF($X183&lt;30,1,0))</formula>
    </cfRule>
    <cfRule type="expression" dxfId="10499" priority="3665">
      <formula>AND(IF($Q183=3,1,0),IF($X183&lt;30,1,0))</formula>
    </cfRule>
    <cfRule type="expression" dxfId="10498" priority="3666">
      <formula>AND(IF($Q183=3,1,IF($Q183=4,1,0)),IF($F183&lt;=85,1,0))</formula>
    </cfRule>
  </conditionalFormatting>
  <conditionalFormatting sqref="X183">
    <cfRule type="expression" dxfId="10497" priority="3659">
      <formula>AND(IF(OR($Q183=1,$Q183=2),1,0),IF($X183&lt;=20,1,0))</formula>
    </cfRule>
    <cfRule type="expression" dxfId="10496" priority="3660">
      <formula>AND(IF($Q183=2,1,0),IF($X183&lt;30,1,0))</formula>
    </cfRule>
    <cfRule type="expression" dxfId="10495" priority="3661">
      <formula>AND(IF($Q183=3,1,0),IF($X183&lt;30,1,0))</formula>
    </cfRule>
    <cfRule type="expression" dxfId="10494" priority="3662">
      <formula>AND(IF($Q183=3,1,IF($Q183=4,1,0)),IF($F183&lt;=85,1,0))</formula>
    </cfRule>
  </conditionalFormatting>
  <conditionalFormatting sqref="AI183">
    <cfRule type="expression" dxfId="10493" priority="3655">
      <formula>AND(IF(OR($Q183=1,$Q183=2),1,0),IF($X183&lt;=20,1,0))</formula>
    </cfRule>
    <cfRule type="expression" dxfId="10492" priority="3656">
      <formula>AND(IF($Q183=2,1,0),IF($X183&lt;30,1,0))</formula>
    </cfRule>
    <cfRule type="expression" dxfId="10491" priority="3657">
      <formula>AND(IF($Q183=3,1,0),IF($X183&lt;30,1,0))</formula>
    </cfRule>
    <cfRule type="expression" dxfId="10490" priority="3658">
      <formula>AND(IF($Q183=3,1,IF($Q183=4,1,0)),IF($F183&lt;=85,1,0))</formula>
    </cfRule>
  </conditionalFormatting>
  <conditionalFormatting sqref="AV184">
    <cfRule type="expression" dxfId="10489" priority="3653">
      <formula>AV184="X"</formula>
    </cfRule>
    <cfRule type="expression" dxfId="10488" priority="3654">
      <formula>AV184="후보"</formula>
    </cfRule>
  </conditionalFormatting>
  <conditionalFormatting sqref="AC184">
    <cfRule type="cellIs" dxfId="10487" priority="3651" operator="greaterThan">
      <formula>0.9</formula>
    </cfRule>
    <cfRule type="cellIs" dxfId="10486" priority="3652" operator="greaterThan">
      <formula>0.85</formula>
    </cfRule>
  </conditionalFormatting>
  <conditionalFormatting sqref="N184">
    <cfRule type="cellIs" dxfId="10485" priority="3649" operator="greaterThan">
      <formula>0.9</formula>
    </cfRule>
    <cfRule type="cellIs" dxfId="10484" priority="3650" operator="greaterThan">
      <formula>0.85</formula>
    </cfRule>
  </conditionalFormatting>
  <conditionalFormatting sqref="E184">
    <cfRule type="expression" dxfId="10483" priority="3645">
      <formula>AND(IF(OR($Q184=1,$Q184=2),1,0),IF($X184&lt;=20,1,0))</formula>
    </cfRule>
    <cfRule type="expression" dxfId="10482" priority="3646">
      <formula>AND(IF($Q184=2,1,0),IF($X184&lt;30,1,0))</formula>
    </cfRule>
    <cfRule type="expression" dxfId="10481" priority="3647">
      <formula>AND(IF($Q184=3,1,0),IF($X184&lt;30,1,0))</formula>
    </cfRule>
    <cfRule type="expression" dxfId="10480" priority="3648">
      <formula>AND(IF($Q184=3,1,IF($Q184=4,1,0)),IF($F184&lt;=85,1,0))</formula>
    </cfRule>
  </conditionalFormatting>
  <conditionalFormatting sqref="X184">
    <cfRule type="expression" dxfId="10479" priority="3641">
      <formula>AND(IF(OR($Q184=1,$Q184=2),1,0),IF($X184&lt;=20,1,0))</formula>
    </cfRule>
    <cfRule type="expression" dxfId="10478" priority="3642">
      <formula>AND(IF($Q184=2,1,0),IF($X184&lt;30,1,0))</formula>
    </cfRule>
    <cfRule type="expression" dxfId="10477" priority="3643">
      <formula>AND(IF($Q184=3,1,0),IF($X184&lt;30,1,0))</formula>
    </cfRule>
    <cfRule type="expression" dxfId="10476" priority="3644">
      <formula>AND(IF($Q184=3,1,IF($Q184=4,1,0)),IF($F184&lt;=85,1,0))</formula>
    </cfRule>
  </conditionalFormatting>
  <conditionalFormatting sqref="AI184">
    <cfRule type="expression" dxfId="10475" priority="3637">
      <formula>AND(IF(OR($Q184=1,$Q184=2),1,0),IF($X184&lt;=20,1,0))</formula>
    </cfRule>
    <cfRule type="expression" dxfId="10474" priority="3638">
      <formula>AND(IF($Q184=2,1,0),IF($X184&lt;30,1,0))</formula>
    </cfRule>
    <cfRule type="expression" dxfId="10473" priority="3639">
      <formula>AND(IF($Q184=3,1,0),IF($X184&lt;30,1,0))</formula>
    </cfRule>
    <cfRule type="expression" dxfId="10472" priority="3640">
      <formula>AND(IF($Q184=3,1,IF($Q184=4,1,0)),IF($F184&lt;=85,1,0))</formula>
    </cfRule>
  </conditionalFormatting>
  <conditionalFormatting sqref="AV185">
    <cfRule type="expression" dxfId="10471" priority="3635">
      <formula>AV185="X"</formula>
    </cfRule>
    <cfRule type="expression" dxfId="10470" priority="3636">
      <formula>AV185="후보"</formula>
    </cfRule>
  </conditionalFormatting>
  <conditionalFormatting sqref="AC185">
    <cfRule type="cellIs" dxfId="10469" priority="3633" operator="greaterThan">
      <formula>0.9</formula>
    </cfRule>
    <cfRule type="cellIs" dxfId="10468" priority="3634" operator="greaterThan">
      <formula>0.85</formula>
    </cfRule>
  </conditionalFormatting>
  <conditionalFormatting sqref="N185">
    <cfRule type="cellIs" dxfId="10467" priority="3631" operator="greaterThan">
      <formula>0.9</formula>
    </cfRule>
    <cfRule type="cellIs" dxfId="10466" priority="3632" operator="greaterThan">
      <formula>0.85</formula>
    </cfRule>
  </conditionalFormatting>
  <conditionalFormatting sqref="E185">
    <cfRule type="expression" dxfId="10465" priority="3627">
      <formula>AND(IF(OR($Q185=1,$Q185=2),1,0),IF($X185&lt;=20,1,0))</formula>
    </cfRule>
    <cfRule type="expression" dxfId="10464" priority="3628">
      <formula>AND(IF($Q185=2,1,0),IF($X185&lt;30,1,0))</formula>
    </cfRule>
    <cfRule type="expression" dxfId="10463" priority="3629">
      <formula>AND(IF($Q185=3,1,0),IF($X185&lt;30,1,0))</formula>
    </cfRule>
    <cfRule type="expression" dxfId="10462" priority="3630">
      <formula>AND(IF($Q185=3,1,IF($Q185=4,1,0)),IF($F185&lt;=85,1,0))</formula>
    </cfRule>
  </conditionalFormatting>
  <conditionalFormatting sqref="X185">
    <cfRule type="expression" dxfId="10461" priority="3623">
      <formula>AND(IF(OR($Q185=1,$Q185=2),1,0),IF($X185&lt;=20,1,0))</formula>
    </cfRule>
    <cfRule type="expression" dxfId="10460" priority="3624">
      <formula>AND(IF($Q185=2,1,0),IF($X185&lt;30,1,0))</formula>
    </cfRule>
    <cfRule type="expression" dxfId="10459" priority="3625">
      <formula>AND(IF($Q185=3,1,0),IF($X185&lt;30,1,0))</formula>
    </cfRule>
    <cfRule type="expression" dxfId="10458" priority="3626">
      <formula>AND(IF($Q185=3,1,IF($Q185=4,1,0)),IF($F185&lt;=85,1,0))</formula>
    </cfRule>
  </conditionalFormatting>
  <conditionalFormatting sqref="AI185">
    <cfRule type="expression" dxfId="10457" priority="3619">
      <formula>AND(IF(OR($Q185=1,$Q185=2),1,0),IF($X185&lt;=20,1,0))</formula>
    </cfRule>
    <cfRule type="expression" dxfId="10456" priority="3620">
      <formula>AND(IF($Q185=2,1,0),IF($X185&lt;30,1,0))</formula>
    </cfRule>
    <cfRule type="expression" dxfId="10455" priority="3621">
      <formula>AND(IF($Q185=3,1,0),IF($X185&lt;30,1,0))</formula>
    </cfRule>
    <cfRule type="expression" dxfId="10454" priority="3622">
      <formula>AND(IF($Q185=3,1,IF($Q185=4,1,0)),IF($F185&lt;=85,1,0))</formula>
    </cfRule>
  </conditionalFormatting>
  <conditionalFormatting sqref="AV186">
    <cfRule type="expression" dxfId="10453" priority="3617">
      <formula>AV186="X"</formula>
    </cfRule>
    <cfRule type="expression" dxfId="10452" priority="3618">
      <formula>AV186="후보"</formula>
    </cfRule>
  </conditionalFormatting>
  <conditionalFormatting sqref="AC186">
    <cfRule type="cellIs" dxfId="10451" priority="3615" operator="greaterThan">
      <formula>0.9</formula>
    </cfRule>
    <cfRule type="cellIs" dxfId="10450" priority="3616" operator="greaterThan">
      <formula>0.85</formula>
    </cfRule>
  </conditionalFormatting>
  <conditionalFormatting sqref="N186">
    <cfRule type="cellIs" dxfId="10449" priority="3613" operator="greaterThan">
      <formula>0.9</formula>
    </cfRule>
    <cfRule type="cellIs" dxfId="10448" priority="3614" operator="greaterThan">
      <formula>0.85</formula>
    </cfRule>
  </conditionalFormatting>
  <conditionalFormatting sqref="E186">
    <cfRule type="expression" dxfId="10447" priority="3609">
      <formula>AND(IF(OR($Q186=1,$Q186=2),1,0),IF($X186&lt;=20,1,0))</formula>
    </cfRule>
    <cfRule type="expression" dxfId="10446" priority="3610">
      <formula>AND(IF($Q186=2,1,0),IF($X186&lt;30,1,0))</formula>
    </cfRule>
    <cfRule type="expression" dxfId="10445" priority="3611">
      <formula>AND(IF($Q186=3,1,0),IF($X186&lt;30,1,0))</formula>
    </cfRule>
    <cfRule type="expression" dxfId="10444" priority="3612">
      <formula>AND(IF($Q186=3,1,IF($Q186=4,1,0)),IF($F186&lt;=85,1,0))</formula>
    </cfRule>
  </conditionalFormatting>
  <conditionalFormatting sqref="X186">
    <cfRule type="expression" dxfId="10443" priority="3605">
      <formula>AND(IF(OR($Q186=1,$Q186=2),1,0),IF($X186&lt;=20,1,0))</formula>
    </cfRule>
    <cfRule type="expression" dxfId="10442" priority="3606">
      <formula>AND(IF($Q186=2,1,0),IF($X186&lt;30,1,0))</formula>
    </cfRule>
    <cfRule type="expression" dxfId="10441" priority="3607">
      <formula>AND(IF($Q186=3,1,0),IF($X186&lt;30,1,0))</formula>
    </cfRule>
    <cfRule type="expression" dxfId="10440" priority="3608">
      <formula>AND(IF($Q186=3,1,IF($Q186=4,1,0)),IF($F186&lt;=85,1,0))</formula>
    </cfRule>
  </conditionalFormatting>
  <conditionalFormatting sqref="AI186">
    <cfRule type="expression" dxfId="10439" priority="3601">
      <formula>AND(IF(OR($Q186=1,$Q186=2),1,0),IF($X186&lt;=20,1,0))</formula>
    </cfRule>
    <cfRule type="expression" dxfId="10438" priority="3602">
      <formula>AND(IF($Q186=2,1,0),IF($X186&lt;30,1,0))</formula>
    </cfRule>
    <cfRule type="expression" dxfId="10437" priority="3603">
      <formula>AND(IF($Q186=3,1,0),IF($X186&lt;30,1,0))</formula>
    </cfRule>
    <cfRule type="expression" dxfId="10436" priority="3604">
      <formula>AND(IF($Q186=3,1,IF($Q186=4,1,0)),IF($F186&lt;=85,1,0))</formula>
    </cfRule>
  </conditionalFormatting>
  <conditionalFormatting sqref="AV187">
    <cfRule type="expression" dxfId="10435" priority="3599">
      <formula>AV187="X"</formula>
    </cfRule>
    <cfRule type="expression" dxfId="10434" priority="3600">
      <formula>AV187="후보"</formula>
    </cfRule>
  </conditionalFormatting>
  <conditionalFormatting sqref="AC187">
    <cfRule type="cellIs" dxfId="10433" priority="3597" operator="greaterThan">
      <formula>0.9</formula>
    </cfRule>
    <cfRule type="cellIs" dxfId="10432" priority="3598" operator="greaterThan">
      <formula>0.85</formula>
    </cfRule>
  </conditionalFormatting>
  <conditionalFormatting sqref="N187">
    <cfRule type="cellIs" dxfId="10431" priority="3595" operator="greaterThan">
      <formula>0.9</formula>
    </cfRule>
    <cfRule type="cellIs" dxfId="10430" priority="3596" operator="greaterThan">
      <formula>0.85</formula>
    </cfRule>
  </conditionalFormatting>
  <conditionalFormatting sqref="E187">
    <cfRule type="expression" dxfId="10429" priority="3591">
      <formula>AND(IF(OR($Q187=1,$Q187=2),1,0),IF($X187&lt;=20,1,0))</formula>
    </cfRule>
    <cfRule type="expression" dxfId="10428" priority="3592">
      <formula>AND(IF($Q187=2,1,0),IF($X187&lt;30,1,0))</formula>
    </cfRule>
    <cfRule type="expression" dxfId="10427" priority="3593">
      <formula>AND(IF($Q187=3,1,0),IF($X187&lt;30,1,0))</formula>
    </cfRule>
    <cfRule type="expression" dxfId="10426" priority="3594">
      <formula>AND(IF($Q187=3,1,IF($Q187=4,1,0)),IF($F187&lt;=85,1,0))</formula>
    </cfRule>
  </conditionalFormatting>
  <conditionalFormatting sqref="X187">
    <cfRule type="expression" dxfId="10425" priority="3587">
      <formula>AND(IF(OR($Q187=1,$Q187=2),1,0),IF($X187&lt;=20,1,0))</formula>
    </cfRule>
    <cfRule type="expression" dxfId="10424" priority="3588">
      <formula>AND(IF($Q187=2,1,0),IF($X187&lt;30,1,0))</formula>
    </cfRule>
    <cfRule type="expression" dxfId="10423" priority="3589">
      <formula>AND(IF($Q187=3,1,0),IF($X187&lt;30,1,0))</formula>
    </cfRule>
    <cfRule type="expression" dxfId="10422" priority="3590">
      <formula>AND(IF($Q187=3,1,IF($Q187=4,1,0)),IF($F187&lt;=85,1,0))</formula>
    </cfRule>
  </conditionalFormatting>
  <conditionalFormatting sqref="AI187">
    <cfRule type="expression" dxfId="10421" priority="3583">
      <formula>AND(IF(OR($Q187=1,$Q187=2),1,0),IF($X187&lt;=20,1,0))</formula>
    </cfRule>
    <cfRule type="expression" dxfId="10420" priority="3584">
      <formula>AND(IF($Q187=2,1,0),IF($X187&lt;30,1,0))</formula>
    </cfRule>
    <cfRule type="expression" dxfId="10419" priority="3585">
      <formula>AND(IF($Q187=3,1,0),IF($X187&lt;30,1,0))</formula>
    </cfRule>
    <cfRule type="expression" dxfId="10418" priority="3586">
      <formula>AND(IF($Q187=3,1,IF($Q187=4,1,0)),IF($F187&lt;=85,1,0))</formula>
    </cfRule>
  </conditionalFormatting>
  <conditionalFormatting sqref="AV188">
    <cfRule type="expression" dxfId="10417" priority="3581">
      <formula>AV188="X"</formula>
    </cfRule>
    <cfRule type="expression" dxfId="10416" priority="3582">
      <formula>AV188="후보"</formula>
    </cfRule>
  </conditionalFormatting>
  <conditionalFormatting sqref="AC188">
    <cfRule type="cellIs" dxfId="10415" priority="3579" operator="greaterThan">
      <formula>0.9</formula>
    </cfRule>
    <cfRule type="cellIs" dxfId="10414" priority="3580" operator="greaterThan">
      <formula>0.85</formula>
    </cfRule>
  </conditionalFormatting>
  <conditionalFormatting sqref="N188">
    <cfRule type="cellIs" dxfId="10413" priority="3577" operator="greaterThan">
      <formula>0.9</formula>
    </cfRule>
    <cfRule type="cellIs" dxfId="10412" priority="3578" operator="greaterThan">
      <formula>0.85</formula>
    </cfRule>
  </conditionalFormatting>
  <conditionalFormatting sqref="E188">
    <cfRule type="expression" dxfId="10411" priority="3573">
      <formula>AND(IF(OR($Q188=1,$Q188=2),1,0),IF($X188&lt;=20,1,0))</formula>
    </cfRule>
    <cfRule type="expression" dxfId="10410" priority="3574">
      <formula>AND(IF($Q188=2,1,0),IF($X188&lt;30,1,0))</formula>
    </cfRule>
    <cfRule type="expression" dxfId="10409" priority="3575">
      <formula>AND(IF($Q188=3,1,0),IF($X188&lt;30,1,0))</formula>
    </cfRule>
    <cfRule type="expression" dxfId="10408" priority="3576">
      <formula>AND(IF($Q188=3,1,IF($Q188=4,1,0)),IF($F188&lt;=85,1,0))</formula>
    </cfRule>
  </conditionalFormatting>
  <conditionalFormatting sqref="X188">
    <cfRule type="expression" dxfId="10407" priority="3569">
      <formula>AND(IF(OR($Q188=1,$Q188=2),1,0),IF($X188&lt;=20,1,0))</formula>
    </cfRule>
    <cfRule type="expression" dxfId="10406" priority="3570">
      <formula>AND(IF($Q188=2,1,0),IF($X188&lt;30,1,0))</formula>
    </cfRule>
    <cfRule type="expression" dxfId="10405" priority="3571">
      <formula>AND(IF($Q188=3,1,0),IF($X188&lt;30,1,0))</formula>
    </cfRule>
    <cfRule type="expression" dxfId="10404" priority="3572">
      <formula>AND(IF($Q188=3,1,IF($Q188=4,1,0)),IF($F188&lt;=85,1,0))</formula>
    </cfRule>
  </conditionalFormatting>
  <conditionalFormatting sqref="AI188">
    <cfRule type="expression" dxfId="10403" priority="3565">
      <formula>AND(IF(OR($Q188=1,$Q188=2),1,0),IF($X188&lt;=20,1,0))</formula>
    </cfRule>
    <cfRule type="expression" dxfId="10402" priority="3566">
      <formula>AND(IF($Q188=2,1,0),IF($X188&lt;30,1,0))</formula>
    </cfRule>
    <cfRule type="expression" dxfId="10401" priority="3567">
      <formula>AND(IF($Q188=3,1,0),IF($X188&lt;30,1,0))</formula>
    </cfRule>
    <cfRule type="expression" dxfId="10400" priority="3568">
      <formula>AND(IF($Q188=3,1,IF($Q188=4,1,0)),IF($F188&lt;=85,1,0))</formula>
    </cfRule>
  </conditionalFormatting>
  <conditionalFormatting sqref="AV189">
    <cfRule type="expression" dxfId="10399" priority="3563">
      <formula>AV189="X"</formula>
    </cfRule>
    <cfRule type="expression" dxfId="10398" priority="3564">
      <formula>AV189="후보"</formula>
    </cfRule>
  </conditionalFormatting>
  <conditionalFormatting sqref="AC189">
    <cfRule type="cellIs" dxfId="10397" priority="3561" operator="greaterThan">
      <formula>0.9</formula>
    </cfRule>
    <cfRule type="cellIs" dxfId="10396" priority="3562" operator="greaterThan">
      <formula>0.85</formula>
    </cfRule>
  </conditionalFormatting>
  <conditionalFormatting sqref="N189">
    <cfRule type="cellIs" dxfId="10395" priority="3559" operator="greaterThan">
      <formula>0.9</formula>
    </cfRule>
    <cfRule type="cellIs" dxfId="10394" priority="3560" operator="greaterThan">
      <formula>0.85</formula>
    </cfRule>
  </conditionalFormatting>
  <conditionalFormatting sqref="E189">
    <cfRule type="expression" dxfId="10393" priority="3555">
      <formula>AND(IF(OR($Q189=1,$Q189=2),1,0),IF($X189&lt;=20,1,0))</formula>
    </cfRule>
    <cfRule type="expression" dxfId="10392" priority="3556">
      <formula>AND(IF($Q189=2,1,0),IF($X189&lt;30,1,0))</formula>
    </cfRule>
    <cfRule type="expression" dxfId="10391" priority="3557">
      <formula>AND(IF($Q189=3,1,0),IF($X189&lt;30,1,0))</formula>
    </cfRule>
    <cfRule type="expression" dxfId="10390" priority="3558">
      <formula>AND(IF($Q189=3,1,IF($Q189=4,1,0)),IF($F189&lt;=85,1,0))</formula>
    </cfRule>
  </conditionalFormatting>
  <conditionalFormatting sqref="X189">
    <cfRule type="expression" dxfId="10389" priority="3551">
      <formula>AND(IF(OR($Q189=1,$Q189=2),1,0),IF($X189&lt;=20,1,0))</formula>
    </cfRule>
    <cfRule type="expression" dxfId="10388" priority="3552">
      <formula>AND(IF($Q189=2,1,0),IF($X189&lt;30,1,0))</formula>
    </cfRule>
    <cfRule type="expression" dxfId="10387" priority="3553">
      <formula>AND(IF($Q189=3,1,0),IF($X189&lt;30,1,0))</formula>
    </cfRule>
    <cfRule type="expression" dxfId="10386" priority="3554">
      <formula>AND(IF($Q189=3,1,IF($Q189=4,1,0)),IF($F189&lt;=85,1,0))</formula>
    </cfRule>
  </conditionalFormatting>
  <conditionalFormatting sqref="AI189">
    <cfRule type="expression" dxfId="10385" priority="3547">
      <formula>AND(IF(OR($Q189=1,$Q189=2),1,0),IF($X189&lt;=20,1,0))</formula>
    </cfRule>
    <cfRule type="expression" dxfId="10384" priority="3548">
      <formula>AND(IF($Q189=2,1,0),IF($X189&lt;30,1,0))</formula>
    </cfRule>
    <cfRule type="expression" dxfId="10383" priority="3549">
      <formula>AND(IF($Q189=3,1,0),IF($X189&lt;30,1,0))</formula>
    </cfRule>
    <cfRule type="expression" dxfId="10382" priority="3550">
      <formula>AND(IF($Q189=3,1,IF($Q189=4,1,0)),IF($F189&lt;=85,1,0))</formula>
    </cfRule>
  </conditionalFormatting>
  <conditionalFormatting sqref="AV190">
    <cfRule type="expression" dxfId="10381" priority="3545">
      <formula>AV190="X"</formula>
    </cfRule>
    <cfRule type="expression" dxfId="10380" priority="3546">
      <formula>AV190="후보"</formula>
    </cfRule>
  </conditionalFormatting>
  <conditionalFormatting sqref="AC190">
    <cfRule type="cellIs" dxfId="10379" priority="3543" operator="greaterThan">
      <formula>0.9</formula>
    </cfRule>
    <cfRule type="cellIs" dxfId="10378" priority="3544" operator="greaterThan">
      <formula>0.85</formula>
    </cfRule>
  </conditionalFormatting>
  <conditionalFormatting sqref="N190">
    <cfRule type="cellIs" dxfId="10377" priority="3541" operator="greaterThan">
      <formula>0.9</formula>
    </cfRule>
    <cfRule type="cellIs" dxfId="10376" priority="3542" operator="greaterThan">
      <formula>0.85</formula>
    </cfRule>
  </conditionalFormatting>
  <conditionalFormatting sqref="E190">
    <cfRule type="expression" dxfId="10375" priority="3537">
      <formula>AND(IF(OR($Q190=1,$Q190=2),1,0),IF($X190&lt;=20,1,0))</formula>
    </cfRule>
    <cfRule type="expression" dxfId="10374" priority="3538">
      <formula>AND(IF($Q190=2,1,0),IF($X190&lt;30,1,0))</formula>
    </cfRule>
    <cfRule type="expression" dxfId="10373" priority="3539">
      <formula>AND(IF($Q190=3,1,0),IF($X190&lt;30,1,0))</formula>
    </cfRule>
    <cfRule type="expression" dxfId="10372" priority="3540">
      <formula>AND(IF($Q190=3,1,IF($Q190=4,1,0)),IF($F190&lt;=85,1,0))</formula>
    </cfRule>
  </conditionalFormatting>
  <conditionalFormatting sqref="X190">
    <cfRule type="expression" dxfId="10371" priority="3533">
      <formula>AND(IF(OR($Q190=1,$Q190=2),1,0),IF($X190&lt;=20,1,0))</formula>
    </cfRule>
    <cfRule type="expression" dxfId="10370" priority="3534">
      <formula>AND(IF($Q190=2,1,0),IF($X190&lt;30,1,0))</formula>
    </cfRule>
    <cfRule type="expression" dxfId="10369" priority="3535">
      <formula>AND(IF($Q190=3,1,0),IF($X190&lt;30,1,0))</formula>
    </cfRule>
    <cfRule type="expression" dxfId="10368" priority="3536">
      <formula>AND(IF($Q190=3,1,IF($Q190=4,1,0)),IF($F190&lt;=85,1,0))</formula>
    </cfRule>
  </conditionalFormatting>
  <conditionalFormatting sqref="AI190">
    <cfRule type="expression" dxfId="10367" priority="3529">
      <formula>AND(IF(OR($Q190=1,$Q190=2),1,0),IF($X190&lt;=20,1,0))</formula>
    </cfRule>
    <cfRule type="expression" dxfId="10366" priority="3530">
      <formula>AND(IF($Q190=2,1,0),IF($X190&lt;30,1,0))</formula>
    </cfRule>
    <cfRule type="expression" dxfId="10365" priority="3531">
      <formula>AND(IF($Q190=3,1,0),IF($X190&lt;30,1,0))</formula>
    </cfRule>
    <cfRule type="expression" dxfId="10364" priority="3532">
      <formula>AND(IF($Q190=3,1,IF($Q190=4,1,0)),IF($F190&lt;=85,1,0))</formula>
    </cfRule>
  </conditionalFormatting>
  <conditionalFormatting sqref="AV191">
    <cfRule type="expression" dxfId="10363" priority="3527">
      <formula>AV191="X"</formula>
    </cfRule>
    <cfRule type="expression" dxfId="10362" priority="3528">
      <formula>AV191="후보"</formula>
    </cfRule>
  </conditionalFormatting>
  <conditionalFormatting sqref="AC191">
    <cfRule type="cellIs" dxfId="10361" priority="3525" operator="greaterThan">
      <formula>0.9</formula>
    </cfRule>
    <cfRule type="cellIs" dxfId="10360" priority="3526" operator="greaterThan">
      <formula>0.85</formula>
    </cfRule>
  </conditionalFormatting>
  <conditionalFormatting sqref="N191">
    <cfRule type="cellIs" dxfId="10359" priority="3523" operator="greaterThan">
      <formula>0.9</formula>
    </cfRule>
    <cfRule type="cellIs" dxfId="10358" priority="3524" operator="greaterThan">
      <formula>0.85</formula>
    </cfRule>
  </conditionalFormatting>
  <conditionalFormatting sqref="E191">
    <cfRule type="expression" dxfId="10357" priority="3519">
      <formula>AND(IF(OR($Q191=1,$Q191=2),1,0),IF($X191&lt;=20,1,0))</formula>
    </cfRule>
    <cfRule type="expression" dxfId="10356" priority="3520">
      <formula>AND(IF($Q191=2,1,0),IF($X191&lt;30,1,0))</formula>
    </cfRule>
    <cfRule type="expression" dxfId="10355" priority="3521">
      <formula>AND(IF($Q191=3,1,0),IF($X191&lt;30,1,0))</formula>
    </cfRule>
    <cfRule type="expression" dxfId="10354" priority="3522">
      <formula>AND(IF($Q191=3,1,IF($Q191=4,1,0)),IF($F191&lt;=85,1,0))</formula>
    </cfRule>
  </conditionalFormatting>
  <conditionalFormatting sqref="X191">
    <cfRule type="expression" dxfId="10353" priority="3515">
      <formula>AND(IF(OR($Q191=1,$Q191=2),1,0),IF($X191&lt;=20,1,0))</formula>
    </cfRule>
    <cfRule type="expression" dxfId="10352" priority="3516">
      <formula>AND(IF($Q191=2,1,0),IF($X191&lt;30,1,0))</formula>
    </cfRule>
    <cfRule type="expression" dxfId="10351" priority="3517">
      <formula>AND(IF($Q191=3,1,0),IF($X191&lt;30,1,0))</formula>
    </cfRule>
    <cfRule type="expression" dxfId="10350" priority="3518">
      <formula>AND(IF($Q191=3,1,IF($Q191=4,1,0)),IF($F191&lt;=85,1,0))</formula>
    </cfRule>
  </conditionalFormatting>
  <conditionalFormatting sqref="AI191">
    <cfRule type="expression" dxfId="10349" priority="3511">
      <formula>AND(IF(OR($Q191=1,$Q191=2),1,0),IF($X191&lt;=20,1,0))</formula>
    </cfRule>
    <cfRule type="expression" dxfId="10348" priority="3512">
      <formula>AND(IF($Q191=2,1,0),IF($X191&lt;30,1,0))</formula>
    </cfRule>
    <cfRule type="expression" dxfId="10347" priority="3513">
      <formula>AND(IF($Q191=3,1,0),IF($X191&lt;30,1,0))</formula>
    </cfRule>
    <cfRule type="expression" dxfId="10346" priority="3514">
      <formula>AND(IF($Q191=3,1,IF($Q191=4,1,0)),IF($F191&lt;=85,1,0))</formula>
    </cfRule>
  </conditionalFormatting>
  <conditionalFormatting sqref="AV192">
    <cfRule type="expression" dxfId="10345" priority="3509">
      <formula>AV192="X"</formula>
    </cfRule>
    <cfRule type="expression" dxfId="10344" priority="3510">
      <formula>AV192="후보"</formula>
    </cfRule>
  </conditionalFormatting>
  <conditionalFormatting sqref="AC192">
    <cfRule type="cellIs" dxfId="10343" priority="3507" operator="greaterThan">
      <formula>0.9</formula>
    </cfRule>
    <cfRule type="cellIs" dxfId="10342" priority="3508" operator="greaterThan">
      <formula>0.85</formula>
    </cfRule>
  </conditionalFormatting>
  <conditionalFormatting sqref="N192">
    <cfRule type="cellIs" dxfId="10341" priority="3505" operator="greaterThan">
      <formula>0.9</formula>
    </cfRule>
    <cfRule type="cellIs" dxfId="10340" priority="3506" operator="greaterThan">
      <formula>0.85</formula>
    </cfRule>
  </conditionalFormatting>
  <conditionalFormatting sqref="E192">
    <cfRule type="expression" dxfId="10339" priority="3501">
      <formula>AND(IF(OR($Q192=1,$Q192=2),1,0),IF($X192&lt;=20,1,0))</formula>
    </cfRule>
    <cfRule type="expression" dxfId="10338" priority="3502">
      <formula>AND(IF($Q192=2,1,0),IF($X192&lt;30,1,0))</formula>
    </cfRule>
    <cfRule type="expression" dxfId="10337" priority="3503">
      <formula>AND(IF($Q192=3,1,0),IF($X192&lt;30,1,0))</formula>
    </cfRule>
    <cfRule type="expression" dxfId="10336" priority="3504">
      <formula>AND(IF($Q192=3,1,IF($Q192=4,1,0)),IF($F192&lt;=85,1,0))</formula>
    </cfRule>
  </conditionalFormatting>
  <conditionalFormatting sqref="X192">
    <cfRule type="expression" dxfId="10335" priority="3497">
      <formula>AND(IF(OR($Q192=1,$Q192=2),1,0),IF($X192&lt;=20,1,0))</formula>
    </cfRule>
    <cfRule type="expression" dxfId="10334" priority="3498">
      <formula>AND(IF($Q192=2,1,0),IF($X192&lt;30,1,0))</formula>
    </cfRule>
    <cfRule type="expression" dxfId="10333" priority="3499">
      <formula>AND(IF($Q192=3,1,0),IF($X192&lt;30,1,0))</formula>
    </cfRule>
    <cfRule type="expression" dxfId="10332" priority="3500">
      <formula>AND(IF($Q192=3,1,IF($Q192=4,1,0)),IF($F192&lt;=85,1,0))</formula>
    </cfRule>
  </conditionalFormatting>
  <conditionalFormatting sqref="AI192">
    <cfRule type="expression" dxfId="10331" priority="3493">
      <formula>AND(IF(OR($Q192=1,$Q192=2),1,0),IF($X192&lt;=20,1,0))</formula>
    </cfRule>
    <cfRule type="expression" dxfId="10330" priority="3494">
      <formula>AND(IF($Q192=2,1,0),IF($X192&lt;30,1,0))</formula>
    </cfRule>
    <cfRule type="expression" dxfId="10329" priority="3495">
      <formula>AND(IF($Q192=3,1,0),IF($X192&lt;30,1,0))</formula>
    </cfRule>
    <cfRule type="expression" dxfId="10328" priority="3496">
      <formula>AND(IF($Q192=3,1,IF($Q192=4,1,0)),IF($F192&lt;=85,1,0))</formula>
    </cfRule>
  </conditionalFormatting>
  <conditionalFormatting sqref="AV193">
    <cfRule type="expression" dxfId="10327" priority="3491">
      <formula>AV193="X"</formula>
    </cfRule>
    <cfRule type="expression" dxfId="10326" priority="3492">
      <formula>AV193="후보"</formula>
    </cfRule>
  </conditionalFormatting>
  <conditionalFormatting sqref="AC193">
    <cfRule type="cellIs" dxfId="10325" priority="3489" operator="greaterThan">
      <formula>0.9</formula>
    </cfRule>
    <cfRule type="cellIs" dxfId="10324" priority="3490" operator="greaterThan">
      <formula>0.85</formula>
    </cfRule>
  </conditionalFormatting>
  <conditionalFormatting sqref="N193">
    <cfRule type="cellIs" dxfId="10323" priority="3487" operator="greaterThan">
      <formula>0.9</formula>
    </cfRule>
    <cfRule type="cellIs" dxfId="10322" priority="3488" operator="greaterThan">
      <formula>0.85</formula>
    </cfRule>
  </conditionalFormatting>
  <conditionalFormatting sqref="E193">
    <cfRule type="expression" dxfId="10321" priority="3483">
      <formula>AND(IF(OR($Q193=1,$Q193=2),1,0),IF($X193&lt;=20,1,0))</formula>
    </cfRule>
    <cfRule type="expression" dxfId="10320" priority="3484">
      <formula>AND(IF($Q193=2,1,0),IF($X193&lt;30,1,0))</formula>
    </cfRule>
    <cfRule type="expression" dxfId="10319" priority="3485">
      <formula>AND(IF($Q193=3,1,0),IF($X193&lt;30,1,0))</formula>
    </cfRule>
    <cfRule type="expression" dxfId="10318" priority="3486">
      <formula>AND(IF($Q193=3,1,IF($Q193=4,1,0)),IF($F193&lt;=85,1,0))</formula>
    </cfRule>
  </conditionalFormatting>
  <conditionalFormatting sqref="X193">
    <cfRule type="expression" dxfId="10317" priority="3479">
      <formula>AND(IF(OR($Q193=1,$Q193=2),1,0),IF($X193&lt;=20,1,0))</formula>
    </cfRule>
    <cfRule type="expression" dxfId="10316" priority="3480">
      <formula>AND(IF($Q193=2,1,0),IF($X193&lt;30,1,0))</formula>
    </cfRule>
    <cfRule type="expression" dxfId="10315" priority="3481">
      <formula>AND(IF($Q193=3,1,0),IF($X193&lt;30,1,0))</formula>
    </cfRule>
    <cfRule type="expression" dxfId="10314" priority="3482">
      <formula>AND(IF($Q193=3,1,IF($Q193=4,1,0)),IF($F193&lt;=85,1,0))</formula>
    </cfRule>
  </conditionalFormatting>
  <conditionalFormatting sqref="AI193">
    <cfRule type="expression" dxfId="10313" priority="3475">
      <formula>AND(IF(OR($Q193=1,$Q193=2),1,0),IF($X193&lt;=20,1,0))</formula>
    </cfRule>
    <cfRule type="expression" dxfId="10312" priority="3476">
      <formula>AND(IF($Q193=2,1,0),IF($X193&lt;30,1,0))</formula>
    </cfRule>
    <cfRule type="expression" dxfId="10311" priority="3477">
      <formula>AND(IF($Q193=3,1,0),IF($X193&lt;30,1,0))</formula>
    </cfRule>
    <cfRule type="expression" dxfId="10310" priority="3478">
      <formula>AND(IF($Q193=3,1,IF($Q193=4,1,0)),IF($F193&lt;=85,1,0))</formula>
    </cfRule>
  </conditionalFormatting>
  <conditionalFormatting sqref="AV194">
    <cfRule type="expression" dxfId="10309" priority="3473">
      <formula>AV194="X"</formula>
    </cfRule>
    <cfRule type="expression" dxfId="10308" priority="3474">
      <formula>AV194="후보"</formula>
    </cfRule>
  </conditionalFormatting>
  <conditionalFormatting sqref="AC194">
    <cfRule type="cellIs" dxfId="10307" priority="3471" operator="greaterThan">
      <formula>0.9</formula>
    </cfRule>
    <cfRule type="cellIs" dxfId="10306" priority="3472" operator="greaterThan">
      <formula>0.85</formula>
    </cfRule>
  </conditionalFormatting>
  <conditionalFormatting sqref="N194">
    <cfRule type="cellIs" dxfId="10305" priority="3469" operator="greaterThan">
      <formula>0.9</formula>
    </cfRule>
    <cfRule type="cellIs" dxfId="10304" priority="3470" operator="greaterThan">
      <formula>0.85</formula>
    </cfRule>
  </conditionalFormatting>
  <conditionalFormatting sqref="E194">
    <cfRule type="expression" dxfId="10303" priority="3465">
      <formula>AND(IF(OR($Q194=1,$Q194=2),1,0),IF($X194&lt;=20,1,0))</formula>
    </cfRule>
    <cfRule type="expression" dxfId="10302" priority="3466">
      <formula>AND(IF($Q194=2,1,0),IF($X194&lt;30,1,0))</formula>
    </cfRule>
    <cfRule type="expression" dxfId="10301" priority="3467">
      <formula>AND(IF($Q194=3,1,0),IF($X194&lt;30,1,0))</formula>
    </cfRule>
    <cfRule type="expression" dxfId="10300" priority="3468">
      <formula>AND(IF($Q194=3,1,IF($Q194=4,1,0)),IF($F194&lt;=85,1,0))</formula>
    </cfRule>
  </conditionalFormatting>
  <conditionalFormatting sqref="X194">
    <cfRule type="expression" dxfId="10299" priority="3461">
      <formula>AND(IF(OR($Q194=1,$Q194=2),1,0),IF($X194&lt;=20,1,0))</formula>
    </cfRule>
    <cfRule type="expression" dxfId="10298" priority="3462">
      <formula>AND(IF($Q194=2,1,0),IF($X194&lt;30,1,0))</formula>
    </cfRule>
    <cfRule type="expression" dxfId="10297" priority="3463">
      <formula>AND(IF($Q194=3,1,0),IF($X194&lt;30,1,0))</formula>
    </cfRule>
    <cfRule type="expression" dxfId="10296" priority="3464">
      <formula>AND(IF($Q194=3,1,IF($Q194=4,1,0)),IF($F194&lt;=85,1,0))</formula>
    </cfRule>
  </conditionalFormatting>
  <conditionalFormatting sqref="AI194">
    <cfRule type="expression" dxfId="10295" priority="3457">
      <formula>AND(IF(OR($Q194=1,$Q194=2),1,0),IF($X194&lt;=20,1,0))</formula>
    </cfRule>
    <cfRule type="expression" dxfId="10294" priority="3458">
      <formula>AND(IF($Q194=2,1,0),IF($X194&lt;30,1,0))</formula>
    </cfRule>
    <cfRule type="expression" dxfId="10293" priority="3459">
      <formula>AND(IF($Q194=3,1,0),IF($X194&lt;30,1,0))</formula>
    </cfRule>
    <cfRule type="expression" dxfId="10292" priority="3460">
      <formula>AND(IF($Q194=3,1,IF($Q194=4,1,0)),IF($F194&lt;=85,1,0))</formula>
    </cfRule>
  </conditionalFormatting>
  <conditionalFormatting sqref="AV195">
    <cfRule type="expression" dxfId="10291" priority="3455">
      <formula>AV195="X"</formula>
    </cfRule>
    <cfRule type="expression" dxfId="10290" priority="3456">
      <formula>AV195="후보"</formula>
    </cfRule>
  </conditionalFormatting>
  <conditionalFormatting sqref="AC195">
    <cfRule type="cellIs" dxfId="10289" priority="3453" operator="greaterThan">
      <formula>0.9</formula>
    </cfRule>
    <cfRule type="cellIs" dxfId="10288" priority="3454" operator="greaterThan">
      <formula>0.85</formula>
    </cfRule>
  </conditionalFormatting>
  <conditionalFormatting sqref="N195">
    <cfRule type="cellIs" dxfId="10287" priority="3451" operator="greaterThan">
      <formula>0.9</formula>
    </cfRule>
    <cfRule type="cellIs" dxfId="10286" priority="3452" operator="greaterThan">
      <formula>0.85</formula>
    </cfRule>
  </conditionalFormatting>
  <conditionalFormatting sqref="E195">
    <cfRule type="expression" dxfId="10285" priority="3447">
      <formula>AND(IF(OR($Q195=1,$Q195=2),1,0),IF($X195&lt;=20,1,0))</formula>
    </cfRule>
    <cfRule type="expression" dxfId="10284" priority="3448">
      <formula>AND(IF($Q195=2,1,0),IF($X195&lt;30,1,0))</formula>
    </cfRule>
    <cfRule type="expression" dxfId="10283" priority="3449">
      <formula>AND(IF($Q195=3,1,0),IF($X195&lt;30,1,0))</formula>
    </cfRule>
    <cfRule type="expression" dxfId="10282" priority="3450">
      <formula>AND(IF($Q195=3,1,IF($Q195=4,1,0)),IF($F195&lt;=85,1,0))</formula>
    </cfRule>
  </conditionalFormatting>
  <conditionalFormatting sqref="X195">
    <cfRule type="expression" dxfId="10281" priority="3443">
      <formula>AND(IF(OR($Q195=1,$Q195=2),1,0),IF($X195&lt;=20,1,0))</formula>
    </cfRule>
    <cfRule type="expression" dxfId="10280" priority="3444">
      <formula>AND(IF($Q195=2,1,0),IF($X195&lt;30,1,0))</formula>
    </cfRule>
    <cfRule type="expression" dxfId="10279" priority="3445">
      <formula>AND(IF($Q195=3,1,0),IF($X195&lt;30,1,0))</formula>
    </cfRule>
    <cfRule type="expression" dxfId="10278" priority="3446">
      <formula>AND(IF($Q195=3,1,IF($Q195=4,1,0)),IF($F195&lt;=85,1,0))</formula>
    </cfRule>
  </conditionalFormatting>
  <conditionalFormatting sqref="AI195">
    <cfRule type="expression" dxfId="10277" priority="3439">
      <formula>AND(IF(OR($Q195=1,$Q195=2),1,0),IF($X195&lt;=20,1,0))</formula>
    </cfRule>
    <cfRule type="expression" dxfId="10276" priority="3440">
      <formula>AND(IF($Q195=2,1,0),IF($X195&lt;30,1,0))</formula>
    </cfRule>
    <cfRule type="expression" dxfId="10275" priority="3441">
      <formula>AND(IF($Q195=3,1,0),IF($X195&lt;30,1,0))</formula>
    </cfRule>
    <cfRule type="expression" dxfId="10274" priority="3442">
      <formula>AND(IF($Q195=3,1,IF($Q195=4,1,0)),IF($F195&lt;=85,1,0))</formula>
    </cfRule>
  </conditionalFormatting>
  <conditionalFormatting sqref="AV196">
    <cfRule type="expression" dxfId="10273" priority="3437">
      <formula>AV196="X"</formula>
    </cfRule>
    <cfRule type="expression" dxfId="10272" priority="3438">
      <formula>AV196="후보"</formula>
    </cfRule>
  </conditionalFormatting>
  <conditionalFormatting sqref="AC196">
    <cfRule type="cellIs" dxfId="10271" priority="3435" operator="greaterThan">
      <formula>0.9</formula>
    </cfRule>
    <cfRule type="cellIs" dxfId="10270" priority="3436" operator="greaterThan">
      <formula>0.85</formula>
    </cfRule>
  </conditionalFormatting>
  <conditionalFormatting sqref="N196">
    <cfRule type="cellIs" dxfId="10269" priority="3433" operator="greaterThan">
      <formula>0.9</formula>
    </cfRule>
    <cfRule type="cellIs" dxfId="10268" priority="3434" operator="greaterThan">
      <formula>0.85</formula>
    </cfRule>
  </conditionalFormatting>
  <conditionalFormatting sqref="E196">
    <cfRule type="expression" dxfId="10267" priority="3429">
      <formula>AND(IF(OR($Q196=1,$Q196=2),1,0),IF($X196&lt;=20,1,0))</formula>
    </cfRule>
    <cfRule type="expression" dxfId="10266" priority="3430">
      <formula>AND(IF($Q196=2,1,0),IF($X196&lt;30,1,0))</formula>
    </cfRule>
    <cfRule type="expression" dxfId="10265" priority="3431">
      <formula>AND(IF($Q196=3,1,0),IF($X196&lt;30,1,0))</formula>
    </cfRule>
    <cfRule type="expression" dxfId="10264" priority="3432">
      <formula>AND(IF($Q196=3,1,IF($Q196=4,1,0)),IF($F196&lt;=85,1,0))</formula>
    </cfRule>
  </conditionalFormatting>
  <conditionalFormatting sqref="X196">
    <cfRule type="expression" dxfId="10263" priority="3425">
      <formula>AND(IF(OR($Q196=1,$Q196=2),1,0),IF($X196&lt;=20,1,0))</formula>
    </cfRule>
    <cfRule type="expression" dxfId="10262" priority="3426">
      <formula>AND(IF($Q196=2,1,0),IF($X196&lt;30,1,0))</formula>
    </cfRule>
    <cfRule type="expression" dxfId="10261" priority="3427">
      <formula>AND(IF($Q196=3,1,0),IF($X196&lt;30,1,0))</formula>
    </cfRule>
    <cfRule type="expression" dxfId="10260" priority="3428">
      <formula>AND(IF($Q196=3,1,IF($Q196=4,1,0)),IF($F196&lt;=85,1,0))</formula>
    </cfRule>
  </conditionalFormatting>
  <conditionalFormatting sqref="AI196">
    <cfRule type="expression" dxfId="10259" priority="3421">
      <formula>AND(IF(OR($Q196=1,$Q196=2),1,0),IF($X196&lt;=20,1,0))</formula>
    </cfRule>
    <cfRule type="expression" dxfId="10258" priority="3422">
      <formula>AND(IF($Q196=2,1,0),IF($X196&lt;30,1,0))</formula>
    </cfRule>
    <cfRule type="expression" dxfId="10257" priority="3423">
      <formula>AND(IF($Q196=3,1,0),IF($X196&lt;30,1,0))</formula>
    </cfRule>
    <cfRule type="expression" dxfId="10256" priority="3424">
      <formula>AND(IF($Q196=3,1,IF($Q196=4,1,0)),IF($F196&lt;=85,1,0))</formula>
    </cfRule>
  </conditionalFormatting>
  <conditionalFormatting sqref="AV197">
    <cfRule type="expression" dxfId="10255" priority="3419">
      <formula>AV197="X"</formula>
    </cfRule>
    <cfRule type="expression" dxfId="10254" priority="3420">
      <formula>AV197="후보"</formula>
    </cfRule>
  </conditionalFormatting>
  <conditionalFormatting sqref="AC197">
    <cfRule type="cellIs" dxfId="10253" priority="3417" operator="greaterThan">
      <formula>0.9</formula>
    </cfRule>
    <cfRule type="cellIs" dxfId="10252" priority="3418" operator="greaterThan">
      <formula>0.85</formula>
    </cfRule>
  </conditionalFormatting>
  <conditionalFormatting sqref="N197">
    <cfRule type="cellIs" dxfId="10251" priority="3415" operator="greaterThan">
      <formula>0.9</formula>
    </cfRule>
    <cfRule type="cellIs" dxfId="10250" priority="3416" operator="greaterThan">
      <formula>0.85</formula>
    </cfRule>
  </conditionalFormatting>
  <conditionalFormatting sqref="E197">
    <cfRule type="expression" dxfId="10249" priority="3411">
      <formula>AND(IF(OR($Q197=1,$Q197=2),1,0),IF($X197&lt;=20,1,0))</formula>
    </cfRule>
    <cfRule type="expression" dxfId="10248" priority="3412">
      <formula>AND(IF($Q197=2,1,0),IF($X197&lt;30,1,0))</formula>
    </cfRule>
    <cfRule type="expression" dxfId="10247" priority="3413">
      <formula>AND(IF($Q197=3,1,0),IF($X197&lt;30,1,0))</formula>
    </cfRule>
    <cfRule type="expression" dxfId="10246" priority="3414">
      <formula>AND(IF($Q197=3,1,IF($Q197=4,1,0)),IF($F197&lt;=85,1,0))</formula>
    </cfRule>
  </conditionalFormatting>
  <conditionalFormatting sqref="X197">
    <cfRule type="expression" dxfId="10245" priority="3407">
      <formula>AND(IF(OR($Q197=1,$Q197=2),1,0),IF($X197&lt;=20,1,0))</formula>
    </cfRule>
    <cfRule type="expression" dxfId="10244" priority="3408">
      <formula>AND(IF($Q197=2,1,0),IF($X197&lt;30,1,0))</formula>
    </cfRule>
    <cfRule type="expression" dxfId="10243" priority="3409">
      <formula>AND(IF($Q197=3,1,0),IF($X197&lt;30,1,0))</formula>
    </cfRule>
    <cfRule type="expression" dxfId="10242" priority="3410">
      <formula>AND(IF($Q197=3,1,IF($Q197=4,1,0)),IF($F197&lt;=85,1,0))</formula>
    </cfRule>
  </conditionalFormatting>
  <conditionalFormatting sqref="AI197">
    <cfRule type="expression" dxfId="10241" priority="3403">
      <formula>AND(IF(OR($Q197=1,$Q197=2),1,0),IF($X197&lt;=20,1,0))</formula>
    </cfRule>
    <cfRule type="expression" dxfId="10240" priority="3404">
      <formula>AND(IF($Q197=2,1,0),IF($X197&lt;30,1,0))</formula>
    </cfRule>
    <cfRule type="expression" dxfId="10239" priority="3405">
      <formula>AND(IF($Q197=3,1,0),IF($X197&lt;30,1,0))</formula>
    </cfRule>
    <cfRule type="expression" dxfId="10238" priority="3406">
      <formula>AND(IF($Q197=3,1,IF($Q197=4,1,0)),IF($F197&lt;=85,1,0))</formula>
    </cfRule>
  </conditionalFormatting>
  <conditionalFormatting sqref="AV198">
    <cfRule type="expression" dxfId="10237" priority="3401">
      <formula>AV198="X"</formula>
    </cfRule>
    <cfRule type="expression" dxfId="10236" priority="3402">
      <formula>AV198="후보"</formula>
    </cfRule>
  </conditionalFormatting>
  <conditionalFormatting sqref="AC198">
    <cfRule type="cellIs" dxfId="10235" priority="3399" operator="greaterThan">
      <formula>0.9</formula>
    </cfRule>
    <cfRule type="cellIs" dxfId="10234" priority="3400" operator="greaterThan">
      <formula>0.85</formula>
    </cfRule>
  </conditionalFormatting>
  <conditionalFormatting sqref="N198">
    <cfRule type="cellIs" dxfId="10233" priority="3397" operator="greaterThan">
      <formula>0.9</formula>
    </cfRule>
    <cfRule type="cellIs" dxfId="10232" priority="3398" operator="greaterThan">
      <formula>0.85</formula>
    </cfRule>
  </conditionalFormatting>
  <conditionalFormatting sqref="E198">
    <cfRule type="expression" dxfId="10231" priority="3393">
      <formula>AND(IF(OR($Q198=1,$Q198=2),1,0),IF($X198&lt;=20,1,0))</formula>
    </cfRule>
    <cfRule type="expression" dxfId="10230" priority="3394">
      <formula>AND(IF($Q198=2,1,0),IF($X198&lt;30,1,0))</formula>
    </cfRule>
    <cfRule type="expression" dxfId="10229" priority="3395">
      <formula>AND(IF($Q198=3,1,0),IF($X198&lt;30,1,0))</formula>
    </cfRule>
    <cfRule type="expression" dxfId="10228" priority="3396">
      <formula>AND(IF($Q198=3,1,IF($Q198=4,1,0)),IF($F198&lt;=85,1,0))</formula>
    </cfRule>
  </conditionalFormatting>
  <conditionalFormatting sqref="X198">
    <cfRule type="expression" dxfId="10227" priority="3389">
      <formula>AND(IF(OR($Q198=1,$Q198=2),1,0),IF($X198&lt;=20,1,0))</formula>
    </cfRule>
    <cfRule type="expression" dxfId="10226" priority="3390">
      <formula>AND(IF($Q198=2,1,0),IF($X198&lt;30,1,0))</formula>
    </cfRule>
    <cfRule type="expression" dxfId="10225" priority="3391">
      <formula>AND(IF($Q198=3,1,0),IF($X198&lt;30,1,0))</formula>
    </cfRule>
    <cfRule type="expression" dxfId="10224" priority="3392">
      <formula>AND(IF($Q198=3,1,IF($Q198=4,1,0)),IF($F198&lt;=85,1,0))</formula>
    </cfRule>
  </conditionalFormatting>
  <conditionalFormatting sqref="AI198">
    <cfRule type="expression" dxfId="10223" priority="3385">
      <formula>AND(IF(OR($Q198=1,$Q198=2),1,0),IF($X198&lt;=20,1,0))</formula>
    </cfRule>
    <cfRule type="expression" dxfId="10222" priority="3386">
      <formula>AND(IF($Q198=2,1,0),IF($X198&lt;30,1,0))</formula>
    </cfRule>
    <cfRule type="expression" dxfId="10221" priority="3387">
      <formula>AND(IF($Q198=3,1,0),IF($X198&lt;30,1,0))</formula>
    </cfRule>
    <cfRule type="expression" dxfId="10220" priority="3388">
      <formula>AND(IF($Q198=3,1,IF($Q198=4,1,0)),IF($F198&lt;=85,1,0))</formula>
    </cfRule>
  </conditionalFormatting>
  <conditionalFormatting sqref="AV199">
    <cfRule type="expression" dxfId="10219" priority="3383">
      <formula>AV199="X"</formula>
    </cfRule>
    <cfRule type="expression" dxfId="10218" priority="3384">
      <formula>AV199="후보"</formula>
    </cfRule>
  </conditionalFormatting>
  <conditionalFormatting sqref="AC199">
    <cfRule type="cellIs" dxfId="10217" priority="3381" operator="greaterThan">
      <formula>0.9</formula>
    </cfRule>
    <cfRule type="cellIs" dxfId="10216" priority="3382" operator="greaterThan">
      <formula>0.85</formula>
    </cfRule>
  </conditionalFormatting>
  <conditionalFormatting sqref="N199">
    <cfRule type="cellIs" dxfId="10215" priority="3379" operator="greaterThan">
      <formula>0.9</formula>
    </cfRule>
    <cfRule type="cellIs" dxfId="10214" priority="3380" operator="greaterThan">
      <formula>0.85</formula>
    </cfRule>
  </conditionalFormatting>
  <conditionalFormatting sqref="E199">
    <cfRule type="expression" dxfId="10213" priority="3375">
      <formula>AND(IF(OR($Q199=1,$Q199=2),1,0),IF($X199&lt;=20,1,0))</formula>
    </cfRule>
    <cfRule type="expression" dxfId="10212" priority="3376">
      <formula>AND(IF($Q199=2,1,0),IF($X199&lt;30,1,0))</formula>
    </cfRule>
    <cfRule type="expression" dxfId="10211" priority="3377">
      <formula>AND(IF($Q199=3,1,0),IF($X199&lt;30,1,0))</formula>
    </cfRule>
    <cfRule type="expression" dxfId="10210" priority="3378">
      <formula>AND(IF($Q199=3,1,IF($Q199=4,1,0)),IF($F199&lt;=85,1,0))</formula>
    </cfRule>
  </conditionalFormatting>
  <conditionalFormatting sqref="X199">
    <cfRule type="expression" dxfId="10209" priority="3371">
      <formula>AND(IF(OR($Q199=1,$Q199=2),1,0),IF($X199&lt;=20,1,0))</formula>
    </cfRule>
    <cfRule type="expression" dxfId="10208" priority="3372">
      <formula>AND(IF($Q199=2,1,0),IF($X199&lt;30,1,0))</formula>
    </cfRule>
    <cfRule type="expression" dxfId="10207" priority="3373">
      <formula>AND(IF($Q199=3,1,0),IF($X199&lt;30,1,0))</formula>
    </cfRule>
    <cfRule type="expression" dxfId="10206" priority="3374">
      <formula>AND(IF($Q199=3,1,IF($Q199=4,1,0)),IF($F199&lt;=85,1,0))</formula>
    </cfRule>
  </conditionalFormatting>
  <conditionalFormatting sqref="AI199">
    <cfRule type="expression" dxfId="10205" priority="3367">
      <formula>AND(IF(OR($Q199=1,$Q199=2),1,0),IF($X199&lt;=20,1,0))</formula>
    </cfRule>
    <cfRule type="expression" dxfId="10204" priority="3368">
      <formula>AND(IF($Q199=2,1,0),IF($X199&lt;30,1,0))</formula>
    </cfRule>
    <cfRule type="expression" dxfId="10203" priority="3369">
      <formula>AND(IF($Q199=3,1,0),IF($X199&lt;30,1,0))</formula>
    </cfRule>
    <cfRule type="expression" dxfId="10202" priority="3370">
      <formula>AND(IF($Q199=3,1,IF($Q199=4,1,0)),IF($F199&lt;=85,1,0))</formula>
    </cfRule>
  </conditionalFormatting>
  <conditionalFormatting sqref="AV200">
    <cfRule type="expression" dxfId="10201" priority="3365">
      <formula>AV200="X"</formula>
    </cfRule>
    <cfRule type="expression" dxfId="10200" priority="3366">
      <formula>AV200="후보"</formula>
    </cfRule>
  </conditionalFormatting>
  <conditionalFormatting sqref="AC200">
    <cfRule type="cellIs" dxfId="10199" priority="3363" operator="greaterThan">
      <formula>0.9</formula>
    </cfRule>
    <cfRule type="cellIs" dxfId="10198" priority="3364" operator="greaterThan">
      <formula>0.85</formula>
    </cfRule>
  </conditionalFormatting>
  <conditionalFormatting sqref="N200">
    <cfRule type="cellIs" dxfId="10197" priority="3361" operator="greaterThan">
      <formula>0.9</formula>
    </cfRule>
    <cfRule type="cellIs" dxfId="10196" priority="3362" operator="greaterThan">
      <formula>0.85</formula>
    </cfRule>
  </conditionalFormatting>
  <conditionalFormatting sqref="E200">
    <cfRule type="expression" dxfId="10195" priority="3357">
      <formula>AND(IF(OR($Q200=1,$Q200=2),1,0),IF($X200&lt;=20,1,0))</formula>
    </cfRule>
    <cfRule type="expression" dxfId="10194" priority="3358">
      <formula>AND(IF($Q200=2,1,0),IF($X200&lt;30,1,0))</formula>
    </cfRule>
    <cfRule type="expression" dxfId="10193" priority="3359">
      <formula>AND(IF($Q200=3,1,0),IF($X200&lt;30,1,0))</formula>
    </cfRule>
    <cfRule type="expression" dxfId="10192" priority="3360">
      <formula>AND(IF($Q200=3,1,IF($Q200=4,1,0)),IF($F200&lt;=85,1,0))</formula>
    </cfRule>
  </conditionalFormatting>
  <conditionalFormatting sqref="X200">
    <cfRule type="expression" dxfId="10191" priority="3353">
      <formula>AND(IF(OR($Q200=1,$Q200=2),1,0),IF($X200&lt;=20,1,0))</formula>
    </cfRule>
    <cfRule type="expression" dxfId="10190" priority="3354">
      <formula>AND(IF($Q200=2,1,0),IF($X200&lt;30,1,0))</formula>
    </cfRule>
    <cfRule type="expression" dxfId="10189" priority="3355">
      <formula>AND(IF($Q200=3,1,0),IF($X200&lt;30,1,0))</formula>
    </cfRule>
    <cfRule type="expression" dxfId="10188" priority="3356">
      <formula>AND(IF($Q200=3,1,IF($Q200=4,1,0)),IF($F200&lt;=85,1,0))</formula>
    </cfRule>
  </conditionalFormatting>
  <conditionalFormatting sqref="AI200">
    <cfRule type="expression" dxfId="10187" priority="3349">
      <formula>AND(IF(OR($Q200=1,$Q200=2),1,0),IF($X200&lt;=20,1,0))</formula>
    </cfRule>
    <cfRule type="expression" dxfId="10186" priority="3350">
      <formula>AND(IF($Q200=2,1,0),IF($X200&lt;30,1,0))</formula>
    </cfRule>
    <cfRule type="expression" dxfId="10185" priority="3351">
      <formula>AND(IF($Q200=3,1,0),IF($X200&lt;30,1,0))</formula>
    </cfRule>
    <cfRule type="expression" dxfId="10184" priority="3352">
      <formula>AND(IF($Q200=3,1,IF($Q200=4,1,0)),IF($F200&lt;=85,1,0))</formula>
    </cfRule>
  </conditionalFormatting>
  <conditionalFormatting sqref="AV201">
    <cfRule type="expression" dxfId="10183" priority="3347">
      <formula>AV201="X"</formula>
    </cfRule>
    <cfRule type="expression" dxfId="10182" priority="3348">
      <formula>AV201="후보"</formula>
    </cfRule>
  </conditionalFormatting>
  <conditionalFormatting sqref="AC201">
    <cfRule type="cellIs" dxfId="10181" priority="3345" operator="greaterThan">
      <formula>0.9</formula>
    </cfRule>
    <cfRule type="cellIs" dxfId="10180" priority="3346" operator="greaterThan">
      <formula>0.85</formula>
    </cfRule>
  </conditionalFormatting>
  <conditionalFormatting sqref="N201">
    <cfRule type="cellIs" dxfId="10179" priority="3343" operator="greaterThan">
      <formula>0.9</formula>
    </cfRule>
    <cfRule type="cellIs" dxfId="10178" priority="3344" operator="greaterThan">
      <formula>0.85</formula>
    </cfRule>
  </conditionalFormatting>
  <conditionalFormatting sqref="E201">
    <cfRule type="expression" dxfId="10177" priority="3339">
      <formula>AND(IF(OR($Q201=1,$Q201=2),1,0),IF($X201&lt;=20,1,0))</formula>
    </cfRule>
    <cfRule type="expression" dxfId="10176" priority="3340">
      <formula>AND(IF($Q201=2,1,0),IF($X201&lt;30,1,0))</formula>
    </cfRule>
    <cfRule type="expression" dxfId="10175" priority="3341">
      <formula>AND(IF($Q201=3,1,0),IF($X201&lt;30,1,0))</formula>
    </cfRule>
    <cfRule type="expression" dxfId="10174" priority="3342">
      <formula>AND(IF($Q201=3,1,IF($Q201=4,1,0)),IF($F201&lt;=85,1,0))</formula>
    </cfRule>
  </conditionalFormatting>
  <conditionalFormatting sqref="X201">
    <cfRule type="expression" dxfId="10173" priority="3335">
      <formula>AND(IF(OR($Q201=1,$Q201=2),1,0),IF($X201&lt;=20,1,0))</formula>
    </cfRule>
    <cfRule type="expression" dxfId="10172" priority="3336">
      <formula>AND(IF($Q201=2,1,0),IF($X201&lt;30,1,0))</formula>
    </cfRule>
    <cfRule type="expression" dxfId="10171" priority="3337">
      <formula>AND(IF($Q201=3,1,0),IF($X201&lt;30,1,0))</formula>
    </cfRule>
    <cfRule type="expression" dxfId="10170" priority="3338">
      <formula>AND(IF($Q201=3,1,IF($Q201=4,1,0)),IF($F201&lt;=85,1,0))</formula>
    </cfRule>
  </conditionalFormatting>
  <conditionalFormatting sqref="AI201">
    <cfRule type="expression" dxfId="10169" priority="3331">
      <formula>AND(IF(OR($Q201=1,$Q201=2),1,0),IF($X201&lt;=20,1,0))</formula>
    </cfRule>
    <cfRule type="expression" dxfId="10168" priority="3332">
      <formula>AND(IF($Q201=2,1,0),IF($X201&lt;30,1,0))</formula>
    </cfRule>
    <cfRule type="expression" dxfId="10167" priority="3333">
      <formula>AND(IF($Q201=3,1,0),IF($X201&lt;30,1,0))</formula>
    </cfRule>
    <cfRule type="expression" dxfId="10166" priority="3334">
      <formula>AND(IF($Q201=3,1,IF($Q201=4,1,0)),IF($F201&lt;=85,1,0))</formula>
    </cfRule>
  </conditionalFormatting>
  <conditionalFormatting sqref="AV202">
    <cfRule type="expression" dxfId="10165" priority="3329">
      <formula>AV202="X"</formula>
    </cfRule>
    <cfRule type="expression" dxfId="10164" priority="3330">
      <formula>AV202="후보"</formula>
    </cfRule>
  </conditionalFormatting>
  <conditionalFormatting sqref="AC202">
    <cfRule type="cellIs" dxfId="10163" priority="3327" operator="greaterThan">
      <formula>0.9</formula>
    </cfRule>
    <cfRule type="cellIs" dxfId="10162" priority="3328" operator="greaterThan">
      <formula>0.85</formula>
    </cfRule>
  </conditionalFormatting>
  <conditionalFormatting sqref="N202">
    <cfRule type="cellIs" dxfId="10161" priority="3325" operator="greaterThan">
      <formula>0.9</formula>
    </cfRule>
    <cfRule type="cellIs" dxfId="10160" priority="3326" operator="greaterThan">
      <formula>0.85</formula>
    </cfRule>
  </conditionalFormatting>
  <conditionalFormatting sqref="E202">
    <cfRule type="expression" dxfId="10159" priority="3321">
      <formula>AND(IF(OR($Q202=1,$Q202=2),1,0),IF($X202&lt;=20,1,0))</formula>
    </cfRule>
    <cfRule type="expression" dxfId="10158" priority="3322">
      <formula>AND(IF($Q202=2,1,0),IF($X202&lt;30,1,0))</formula>
    </cfRule>
    <cfRule type="expression" dxfId="10157" priority="3323">
      <formula>AND(IF($Q202=3,1,0),IF($X202&lt;30,1,0))</formula>
    </cfRule>
    <cfRule type="expression" dxfId="10156" priority="3324">
      <formula>AND(IF($Q202=3,1,IF($Q202=4,1,0)),IF($F202&lt;=85,1,0))</formula>
    </cfRule>
  </conditionalFormatting>
  <conditionalFormatting sqref="X202">
    <cfRule type="expression" dxfId="10155" priority="3317">
      <formula>AND(IF(OR($Q202=1,$Q202=2),1,0),IF($X202&lt;=20,1,0))</formula>
    </cfRule>
    <cfRule type="expression" dxfId="10154" priority="3318">
      <formula>AND(IF($Q202=2,1,0),IF($X202&lt;30,1,0))</formula>
    </cfRule>
    <cfRule type="expression" dxfId="10153" priority="3319">
      <formula>AND(IF($Q202=3,1,0),IF($X202&lt;30,1,0))</formula>
    </cfRule>
    <cfRule type="expression" dxfId="10152" priority="3320">
      <formula>AND(IF($Q202=3,1,IF($Q202=4,1,0)),IF($F202&lt;=85,1,0))</formula>
    </cfRule>
  </conditionalFormatting>
  <conditionalFormatting sqref="AI202">
    <cfRule type="expression" dxfId="10151" priority="3313">
      <formula>AND(IF(OR($Q202=1,$Q202=2),1,0),IF($X202&lt;=20,1,0))</formula>
    </cfRule>
    <cfRule type="expression" dxfId="10150" priority="3314">
      <formula>AND(IF($Q202=2,1,0),IF($X202&lt;30,1,0))</formula>
    </cfRule>
    <cfRule type="expression" dxfId="10149" priority="3315">
      <formula>AND(IF($Q202=3,1,0),IF($X202&lt;30,1,0))</formula>
    </cfRule>
    <cfRule type="expression" dxfId="10148" priority="3316">
      <formula>AND(IF($Q202=3,1,IF($Q202=4,1,0)),IF($F202&lt;=85,1,0))</formula>
    </cfRule>
  </conditionalFormatting>
  <conditionalFormatting sqref="AV203">
    <cfRule type="expression" dxfId="10147" priority="3311">
      <formula>AV203="X"</formula>
    </cfRule>
    <cfRule type="expression" dxfId="10146" priority="3312">
      <formula>AV203="후보"</formula>
    </cfRule>
  </conditionalFormatting>
  <conditionalFormatting sqref="AC203">
    <cfRule type="cellIs" dxfId="10145" priority="3309" operator="greaterThan">
      <formula>0.9</formula>
    </cfRule>
    <cfRule type="cellIs" dxfId="10144" priority="3310" operator="greaterThan">
      <formula>0.85</formula>
    </cfRule>
  </conditionalFormatting>
  <conditionalFormatting sqref="N203">
    <cfRule type="cellIs" dxfId="10143" priority="3307" operator="greaterThan">
      <formula>0.9</formula>
    </cfRule>
    <cfRule type="cellIs" dxfId="10142" priority="3308" operator="greaterThan">
      <formula>0.85</formula>
    </cfRule>
  </conditionalFormatting>
  <conditionalFormatting sqref="E203">
    <cfRule type="expression" dxfId="10141" priority="3303">
      <formula>AND(IF(OR($Q203=1,$Q203=2),1,0),IF($X203&lt;=20,1,0))</formula>
    </cfRule>
    <cfRule type="expression" dxfId="10140" priority="3304">
      <formula>AND(IF($Q203=2,1,0),IF($X203&lt;30,1,0))</formula>
    </cfRule>
    <cfRule type="expression" dxfId="10139" priority="3305">
      <formula>AND(IF($Q203=3,1,0),IF($X203&lt;30,1,0))</formula>
    </cfRule>
    <cfRule type="expression" dxfId="10138" priority="3306">
      <formula>AND(IF($Q203=3,1,IF($Q203=4,1,0)),IF($F203&lt;=85,1,0))</formula>
    </cfRule>
  </conditionalFormatting>
  <conditionalFormatting sqref="X203">
    <cfRule type="expression" dxfId="10137" priority="3299">
      <formula>AND(IF(OR($Q203=1,$Q203=2),1,0),IF($X203&lt;=20,1,0))</formula>
    </cfRule>
    <cfRule type="expression" dxfId="10136" priority="3300">
      <formula>AND(IF($Q203=2,1,0),IF($X203&lt;30,1,0))</formula>
    </cfRule>
    <cfRule type="expression" dxfId="10135" priority="3301">
      <formula>AND(IF($Q203=3,1,0),IF($X203&lt;30,1,0))</formula>
    </cfRule>
    <cfRule type="expression" dxfId="10134" priority="3302">
      <formula>AND(IF($Q203=3,1,IF($Q203=4,1,0)),IF($F203&lt;=85,1,0))</formula>
    </cfRule>
  </conditionalFormatting>
  <conditionalFormatting sqref="AI203">
    <cfRule type="expression" dxfId="10133" priority="3295">
      <formula>AND(IF(OR($Q203=1,$Q203=2),1,0),IF($X203&lt;=20,1,0))</formula>
    </cfRule>
    <cfRule type="expression" dxfId="10132" priority="3296">
      <formula>AND(IF($Q203=2,1,0),IF($X203&lt;30,1,0))</formula>
    </cfRule>
    <cfRule type="expression" dxfId="10131" priority="3297">
      <formula>AND(IF($Q203=3,1,0),IF($X203&lt;30,1,0))</formula>
    </cfRule>
    <cfRule type="expression" dxfId="10130" priority="3298">
      <formula>AND(IF($Q203=3,1,IF($Q203=4,1,0)),IF($F203&lt;=85,1,0))</formula>
    </cfRule>
  </conditionalFormatting>
  <conditionalFormatting sqref="AV204">
    <cfRule type="expression" dxfId="10129" priority="3293">
      <formula>AV204="X"</formula>
    </cfRule>
    <cfRule type="expression" dxfId="10128" priority="3294">
      <formula>AV204="후보"</formula>
    </cfRule>
  </conditionalFormatting>
  <conditionalFormatting sqref="AC204">
    <cfRule type="cellIs" dxfId="10127" priority="3291" operator="greaterThan">
      <formula>0.9</formula>
    </cfRule>
    <cfRule type="cellIs" dxfId="10126" priority="3292" operator="greaterThan">
      <formula>0.85</formula>
    </cfRule>
  </conditionalFormatting>
  <conditionalFormatting sqref="N204">
    <cfRule type="cellIs" dxfId="10125" priority="3289" operator="greaterThan">
      <formula>0.9</formula>
    </cfRule>
    <cfRule type="cellIs" dxfId="10124" priority="3290" operator="greaterThan">
      <formula>0.85</formula>
    </cfRule>
  </conditionalFormatting>
  <conditionalFormatting sqref="E204">
    <cfRule type="expression" dxfId="10123" priority="3285">
      <formula>AND(IF(OR($Q204=1,$Q204=2),1,0),IF($X204&lt;=20,1,0))</formula>
    </cfRule>
    <cfRule type="expression" dxfId="10122" priority="3286">
      <formula>AND(IF($Q204=2,1,0),IF($X204&lt;30,1,0))</formula>
    </cfRule>
    <cfRule type="expression" dxfId="10121" priority="3287">
      <formula>AND(IF($Q204=3,1,0),IF($X204&lt;30,1,0))</formula>
    </cfRule>
    <cfRule type="expression" dxfId="10120" priority="3288">
      <formula>AND(IF($Q204=3,1,IF($Q204=4,1,0)),IF($F204&lt;=85,1,0))</formula>
    </cfRule>
  </conditionalFormatting>
  <conditionalFormatting sqref="X204">
    <cfRule type="expression" dxfId="10119" priority="3281">
      <formula>AND(IF(OR($Q204=1,$Q204=2),1,0),IF($X204&lt;=20,1,0))</formula>
    </cfRule>
    <cfRule type="expression" dxfId="10118" priority="3282">
      <formula>AND(IF($Q204=2,1,0),IF($X204&lt;30,1,0))</formula>
    </cfRule>
    <cfRule type="expression" dxfId="10117" priority="3283">
      <formula>AND(IF($Q204=3,1,0),IF($X204&lt;30,1,0))</formula>
    </cfRule>
    <cfRule type="expression" dxfId="10116" priority="3284">
      <formula>AND(IF($Q204=3,1,IF($Q204=4,1,0)),IF($F204&lt;=85,1,0))</formula>
    </cfRule>
  </conditionalFormatting>
  <conditionalFormatting sqref="AI204">
    <cfRule type="expression" dxfId="10115" priority="3277">
      <formula>AND(IF(OR($Q204=1,$Q204=2),1,0),IF($X204&lt;=20,1,0))</formula>
    </cfRule>
    <cfRule type="expression" dxfId="10114" priority="3278">
      <formula>AND(IF($Q204=2,1,0),IF($X204&lt;30,1,0))</formula>
    </cfRule>
    <cfRule type="expression" dxfId="10113" priority="3279">
      <formula>AND(IF($Q204=3,1,0),IF($X204&lt;30,1,0))</formula>
    </cfRule>
    <cfRule type="expression" dxfId="10112" priority="3280">
      <formula>AND(IF($Q204=3,1,IF($Q204=4,1,0)),IF($F204&lt;=85,1,0))</formula>
    </cfRule>
  </conditionalFormatting>
  <conditionalFormatting sqref="AV205">
    <cfRule type="expression" dxfId="10111" priority="3275">
      <formula>AV205="X"</formula>
    </cfRule>
    <cfRule type="expression" dxfId="10110" priority="3276">
      <formula>AV205="후보"</formula>
    </cfRule>
  </conditionalFormatting>
  <conditionalFormatting sqref="AC205">
    <cfRule type="cellIs" dxfId="10109" priority="3273" operator="greaterThan">
      <formula>0.9</formula>
    </cfRule>
    <cfRule type="cellIs" dxfId="10108" priority="3274" operator="greaterThan">
      <formula>0.85</formula>
    </cfRule>
  </conditionalFormatting>
  <conditionalFormatting sqref="N205">
    <cfRule type="cellIs" dxfId="10107" priority="3271" operator="greaterThan">
      <formula>0.9</formula>
    </cfRule>
    <cfRule type="cellIs" dxfId="10106" priority="3272" operator="greaterThan">
      <formula>0.85</formula>
    </cfRule>
  </conditionalFormatting>
  <conditionalFormatting sqref="E205">
    <cfRule type="expression" dxfId="10105" priority="3267">
      <formula>AND(IF(OR($Q205=1,$Q205=2),1,0),IF($X205&lt;=20,1,0))</formula>
    </cfRule>
    <cfRule type="expression" dxfId="10104" priority="3268">
      <formula>AND(IF($Q205=2,1,0),IF($X205&lt;30,1,0))</formula>
    </cfRule>
    <cfRule type="expression" dxfId="10103" priority="3269">
      <formula>AND(IF($Q205=3,1,0),IF($X205&lt;30,1,0))</formula>
    </cfRule>
    <cfRule type="expression" dxfId="10102" priority="3270">
      <formula>AND(IF($Q205=3,1,IF($Q205=4,1,0)),IF($F205&lt;=85,1,0))</formula>
    </cfRule>
  </conditionalFormatting>
  <conditionalFormatting sqref="X205">
    <cfRule type="expression" dxfId="10101" priority="3263">
      <formula>AND(IF(OR($Q205=1,$Q205=2),1,0),IF($X205&lt;=20,1,0))</formula>
    </cfRule>
    <cfRule type="expression" dxfId="10100" priority="3264">
      <formula>AND(IF($Q205=2,1,0),IF($X205&lt;30,1,0))</formula>
    </cfRule>
    <cfRule type="expression" dxfId="10099" priority="3265">
      <formula>AND(IF($Q205=3,1,0),IF($X205&lt;30,1,0))</formula>
    </cfRule>
    <cfRule type="expression" dxfId="10098" priority="3266">
      <formula>AND(IF($Q205=3,1,IF($Q205=4,1,0)),IF($F205&lt;=85,1,0))</formula>
    </cfRule>
  </conditionalFormatting>
  <conditionalFormatting sqref="AI205">
    <cfRule type="expression" dxfId="10097" priority="3259">
      <formula>AND(IF(OR($Q205=1,$Q205=2),1,0),IF($X205&lt;=20,1,0))</formula>
    </cfRule>
    <cfRule type="expression" dxfId="10096" priority="3260">
      <formula>AND(IF($Q205=2,1,0),IF($X205&lt;30,1,0))</formula>
    </cfRule>
    <cfRule type="expression" dxfId="10095" priority="3261">
      <formula>AND(IF($Q205=3,1,0),IF($X205&lt;30,1,0))</formula>
    </cfRule>
    <cfRule type="expression" dxfId="10094" priority="3262">
      <formula>AND(IF($Q205=3,1,IF($Q205=4,1,0)),IF($F205&lt;=85,1,0))</formula>
    </cfRule>
  </conditionalFormatting>
  <conditionalFormatting sqref="AV206">
    <cfRule type="expression" dxfId="10093" priority="3257">
      <formula>AV206="X"</formula>
    </cfRule>
    <cfRule type="expression" dxfId="10092" priority="3258">
      <formula>AV206="후보"</formula>
    </cfRule>
  </conditionalFormatting>
  <conditionalFormatting sqref="AC206">
    <cfRule type="cellIs" dxfId="10091" priority="3255" operator="greaterThan">
      <formula>0.9</formula>
    </cfRule>
    <cfRule type="cellIs" dxfId="10090" priority="3256" operator="greaterThan">
      <formula>0.85</formula>
    </cfRule>
  </conditionalFormatting>
  <conditionalFormatting sqref="N206">
    <cfRule type="cellIs" dxfId="10089" priority="3253" operator="greaterThan">
      <formula>0.9</formula>
    </cfRule>
    <cfRule type="cellIs" dxfId="10088" priority="3254" operator="greaterThan">
      <formula>0.85</formula>
    </cfRule>
  </conditionalFormatting>
  <conditionalFormatting sqref="E206">
    <cfRule type="expression" dxfId="10087" priority="3249">
      <formula>AND(IF(OR($Q206=1,$Q206=2),1,0),IF($X206&lt;=20,1,0))</formula>
    </cfRule>
    <cfRule type="expression" dxfId="10086" priority="3250">
      <formula>AND(IF($Q206=2,1,0),IF($X206&lt;30,1,0))</formula>
    </cfRule>
    <cfRule type="expression" dxfId="10085" priority="3251">
      <formula>AND(IF($Q206=3,1,0),IF($X206&lt;30,1,0))</formula>
    </cfRule>
    <cfRule type="expression" dxfId="10084" priority="3252">
      <formula>AND(IF($Q206=3,1,IF($Q206=4,1,0)),IF($F206&lt;=85,1,0))</formula>
    </cfRule>
  </conditionalFormatting>
  <conditionalFormatting sqref="X206">
    <cfRule type="expression" dxfId="10083" priority="3245">
      <formula>AND(IF(OR($Q206=1,$Q206=2),1,0),IF($X206&lt;=20,1,0))</formula>
    </cfRule>
    <cfRule type="expression" dxfId="10082" priority="3246">
      <formula>AND(IF($Q206=2,1,0),IF($X206&lt;30,1,0))</formula>
    </cfRule>
    <cfRule type="expression" dxfId="10081" priority="3247">
      <formula>AND(IF($Q206=3,1,0),IF($X206&lt;30,1,0))</formula>
    </cfRule>
    <cfRule type="expression" dxfId="10080" priority="3248">
      <formula>AND(IF($Q206=3,1,IF($Q206=4,1,0)),IF($F206&lt;=85,1,0))</formula>
    </cfRule>
  </conditionalFormatting>
  <conditionalFormatting sqref="AI206">
    <cfRule type="expression" dxfId="10079" priority="3241">
      <formula>AND(IF(OR($Q206=1,$Q206=2),1,0),IF($X206&lt;=20,1,0))</formula>
    </cfRule>
    <cfRule type="expression" dxfId="10078" priority="3242">
      <formula>AND(IF($Q206=2,1,0),IF($X206&lt;30,1,0))</formula>
    </cfRule>
    <cfRule type="expression" dxfId="10077" priority="3243">
      <formula>AND(IF($Q206=3,1,0),IF($X206&lt;30,1,0))</formula>
    </cfRule>
    <cfRule type="expression" dxfId="10076" priority="3244">
      <formula>AND(IF($Q206=3,1,IF($Q206=4,1,0)),IF($F206&lt;=85,1,0))</formula>
    </cfRule>
  </conditionalFormatting>
  <conditionalFormatting sqref="AV207">
    <cfRule type="expression" dxfId="10075" priority="3239">
      <formula>AV207="X"</formula>
    </cfRule>
    <cfRule type="expression" dxfId="10074" priority="3240">
      <formula>AV207="후보"</formula>
    </cfRule>
  </conditionalFormatting>
  <conditionalFormatting sqref="AC207">
    <cfRule type="cellIs" dxfId="10073" priority="3237" operator="greaterThan">
      <formula>0.9</formula>
    </cfRule>
    <cfRule type="cellIs" dxfId="10072" priority="3238" operator="greaterThan">
      <formula>0.85</formula>
    </cfRule>
  </conditionalFormatting>
  <conditionalFormatting sqref="N207">
    <cfRule type="cellIs" dxfId="10071" priority="3235" operator="greaterThan">
      <formula>0.9</formula>
    </cfRule>
    <cfRule type="cellIs" dxfId="10070" priority="3236" operator="greaterThan">
      <formula>0.85</formula>
    </cfRule>
  </conditionalFormatting>
  <conditionalFormatting sqref="E207">
    <cfRule type="expression" dxfId="10069" priority="3231">
      <formula>AND(IF(OR($Q207=1,$Q207=2),1,0),IF($X207&lt;=20,1,0))</formula>
    </cfRule>
    <cfRule type="expression" dxfId="10068" priority="3232">
      <formula>AND(IF($Q207=2,1,0),IF($X207&lt;30,1,0))</formula>
    </cfRule>
    <cfRule type="expression" dxfId="10067" priority="3233">
      <formula>AND(IF($Q207=3,1,0),IF($X207&lt;30,1,0))</formula>
    </cfRule>
    <cfRule type="expression" dxfId="10066" priority="3234">
      <formula>AND(IF($Q207=3,1,IF($Q207=4,1,0)),IF($F207&lt;=85,1,0))</formula>
    </cfRule>
  </conditionalFormatting>
  <conditionalFormatting sqref="X207">
    <cfRule type="expression" dxfId="10065" priority="3227">
      <formula>AND(IF(OR($Q207=1,$Q207=2),1,0),IF($X207&lt;=20,1,0))</formula>
    </cfRule>
    <cfRule type="expression" dxfId="10064" priority="3228">
      <formula>AND(IF($Q207=2,1,0),IF($X207&lt;30,1,0))</formula>
    </cfRule>
    <cfRule type="expression" dxfId="10063" priority="3229">
      <formula>AND(IF($Q207=3,1,0),IF($X207&lt;30,1,0))</formula>
    </cfRule>
    <cfRule type="expression" dxfId="10062" priority="3230">
      <formula>AND(IF($Q207=3,1,IF($Q207=4,1,0)),IF($F207&lt;=85,1,0))</formula>
    </cfRule>
  </conditionalFormatting>
  <conditionalFormatting sqref="AI207">
    <cfRule type="expression" dxfId="10061" priority="3223">
      <formula>AND(IF(OR($Q207=1,$Q207=2),1,0),IF($X207&lt;=20,1,0))</formula>
    </cfRule>
    <cfRule type="expression" dxfId="10060" priority="3224">
      <formula>AND(IF($Q207=2,1,0),IF($X207&lt;30,1,0))</formula>
    </cfRule>
    <cfRule type="expression" dxfId="10059" priority="3225">
      <formula>AND(IF($Q207=3,1,0),IF($X207&lt;30,1,0))</formula>
    </cfRule>
    <cfRule type="expression" dxfId="10058" priority="3226">
      <formula>AND(IF($Q207=3,1,IF($Q207=4,1,0)),IF($F207&lt;=85,1,0))</formula>
    </cfRule>
  </conditionalFormatting>
  <conditionalFormatting sqref="AV208">
    <cfRule type="expression" dxfId="10057" priority="3221">
      <formula>AV208="X"</formula>
    </cfRule>
    <cfRule type="expression" dxfId="10056" priority="3222">
      <formula>AV208="후보"</formula>
    </cfRule>
  </conditionalFormatting>
  <conditionalFormatting sqref="AC208">
    <cfRule type="cellIs" dxfId="10055" priority="3219" operator="greaterThan">
      <formula>0.9</formula>
    </cfRule>
    <cfRule type="cellIs" dxfId="10054" priority="3220" operator="greaterThan">
      <formula>0.85</formula>
    </cfRule>
  </conditionalFormatting>
  <conditionalFormatting sqref="N208">
    <cfRule type="cellIs" dxfId="10053" priority="3217" operator="greaterThan">
      <formula>0.9</formula>
    </cfRule>
    <cfRule type="cellIs" dxfId="10052" priority="3218" operator="greaterThan">
      <formula>0.85</formula>
    </cfRule>
  </conditionalFormatting>
  <conditionalFormatting sqref="E208">
    <cfRule type="expression" dxfId="10051" priority="3213">
      <formula>AND(IF(OR($Q208=1,$Q208=2),1,0),IF($X208&lt;=20,1,0))</formula>
    </cfRule>
    <cfRule type="expression" dxfId="10050" priority="3214">
      <formula>AND(IF($Q208=2,1,0),IF($X208&lt;30,1,0))</formula>
    </cfRule>
    <cfRule type="expression" dxfId="10049" priority="3215">
      <formula>AND(IF($Q208=3,1,0),IF($X208&lt;30,1,0))</formula>
    </cfRule>
    <cfRule type="expression" dxfId="10048" priority="3216">
      <formula>AND(IF($Q208=3,1,IF($Q208=4,1,0)),IF($F208&lt;=85,1,0))</formula>
    </cfRule>
  </conditionalFormatting>
  <conditionalFormatting sqref="X208">
    <cfRule type="expression" dxfId="10047" priority="3209">
      <formula>AND(IF(OR($Q208=1,$Q208=2),1,0),IF($X208&lt;=20,1,0))</formula>
    </cfRule>
    <cfRule type="expression" dxfId="10046" priority="3210">
      <formula>AND(IF($Q208=2,1,0),IF($X208&lt;30,1,0))</formula>
    </cfRule>
    <cfRule type="expression" dxfId="10045" priority="3211">
      <formula>AND(IF($Q208=3,1,0),IF($X208&lt;30,1,0))</formula>
    </cfRule>
    <cfRule type="expression" dxfId="10044" priority="3212">
      <formula>AND(IF($Q208=3,1,IF($Q208=4,1,0)),IF($F208&lt;=85,1,0))</formula>
    </cfRule>
  </conditionalFormatting>
  <conditionalFormatting sqref="AI208">
    <cfRule type="expression" dxfId="10043" priority="3205">
      <formula>AND(IF(OR($Q208=1,$Q208=2),1,0),IF($X208&lt;=20,1,0))</formula>
    </cfRule>
    <cfRule type="expression" dxfId="10042" priority="3206">
      <formula>AND(IF($Q208=2,1,0),IF($X208&lt;30,1,0))</formula>
    </cfRule>
    <cfRule type="expression" dxfId="10041" priority="3207">
      <formula>AND(IF($Q208=3,1,0),IF($X208&lt;30,1,0))</formula>
    </cfRule>
    <cfRule type="expression" dxfId="10040" priority="3208">
      <formula>AND(IF($Q208=3,1,IF($Q208=4,1,0)),IF($F208&lt;=85,1,0))</formula>
    </cfRule>
  </conditionalFormatting>
  <conditionalFormatting sqref="AV209">
    <cfRule type="expression" dxfId="10039" priority="3203">
      <formula>AV209="X"</formula>
    </cfRule>
    <cfRule type="expression" dxfId="10038" priority="3204">
      <formula>AV209="후보"</formula>
    </cfRule>
  </conditionalFormatting>
  <conditionalFormatting sqref="AC209">
    <cfRule type="cellIs" dxfId="10037" priority="3201" operator="greaterThan">
      <formula>0.9</formula>
    </cfRule>
    <cfRule type="cellIs" dxfId="10036" priority="3202" operator="greaterThan">
      <formula>0.85</formula>
    </cfRule>
  </conditionalFormatting>
  <conditionalFormatting sqref="N209">
    <cfRule type="cellIs" dxfId="10035" priority="3199" operator="greaterThan">
      <formula>0.9</formula>
    </cfRule>
    <cfRule type="cellIs" dxfId="10034" priority="3200" operator="greaterThan">
      <formula>0.85</formula>
    </cfRule>
  </conditionalFormatting>
  <conditionalFormatting sqref="E209">
    <cfRule type="expression" dxfId="10033" priority="3195">
      <formula>AND(IF(OR($Q209=1,$Q209=2),1,0),IF($X209&lt;=20,1,0))</formula>
    </cfRule>
    <cfRule type="expression" dxfId="10032" priority="3196">
      <formula>AND(IF($Q209=2,1,0),IF($X209&lt;30,1,0))</formula>
    </cfRule>
    <cfRule type="expression" dxfId="10031" priority="3197">
      <formula>AND(IF($Q209=3,1,0),IF($X209&lt;30,1,0))</formula>
    </cfRule>
    <cfRule type="expression" dxfId="10030" priority="3198">
      <formula>AND(IF($Q209=3,1,IF($Q209=4,1,0)),IF($F209&lt;=85,1,0))</formula>
    </cfRule>
  </conditionalFormatting>
  <conditionalFormatting sqref="X209">
    <cfRule type="expression" dxfId="10029" priority="3191">
      <formula>AND(IF(OR($Q209=1,$Q209=2),1,0),IF($X209&lt;=20,1,0))</formula>
    </cfRule>
    <cfRule type="expression" dxfId="10028" priority="3192">
      <formula>AND(IF($Q209=2,1,0),IF($X209&lt;30,1,0))</formula>
    </cfRule>
    <cfRule type="expression" dxfId="10027" priority="3193">
      <formula>AND(IF($Q209=3,1,0),IF($X209&lt;30,1,0))</formula>
    </cfRule>
    <cfRule type="expression" dxfId="10026" priority="3194">
      <formula>AND(IF($Q209=3,1,IF($Q209=4,1,0)),IF($F209&lt;=85,1,0))</formula>
    </cfRule>
  </conditionalFormatting>
  <conditionalFormatting sqref="AI209">
    <cfRule type="expression" dxfId="10025" priority="3187">
      <formula>AND(IF(OR($Q209=1,$Q209=2),1,0),IF($X209&lt;=20,1,0))</formula>
    </cfRule>
    <cfRule type="expression" dxfId="10024" priority="3188">
      <formula>AND(IF($Q209=2,1,0),IF($X209&lt;30,1,0))</formula>
    </cfRule>
    <cfRule type="expression" dxfId="10023" priority="3189">
      <formula>AND(IF($Q209=3,1,0),IF($X209&lt;30,1,0))</formula>
    </cfRule>
    <cfRule type="expression" dxfId="10022" priority="3190">
      <formula>AND(IF($Q209=3,1,IF($Q209=4,1,0)),IF($F209&lt;=85,1,0))</formula>
    </cfRule>
  </conditionalFormatting>
  <conditionalFormatting sqref="AV210">
    <cfRule type="expression" dxfId="10021" priority="3185">
      <formula>AV210="X"</formula>
    </cfRule>
    <cfRule type="expression" dxfId="10020" priority="3186">
      <formula>AV210="후보"</formula>
    </cfRule>
  </conditionalFormatting>
  <conditionalFormatting sqref="AC210">
    <cfRule type="cellIs" dxfId="10019" priority="3183" operator="greaterThan">
      <formula>0.9</formula>
    </cfRule>
    <cfRule type="cellIs" dxfId="10018" priority="3184" operator="greaterThan">
      <formula>0.85</formula>
    </cfRule>
  </conditionalFormatting>
  <conditionalFormatting sqref="N210">
    <cfRule type="cellIs" dxfId="10017" priority="3181" operator="greaterThan">
      <formula>0.9</formula>
    </cfRule>
    <cfRule type="cellIs" dxfId="10016" priority="3182" operator="greaterThan">
      <formula>0.85</formula>
    </cfRule>
  </conditionalFormatting>
  <conditionalFormatting sqref="E210">
    <cfRule type="expression" dxfId="10015" priority="3177">
      <formula>AND(IF(OR($Q210=1,$Q210=2),1,0),IF($X210&lt;=20,1,0))</formula>
    </cfRule>
    <cfRule type="expression" dxfId="10014" priority="3178">
      <formula>AND(IF($Q210=2,1,0),IF($X210&lt;30,1,0))</formula>
    </cfRule>
    <cfRule type="expression" dxfId="10013" priority="3179">
      <formula>AND(IF($Q210=3,1,0),IF($X210&lt;30,1,0))</formula>
    </cfRule>
    <cfRule type="expression" dxfId="10012" priority="3180">
      <formula>AND(IF($Q210=3,1,IF($Q210=4,1,0)),IF($F210&lt;=85,1,0))</formula>
    </cfRule>
  </conditionalFormatting>
  <conditionalFormatting sqref="X210">
    <cfRule type="expression" dxfId="10011" priority="3173">
      <formula>AND(IF(OR($Q210=1,$Q210=2),1,0),IF($X210&lt;=20,1,0))</formula>
    </cfRule>
    <cfRule type="expression" dxfId="10010" priority="3174">
      <formula>AND(IF($Q210=2,1,0),IF($X210&lt;30,1,0))</formula>
    </cfRule>
    <cfRule type="expression" dxfId="10009" priority="3175">
      <formula>AND(IF($Q210=3,1,0),IF($X210&lt;30,1,0))</formula>
    </cfRule>
    <cfRule type="expression" dxfId="10008" priority="3176">
      <formula>AND(IF($Q210=3,1,IF($Q210=4,1,0)),IF($F210&lt;=85,1,0))</formula>
    </cfRule>
  </conditionalFormatting>
  <conditionalFormatting sqref="AI210">
    <cfRule type="expression" dxfId="10007" priority="3169">
      <formula>AND(IF(OR($Q210=1,$Q210=2),1,0),IF($X210&lt;=20,1,0))</formula>
    </cfRule>
    <cfRule type="expression" dxfId="10006" priority="3170">
      <formula>AND(IF($Q210=2,1,0),IF($X210&lt;30,1,0))</formula>
    </cfRule>
    <cfRule type="expression" dxfId="10005" priority="3171">
      <formula>AND(IF($Q210=3,1,0),IF($X210&lt;30,1,0))</formula>
    </cfRule>
    <cfRule type="expression" dxfId="10004" priority="3172">
      <formula>AND(IF($Q210=3,1,IF($Q210=4,1,0)),IF($F210&lt;=85,1,0))</formula>
    </cfRule>
  </conditionalFormatting>
  <conditionalFormatting sqref="AV211">
    <cfRule type="expression" dxfId="10003" priority="3167">
      <formula>AV211="X"</formula>
    </cfRule>
    <cfRule type="expression" dxfId="10002" priority="3168">
      <formula>AV211="후보"</formula>
    </cfRule>
  </conditionalFormatting>
  <conditionalFormatting sqref="AC211">
    <cfRule type="cellIs" dxfId="10001" priority="3165" operator="greaterThan">
      <formula>0.9</formula>
    </cfRule>
    <cfRule type="cellIs" dxfId="10000" priority="3166" operator="greaterThan">
      <formula>0.85</formula>
    </cfRule>
  </conditionalFormatting>
  <conditionalFormatting sqref="N211">
    <cfRule type="cellIs" dxfId="9999" priority="3163" operator="greaterThan">
      <formula>0.9</formula>
    </cfRule>
    <cfRule type="cellIs" dxfId="9998" priority="3164" operator="greaterThan">
      <formula>0.85</formula>
    </cfRule>
  </conditionalFormatting>
  <conditionalFormatting sqref="E211">
    <cfRule type="expression" dxfId="9997" priority="3159">
      <formula>AND(IF(OR($Q211=1,$Q211=2),1,0),IF($X211&lt;=20,1,0))</formula>
    </cfRule>
    <cfRule type="expression" dxfId="9996" priority="3160">
      <formula>AND(IF($Q211=2,1,0),IF($X211&lt;30,1,0))</formula>
    </cfRule>
    <cfRule type="expression" dxfId="9995" priority="3161">
      <formula>AND(IF($Q211=3,1,0),IF($X211&lt;30,1,0))</formula>
    </cfRule>
    <cfRule type="expression" dxfId="9994" priority="3162">
      <formula>AND(IF($Q211=3,1,IF($Q211=4,1,0)),IF($F211&lt;=85,1,0))</formula>
    </cfRule>
  </conditionalFormatting>
  <conditionalFormatting sqref="X211">
    <cfRule type="expression" dxfId="9993" priority="3155">
      <formula>AND(IF(OR($Q211=1,$Q211=2),1,0),IF($X211&lt;=20,1,0))</formula>
    </cfRule>
    <cfRule type="expression" dxfId="9992" priority="3156">
      <formula>AND(IF($Q211=2,1,0),IF($X211&lt;30,1,0))</formula>
    </cfRule>
    <cfRule type="expression" dxfId="9991" priority="3157">
      <formula>AND(IF($Q211=3,1,0),IF($X211&lt;30,1,0))</formula>
    </cfRule>
    <cfRule type="expression" dxfId="9990" priority="3158">
      <formula>AND(IF($Q211=3,1,IF($Q211=4,1,0)),IF($F211&lt;=85,1,0))</formula>
    </cfRule>
  </conditionalFormatting>
  <conditionalFormatting sqref="AI211">
    <cfRule type="expression" dxfId="9989" priority="3151">
      <formula>AND(IF(OR($Q211=1,$Q211=2),1,0),IF($X211&lt;=20,1,0))</formula>
    </cfRule>
    <cfRule type="expression" dxfId="9988" priority="3152">
      <formula>AND(IF($Q211=2,1,0),IF($X211&lt;30,1,0))</formula>
    </cfRule>
    <cfRule type="expression" dxfId="9987" priority="3153">
      <formula>AND(IF($Q211=3,1,0),IF($X211&lt;30,1,0))</formula>
    </cfRule>
    <cfRule type="expression" dxfId="9986" priority="3154">
      <formula>AND(IF($Q211=3,1,IF($Q211=4,1,0)),IF($F211&lt;=85,1,0))</formula>
    </cfRule>
  </conditionalFormatting>
  <conditionalFormatting sqref="AV212">
    <cfRule type="expression" dxfId="9985" priority="3149">
      <formula>AV212="X"</formula>
    </cfRule>
    <cfRule type="expression" dxfId="9984" priority="3150">
      <formula>AV212="후보"</formula>
    </cfRule>
  </conditionalFormatting>
  <conditionalFormatting sqref="AC212">
    <cfRule type="cellIs" dxfId="9983" priority="3147" operator="greaterThan">
      <formula>0.9</formula>
    </cfRule>
    <cfRule type="cellIs" dxfId="9982" priority="3148" operator="greaterThan">
      <formula>0.85</formula>
    </cfRule>
  </conditionalFormatting>
  <conditionalFormatting sqref="N212">
    <cfRule type="cellIs" dxfId="9981" priority="3145" operator="greaterThan">
      <formula>0.9</formula>
    </cfRule>
    <cfRule type="cellIs" dxfId="9980" priority="3146" operator="greaterThan">
      <formula>0.85</formula>
    </cfRule>
  </conditionalFormatting>
  <conditionalFormatting sqref="E212">
    <cfRule type="expression" dxfId="9979" priority="3141">
      <formula>AND(IF(OR($Q212=1,$Q212=2),1,0),IF($X212&lt;=20,1,0))</formula>
    </cfRule>
    <cfRule type="expression" dxfId="9978" priority="3142">
      <formula>AND(IF($Q212=2,1,0),IF($X212&lt;30,1,0))</formula>
    </cfRule>
    <cfRule type="expression" dxfId="9977" priority="3143">
      <formula>AND(IF($Q212=3,1,0),IF($X212&lt;30,1,0))</formula>
    </cfRule>
    <cfRule type="expression" dxfId="9976" priority="3144">
      <formula>AND(IF($Q212=3,1,IF($Q212=4,1,0)),IF($F212&lt;=85,1,0))</formula>
    </cfRule>
  </conditionalFormatting>
  <conditionalFormatting sqref="X212">
    <cfRule type="expression" dxfId="9975" priority="3137">
      <formula>AND(IF(OR($Q212=1,$Q212=2),1,0),IF($X212&lt;=20,1,0))</formula>
    </cfRule>
    <cfRule type="expression" dxfId="9974" priority="3138">
      <formula>AND(IF($Q212=2,1,0),IF($X212&lt;30,1,0))</formula>
    </cfRule>
    <cfRule type="expression" dxfId="9973" priority="3139">
      <formula>AND(IF($Q212=3,1,0),IF($X212&lt;30,1,0))</formula>
    </cfRule>
    <cfRule type="expression" dxfId="9972" priority="3140">
      <formula>AND(IF($Q212=3,1,IF($Q212=4,1,0)),IF($F212&lt;=85,1,0))</formula>
    </cfRule>
  </conditionalFormatting>
  <conditionalFormatting sqref="AI212">
    <cfRule type="expression" dxfId="9971" priority="3133">
      <formula>AND(IF(OR($Q212=1,$Q212=2),1,0),IF($X212&lt;=20,1,0))</formula>
    </cfRule>
    <cfRule type="expression" dxfId="9970" priority="3134">
      <formula>AND(IF($Q212=2,1,0),IF($X212&lt;30,1,0))</formula>
    </cfRule>
    <cfRule type="expression" dxfId="9969" priority="3135">
      <formula>AND(IF($Q212=3,1,0),IF($X212&lt;30,1,0))</formula>
    </cfRule>
    <cfRule type="expression" dxfId="9968" priority="3136">
      <formula>AND(IF($Q212=3,1,IF($Q212=4,1,0)),IF($F212&lt;=85,1,0))</formula>
    </cfRule>
  </conditionalFormatting>
  <conditionalFormatting sqref="AV213">
    <cfRule type="expression" dxfId="9967" priority="3131">
      <formula>AV213="X"</formula>
    </cfRule>
    <cfRule type="expression" dxfId="9966" priority="3132">
      <formula>AV213="후보"</formula>
    </cfRule>
  </conditionalFormatting>
  <conditionalFormatting sqref="AC213">
    <cfRule type="cellIs" dxfId="9965" priority="3129" operator="greaterThan">
      <formula>0.9</formula>
    </cfRule>
    <cfRule type="cellIs" dxfId="9964" priority="3130" operator="greaterThan">
      <formula>0.85</formula>
    </cfRule>
  </conditionalFormatting>
  <conditionalFormatting sqref="N213">
    <cfRule type="cellIs" dxfId="9963" priority="3127" operator="greaterThan">
      <formula>0.9</formula>
    </cfRule>
    <cfRule type="cellIs" dxfId="9962" priority="3128" operator="greaterThan">
      <formula>0.85</formula>
    </cfRule>
  </conditionalFormatting>
  <conditionalFormatting sqref="E213">
    <cfRule type="expression" dxfId="9961" priority="3123">
      <formula>AND(IF(OR($Q213=1,$Q213=2),1,0),IF($X213&lt;=20,1,0))</formula>
    </cfRule>
    <cfRule type="expression" dxfId="9960" priority="3124">
      <formula>AND(IF($Q213=2,1,0),IF($X213&lt;30,1,0))</formula>
    </cfRule>
    <cfRule type="expression" dxfId="9959" priority="3125">
      <formula>AND(IF($Q213=3,1,0),IF($X213&lt;30,1,0))</formula>
    </cfRule>
    <cfRule type="expression" dxfId="9958" priority="3126">
      <formula>AND(IF($Q213=3,1,IF($Q213=4,1,0)),IF($F213&lt;=85,1,0))</formula>
    </cfRule>
  </conditionalFormatting>
  <conditionalFormatting sqref="X213">
    <cfRule type="expression" dxfId="9957" priority="3119">
      <formula>AND(IF(OR($Q213=1,$Q213=2),1,0),IF($X213&lt;=20,1,0))</formula>
    </cfRule>
    <cfRule type="expression" dxfId="9956" priority="3120">
      <formula>AND(IF($Q213=2,1,0),IF($X213&lt;30,1,0))</formula>
    </cfRule>
    <cfRule type="expression" dxfId="9955" priority="3121">
      <formula>AND(IF($Q213=3,1,0),IF($X213&lt;30,1,0))</formula>
    </cfRule>
    <cfRule type="expression" dxfId="9954" priority="3122">
      <formula>AND(IF($Q213=3,1,IF($Q213=4,1,0)),IF($F213&lt;=85,1,0))</formula>
    </cfRule>
  </conditionalFormatting>
  <conditionalFormatting sqref="AI213">
    <cfRule type="expression" dxfId="9953" priority="3115">
      <formula>AND(IF(OR($Q213=1,$Q213=2),1,0),IF($X213&lt;=20,1,0))</formula>
    </cfRule>
    <cfRule type="expression" dxfId="9952" priority="3116">
      <formula>AND(IF($Q213=2,1,0),IF($X213&lt;30,1,0))</formula>
    </cfRule>
    <cfRule type="expression" dxfId="9951" priority="3117">
      <formula>AND(IF($Q213=3,1,0),IF($X213&lt;30,1,0))</formula>
    </cfRule>
    <cfRule type="expression" dxfId="9950" priority="3118">
      <formula>AND(IF($Q213=3,1,IF($Q213=4,1,0)),IF($F213&lt;=85,1,0))</formula>
    </cfRule>
  </conditionalFormatting>
  <conditionalFormatting sqref="AV214">
    <cfRule type="expression" dxfId="9949" priority="3113">
      <formula>AV214="X"</formula>
    </cfRule>
    <cfRule type="expression" dxfId="9948" priority="3114">
      <formula>AV214="후보"</formula>
    </cfRule>
  </conditionalFormatting>
  <conditionalFormatting sqref="AC214">
    <cfRule type="cellIs" dxfId="9947" priority="3111" operator="greaterThan">
      <formula>0.9</formula>
    </cfRule>
    <cfRule type="cellIs" dxfId="9946" priority="3112" operator="greaterThan">
      <formula>0.85</formula>
    </cfRule>
  </conditionalFormatting>
  <conditionalFormatting sqref="N214">
    <cfRule type="cellIs" dxfId="9945" priority="3109" operator="greaterThan">
      <formula>0.9</formula>
    </cfRule>
    <cfRule type="cellIs" dxfId="9944" priority="3110" operator="greaterThan">
      <formula>0.85</formula>
    </cfRule>
  </conditionalFormatting>
  <conditionalFormatting sqref="E214">
    <cfRule type="expression" dxfId="9943" priority="3105">
      <formula>AND(IF(OR($Q214=1,$Q214=2),1,0),IF($X214&lt;=20,1,0))</formula>
    </cfRule>
    <cfRule type="expression" dxfId="9942" priority="3106">
      <formula>AND(IF($Q214=2,1,0),IF($X214&lt;30,1,0))</formula>
    </cfRule>
    <cfRule type="expression" dxfId="9941" priority="3107">
      <formula>AND(IF($Q214=3,1,0),IF($X214&lt;30,1,0))</formula>
    </cfRule>
    <cfRule type="expression" dxfId="9940" priority="3108">
      <formula>AND(IF($Q214=3,1,IF($Q214=4,1,0)),IF($F214&lt;=85,1,0))</formula>
    </cfRule>
  </conditionalFormatting>
  <conditionalFormatting sqref="X214">
    <cfRule type="expression" dxfId="9939" priority="3101">
      <formula>AND(IF(OR($Q214=1,$Q214=2),1,0),IF($X214&lt;=20,1,0))</formula>
    </cfRule>
    <cfRule type="expression" dxfId="9938" priority="3102">
      <formula>AND(IF($Q214=2,1,0),IF($X214&lt;30,1,0))</formula>
    </cfRule>
    <cfRule type="expression" dxfId="9937" priority="3103">
      <formula>AND(IF($Q214=3,1,0),IF($X214&lt;30,1,0))</formula>
    </cfRule>
    <cfRule type="expression" dxfId="9936" priority="3104">
      <formula>AND(IF($Q214=3,1,IF($Q214=4,1,0)),IF($F214&lt;=85,1,0))</formula>
    </cfRule>
  </conditionalFormatting>
  <conditionalFormatting sqref="AI214">
    <cfRule type="expression" dxfId="9935" priority="3097">
      <formula>AND(IF(OR($Q214=1,$Q214=2),1,0),IF($X214&lt;=20,1,0))</formula>
    </cfRule>
    <cfRule type="expression" dxfId="9934" priority="3098">
      <formula>AND(IF($Q214=2,1,0),IF($X214&lt;30,1,0))</formula>
    </cfRule>
    <cfRule type="expression" dxfId="9933" priority="3099">
      <formula>AND(IF($Q214=3,1,0),IF($X214&lt;30,1,0))</formula>
    </cfRule>
    <cfRule type="expression" dxfId="9932" priority="3100">
      <formula>AND(IF($Q214=3,1,IF($Q214=4,1,0)),IF($F214&lt;=85,1,0))</formula>
    </cfRule>
  </conditionalFormatting>
  <conditionalFormatting sqref="AV215">
    <cfRule type="expression" dxfId="9931" priority="3095">
      <formula>AV215="X"</formula>
    </cfRule>
    <cfRule type="expression" dxfId="9930" priority="3096">
      <formula>AV215="후보"</formula>
    </cfRule>
  </conditionalFormatting>
  <conditionalFormatting sqref="AC215">
    <cfRule type="cellIs" dxfId="9929" priority="3093" operator="greaterThan">
      <formula>0.9</formula>
    </cfRule>
    <cfRule type="cellIs" dxfId="9928" priority="3094" operator="greaterThan">
      <formula>0.85</formula>
    </cfRule>
  </conditionalFormatting>
  <conditionalFormatting sqref="N215">
    <cfRule type="cellIs" dxfId="9927" priority="3091" operator="greaterThan">
      <formula>0.9</formula>
    </cfRule>
    <cfRule type="cellIs" dxfId="9926" priority="3092" operator="greaterThan">
      <formula>0.85</formula>
    </cfRule>
  </conditionalFormatting>
  <conditionalFormatting sqref="E215">
    <cfRule type="expression" dxfId="9925" priority="3087">
      <formula>AND(IF(OR($Q215=1,$Q215=2),1,0),IF($X215&lt;=20,1,0))</formula>
    </cfRule>
    <cfRule type="expression" dxfId="9924" priority="3088">
      <formula>AND(IF($Q215=2,1,0),IF($X215&lt;30,1,0))</formula>
    </cfRule>
    <cfRule type="expression" dxfId="9923" priority="3089">
      <formula>AND(IF($Q215=3,1,0),IF($X215&lt;30,1,0))</formula>
    </cfRule>
    <cfRule type="expression" dxfId="9922" priority="3090">
      <formula>AND(IF($Q215=3,1,IF($Q215=4,1,0)),IF($F215&lt;=85,1,0))</formula>
    </cfRule>
  </conditionalFormatting>
  <conditionalFormatting sqref="X215">
    <cfRule type="expression" dxfId="9921" priority="3083">
      <formula>AND(IF(OR($Q215=1,$Q215=2),1,0),IF($X215&lt;=20,1,0))</formula>
    </cfRule>
    <cfRule type="expression" dxfId="9920" priority="3084">
      <formula>AND(IF($Q215=2,1,0),IF($X215&lt;30,1,0))</formula>
    </cfRule>
    <cfRule type="expression" dxfId="9919" priority="3085">
      <formula>AND(IF($Q215=3,1,0),IF($X215&lt;30,1,0))</formula>
    </cfRule>
    <cfRule type="expression" dxfId="9918" priority="3086">
      <formula>AND(IF($Q215=3,1,IF($Q215=4,1,0)),IF($F215&lt;=85,1,0))</formula>
    </cfRule>
  </conditionalFormatting>
  <conditionalFormatting sqref="AI215">
    <cfRule type="expression" dxfId="9917" priority="3079">
      <formula>AND(IF(OR($Q215=1,$Q215=2),1,0),IF($X215&lt;=20,1,0))</formula>
    </cfRule>
    <cfRule type="expression" dxfId="9916" priority="3080">
      <formula>AND(IF($Q215=2,1,0),IF($X215&lt;30,1,0))</formula>
    </cfRule>
    <cfRule type="expression" dxfId="9915" priority="3081">
      <formula>AND(IF($Q215=3,1,0),IF($X215&lt;30,1,0))</formula>
    </cfRule>
    <cfRule type="expression" dxfId="9914" priority="3082">
      <formula>AND(IF($Q215=3,1,IF($Q215=4,1,0)),IF($F215&lt;=85,1,0))</formula>
    </cfRule>
  </conditionalFormatting>
  <conditionalFormatting sqref="AV216">
    <cfRule type="expression" dxfId="9913" priority="3077">
      <formula>AV216="X"</formula>
    </cfRule>
    <cfRule type="expression" dxfId="9912" priority="3078">
      <formula>AV216="후보"</formula>
    </cfRule>
  </conditionalFormatting>
  <conditionalFormatting sqref="AC216">
    <cfRule type="cellIs" dxfId="9911" priority="3075" operator="greaterThan">
      <formula>0.9</formula>
    </cfRule>
    <cfRule type="cellIs" dxfId="9910" priority="3076" operator="greaterThan">
      <formula>0.85</formula>
    </cfRule>
  </conditionalFormatting>
  <conditionalFormatting sqref="N216">
    <cfRule type="cellIs" dxfId="9909" priority="3073" operator="greaterThan">
      <formula>0.9</formula>
    </cfRule>
    <cfRule type="cellIs" dxfId="9908" priority="3074" operator="greaterThan">
      <formula>0.85</formula>
    </cfRule>
  </conditionalFormatting>
  <conditionalFormatting sqref="E216">
    <cfRule type="expression" dxfId="9907" priority="3069">
      <formula>AND(IF(OR($Q216=1,$Q216=2),1,0),IF($X216&lt;=20,1,0))</formula>
    </cfRule>
    <cfRule type="expression" dxfId="9906" priority="3070">
      <formula>AND(IF($Q216=2,1,0),IF($X216&lt;30,1,0))</formula>
    </cfRule>
    <cfRule type="expression" dxfId="9905" priority="3071">
      <formula>AND(IF($Q216=3,1,0),IF($X216&lt;30,1,0))</formula>
    </cfRule>
    <cfRule type="expression" dxfId="9904" priority="3072">
      <formula>AND(IF($Q216=3,1,IF($Q216=4,1,0)),IF($F216&lt;=85,1,0))</formula>
    </cfRule>
  </conditionalFormatting>
  <conditionalFormatting sqref="X216">
    <cfRule type="expression" dxfId="9903" priority="3065">
      <formula>AND(IF(OR($Q216=1,$Q216=2),1,0),IF($X216&lt;=20,1,0))</formula>
    </cfRule>
    <cfRule type="expression" dxfId="9902" priority="3066">
      <formula>AND(IF($Q216=2,1,0),IF($X216&lt;30,1,0))</formula>
    </cfRule>
    <cfRule type="expression" dxfId="9901" priority="3067">
      <formula>AND(IF($Q216=3,1,0),IF($X216&lt;30,1,0))</formula>
    </cfRule>
    <cfRule type="expression" dxfId="9900" priority="3068">
      <formula>AND(IF($Q216=3,1,IF($Q216=4,1,0)),IF($F216&lt;=85,1,0))</formula>
    </cfRule>
  </conditionalFormatting>
  <conditionalFormatting sqref="AI216">
    <cfRule type="expression" dxfId="9899" priority="3061">
      <formula>AND(IF(OR($Q216=1,$Q216=2),1,0),IF($X216&lt;=20,1,0))</formula>
    </cfRule>
    <cfRule type="expression" dxfId="9898" priority="3062">
      <formula>AND(IF($Q216=2,1,0),IF($X216&lt;30,1,0))</formula>
    </cfRule>
    <cfRule type="expression" dxfId="9897" priority="3063">
      <formula>AND(IF($Q216=3,1,0),IF($X216&lt;30,1,0))</formula>
    </cfRule>
    <cfRule type="expression" dxfId="9896" priority="3064">
      <formula>AND(IF($Q216=3,1,IF($Q216=4,1,0)),IF($F216&lt;=85,1,0))</formula>
    </cfRule>
  </conditionalFormatting>
  <conditionalFormatting sqref="AV217">
    <cfRule type="expression" dxfId="9895" priority="3059">
      <formula>AV217="X"</formula>
    </cfRule>
    <cfRule type="expression" dxfId="9894" priority="3060">
      <formula>AV217="후보"</formula>
    </cfRule>
  </conditionalFormatting>
  <conditionalFormatting sqref="AC217">
    <cfRule type="cellIs" dxfId="9893" priority="3057" operator="greaterThan">
      <formula>0.9</formula>
    </cfRule>
    <cfRule type="cellIs" dxfId="9892" priority="3058" operator="greaterThan">
      <formula>0.85</formula>
    </cfRule>
  </conditionalFormatting>
  <conditionalFormatting sqref="N217">
    <cfRule type="cellIs" dxfId="9891" priority="3055" operator="greaterThan">
      <formula>0.9</formula>
    </cfRule>
    <cfRule type="cellIs" dxfId="9890" priority="3056" operator="greaterThan">
      <formula>0.85</formula>
    </cfRule>
  </conditionalFormatting>
  <conditionalFormatting sqref="E217">
    <cfRule type="expression" dxfId="9889" priority="3051">
      <formula>AND(IF(OR($Q217=1,$Q217=2),1,0),IF($X217&lt;=20,1,0))</formula>
    </cfRule>
    <cfRule type="expression" dxfId="9888" priority="3052">
      <formula>AND(IF($Q217=2,1,0),IF($X217&lt;30,1,0))</formula>
    </cfRule>
    <cfRule type="expression" dxfId="9887" priority="3053">
      <formula>AND(IF($Q217=3,1,0),IF($X217&lt;30,1,0))</formula>
    </cfRule>
    <cfRule type="expression" dxfId="9886" priority="3054">
      <formula>AND(IF($Q217=3,1,IF($Q217=4,1,0)),IF($F217&lt;=85,1,0))</formula>
    </cfRule>
  </conditionalFormatting>
  <conditionalFormatting sqref="X217">
    <cfRule type="expression" dxfId="9885" priority="3047">
      <formula>AND(IF(OR($Q217=1,$Q217=2),1,0),IF($X217&lt;=20,1,0))</formula>
    </cfRule>
    <cfRule type="expression" dxfId="9884" priority="3048">
      <formula>AND(IF($Q217=2,1,0),IF($X217&lt;30,1,0))</formula>
    </cfRule>
    <cfRule type="expression" dxfId="9883" priority="3049">
      <formula>AND(IF($Q217=3,1,0),IF($X217&lt;30,1,0))</formula>
    </cfRule>
    <cfRule type="expression" dxfId="9882" priority="3050">
      <formula>AND(IF($Q217=3,1,IF($Q217=4,1,0)),IF($F217&lt;=85,1,0))</formula>
    </cfRule>
  </conditionalFormatting>
  <conditionalFormatting sqref="AI217">
    <cfRule type="expression" dxfId="9881" priority="3043">
      <formula>AND(IF(OR($Q217=1,$Q217=2),1,0),IF($X217&lt;=20,1,0))</formula>
    </cfRule>
    <cfRule type="expression" dxfId="9880" priority="3044">
      <formula>AND(IF($Q217=2,1,0),IF($X217&lt;30,1,0))</formula>
    </cfRule>
    <cfRule type="expression" dxfId="9879" priority="3045">
      <formula>AND(IF($Q217=3,1,0),IF($X217&lt;30,1,0))</formula>
    </cfRule>
    <cfRule type="expression" dxfId="9878" priority="3046">
      <formula>AND(IF($Q217=3,1,IF($Q217=4,1,0)),IF($F217&lt;=85,1,0))</formula>
    </cfRule>
  </conditionalFormatting>
  <conditionalFormatting sqref="AV218">
    <cfRule type="expression" dxfId="9877" priority="3041">
      <formula>AV218="X"</formula>
    </cfRule>
    <cfRule type="expression" dxfId="9876" priority="3042">
      <formula>AV218="후보"</formula>
    </cfRule>
  </conditionalFormatting>
  <conditionalFormatting sqref="AC218">
    <cfRule type="cellIs" dxfId="9875" priority="3039" operator="greaterThan">
      <formula>0.9</formula>
    </cfRule>
    <cfRule type="cellIs" dxfId="9874" priority="3040" operator="greaterThan">
      <formula>0.85</formula>
    </cfRule>
  </conditionalFormatting>
  <conditionalFormatting sqref="N218">
    <cfRule type="cellIs" dxfId="9873" priority="3037" operator="greaterThan">
      <formula>0.9</formula>
    </cfRule>
    <cfRule type="cellIs" dxfId="9872" priority="3038" operator="greaterThan">
      <formula>0.85</formula>
    </cfRule>
  </conditionalFormatting>
  <conditionalFormatting sqref="E218">
    <cfRule type="expression" dxfId="9871" priority="3033">
      <formula>AND(IF(OR($Q218=1,$Q218=2),1,0),IF($X218&lt;=20,1,0))</formula>
    </cfRule>
    <cfRule type="expression" dxfId="9870" priority="3034">
      <formula>AND(IF($Q218=2,1,0),IF($X218&lt;30,1,0))</formula>
    </cfRule>
    <cfRule type="expression" dxfId="9869" priority="3035">
      <formula>AND(IF($Q218=3,1,0),IF($X218&lt;30,1,0))</formula>
    </cfRule>
    <cfRule type="expression" dxfId="9868" priority="3036">
      <formula>AND(IF($Q218=3,1,IF($Q218=4,1,0)),IF($F218&lt;=85,1,0))</formula>
    </cfRule>
  </conditionalFormatting>
  <conditionalFormatting sqref="X218">
    <cfRule type="expression" dxfId="9867" priority="3029">
      <formula>AND(IF(OR($Q218=1,$Q218=2),1,0),IF($X218&lt;=20,1,0))</formula>
    </cfRule>
    <cfRule type="expression" dxfId="9866" priority="3030">
      <formula>AND(IF($Q218=2,1,0),IF($X218&lt;30,1,0))</formula>
    </cfRule>
    <cfRule type="expression" dxfId="9865" priority="3031">
      <formula>AND(IF($Q218=3,1,0),IF($X218&lt;30,1,0))</formula>
    </cfRule>
    <cfRule type="expression" dxfId="9864" priority="3032">
      <formula>AND(IF($Q218=3,1,IF($Q218=4,1,0)),IF($F218&lt;=85,1,0))</formula>
    </cfRule>
  </conditionalFormatting>
  <conditionalFormatting sqref="AI218">
    <cfRule type="expression" dxfId="9863" priority="3025">
      <formula>AND(IF(OR($Q218=1,$Q218=2),1,0),IF($X218&lt;=20,1,0))</formula>
    </cfRule>
    <cfRule type="expression" dxfId="9862" priority="3026">
      <formula>AND(IF($Q218=2,1,0),IF($X218&lt;30,1,0))</formula>
    </cfRule>
    <cfRule type="expression" dxfId="9861" priority="3027">
      <formula>AND(IF($Q218=3,1,0),IF($X218&lt;30,1,0))</formula>
    </cfRule>
    <cfRule type="expression" dxfId="9860" priority="3028">
      <formula>AND(IF($Q218=3,1,IF($Q218=4,1,0)),IF($F218&lt;=85,1,0))</formula>
    </cfRule>
  </conditionalFormatting>
  <conditionalFormatting sqref="AV219">
    <cfRule type="expression" dxfId="9859" priority="3023">
      <formula>AV219="X"</formula>
    </cfRule>
    <cfRule type="expression" dxfId="9858" priority="3024">
      <formula>AV219="후보"</formula>
    </cfRule>
  </conditionalFormatting>
  <conditionalFormatting sqref="AC219">
    <cfRule type="cellIs" dxfId="9857" priority="3021" operator="greaterThan">
      <formula>0.9</formula>
    </cfRule>
    <cfRule type="cellIs" dxfId="9856" priority="3022" operator="greaterThan">
      <formula>0.85</formula>
    </cfRule>
  </conditionalFormatting>
  <conditionalFormatting sqref="N219">
    <cfRule type="cellIs" dxfId="9855" priority="3019" operator="greaterThan">
      <formula>0.9</formula>
    </cfRule>
    <cfRule type="cellIs" dxfId="9854" priority="3020" operator="greaterThan">
      <formula>0.85</formula>
    </cfRule>
  </conditionalFormatting>
  <conditionalFormatting sqref="E219">
    <cfRule type="expression" dxfId="9853" priority="3015">
      <formula>AND(IF(OR($Q219=1,$Q219=2),1,0),IF($X219&lt;=20,1,0))</formula>
    </cfRule>
    <cfRule type="expression" dxfId="9852" priority="3016">
      <formula>AND(IF($Q219=2,1,0),IF($X219&lt;30,1,0))</formula>
    </cfRule>
    <cfRule type="expression" dxfId="9851" priority="3017">
      <formula>AND(IF($Q219=3,1,0),IF($X219&lt;30,1,0))</formula>
    </cfRule>
    <cfRule type="expression" dxfId="9850" priority="3018">
      <formula>AND(IF($Q219=3,1,IF($Q219=4,1,0)),IF($F219&lt;=85,1,0))</formula>
    </cfRule>
  </conditionalFormatting>
  <conditionalFormatting sqref="X219">
    <cfRule type="expression" dxfId="9849" priority="3011">
      <formula>AND(IF(OR($Q219=1,$Q219=2),1,0),IF($X219&lt;=20,1,0))</formula>
    </cfRule>
    <cfRule type="expression" dxfId="9848" priority="3012">
      <formula>AND(IF($Q219=2,1,0),IF($X219&lt;30,1,0))</formula>
    </cfRule>
    <cfRule type="expression" dxfId="9847" priority="3013">
      <formula>AND(IF($Q219=3,1,0),IF($X219&lt;30,1,0))</formula>
    </cfRule>
    <cfRule type="expression" dxfId="9846" priority="3014">
      <formula>AND(IF($Q219=3,1,IF($Q219=4,1,0)),IF($F219&lt;=85,1,0))</formula>
    </cfRule>
  </conditionalFormatting>
  <conditionalFormatting sqref="AI219">
    <cfRule type="expression" dxfId="9845" priority="3007">
      <formula>AND(IF(OR($Q219=1,$Q219=2),1,0),IF($X219&lt;=20,1,0))</formula>
    </cfRule>
    <cfRule type="expression" dxfId="9844" priority="3008">
      <formula>AND(IF($Q219=2,1,0),IF($X219&lt;30,1,0))</formula>
    </cfRule>
    <cfRule type="expression" dxfId="9843" priority="3009">
      <formula>AND(IF($Q219=3,1,0),IF($X219&lt;30,1,0))</formula>
    </cfRule>
    <cfRule type="expression" dxfId="9842" priority="3010">
      <formula>AND(IF($Q219=3,1,IF($Q219=4,1,0)),IF($F219&lt;=85,1,0))</formula>
    </cfRule>
  </conditionalFormatting>
  <conditionalFormatting sqref="AV220">
    <cfRule type="expression" dxfId="9841" priority="3005">
      <formula>AV220="X"</formula>
    </cfRule>
    <cfRule type="expression" dxfId="9840" priority="3006">
      <formula>AV220="후보"</formula>
    </cfRule>
  </conditionalFormatting>
  <conditionalFormatting sqref="AC220">
    <cfRule type="cellIs" dxfId="9839" priority="3003" operator="greaterThan">
      <formula>0.9</formula>
    </cfRule>
    <cfRule type="cellIs" dxfId="9838" priority="3004" operator="greaterThan">
      <formula>0.85</formula>
    </cfRule>
  </conditionalFormatting>
  <conditionalFormatting sqref="N220">
    <cfRule type="cellIs" dxfId="9837" priority="3001" operator="greaterThan">
      <formula>0.9</formula>
    </cfRule>
    <cfRule type="cellIs" dxfId="9836" priority="3002" operator="greaterThan">
      <formula>0.85</formula>
    </cfRule>
  </conditionalFormatting>
  <conditionalFormatting sqref="E220">
    <cfRule type="expression" dxfId="9835" priority="2997">
      <formula>AND(IF(OR($Q220=1,$Q220=2),1,0),IF($X220&lt;=20,1,0))</formula>
    </cfRule>
    <cfRule type="expression" dxfId="9834" priority="2998">
      <formula>AND(IF($Q220=2,1,0),IF($X220&lt;30,1,0))</formula>
    </cfRule>
    <cfRule type="expression" dxfId="9833" priority="2999">
      <formula>AND(IF($Q220=3,1,0),IF($X220&lt;30,1,0))</formula>
    </cfRule>
    <cfRule type="expression" dxfId="9832" priority="3000">
      <formula>AND(IF($Q220=3,1,IF($Q220=4,1,0)),IF($F220&lt;=85,1,0))</formula>
    </cfRule>
  </conditionalFormatting>
  <conditionalFormatting sqref="X220">
    <cfRule type="expression" dxfId="9831" priority="2993">
      <formula>AND(IF(OR($Q220=1,$Q220=2),1,0),IF($X220&lt;=20,1,0))</formula>
    </cfRule>
    <cfRule type="expression" dxfId="9830" priority="2994">
      <formula>AND(IF($Q220=2,1,0),IF($X220&lt;30,1,0))</formula>
    </cfRule>
    <cfRule type="expression" dxfId="9829" priority="2995">
      <formula>AND(IF($Q220=3,1,0),IF($X220&lt;30,1,0))</formula>
    </cfRule>
    <cfRule type="expression" dxfId="9828" priority="2996">
      <formula>AND(IF($Q220=3,1,IF($Q220=4,1,0)),IF($F220&lt;=85,1,0))</formula>
    </cfRule>
  </conditionalFormatting>
  <conditionalFormatting sqref="AI220">
    <cfRule type="expression" dxfId="9827" priority="2989">
      <formula>AND(IF(OR($Q220=1,$Q220=2),1,0),IF($X220&lt;=20,1,0))</formula>
    </cfRule>
    <cfRule type="expression" dxfId="9826" priority="2990">
      <formula>AND(IF($Q220=2,1,0),IF($X220&lt;30,1,0))</formula>
    </cfRule>
    <cfRule type="expression" dxfId="9825" priority="2991">
      <formula>AND(IF($Q220=3,1,0),IF($X220&lt;30,1,0))</formula>
    </cfRule>
    <cfRule type="expression" dxfId="9824" priority="2992">
      <formula>AND(IF($Q220=3,1,IF($Q220=4,1,0)),IF($F220&lt;=85,1,0))</formula>
    </cfRule>
  </conditionalFormatting>
  <conditionalFormatting sqref="AV221">
    <cfRule type="expression" dxfId="9823" priority="2987">
      <formula>AV221="X"</formula>
    </cfRule>
    <cfRule type="expression" dxfId="9822" priority="2988">
      <formula>AV221="후보"</formula>
    </cfRule>
  </conditionalFormatting>
  <conditionalFormatting sqref="AC221">
    <cfRule type="cellIs" dxfId="9821" priority="2985" operator="greaterThan">
      <formula>0.9</formula>
    </cfRule>
    <cfRule type="cellIs" dxfId="9820" priority="2986" operator="greaterThan">
      <formula>0.85</formula>
    </cfRule>
  </conditionalFormatting>
  <conditionalFormatting sqref="N221">
    <cfRule type="cellIs" dxfId="9819" priority="2983" operator="greaterThan">
      <formula>0.9</formula>
    </cfRule>
    <cfRule type="cellIs" dxfId="9818" priority="2984" operator="greaterThan">
      <formula>0.85</formula>
    </cfRule>
  </conditionalFormatting>
  <conditionalFormatting sqref="E221">
    <cfRule type="expression" dxfId="9817" priority="2979">
      <formula>AND(IF(OR($Q221=1,$Q221=2),1,0),IF($X221&lt;=20,1,0))</formula>
    </cfRule>
    <cfRule type="expression" dxfId="9816" priority="2980">
      <formula>AND(IF($Q221=2,1,0),IF($X221&lt;30,1,0))</formula>
    </cfRule>
    <cfRule type="expression" dxfId="9815" priority="2981">
      <formula>AND(IF($Q221=3,1,0),IF($X221&lt;30,1,0))</formula>
    </cfRule>
    <cfRule type="expression" dxfId="9814" priority="2982">
      <formula>AND(IF($Q221=3,1,IF($Q221=4,1,0)),IF($F221&lt;=85,1,0))</formula>
    </cfRule>
  </conditionalFormatting>
  <conditionalFormatting sqref="X221">
    <cfRule type="expression" dxfId="9813" priority="2975">
      <formula>AND(IF(OR($Q221=1,$Q221=2),1,0),IF($X221&lt;=20,1,0))</formula>
    </cfRule>
    <cfRule type="expression" dxfId="9812" priority="2976">
      <formula>AND(IF($Q221=2,1,0),IF($X221&lt;30,1,0))</formula>
    </cfRule>
    <cfRule type="expression" dxfId="9811" priority="2977">
      <formula>AND(IF($Q221=3,1,0),IF($X221&lt;30,1,0))</formula>
    </cfRule>
    <cfRule type="expression" dxfId="9810" priority="2978">
      <formula>AND(IF($Q221=3,1,IF($Q221=4,1,0)),IF($F221&lt;=85,1,0))</formula>
    </cfRule>
  </conditionalFormatting>
  <conditionalFormatting sqref="AI221">
    <cfRule type="expression" dxfId="9809" priority="2971">
      <formula>AND(IF(OR($Q221=1,$Q221=2),1,0),IF($X221&lt;=20,1,0))</formula>
    </cfRule>
    <cfRule type="expression" dxfId="9808" priority="2972">
      <formula>AND(IF($Q221=2,1,0),IF($X221&lt;30,1,0))</formula>
    </cfRule>
    <cfRule type="expression" dxfId="9807" priority="2973">
      <formula>AND(IF($Q221=3,1,0),IF($X221&lt;30,1,0))</formula>
    </cfRule>
    <cfRule type="expression" dxfId="9806" priority="2974">
      <formula>AND(IF($Q221=3,1,IF($Q221=4,1,0)),IF($F221&lt;=85,1,0))</formula>
    </cfRule>
  </conditionalFormatting>
  <conditionalFormatting sqref="AV222">
    <cfRule type="expression" dxfId="9805" priority="2969">
      <formula>AV222="X"</formula>
    </cfRule>
    <cfRule type="expression" dxfId="9804" priority="2970">
      <formula>AV222="후보"</formula>
    </cfRule>
  </conditionalFormatting>
  <conditionalFormatting sqref="AC222">
    <cfRule type="cellIs" dxfId="9803" priority="2967" operator="greaterThan">
      <formula>0.9</formula>
    </cfRule>
    <cfRule type="cellIs" dxfId="9802" priority="2968" operator="greaterThan">
      <formula>0.85</formula>
    </cfRule>
  </conditionalFormatting>
  <conditionalFormatting sqref="N222">
    <cfRule type="cellIs" dxfId="9801" priority="2965" operator="greaterThan">
      <formula>0.9</formula>
    </cfRule>
    <cfRule type="cellIs" dxfId="9800" priority="2966" operator="greaterThan">
      <formula>0.85</formula>
    </cfRule>
  </conditionalFormatting>
  <conditionalFormatting sqref="E222">
    <cfRule type="expression" dxfId="9799" priority="2961">
      <formula>AND(IF(OR($Q222=1,$Q222=2),1,0),IF($X222&lt;=20,1,0))</formula>
    </cfRule>
    <cfRule type="expression" dxfId="9798" priority="2962">
      <formula>AND(IF($Q222=2,1,0),IF($X222&lt;30,1,0))</formula>
    </cfRule>
    <cfRule type="expression" dxfId="9797" priority="2963">
      <formula>AND(IF($Q222=3,1,0),IF($X222&lt;30,1,0))</formula>
    </cfRule>
    <cfRule type="expression" dxfId="9796" priority="2964">
      <formula>AND(IF($Q222=3,1,IF($Q222=4,1,0)),IF($F222&lt;=85,1,0))</formula>
    </cfRule>
  </conditionalFormatting>
  <conditionalFormatting sqref="X222">
    <cfRule type="expression" dxfId="9795" priority="2957">
      <formula>AND(IF(OR($Q222=1,$Q222=2),1,0),IF($X222&lt;=20,1,0))</formula>
    </cfRule>
    <cfRule type="expression" dxfId="9794" priority="2958">
      <formula>AND(IF($Q222=2,1,0),IF($X222&lt;30,1,0))</formula>
    </cfRule>
    <cfRule type="expression" dxfId="9793" priority="2959">
      <formula>AND(IF($Q222=3,1,0),IF($X222&lt;30,1,0))</formula>
    </cfRule>
    <cfRule type="expression" dxfId="9792" priority="2960">
      <formula>AND(IF($Q222=3,1,IF($Q222=4,1,0)),IF($F222&lt;=85,1,0))</formula>
    </cfRule>
  </conditionalFormatting>
  <conditionalFormatting sqref="AI222">
    <cfRule type="expression" dxfId="9791" priority="2953">
      <formula>AND(IF(OR($Q222=1,$Q222=2),1,0),IF($X222&lt;=20,1,0))</formula>
    </cfRule>
    <cfRule type="expression" dxfId="9790" priority="2954">
      <formula>AND(IF($Q222=2,1,0),IF($X222&lt;30,1,0))</formula>
    </cfRule>
    <cfRule type="expression" dxfId="9789" priority="2955">
      <formula>AND(IF($Q222=3,1,0),IF($X222&lt;30,1,0))</formula>
    </cfRule>
    <cfRule type="expression" dxfId="9788" priority="2956">
      <formula>AND(IF($Q222=3,1,IF($Q222=4,1,0)),IF($F222&lt;=85,1,0))</formula>
    </cfRule>
  </conditionalFormatting>
  <conditionalFormatting sqref="AV223">
    <cfRule type="expression" dxfId="9787" priority="2951">
      <formula>AV223="X"</formula>
    </cfRule>
    <cfRule type="expression" dxfId="9786" priority="2952">
      <formula>AV223="후보"</formula>
    </cfRule>
  </conditionalFormatting>
  <conditionalFormatting sqref="AC223">
    <cfRule type="cellIs" dxfId="9785" priority="2949" operator="greaterThan">
      <formula>0.9</formula>
    </cfRule>
    <cfRule type="cellIs" dxfId="9784" priority="2950" operator="greaterThan">
      <formula>0.85</formula>
    </cfRule>
  </conditionalFormatting>
  <conditionalFormatting sqref="N223">
    <cfRule type="cellIs" dxfId="9783" priority="2947" operator="greaterThan">
      <formula>0.9</formula>
    </cfRule>
    <cfRule type="cellIs" dxfId="9782" priority="2948" operator="greaterThan">
      <formula>0.85</formula>
    </cfRule>
  </conditionalFormatting>
  <conditionalFormatting sqref="E223">
    <cfRule type="expression" dxfId="9781" priority="2943">
      <formula>AND(IF(OR($Q223=1,$Q223=2),1,0),IF($X223&lt;=20,1,0))</formula>
    </cfRule>
    <cfRule type="expression" dxfId="9780" priority="2944">
      <formula>AND(IF($Q223=2,1,0),IF($X223&lt;30,1,0))</formula>
    </cfRule>
    <cfRule type="expression" dxfId="9779" priority="2945">
      <formula>AND(IF($Q223=3,1,0),IF($X223&lt;30,1,0))</formula>
    </cfRule>
    <cfRule type="expression" dxfId="9778" priority="2946">
      <formula>AND(IF($Q223=3,1,IF($Q223=4,1,0)),IF($F223&lt;=85,1,0))</formula>
    </cfRule>
  </conditionalFormatting>
  <conditionalFormatting sqref="X223">
    <cfRule type="expression" dxfId="9777" priority="2939">
      <formula>AND(IF(OR($Q223=1,$Q223=2),1,0),IF($X223&lt;=20,1,0))</formula>
    </cfRule>
    <cfRule type="expression" dxfId="9776" priority="2940">
      <formula>AND(IF($Q223=2,1,0),IF($X223&lt;30,1,0))</formula>
    </cfRule>
    <cfRule type="expression" dxfId="9775" priority="2941">
      <formula>AND(IF($Q223=3,1,0),IF($X223&lt;30,1,0))</formula>
    </cfRule>
    <cfRule type="expression" dxfId="9774" priority="2942">
      <formula>AND(IF($Q223=3,1,IF($Q223=4,1,0)),IF($F223&lt;=85,1,0))</formula>
    </cfRule>
  </conditionalFormatting>
  <conditionalFormatting sqref="AI223">
    <cfRule type="expression" dxfId="9773" priority="2935">
      <formula>AND(IF(OR($Q223=1,$Q223=2),1,0),IF($X223&lt;=20,1,0))</formula>
    </cfRule>
    <cfRule type="expression" dxfId="9772" priority="2936">
      <formula>AND(IF($Q223=2,1,0),IF($X223&lt;30,1,0))</formula>
    </cfRule>
    <cfRule type="expression" dxfId="9771" priority="2937">
      <formula>AND(IF($Q223=3,1,0),IF($X223&lt;30,1,0))</formula>
    </cfRule>
    <cfRule type="expression" dxfId="9770" priority="2938">
      <formula>AND(IF($Q223=3,1,IF($Q223=4,1,0)),IF($F223&lt;=85,1,0))</formula>
    </cfRule>
  </conditionalFormatting>
  <conditionalFormatting sqref="AV224">
    <cfRule type="expression" dxfId="9769" priority="2933">
      <formula>AV224="X"</formula>
    </cfRule>
    <cfRule type="expression" dxfId="9768" priority="2934">
      <formula>AV224="후보"</formula>
    </cfRule>
  </conditionalFormatting>
  <conditionalFormatting sqref="AC224">
    <cfRule type="cellIs" dxfId="9767" priority="2931" operator="greaterThan">
      <formula>0.9</formula>
    </cfRule>
    <cfRule type="cellIs" dxfId="9766" priority="2932" operator="greaterThan">
      <formula>0.85</formula>
    </cfRule>
  </conditionalFormatting>
  <conditionalFormatting sqref="N224">
    <cfRule type="cellIs" dxfId="9765" priority="2929" operator="greaterThan">
      <formula>0.9</formula>
    </cfRule>
    <cfRule type="cellIs" dxfId="9764" priority="2930" operator="greaterThan">
      <formula>0.85</formula>
    </cfRule>
  </conditionalFormatting>
  <conditionalFormatting sqref="E224">
    <cfRule type="expression" dxfId="9763" priority="2925">
      <formula>AND(IF(OR($Q224=1,$Q224=2),1,0),IF($X224&lt;=20,1,0))</formula>
    </cfRule>
    <cfRule type="expression" dxfId="9762" priority="2926">
      <formula>AND(IF($Q224=2,1,0),IF($X224&lt;30,1,0))</formula>
    </cfRule>
    <cfRule type="expression" dxfId="9761" priority="2927">
      <formula>AND(IF($Q224=3,1,0),IF($X224&lt;30,1,0))</formula>
    </cfRule>
    <cfRule type="expression" dxfId="9760" priority="2928">
      <formula>AND(IF($Q224=3,1,IF($Q224=4,1,0)),IF($F224&lt;=85,1,0))</formula>
    </cfRule>
  </conditionalFormatting>
  <conditionalFormatting sqref="X224">
    <cfRule type="expression" dxfId="9759" priority="2921">
      <formula>AND(IF(OR($Q224=1,$Q224=2),1,0),IF($X224&lt;=20,1,0))</formula>
    </cfRule>
    <cfRule type="expression" dxfId="9758" priority="2922">
      <formula>AND(IF($Q224=2,1,0),IF($X224&lt;30,1,0))</formula>
    </cfRule>
    <cfRule type="expression" dxfId="9757" priority="2923">
      <formula>AND(IF($Q224=3,1,0),IF($X224&lt;30,1,0))</formula>
    </cfRule>
    <cfRule type="expression" dxfId="9756" priority="2924">
      <formula>AND(IF($Q224=3,1,IF($Q224=4,1,0)),IF($F224&lt;=85,1,0))</formula>
    </cfRule>
  </conditionalFormatting>
  <conditionalFormatting sqref="AI224">
    <cfRule type="expression" dxfId="9755" priority="2917">
      <formula>AND(IF(OR($Q224=1,$Q224=2),1,0),IF($X224&lt;=20,1,0))</formula>
    </cfRule>
    <cfRule type="expression" dxfId="9754" priority="2918">
      <formula>AND(IF($Q224=2,1,0),IF($X224&lt;30,1,0))</formula>
    </cfRule>
    <cfRule type="expression" dxfId="9753" priority="2919">
      <formula>AND(IF($Q224=3,1,0),IF($X224&lt;30,1,0))</formula>
    </cfRule>
    <cfRule type="expression" dxfId="9752" priority="2920">
      <formula>AND(IF($Q224=3,1,IF($Q224=4,1,0)),IF($F224&lt;=85,1,0))</formula>
    </cfRule>
  </conditionalFormatting>
  <conditionalFormatting sqref="AV225">
    <cfRule type="expression" dxfId="9751" priority="2915">
      <formula>AV225="X"</formula>
    </cfRule>
    <cfRule type="expression" dxfId="9750" priority="2916">
      <formula>AV225="후보"</formula>
    </cfRule>
  </conditionalFormatting>
  <conditionalFormatting sqref="AC225">
    <cfRule type="cellIs" dxfId="9749" priority="2913" operator="greaterThan">
      <formula>0.9</formula>
    </cfRule>
    <cfRule type="cellIs" dxfId="9748" priority="2914" operator="greaterThan">
      <formula>0.85</formula>
    </cfRule>
  </conditionalFormatting>
  <conditionalFormatting sqref="N225">
    <cfRule type="cellIs" dxfId="9747" priority="2911" operator="greaterThan">
      <formula>0.9</formula>
    </cfRule>
    <cfRule type="cellIs" dxfId="9746" priority="2912" operator="greaterThan">
      <formula>0.85</formula>
    </cfRule>
  </conditionalFormatting>
  <conditionalFormatting sqref="E225">
    <cfRule type="expression" dxfId="9745" priority="2907">
      <formula>AND(IF(OR($Q225=1,$Q225=2),1,0),IF($X225&lt;=20,1,0))</formula>
    </cfRule>
    <cfRule type="expression" dxfId="9744" priority="2908">
      <formula>AND(IF($Q225=2,1,0),IF($X225&lt;30,1,0))</formula>
    </cfRule>
    <cfRule type="expression" dxfId="9743" priority="2909">
      <formula>AND(IF($Q225=3,1,0),IF($X225&lt;30,1,0))</formula>
    </cfRule>
    <cfRule type="expression" dxfId="9742" priority="2910">
      <formula>AND(IF($Q225=3,1,IF($Q225=4,1,0)),IF($F225&lt;=85,1,0))</formula>
    </cfRule>
  </conditionalFormatting>
  <conditionalFormatting sqref="X225">
    <cfRule type="expression" dxfId="9741" priority="2903">
      <formula>AND(IF(OR($Q225=1,$Q225=2),1,0),IF($X225&lt;=20,1,0))</formula>
    </cfRule>
    <cfRule type="expression" dxfId="9740" priority="2904">
      <formula>AND(IF($Q225=2,1,0),IF($X225&lt;30,1,0))</formula>
    </cfRule>
    <cfRule type="expression" dxfId="9739" priority="2905">
      <formula>AND(IF($Q225=3,1,0),IF($X225&lt;30,1,0))</formula>
    </cfRule>
    <cfRule type="expression" dxfId="9738" priority="2906">
      <formula>AND(IF($Q225=3,1,IF($Q225=4,1,0)),IF($F225&lt;=85,1,0))</formula>
    </cfRule>
  </conditionalFormatting>
  <conditionalFormatting sqref="AI225">
    <cfRule type="expression" dxfId="9737" priority="2899">
      <formula>AND(IF(OR($Q225=1,$Q225=2),1,0),IF($X225&lt;=20,1,0))</formula>
    </cfRule>
    <cfRule type="expression" dxfId="9736" priority="2900">
      <formula>AND(IF($Q225=2,1,0),IF($X225&lt;30,1,0))</formula>
    </cfRule>
    <cfRule type="expression" dxfId="9735" priority="2901">
      <formula>AND(IF($Q225=3,1,0),IF($X225&lt;30,1,0))</formula>
    </cfRule>
    <cfRule type="expression" dxfId="9734" priority="2902">
      <formula>AND(IF($Q225=3,1,IF($Q225=4,1,0)),IF($F225&lt;=85,1,0))</formula>
    </cfRule>
  </conditionalFormatting>
  <conditionalFormatting sqref="AV226">
    <cfRule type="expression" dxfId="9733" priority="2897">
      <formula>AV226="X"</formula>
    </cfRule>
    <cfRule type="expression" dxfId="9732" priority="2898">
      <formula>AV226="후보"</formula>
    </cfRule>
  </conditionalFormatting>
  <conditionalFormatting sqref="AC226">
    <cfRule type="cellIs" dxfId="9731" priority="2895" operator="greaterThan">
      <formula>0.9</formula>
    </cfRule>
    <cfRule type="cellIs" dxfId="9730" priority="2896" operator="greaterThan">
      <formula>0.85</formula>
    </cfRule>
  </conditionalFormatting>
  <conditionalFormatting sqref="N226">
    <cfRule type="cellIs" dxfId="9729" priority="2893" operator="greaterThan">
      <formula>0.9</formula>
    </cfRule>
    <cfRule type="cellIs" dxfId="9728" priority="2894" operator="greaterThan">
      <formula>0.85</formula>
    </cfRule>
  </conditionalFormatting>
  <conditionalFormatting sqref="E226">
    <cfRule type="expression" dxfId="9727" priority="2889">
      <formula>AND(IF(OR($Q226=1,$Q226=2),1,0),IF($X226&lt;=20,1,0))</formula>
    </cfRule>
    <cfRule type="expression" dxfId="9726" priority="2890">
      <formula>AND(IF($Q226=2,1,0),IF($X226&lt;30,1,0))</formula>
    </cfRule>
    <cfRule type="expression" dxfId="9725" priority="2891">
      <formula>AND(IF($Q226=3,1,0),IF($X226&lt;30,1,0))</formula>
    </cfRule>
    <cfRule type="expression" dxfId="9724" priority="2892">
      <formula>AND(IF($Q226=3,1,IF($Q226=4,1,0)),IF($F226&lt;=85,1,0))</formula>
    </cfRule>
  </conditionalFormatting>
  <conditionalFormatting sqref="X226">
    <cfRule type="expression" dxfId="9723" priority="2885">
      <formula>AND(IF(OR($Q226=1,$Q226=2),1,0),IF($X226&lt;=20,1,0))</formula>
    </cfRule>
    <cfRule type="expression" dxfId="9722" priority="2886">
      <formula>AND(IF($Q226=2,1,0),IF($X226&lt;30,1,0))</formula>
    </cfRule>
    <cfRule type="expression" dxfId="9721" priority="2887">
      <formula>AND(IF($Q226=3,1,0),IF($X226&lt;30,1,0))</formula>
    </cfRule>
    <cfRule type="expression" dxfId="9720" priority="2888">
      <formula>AND(IF($Q226=3,1,IF($Q226=4,1,0)),IF($F226&lt;=85,1,0))</formula>
    </cfRule>
  </conditionalFormatting>
  <conditionalFormatting sqref="AI226">
    <cfRule type="expression" dxfId="9719" priority="2881">
      <formula>AND(IF(OR($Q226=1,$Q226=2),1,0),IF($X226&lt;=20,1,0))</formula>
    </cfRule>
    <cfRule type="expression" dxfId="9718" priority="2882">
      <formula>AND(IF($Q226=2,1,0),IF($X226&lt;30,1,0))</formula>
    </cfRule>
    <cfRule type="expression" dxfId="9717" priority="2883">
      <formula>AND(IF($Q226=3,1,0),IF($X226&lt;30,1,0))</formula>
    </cfRule>
    <cfRule type="expression" dxfId="9716" priority="2884">
      <formula>AND(IF($Q226=3,1,IF($Q226=4,1,0)),IF($F226&lt;=85,1,0))</formula>
    </cfRule>
  </conditionalFormatting>
  <conditionalFormatting sqref="AV227">
    <cfRule type="expression" dxfId="9715" priority="2879">
      <formula>AV227="X"</formula>
    </cfRule>
    <cfRule type="expression" dxfId="9714" priority="2880">
      <formula>AV227="후보"</formula>
    </cfRule>
  </conditionalFormatting>
  <conditionalFormatting sqref="AC227">
    <cfRule type="cellIs" dxfId="9713" priority="2877" operator="greaterThan">
      <formula>0.9</formula>
    </cfRule>
    <cfRule type="cellIs" dxfId="9712" priority="2878" operator="greaterThan">
      <formula>0.85</formula>
    </cfRule>
  </conditionalFormatting>
  <conditionalFormatting sqref="N227">
    <cfRule type="cellIs" dxfId="9711" priority="2875" operator="greaterThan">
      <formula>0.9</formula>
    </cfRule>
    <cfRule type="cellIs" dxfId="9710" priority="2876" operator="greaterThan">
      <formula>0.85</formula>
    </cfRule>
  </conditionalFormatting>
  <conditionalFormatting sqref="E227">
    <cfRule type="expression" dxfId="9709" priority="2871">
      <formula>AND(IF(OR($Q227=1,$Q227=2),1,0),IF($X227&lt;=20,1,0))</formula>
    </cfRule>
    <cfRule type="expression" dxfId="9708" priority="2872">
      <formula>AND(IF($Q227=2,1,0),IF($X227&lt;30,1,0))</formula>
    </cfRule>
    <cfRule type="expression" dxfId="9707" priority="2873">
      <formula>AND(IF($Q227=3,1,0),IF($X227&lt;30,1,0))</formula>
    </cfRule>
    <cfRule type="expression" dxfId="9706" priority="2874">
      <formula>AND(IF($Q227=3,1,IF($Q227=4,1,0)),IF($F227&lt;=85,1,0))</formula>
    </cfRule>
  </conditionalFormatting>
  <conditionalFormatting sqref="X227">
    <cfRule type="expression" dxfId="9705" priority="2867">
      <formula>AND(IF(OR($Q227=1,$Q227=2),1,0),IF($X227&lt;=20,1,0))</formula>
    </cfRule>
    <cfRule type="expression" dxfId="9704" priority="2868">
      <formula>AND(IF($Q227=2,1,0),IF($X227&lt;30,1,0))</formula>
    </cfRule>
    <cfRule type="expression" dxfId="9703" priority="2869">
      <formula>AND(IF($Q227=3,1,0),IF($X227&lt;30,1,0))</formula>
    </cfRule>
    <cfRule type="expression" dxfId="9702" priority="2870">
      <formula>AND(IF($Q227=3,1,IF($Q227=4,1,0)),IF($F227&lt;=85,1,0))</formula>
    </cfRule>
  </conditionalFormatting>
  <conditionalFormatting sqref="AI227">
    <cfRule type="expression" dxfId="9701" priority="2863">
      <formula>AND(IF(OR($Q227=1,$Q227=2),1,0),IF($X227&lt;=20,1,0))</formula>
    </cfRule>
    <cfRule type="expression" dxfId="9700" priority="2864">
      <formula>AND(IF($Q227=2,1,0),IF($X227&lt;30,1,0))</formula>
    </cfRule>
    <cfRule type="expression" dxfId="9699" priority="2865">
      <formula>AND(IF($Q227=3,1,0),IF($X227&lt;30,1,0))</formula>
    </cfRule>
    <cfRule type="expression" dxfId="9698" priority="2866">
      <formula>AND(IF($Q227=3,1,IF($Q227=4,1,0)),IF($F227&lt;=85,1,0))</formula>
    </cfRule>
  </conditionalFormatting>
  <conditionalFormatting sqref="AV228">
    <cfRule type="expression" dxfId="9697" priority="2861">
      <formula>AV228="X"</formula>
    </cfRule>
    <cfRule type="expression" dxfId="9696" priority="2862">
      <formula>AV228="후보"</formula>
    </cfRule>
  </conditionalFormatting>
  <conditionalFormatting sqref="AC228">
    <cfRule type="cellIs" dxfId="9695" priority="2859" operator="greaterThan">
      <formula>0.9</formula>
    </cfRule>
    <cfRule type="cellIs" dxfId="9694" priority="2860" operator="greaterThan">
      <formula>0.85</formula>
    </cfRule>
  </conditionalFormatting>
  <conditionalFormatting sqref="N228">
    <cfRule type="cellIs" dxfId="9693" priority="2857" operator="greaterThan">
      <formula>0.9</formula>
    </cfRule>
    <cfRule type="cellIs" dxfId="9692" priority="2858" operator="greaterThan">
      <formula>0.85</formula>
    </cfRule>
  </conditionalFormatting>
  <conditionalFormatting sqref="E228">
    <cfRule type="expression" dxfId="9691" priority="2853">
      <formula>AND(IF(OR($Q228=1,$Q228=2),1,0),IF($X228&lt;=20,1,0))</formula>
    </cfRule>
    <cfRule type="expression" dxfId="9690" priority="2854">
      <formula>AND(IF($Q228=2,1,0),IF($X228&lt;30,1,0))</formula>
    </cfRule>
    <cfRule type="expression" dxfId="9689" priority="2855">
      <formula>AND(IF($Q228=3,1,0),IF($X228&lt;30,1,0))</formula>
    </cfRule>
    <cfRule type="expression" dxfId="9688" priority="2856">
      <formula>AND(IF($Q228=3,1,IF($Q228=4,1,0)),IF($F228&lt;=85,1,0))</formula>
    </cfRule>
  </conditionalFormatting>
  <conditionalFormatting sqref="X228">
    <cfRule type="expression" dxfId="9687" priority="2849">
      <formula>AND(IF(OR($Q228=1,$Q228=2),1,0),IF($X228&lt;=20,1,0))</formula>
    </cfRule>
    <cfRule type="expression" dxfId="9686" priority="2850">
      <formula>AND(IF($Q228=2,1,0),IF($X228&lt;30,1,0))</formula>
    </cfRule>
    <cfRule type="expression" dxfId="9685" priority="2851">
      <formula>AND(IF($Q228=3,1,0),IF($X228&lt;30,1,0))</formula>
    </cfRule>
    <cfRule type="expression" dxfId="9684" priority="2852">
      <formula>AND(IF($Q228=3,1,IF($Q228=4,1,0)),IF($F228&lt;=85,1,0))</formula>
    </cfRule>
  </conditionalFormatting>
  <conditionalFormatting sqref="AI228">
    <cfRule type="expression" dxfId="9683" priority="2845">
      <formula>AND(IF(OR($Q228=1,$Q228=2),1,0),IF($X228&lt;=20,1,0))</formula>
    </cfRule>
    <cfRule type="expression" dxfId="9682" priority="2846">
      <formula>AND(IF($Q228=2,1,0),IF($X228&lt;30,1,0))</formula>
    </cfRule>
    <cfRule type="expression" dxfId="9681" priority="2847">
      <formula>AND(IF($Q228=3,1,0),IF($X228&lt;30,1,0))</formula>
    </cfRule>
    <cfRule type="expression" dxfId="9680" priority="2848">
      <formula>AND(IF($Q228=3,1,IF($Q228=4,1,0)),IF($F228&lt;=85,1,0))</formula>
    </cfRule>
  </conditionalFormatting>
  <conditionalFormatting sqref="AV229">
    <cfRule type="expression" dxfId="9679" priority="2843">
      <formula>AV229="X"</formula>
    </cfRule>
    <cfRule type="expression" dxfId="9678" priority="2844">
      <formula>AV229="후보"</formula>
    </cfRule>
  </conditionalFormatting>
  <conditionalFormatting sqref="AC229">
    <cfRule type="cellIs" dxfId="9677" priority="2841" operator="greaterThan">
      <formula>0.9</formula>
    </cfRule>
    <cfRule type="cellIs" dxfId="9676" priority="2842" operator="greaterThan">
      <formula>0.85</formula>
    </cfRule>
  </conditionalFormatting>
  <conditionalFormatting sqref="N229">
    <cfRule type="cellIs" dxfId="9675" priority="2839" operator="greaterThan">
      <formula>0.9</formula>
    </cfRule>
    <cfRule type="cellIs" dxfId="9674" priority="2840" operator="greaterThan">
      <formula>0.85</formula>
    </cfRule>
  </conditionalFormatting>
  <conditionalFormatting sqref="E229">
    <cfRule type="expression" dxfId="9673" priority="2835">
      <formula>AND(IF(OR($Q229=1,$Q229=2),1,0),IF($X229&lt;=20,1,0))</formula>
    </cfRule>
    <cfRule type="expression" dxfId="9672" priority="2836">
      <formula>AND(IF($Q229=2,1,0),IF($X229&lt;30,1,0))</formula>
    </cfRule>
    <cfRule type="expression" dxfId="9671" priority="2837">
      <formula>AND(IF($Q229=3,1,0),IF($X229&lt;30,1,0))</formula>
    </cfRule>
    <cfRule type="expression" dxfId="9670" priority="2838">
      <formula>AND(IF($Q229=3,1,IF($Q229=4,1,0)),IF($F229&lt;=85,1,0))</formula>
    </cfRule>
  </conditionalFormatting>
  <conditionalFormatting sqref="X229">
    <cfRule type="expression" dxfId="9669" priority="2831">
      <formula>AND(IF(OR($Q229=1,$Q229=2),1,0),IF($X229&lt;=20,1,0))</formula>
    </cfRule>
    <cfRule type="expression" dxfId="9668" priority="2832">
      <formula>AND(IF($Q229=2,1,0),IF($X229&lt;30,1,0))</formula>
    </cfRule>
    <cfRule type="expression" dxfId="9667" priority="2833">
      <formula>AND(IF($Q229=3,1,0),IF($X229&lt;30,1,0))</formula>
    </cfRule>
    <cfRule type="expression" dxfId="9666" priority="2834">
      <formula>AND(IF($Q229=3,1,IF($Q229=4,1,0)),IF($F229&lt;=85,1,0))</formula>
    </cfRule>
  </conditionalFormatting>
  <conditionalFormatting sqref="AI229">
    <cfRule type="expression" dxfId="9665" priority="2827">
      <formula>AND(IF(OR($Q229=1,$Q229=2),1,0),IF($X229&lt;=20,1,0))</formula>
    </cfRule>
    <cfRule type="expression" dxfId="9664" priority="2828">
      <formula>AND(IF($Q229=2,1,0),IF($X229&lt;30,1,0))</formula>
    </cfRule>
    <cfRule type="expression" dxfId="9663" priority="2829">
      <formula>AND(IF($Q229=3,1,0),IF($X229&lt;30,1,0))</formula>
    </cfRule>
    <cfRule type="expression" dxfId="9662" priority="2830">
      <formula>AND(IF($Q229=3,1,IF($Q229=4,1,0)),IF($F229&lt;=85,1,0))</formula>
    </cfRule>
  </conditionalFormatting>
  <conditionalFormatting sqref="AV230">
    <cfRule type="expression" dxfId="9661" priority="2825">
      <formula>AV230="X"</formula>
    </cfRule>
    <cfRule type="expression" dxfId="9660" priority="2826">
      <formula>AV230="후보"</formula>
    </cfRule>
  </conditionalFormatting>
  <conditionalFormatting sqref="AC230">
    <cfRule type="cellIs" dxfId="9659" priority="2823" operator="greaterThan">
      <formula>0.9</formula>
    </cfRule>
    <cfRule type="cellIs" dxfId="9658" priority="2824" operator="greaterThan">
      <formula>0.85</formula>
    </cfRule>
  </conditionalFormatting>
  <conditionalFormatting sqref="N230">
    <cfRule type="cellIs" dxfId="9657" priority="2821" operator="greaterThan">
      <formula>0.9</formula>
    </cfRule>
    <cfRule type="cellIs" dxfId="9656" priority="2822" operator="greaterThan">
      <formula>0.85</formula>
    </cfRule>
  </conditionalFormatting>
  <conditionalFormatting sqref="E230">
    <cfRule type="expression" dxfId="9655" priority="2817">
      <formula>AND(IF(OR($Q230=1,$Q230=2),1,0),IF($X230&lt;=20,1,0))</formula>
    </cfRule>
    <cfRule type="expression" dxfId="9654" priority="2818">
      <formula>AND(IF($Q230=2,1,0),IF($X230&lt;30,1,0))</formula>
    </cfRule>
    <cfRule type="expression" dxfId="9653" priority="2819">
      <formula>AND(IF($Q230=3,1,0),IF($X230&lt;30,1,0))</formula>
    </cfRule>
    <cfRule type="expression" dxfId="9652" priority="2820">
      <formula>AND(IF($Q230=3,1,IF($Q230=4,1,0)),IF($F230&lt;=85,1,0))</formula>
    </cfRule>
  </conditionalFormatting>
  <conditionalFormatting sqref="X230">
    <cfRule type="expression" dxfId="9651" priority="2813">
      <formula>AND(IF(OR($Q230=1,$Q230=2),1,0),IF($X230&lt;=20,1,0))</formula>
    </cfRule>
    <cfRule type="expression" dxfId="9650" priority="2814">
      <formula>AND(IF($Q230=2,1,0),IF($X230&lt;30,1,0))</formula>
    </cfRule>
    <cfRule type="expression" dxfId="9649" priority="2815">
      <formula>AND(IF($Q230=3,1,0),IF($X230&lt;30,1,0))</formula>
    </cfRule>
    <cfRule type="expression" dxfId="9648" priority="2816">
      <formula>AND(IF($Q230=3,1,IF($Q230=4,1,0)),IF($F230&lt;=85,1,0))</formula>
    </cfRule>
  </conditionalFormatting>
  <conditionalFormatting sqref="AI230">
    <cfRule type="expression" dxfId="9647" priority="2809">
      <formula>AND(IF(OR($Q230=1,$Q230=2),1,0),IF($X230&lt;=20,1,0))</formula>
    </cfRule>
    <cfRule type="expression" dxfId="9646" priority="2810">
      <formula>AND(IF($Q230=2,1,0),IF($X230&lt;30,1,0))</formula>
    </cfRule>
    <cfRule type="expression" dxfId="9645" priority="2811">
      <formula>AND(IF($Q230=3,1,0),IF($X230&lt;30,1,0))</formula>
    </cfRule>
    <cfRule type="expression" dxfId="9644" priority="2812">
      <formula>AND(IF($Q230=3,1,IF($Q230=4,1,0)),IF($F230&lt;=85,1,0))</formula>
    </cfRule>
  </conditionalFormatting>
  <conditionalFormatting sqref="AV231">
    <cfRule type="expression" dxfId="9643" priority="2807">
      <formula>AV231="X"</formula>
    </cfRule>
    <cfRule type="expression" dxfId="9642" priority="2808">
      <formula>AV231="후보"</formula>
    </cfRule>
  </conditionalFormatting>
  <conditionalFormatting sqref="AC231">
    <cfRule type="cellIs" dxfId="9641" priority="2805" operator="greaterThan">
      <formula>0.9</formula>
    </cfRule>
    <cfRule type="cellIs" dxfId="9640" priority="2806" operator="greaterThan">
      <formula>0.85</formula>
    </cfRule>
  </conditionalFormatting>
  <conditionalFormatting sqref="N231">
    <cfRule type="cellIs" dxfId="9639" priority="2803" operator="greaterThan">
      <formula>0.9</formula>
    </cfRule>
    <cfRule type="cellIs" dxfId="9638" priority="2804" operator="greaterThan">
      <formula>0.85</formula>
    </cfRule>
  </conditionalFormatting>
  <conditionalFormatting sqref="E231">
    <cfRule type="expression" dxfId="9637" priority="2799">
      <formula>AND(IF(OR($Q231=1,$Q231=2),1,0),IF($X231&lt;=20,1,0))</formula>
    </cfRule>
    <cfRule type="expression" dxfId="9636" priority="2800">
      <formula>AND(IF($Q231=2,1,0),IF($X231&lt;30,1,0))</formula>
    </cfRule>
    <cfRule type="expression" dxfId="9635" priority="2801">
      <formula>AND(IF($Q231=3,1,0),IF($X231&lt;30,1,0))</formula>
    </cfRule>
    <cfRule type="expression" dxfId="9634" priority="2802">
      <formula>AND(IF($Q231=3,1,IF($Q231=4,1,0)),IF($F231&lt;=85,1,0))</formula>
    </cfRule>
  </conditionalFormatting>
  <conditionalFormatting sqref="X231">
    <cfRule type="expression" dxfId="9633" priority="2795">
      <formula>AND(IF(OR($Q231=1,$Q231=2),1,0),IF($X231&lt;=20,1,0))</formula>
    </cfRule>
    <cfRule type="expression" dxfId="9632" priority="2796">
      <formula>AND(IF($Q231=2,1,0),IF($X231&lt;30,1,0))</formula>
    </cfRule>
    <cfRule type="expression" dxfId="9631" priority="2797">
      <formula>AND(IF($Q231=3,1,0),IF($X231&lt;30,1,0))</formula>
    </cfRule>
    <cfRule type="expression" dxfId="9630" priority="2798">
      <formula>AND(IF($Q231=3,1,IF($Q231=4,1,0)),IF($F231&lt;=85,1,0))</formula>
    </cfRule>
  </conditionalFormatting>
  <conditionalFormatting sqref="AI231">
    <cfRule type="expression" dxfId="9629" priority="2791">
      <formula>AND(IF(OR($Q231=1,$Q231=2),1,0),IF($X231&lt;=20,1,0))</formula>
    </cfRule>
    <cfRule type="expression" dxfId="9628" priority="2792">
      <formula>AND(IF($Q231=2,1,0),IF($X231&lt;30,1,0))</formula>
    </cfRule>
    <cfRule type="expression" dxfId="9627" priority="2793">
      <formula>AND(IF($Q231=3,1,0),IF($X231&lt;30,1,0))</formula>
    </cfRule>
    <cfRule type="expression" dxfId="9626" priority="2794">
      <formula>AND(IF($Q231=3,1,IF($Q231=4,1,0)),IF($F231&lt;=85,1,0))</formula>
    </cfRule>
  </conditionalFormatting>
  <conditionalFormatting sqref="AV232">
    <cfRule type="expression" dxfId="9625" priority="2789">
      <formula>AV232="X"</formula>
    </cfRule>
    <cfRule type="expression" dxfId="9624" priority="2790">
      <formula>AV232="후보"</formula>
    </cfRule>
  </conditionalFormatting>
  <conditionalFormatting sqref="AC232">
    <cfRule type="cellIs" dxfId="9623" priority="2787" operator="greaterThan">
      <formula>0.9</formula>
    </cfRule>
    <cfRule type="cellIs" dxfId="9622" priority="2788" operator="greaterThan">
      <formula>0.85</formula>
    </cfRule>
  </conditionalFormatting>
  <conditionalFormatting sqref="N232">
    <cfRule type="cellIs" dxfId="9621" priority="2785" operator="greaterThan">
      <formula>0.9</formula>
    </cfRule>
    <cfRule type="cellIs" dxfId="9620" priority="2786" operator="greaterThan">
      <formula>0.85</formula>
    </cfRule>
  </conditionalFormatting>
  <conditionalFormatting sqref="E232">
    <cfRule type="expression" dxfId="9619" priority="2781">
      <formula>AND(IF(OR($Q232=1,$Q232=2),1,0),IF($X232&lt;=20,1,0))</formula>
    </cfRule>
    <cfRule type="expression" dxfId="9618" priority="2782">
      <formula>AND(IF($Q232=2,1,0),IF($X232&lt;30,1,0))</formula>
    </cfRule>
    <cfRule type="expression" dxfId="9617" priority="2783">
      <formula>AND(IF($Q232=3,1,0),IF($X232&lt;30,1,0))</formula>
    </cfRule>
    <cfRule type="expression" dxfId="9616" priority="2784">
      <formula>AND(IF($Q232=3,1,IF($Q232=4,1,0)),IF($F232&lt;=85,1,0))</formula>
    </cfRule>
  </conditionalFormatting>
  <conditionalFormatting sqref="X232">
    <cfRule type="expression" dxfId="9615" priority="2777">
      <formula>AND(IF(OR($Q232=1,$Q232=2),1,0),IF($X232&lt;=20,1,0))</formula>
    </cfRule>
    <cfRule type="expression" dxfId="9614" priority="2778">
      <formula>AND(IF($Q232=2,1,0),IF($X232&lt;30,1,0))</formula>
    </cfRule>
    <cfRule type="expression" dxfId="9613" priority="2779">
      <formula>AND(IF($Q232=3,1,0),IF($X232&lt;30,1,0))</formula>
    </cfRule>
    <cfRule type="expression" dxfId="9612" priority="2780">
      <formula>AND(IF($Q232=3,1,IF($Q232=4,1,0)),IF($F232&lt;=85,1,0))</formula>
    </cfRule>
  </conditionalFormatting>
  <conditionalFormatting sqref="AI232">
    <cfRule type="expression" dxfId="9611" priority="2773">
      <formula>AND(IF(OR($Q232=1,$Q232=2),1,0),IF($X232&lt;=20,1,0))</formula>
    </cfRule>
    <cfRule type="expression" dxfId="9610" priority="2774">
      <formula>AND(IF($Q232=2,1,0),IF($X232&lt;30,1,0))</formula>
    </cfRule>
    <cfRule type="expression" dxfId="9609" priority="2775">
      <formula>AND(IF($Q232=3,1,0),IF($X232&lt;30,1,0))</formula>
    </cfRule>
    <cfRule type="expression" dxfId="9608" priority="2776">
      <formula>AND(IF($Q232=3,1,IF($Q232=4,1,0)),IF($F232&lt;=85,1,0))</formula>
    </cfRule>
  </conditionalFormatting>
  <conditionalFormatting sqref="AV233">
    <cfRule type="expression" dxfId="9607" priority="2771">
      <formula>AV233="X"</formula>
    </cfRule>
    <cfRule type="expression" dxfId="9606" priority="2772">
      <formula>AV233="후보"</formula>
    </cfRule>
  </conditionalFormatting>
  <conditionalFormatting sqref="AC233">
    <cfRule type="cellIs" dxfId="9605" priority="2769" operator="greaterThan">
      <formula>0.9</formula>
    </cfRule>
    <cfRule type="cellIs" dxfId="9604" priority="2770" operator="greaterThan">
      <formula>0.85</formula>
    </cfRule>
  </conditionalFormatting>
  <conditionalFormatting sqref="N233">
    <cfRule type="cellIs" dxfId="9603" priority="2767" operator="greaterThan">
      <formula>0.9</formula>
    </cfRule>
    <cfRule type="cellIs" dxfId="9602" priority="2768" operator="greaterThan">
      <formula>0.85</formula>
    </cfRule>
  </conditionalFormatting>
  <conditionalFormatting sqref="E233">
    <cfRule type="expression" dxfId="9601" priority="2763">
      <formula>AND(IF(OR($Q233=1,$Q233=2),1,0),IF($X233&lt;=20,1,0))</formula>
    </cfRule>
    <cfRule type="expression" dxfId="9600" priority="2764">
      <formula>AND(IF($Q233=2,1,0),IF($X233&lt;30,1,0))</formula>
    </cfRule>
    <cfRule type="expression" dxfId="9599" priority="2765">
      <formula>AND(IF($Q233=3,1,0),IF($X233&lt;30,1,0))</formula>
    </cfRule>
    <cfRule type="expression" dxfId="9598" priority="2766">
      <formula>AND(IF($Q233=3,1,IF($Q233=4,1,0)),IF($F233&lt;=85,1,0))</formula>
    </cfRule>
  </conditionalFormatting>
  <conditionalFormatting sqref="X233">
    <cfRule type="expression" dxfId="9597" priority="2759">
      <formula>AND(IF(OR($Q233=1,$Q233=2),1,0),IF($X233&lt;=20,1,0))</formula>
    </cfRule>
    <cfRule type="expression" dxfId="9596" priority="2760">
      <formula>AND(IF($Q233=2,1,0),IF($X233&lt;30,1,0))</formula>
    </cfRule>
    <cfRule type="expression" dxfId="9595" priority="2761">
      <formula>AND(IF($Q233=3,1,0),IF($X233&lt;30,1,0))</formula>
    </cfRule>
    <cfRule type="expression" dxfId="9594" priority="2762">
      <formula>AND(IF($Q233=3,1,IF($Q233=4,1,0)),IF($F233&lt;=85,1,0))</formula>
    </cfRule>
  </conditionalFormatting>
  <conditionalFormatting sqref="AI233">
    <cfRule type="expression" dxfId="9593" priority="2755">
      <formula>AND(IF(OR($Q233=1,$Q233=2),1,0),IF($X233&lt;=20,1,0))</formula>
    </cfRule>
    <cfRule type="expression" dxfId="9592" priority="2756">
      <formula>AND(IF($Q233=2,1,0),IF($X233&lt;30,1,0))</formula>
    </cfRule>
    <cfRule type="expression" dxfId="9591" priority="2757">
      <formula>AND(IF($Q233=3,1,0),IF($X233&lt;30,1,0))</formula>
    </cfRule>
    <cfRule type="expression" dxfId="9590" priority="2758">
      <formula>AND(IF($Q233=3,1,IF($Q233=4,1,0)),IF($F233&lt;=85,1,0))</formula>
    </cfRule>
  </conditionalFormatting>
  <conditionalFormatting sqref="AV234">
    <cfRule type="expression" dxfId="9589" priority="2753">
      <formula>AV234="X"</formula>
    </cfRule>
    <cfRule type="expression" dxfId="9588" priority="2754">
      <formula>AV234="후보"</formula>
    </cfRule>
  </conditionalFormatting>
  <conditionalFormatting sqref="AC234">
    <cfRule type="cellIs" dxfId="9587" priority="2751" operator="greaterThan">
      <formula>0.9</formula>
    </cfRule>
    <cfRule type="cellIs" dxfId="9586" priority="2752" operator="greaterThan">
      <formula>0.85</formula>
    </cfRule>
  </conditionalFormatting>
  <conditionalFormatting sqref="N234">
    <cfRule type="cellIs" dxfId="9585" priority="2749" operator="greaterThan">
      <formula>0.9</formula>
    </cfRule>
    <cfRule type="cellIs" dxfId="9584" priority="2750" operator="greaterThan">
      <formula>0.85</formula>
    </cfRule>
  </conditionalFormatting>
  <conditionalFormatting sqref="E234">
    <cfRule type="expression" dxfId="9583" priority="2745">
      <formula>AND(IF(OR($Q234=1,$Q234=2),1,0),IF($X234&lt;=20,1,0))</formula>
    </cfRule>
    <cfRule type="expression" dxfId="9582" priority="2746">
      <formula>AND(IF($Q234=2,1,0),IF($X234&lt;30,1,0))</formula>
    </cfRule>
    <cfRule type="expression" dxfId="9581" priority="2747">
      <formula>AND(IF($Q234=3,1,0),IF($X234&lt;30,1,0))</formula>
    </cfRule>
    <cfRule type="expression" dxfId="9580" priority="2748">
      <formula>AND(IF($Q234=3,1,IF($Q234=4,1,0)),IF($F234&lt;=85,1,0))</formula>
    </cfRule>
  </conditionalFormatting>
  <conditionalFormatting sqref="X234">
    <cfRule type="expression" dxfId="9579" priority="2741">
      <formula>AND(IF(OR($Q234=1,$Q234=2),1,0),IF($X234&lt;=20,1,0))</formula>
    </cfRule>
    <cfRule type="expression" dxfId="9578" priority="2742">
      <formula>AND(IF($Q234=2,1,0),IF($X234&lt;30,1,0))</formula>
    </cfRule>
    <cfRule type="expression" dxfId="9577" priority="2743">
      <formula>AND(IF($Q234=3,1,0),IF($X234&lt;30,1,0))</formula>
    </cfRule>
    <cfRule type="expression" dxfId="9576" priority="2744">
      <formula>AND(IF($Q234=3,1,IF($Q234=4,1,0)),IF($F234&lt;=85,1,0))</formula>
    </cfRule>
  </conditionalFormatting>
  <conditionalFormatting sqref="AI234">
    <cfRule type="expression" dxfId="9575" priority="2737">
      <formula>AND(IF(OR($Q234=1,$Q234=2),1,0),IF($X234&lt;=20,1,0))</formula>
    </cfRule>
    <cfRule type="expression" dxfId="9574" priority="2738">
      <formula>AND(IF($Q234=2,1,0),IF($X234&lt;30,1,0))</formula>
    </cfRule>
    <cfRule type="expression" dxfId="9573" priority="2739">
      <formula>AND(IF($Q234=3,1,0),IF($X234&lt;30,1,0))</formula>
    </cfRule>
    <cfRule type="expression" dxfId="9572" priority="2740">
      <formula>AND(IF($Q234=3,1,IF($Q234=4,1,0)),IF($F234&lt;=85,1,0))</formula>
    </cfRule>
  </conditionalFormatting>
  <conditionalFormatting sqref="AV235">
    <cfRule type="expression" dxfId="9571" priority="2735">
      <formula>AV235="X"</formula>
    </cfRule>
    <cfRule type="expression" dxfId="9570" priority="2736">
      <formula>AV235="후보"</formula>
    </cfRule>
  </conditionalFormatting>
  <conditionalFormatting sqref="AC235">
    <cfRule type="cellIs" dxfId="9569" priority="2733" operator="greaterThan">
      <formula>0.9</formula>
    </cfRule>
    <cfRule type="cellIs" dxfId="9568" priority="2734" operator="greaterThan">
      <formula>0.85</formula>
    </cfRule>
  </conditionalFormatting>
  <conditionalFormatting sqref="N235">
    <cfRule type="cellIs" dxfId="9567" priority="2731" operator="greaterThan">
      <formula>0.9</formula>
    </cfRule>
    <cfRule type="cellIs" dxfId="9566" priority="2732" operator="greaterThan">
      <formula>0.85</formula>
    </cfRule>
  </conditionalFormatting>
  <conditionalFormatting sqref="E235">
    <cfRule type="expression" dxfId="9565" priority="2727">
      <formula>AND(IF(OR($Q235=1,$Q235=2),1,0),IF($X235&lt;=20,1,0))</formula>
    </cfRule>
    <cfRule type="expression" dxfId="9564" priority="2728">
      <formula>AND(IF($Q235=2,1,0),IF($X235&lt;30,1,0))</formula>
    </cfRule>
    <cfRule type="expression" dxfId="9563" priority="2729">
      <formula>AND(IF($Q235=3,1,0),IF($X235&lt;30,1,0))</formula>
    </cfRule>
    <cfRule type="expression" dxfId="9562" priority="2730">
      <formula>AND(IF($Q235=3,1,IF($Q235=4,1,0)),IF($F235&lt;=85,1,0))</formula>
    </cfRule>
  </conditionalFormatting>
  <conditionalFormatting sqref="X235">
    <cfRule type="expression" dxfId="9561" priority="2723">
      <formula>AND(IF(OR($Q235=1,$Q235=2),1,0),IF($X235&lt;=20,1,0))</formula>
    </cfRule>
    <cfRule type="expression" dxfId="9560" priority="2724">
      <formula>AND(IF($Q235=2,1,0),IF($X235&lt;30,1,0))</formula>
    </cfRule>
    <cfRule type="expression" dxfId="9559" priority="2725">
      <formula>AND(IF($Q235=3,1,0),IF($X235&lt;30,1,0))</formula>
    </cfRule>
    <cfRule type="expression" dxfId="9558" priority="2726">
      <formula>AND(IF($Q235=3,1,IF($Q235=4,1,0)),IF($F235&lt;=85,1,0))</formula>
    </cfRule>
  </conditionalFormatting>
  <conditionalFormatting sqref="AI235">
    <cfRule type="expression" dxfId="9557" priority="2719">
      <formula>AND(IF(OR($Q235=1,$Q235=2),1,0),IF($X235&lt;=20,1,0))</formula>
    </cfRule>
    <cfRule type="expression" dxfId="9556" priority="2720">
      <formula>AND(IF($Q235=2,1,0),IF($X235&lt;30,1,0))</formula>
    </cfRule>
    <cfRule type="expression" dxfId="9555" priority="2721">
      <formula>AND(IF($Q235=3,1,0),IF($X235&lt;30,1,0))</formula>
    </cfRule>
    <cfRule type="expression" dxfId="9554" priority="2722">
      <formula>AND(IF($Q235=3,1,IF($Q235=4,1,0)),IF($F235&lt;=85,1,0))</formula>
    </cfRule>
  </conditionalFormatting>
  <conditionalFormatting sqref="AV236">
    <cfRule type="expression" dxfId="9553" priority="2717">
      <formula>AV236="X"</formula>
    </cfRule>
    <cfRule type="expression" dxfId="9552" priority="2718">
      <formula>AV236="후보"</formula>
    </cfRule>
  </conditionalFormatting>
  <conditionalFormatting sqref="AC236">
    <cfRule type="cellIs" dxfId="9551" priority="2715" operator="greaterThan">
      <formula>0.9</formula>
    </cfRule>
    <cfRule type="cellIs" dxfId="9550" priority="2716" operator="greaterThan">
      <formula>0.85</formula>
    </cfRule>
  </conditionalFormatting>
  <conditionalFormatting sqref="N236">
    <cfRule type="cellIs" dxfId="9549" priority="2713" operator="greaterThan">
      <formula>0.9</formula>
    </cfRule>
    <cfRule type="cellIs" dxfId="9548" priority="2714" operator="greaterThan">
      <formula>0.85</formula>
    </cfRule>
  </conditionalFormatting>
  <conditionalFormatting sqref="E236">
    <cfRule type="expression" dxfId="9547" priority="2709">
      <formula>AND(IF(OR($Q236=1,$Q236=2),1,0),IF($X236&lt;=20,1,0))</formula>
    </cfRule>
    <cfRule type="expression" dxfId="9546" priority="2710">
      <formula>AND(IF($Q236=2,1,0),IF($X236&lt;30,1,0))</formula>
    </cfRule>
    <cfRule type="expression" dxfId="9545" priority="2711">
      <formula>AND(IF($Q236=3,1,0),IF($X236&lt;30,1,0))</formula>
    </cfRule>
    <cfRule type="expression" dxfId="9544" priority="2712">
      <formula>AND(IF($Q236=3,1,IF($Q236=4,1,0)),IF($F236&lt;=85,1,0))</formula>
    </cfRule>
  </conditionalFormatting>
  <conditionalFormatting sqref="X236">
    <cfRule type="expression" dxfId="9543" priority="2705">
      <formula>AND(IF(OR($Q236=1,$Q236=2),1,0),IF($X236&lt;=20,1,0))</formula>
    </cfRule>
    <cfRule type="expression" dxfId="9542" priority="2706">
      <formula>AND(IF($Q236=2,1,0),IF($X236&lt;30,1,0))</formula>
    </cfRule>
    <cfRule type="expression" dxfId="9541" priority="2707">
      <formula>AND(IF($Q236=3,1,0),IF($X236&lt;30,1,0))</formula>
    </cfRule>
    <cfRule type="expression" dxfId="9540" priority="2708">
      <formula>AND(IF($Q236=3,1,IF($Q236=4,1,0)),IF($F236&lt;=85,1,0))</formula>
    </cfRule>
  </conditionalFormatting>
  <conditionalFormatting sqref="AI236">
    <cfRule type="expression" dxfId="9539" priority="2701">
      <formula>AND(IF(OR($Q236=1,$Q236=2),1,0),IF($X236&lt;=20,1,0))</formula>
    </cfRule>
    <cfRule type="expression" dxfId="9538" priority="2702">
      <formula>AND(IF($Q236=2,1,0),IF($X236&lt;30,1,0))</formula>
    </cfRule>
    <cfRule type="expression" dxfId="9537" priority="2703">
      <formula>AND(IF($Q236=3,1,0),IF($X236&lt;30,1,0))</formula>
    </cfRule>
    <cfRule type="expression" dxfId="9536" priority="2704">
      <formula>AND(IF($Q236=3,1,IF($Q236=4,1,0)),IF($F236&lt;=85,1,0))</formula>
    </cfRule>
  </conditionalFormatting>
  <conditionalFormatting sqref="AV237">
    <cfRule type="expression" dxfId="9535" priority="2699">
      <formula>AV237="X"</formula>
    </cfRule>
    <cfRule type="expression" dxfId="9534" priority="2700">
      <formula>AV237="후보"</formula>
    </cfRule>
  </conditionalFormatting>
  <conditionalFormatting sqref="AC237">
    <cfRule type="cellIs" dxfId="9533" priority="2697" operator="greaterThan">
      <formula>0.9</formula>
    </cfRule>
    <cfRule type="cellIs" dxfId="9532" priority="2698" operator="greaterThan">
      <formula>0.85</formula>
    </cfRule>
  </conditionalFormatting>
  <conditionalFormatting sqref="N237">
    <cfRule type="cellIs" dxfId="9531" priority="2695" operator="greaterThan">
      <formula>0.9</formula>
    </cfRule>
    <cfRule type="cellIs" dxfId="9530" priority="2696" operator="greaterThan">
      <formula>0.85</formula>
    </cfRule>
  </conditionalFormatting>
  <conditionalFormatting sqref="E237">
    <cfRule type="expression" dxfId="9529" priority="2691">
      <formula>AND(IF(OR($Q237=1,$Q237=2),1,0),IF($X237&lt;=20,1,0))</formula>
    </cfRule>
    <cfRule type="expression" dxfId="9528" priority="2692">
      <formula>AND(IF($Q237=2,1,0),IF($X237&lt;30,1,0))</formula>
    </cfRule>
    <cfRule type="expression" dxfId="9527" priority="2693">
      <formula>AND(IF($Q237=3,1,0),IF($X237&lt;30,1,0))</formula>
    </cfRule>
    <cfRule type="expression" dxfId="9526" priority="2694">
      <formula>AND(IF($Q237=3,1,IF($Q237=4,1,0)),IF($F237&lt;=85,1,0))</formula>
    </cfRule>
  </conditionalFormatting>
  <conditionalFormatting sqref="X237">
    <cfRule type="expression" dxfId="9525" priority="2687">
      <formula>AND(IF(OR($Q237=1,$Q237=2),1,0),IF($X237&lt;=20,1,0))</formula>
    </cfRule>
    <cfRule type="expression" dxfId="9524" priority="2688">
      <formula>AND(IF($Q237=2,1,0),IF($X237&lt;30,1,0))</formula>
    </cfRule>
    <cfRule type="expression" dxfId="9523" priority="2689">
      <formula>AND(IF($Q237=3,1,0),IF($X237&lt;30,1,0))</formula>
    </cfRule>
    <cfRule type="expression" dxfId="9522" priority="2690">
      <formula>AND(IF($Q237=3,1,IF($Q237=4,1,0)),IF($F237&lt;=85,1,0))</formula>
    </cfRule>
  </conditionalFormatting>
  <conditionalFormatting sqref="AI237">
    <cfRule type="expression" dxfId="9521" priority="2683">
      <formula>AND(IF(OR($Q237=1,$Q237=2),1,0),IF($X237&lt;=20,1,0))</formula>
    </cfRule>
    <cfRule type="expression" dxfId="9520" priority="2684">
      <formula>AND(IF($Q237=2,1,0),IF($X237&lt;30,1,0))</formula>
    </cfRule>
    <cfRule type="expression" dxfId="9519" priority="2685">
      <formula>AND(IF($Q237=3,1,0),IF($X237&lt;30,1,0))</formula>
    </cfRule>
    <cfRule type="expression" dxfId="9518" priority="2686">
      <formula>AND(IF($Q237=3,1,IF($Q237=4,1,0)),IF($F237&lt;=85,1,0))</formula>
    </cfRule>
  </conditionalFormatting>
  <conditionalFormatting sqref="AV238">
    <cfRule type="expression" dxfId="9517" priority="2681">
      <formula>AV238="X"</formula>
    </cfRule>
    <cfRule type="expression" dxfId="9516" priority="2682">
      <formula>AV238="후보"</formula>
    </cfRule>
  </conditionalFormatting>
  <conditionalFormatting sqref="AC238">
    <cfRule type="cellIs" dxfId="9515" priority="2679" operator="greaterThan">
      <formula>0.9</formula>
    </cfRule>
    <cfRule type="cellIs" dxfId="9514" priority="2680" operator="greaterThan">
      <formula>0.85</formula>
    </cfRule>
  </conditionalFormatting>
  <conditionalFormatting sqref="N238">
    <cfRule type="cellIs" dxfId="9513" priority="2677" operator="greaterThan">
      <formula>0.9</formula>
    </cfRule>
    <cfRule type="cellIs" dxfId="9512" priority="2678" operator="greaterThan">
      <formula>0.85</formula>
    </cfRule>
  </conditionalFormatting>
  <conditionalFormatting sqref="E238">
    <cfRule type="expression" dxfId="9511" priority="2673">
      <formula>AND(IF(OR($Q238=1,$Q238=2),1,0),IF($X238&lt;=20,1,0))</formula>
    </cfRule>
    <cfRule type="expression" dxfId="9510" priority="2674">
      <formula>AND(IF($Q238=2,1,0),IF($X238&lt;30,1,0))</formula>
    </cfRule>
    <cfRule type="expression" dxfId="9509" priority="2675">
      <formula>AND(IF($Q238=3,1,0),IF($X238&lt;30,1,0))</formula>
    </cfRule>
    <cfRule type="expression" dxfId="9508" priority="2676">
      <formula>AND(IF($Q238=3,1,IF($Q238=4,1,0)),IF($F238&lt;=85,1,0))</formula>
    </cfRule>
  </conditionalFormatting>
  <conditionalFormatting sqref="X238">
    <cfRule type="expression" dxfId="9507" priority="2669">
      <formula>AND(IF(OR($Q238=1,$Q238=2),1,0),IF($X238&lt;=20,1,0))</formula>
    </cfRule>
    <cfRule type="expression" dxfId="9506" priority="2670">
      <formula>AND(IF($Q238=2,1,0),IF($X238&lt;30,1,0))</formula>
    </cfRule>
    <cfRule type="expression" dxfId="9505" priority="2671">
      <formula>AND(IF($Q238=3,1,0),IF($X238&lt;30,1,0))</formula>
    </cfRule>
    <cfRule type="expression" dxfId="9504" priority="2672">
      <formula>AND(IF($Q238=3,1,IF($Q238=4,1,0)),IF($F238&lt;=85,1,0))</formula>
    </cfRule>
  </conditionalFormatting>
  <conditionalFormatting sqref="AI238">
    <cfRule type="expression" dxfId="9503" priority="2665">
      <formula>AND(IF(OR($Q238=1,$Q238=2),1,0),IF($X238&lt;=20,1,0))</formula>
    </cfRule>
    <cfRule type="expression" dxfId="9502" priority="2666">
      <formula>AND(IF($Q238=2,1,0),IF($X238&lt;30,1,0))</formula>
    </cfRule>
    <cfRule type="expression" dxfId="9501" priority="2667">
      <formula>AND(IF($Q238=3,1,0),IF($X238&lt;30,1,0))</formula>
    </cfRule>
    <cfRule type="expression" dxfId="9500" priority="2668">
      <formula>AND(IF($Q238=3,1,IF($Q238=4,1,0)),IF($F238&lt;=85,1,0))</formula>
    </cfRule>
  </conditionalFormatting>
  <conditionalFormatting sqref="AV239">
    <cfRule type="expression" dxfId="9499" priority="2663">
      <formula>AV239="X"</formula>
    </cfRule>
    <cfRule type="expression" dxfId="9498" priority="2664">
      <formula>AV239="후보"</formula>
    </cfRule>
  </conditionalFormatting>
  <conditionalFormatting sqref="AC239">
    <cfRule type="cellIs" dxfId="9497" priority="2661" operator="greaterThan">
      <formula>0.9</formula>
    </cfRule>
    <cfRule type="cellIs" dxfId="9496" priority="2662" operator="greaterThan">
      <formula>0.85</formula>
    </cfRule>
  </conditionalFormatting>
  <conditionalFormatting sqref="N239">
    <cfRule type="cellIs" dxfId="9495" priority="2659" operator="greaterThan">
      <formula>0.9</formula>
    </cfRule>
    <cfRule type="cellIs" dxfId="9494" priority="2660" operator="greaterThan">
      <formula>0.85</formula>
    </cfRule>
  </conditionalFormatting>
  <conditionalFormatting sqref="E239">
    <cfRule type="expression" dxfId="9493" priority="2655">
      <formula>AND(IF(OR($Q239=1,$Q239=2),1,0),IF($X239&lt;=20,1,0))</formula>
    </cfRule>
    <cfRule type="expression" dxfId="9492" priority="2656">
      <formula>AND(IF($Q239=2,1,0),IF($X239&lt;30,1,0))</formula>
    </cfRule>
    <cfRule type="expression" dxfId="9491" priority="2657">
      <formula>AND(IF($Q239=3,1,0),IF($X239&lt;30,1,0))</formula>
    </cfRule>
    <cfRule type="expression" dxfId="9490" priority="2658">
      <formula>AND(IF($Q239=3,1,IF($Q239=4,1,0)),IF($F239&lt;=85,1,0))</formula>
    </cfRule>
  </conditionalFormatting>
  <conditionalFormatting sqref="X239">
    <cfRule type="expression" dxfId="9489" priority="2651">
      <formula>AND(IF(OR($Q239=1,$Q239=2),1,0),IF($X239&lt;=20,1,0))</formula>
    </cfRule>
    <cfRule type="expression" dxfId="9488" priority="2652">
      <formula>AND(IF($Q239=2,1,0),IF($X239&lt;30,1,0))</formula>
    </cfRule>
    <cfRule type="expression" dxfId="9487" priority="2653">
      <formula>AND(IF($Q239=3,1,0),IF($X239&lt;30,1,0))</formula>
    </cfRule>
    <cfRule type="expression" dxfId="9486" priority="2654">
      <formula>AND(IF($Q239=3,1,IF($Q239=4,1,0)),IF($F239&lt;=85,1,0))</formula>
    </cfRule>
  </conditionalFormatting>
  <conditionalFormatting sqref="AI239">
    <cfRule type="expression" dxfId="9485" priority="2647">
      <formula>AND(IF(OR($Q239=1,$Q239=2),1,0),IF($X239&lt;=20,1,0))</formula>
    </cfRule>
    <cfRule type="expression" dxfId="9484" priority="2648">
      <formula>AND(IF($Q239=2,1,0),IF($X239&lt;30,1,0))</formula>
    </cfRule>
    <cfRule type="expression" dxfId="9483" priority="2649">
      <formula>AND(IF($Q239=3,1,0),IF($X239&lt;30,1,0))</formula>
    </cfRule>
    <cfRule type="expression" dxfId="9482" priority="2650">
      <formula>AND(IF($Q239=3,1,IF($Q239=4,1,0)),IF($F239&lt;=85,1,0))</formula>
    </cfRule>
  </conditionalFormatting>
  <conditionalFormatting sqref="AV240">
    <cfRule type="expression" dxfId="9481" priority="2645">
      <formula>AV240="X"</formula>
    </cfRule>
    <cfRule type="expression" dxfId="9480" priority="2646">
      <formula>AV240="후보"</formula>
    </cfRule>
  </conditionalFormatting>
  <conditionalFormatting sqref="AC240">
    <cfRule type="cellIs" dxfId="9479" priority="2643" operator="greaterThan">
      <formula>0.9</formula>
    </cfRule>
    <cfRule type="cellIs" dxfId="9478" priority="2644" operator="greaterThan">
      <formula>0.85</formula>
    </cfRule>
  </conditionalFormatting>
  <conditionalFormatting sqref="N240">
    <cfRule type="cellIs" dxfId="9477" priority="2641" operator="greaterThan">
      <formula>0.9</formula>
    </cfRule>
    <cfRule type="cellIs" dxfId="9476" priority="2642" operator="greaterThan">
      <formula>0.85</formula>
    </cfRule>
  </conditionalFormatting>
  <conditionalFormatting sqref="E240">
    <cfRule type="expression" dxfId="9475" priority="2637">
      <formula>AND(IF(OR($Q240=1,$Q240=2),1,0),IF($X240&lt;=20,1,0))</formula>
    </cfRule>
    <cfRule type="expression" dxfId="9474" priority="2638">
      <formula>AND(IF($Q240=2,1,0),IF($X240&lt;30,1,0))</formula>
    </cfRule>
    <cfRule type="expression" dxfId="9473" priority="2639">
      <formula>AND(IF($Q240=3,1,0),IF($X240&lt;30,1,0))</formula>
    </cfRule>
    <cfRule type="expression" dxfId="9472" priority="2640">
      <formula>AND(IF($Q240=3,1,IF($Q240=4,1,0)),IF($F240&lt;=85,1,0))</formula>
    </cfRule>
  </conditionalFormatting>
  <conditionalFormatting sqref="X240">
    <cfRule type="expression" dxfId="9471" priority="2633">
      <formula>AND(IF(OR($Q240=1,$Q240=2),1,0),IF($X240&lt;=20,1,0))</formula>
    </cfRule>
    <cfRule type="expression" dxfId="9470" priority="2634">
      <formula>AND(IF($Q240=2,1,0),IF($X240&lt;30,1,0))</formula>
    </cfRule>
    <cfRule type="expression" dxfId="9469" priority="2635">
      <formula>AND(IF($Q240=3,1,0),IF($X240&lt;30,1,0))</formula>
    </cfRule>
    <cfRule type="expression" dxfId="9468" priority="2636">
      <formula>AND(IF($Q240=3,1,IF($Q240=4,1,0)),IF($F240&lt;=85,1,0))</formula>
    </cfRule>
  </conditionalFormatting>
  <conditionalFormatting sqref="AI240">
    <cfRule type="expression" dxfId="9467" priority="2629">
      <formula>AND(IF(OR($Q240=1,$Q240=2),1,0),IF($X240&lt;=20,1,0))</formula>
    </cfRule>
    <cfRule type="expression" dxfId="9466" priority="2630">
      <formula>AND(IF($Q240=2,1,0),IF($X240&lt;30,1,0))</formula>
    </cfRule>
    <cfRule type="expression" dxfId="9465" priority="2631">
      <formula>AND(IF($Q240=3,1,0),IF($X240&lt;30,1,0))</formula>
    </cfRule>
    <cfRule type="expression" dxfId="9464" priority="2632">
      <formula>AND(IF($Q240=3,1,IF($Q240=4,1,0)),IF($F240&lt;=85,1,0))</formula>
    </cfRule>
  </conditionalFormatting>
  <conditionalFormatting sqref="AV241">
    <cfRule type="expression" dxfId="9463" priority="2627">
      <formula>AV241="X"</formula>
    </cfRule>
    <cfRule type="expression" dxfId="9462" priority="2628">
      <formula>AV241="후보"</formula>
    </cfRule>
  </conditionalFormatting>
  <conditionalFormatting sqref="AC241">
    <cfRule type="cellIs" dxfId="9461" priority="2625" operator="greaterThan">
      <formula>0.9</formula>
    </cfRule>
    <cfRule type="cellIs" dxfId="9460" priority="2626" operator="greaterThan">
      <formula>0.85</formula>
    </cfRule>
  </conditionalFormatting>
  <conditionalFormatting sqref="N241">
    <cfRule type="cellIs" dxfId="9459" priority="2623" operator="greaterThan">
      <formula>0.9</formula>
    </cfRule>
    <cfRule type="cellIs" dxfId="9458" priority="2624" operator="greaterThan">
      <formula>0.85</formula>
    </cfRule>
  </conditionalFormatting>
  <conditionalFormatting sqref="E241">
    <cfRule type="expression" dxfId="9457" priority="2619">
      <formula>AND(IF(OR($Q241=1,$Q241=2),1,0),IF($X241&lt;=20,1,0))</formula>
    </cfRule>
    <cfRule type="expression" dxfId="9456" priority="2620">
      <formula>AND(IF($Q241=2,1,0),IF($X241&lt;30,1,0))</formula>
    </cfRule>
    <cfRule type="expression" dxfId="9455" priority="2621">
      <formula>AND(IF($Q241=3,1,0),IF($X241&lt;30,1,0))</formula>
    </cfRule>
    <cfRule type="expression" dxfId="9454" priority="2622">
      <formula>AND(IF($Q241=3,1,IF($Q241=4,1,0)),IF($F241&lt;=85,1,0))</formula>
    </cfRule>
  </conditionalFormatting>
  <conditionalFormatting sqref="X241">
    <cfRule type="expression" dxfId="9453" priority="2615">
      <formula>AND(IF(OR($Q241=1,$Q241=2),1,0),IF($X241&lt;=20,1,0))</formula>
    </cfRule>
    <cfRule type="expression" dxfId="9452" priority="2616">
      <formula>AND(IF($Q241=2,1,0),IF($X241&lt;30,1,0))</formula>
    </cfRule>
    <cfRule type="expression" dxfId="9451" priority="2617">
      <formula>AND(IF($Q241=3,1,0),IF($X241&lt;30,1,0))</formula>
    </cfRule>
    <cfRule type="expression" dxfId="9450" priority="2618">
      <formula>AND(IF($Q241=3,1,IF($Q241=4,1,0)),IF($F241&lt;=85,1,0))</formula>
    </cfRule>
  </conditionalFormatting>
  <conditionalFormatting sqref="AI241">
    <cfRule type="expression" dxfId="9449" priority="2611">
      <formula>AND(IF(OR($Q241=1,$Q241=2),1,0),IF($X241&lt;=20,1,0))</formula>
    </cfRule>
    <cfRule type="expression" dxfId="9448" priority="2612">
      <formula>AND(IF($Q241=2,1,0),IF($X241&lt;30,1,0))</formula>
    </cfRule>
    <cfRule type="expression" dxfId="9447" priority="2613">
      <formula>AND(IF($Q241=3,1,0),IF($X241&lt;30,1,0))</formula>
    </cfRule>
    <cfRule type="expression" dxfId="9446" priority="2614">
      <formula>AND(IF($Q241=3,1,IF($Q241=4,1,0)),IF($F241&lt;=85,1,0))</formula>
    </cfRule>
  </conditionalFormatting>
  <conditionalFormatting sqref="AV242">
    <cfRule type="expression" dxfId="9445" priority="2609">
      <formula>AV242="X"</formula>
    </cfRule>
    <cfRule type="expression" dxfId="9444" priority="2610">
      <formula>AV242="후보"</formula>
    </cfRule>
  </conditionalFormatting>
  <conditionalFormatting sqref="AC242">
    <cfRule type="cellIs" dxfId="9443" priority="2607" operator="greaterThan">
      <formula>0.9</formula>
    </cfRule>
    <cfRule type="cellIs" dxfId="9442" priority="2608" operator="greaterThan">
      <formula>0.85</formula>
    </cfRule>
  </conditionalFormatting>
  <conditionalFormatting sqref="N242">
    <cfRule type="cellIs" dxfId="9441" priority="2605" operator="greaterThan">
      <formula>0.9</formula>
    </cfRule>
    <cfRule type="cellIs" dxfId="9440" priority="2606" operator="greaterThan">
      <formula>0.85</formula>
    </cfRule>
  </conditionalFormatting>
  <conditionalFormatting sqref="E242">
    <cfRule type="expression" dxfId="9439" priority="2601">
      <formula>AND(IF(OR($Q242=1,$Q242=2),1,0),IF($X242&lt;=20,1,0))</formula>
    </cfRule>
    <cfRule type="expression" dxfId="9438" priority="2602">
      <formula>AND(IF($Q242=2,1,0),IF($X242&lt;30,1,0))</formula>
    </cfRule>
    <cfRule type="expression" dxfId="9437" priority="2603">
      <formula>AND(IF($Q242=3,1,0),IF($X242&lt;30,1,0))</formula>
    </cfRule>
    <cfRule type="expression" dxfId="9436" priority="2604">
      <formula>AND(IF($Q242=3,1,IF($Q242=4,1,0)),IF($F242&lt;=85,1,0))</formula>
    </cfRule>
  </conditionalFormatting>
  <conditionalFormatting sqref="X242">
    <cfRule type="expression" dxfId="9435" priority="2597">
      <formula>AND(IF(OR($Q242=1,$Q242=2),1,0),IF($X242&lt;=20,1,0))</formula>
    </cfRule>
    <cfRule type="expression" dxfId="9434" priority="2598">
      <formula>AND(IF($Q242=2,1,0),IF($X242&lt;30,1,0))</formula>
    </cfRule>
    <cfRule type="expression" dxfId="9433" priority="2599">
      <formula>AND(IF($Q242=3,1,0),IF($X242&lt;30,1,0))</formula>
    </cfRule>
    <cfRule type="expression" dxfId="9432" priority="2600">
      <formula>AND(IF($Q242=3,1,IF($Q242=4,1,0)),IF($F242&lt;=85,1,0))</formula>
    </cfRule>
  </conditionalFormatting>
  <conditionalFormatting sqref="AI242">
    <cfRule type="expression" dxfId="9431" priority="2593">
      <formula>AND(IF(OR($Q242=1,$Q242=2),1,0),IF($X242&lt;=20,1,0))</formula>
    </cfRule>
    <cfRule type="expression" dxfId="9430" priority="2594">
      <formula>AND(IF($Q242=2,1,0),IF($X242&lt;30,1,0))</formula>
    </cfRule>
    <cfRule type="expression" dxfId="9429" priority="2595">
      <formula>AND(IF($Q242=3,1,0),IF($X242&lt;30,1,0))</formula>
    </cfRule>
    <cfRule type="expression" dxfId="9428" priority="2596">
      <formula>AND(IF($Q242=3,1,IF($Q242=4,1,0)),IF($F242&lt;=85,1,0))</formula>
    </cfRule>
  </conditionalFormatting>
  <conditionalFormatting sqref="AV243">
    <cfRule type="expression" dxfId="9427" priority="2591">
      <formula>AV243="X"</formula>
    </cfRule>
    <cfRule type="expression" dxfId="9426" priority="2592">
      <formula>AV243="후보"</formula>
    </cfRule>
  </conditionalFormatting>
  <conditionalFormatting sqref="AC243">
    <cfRule type="cellIs" dxfId="9425" priority="2589" operator="greaterThan">
      <formula>0.9</formula>
    </cfRule>
    <cfRule type="cellIs" dxfId="9424" priority="2590" operator="greaterThan">
      <formula>0.85</formula>
    </cfRule>
  </conditionalFormatting>
  <conditionalFormatting sqref="N243">
    <cfRule type="cellIs" dxfId="9423" priority="2587" operator="greaterThan">
      <formula>0.9</formula>
    </cfRule>
    <cfRule type="cellIs" dxfId="9422" priority="2588" operator="greaterThan">
      <formula>0.85</formula>
    </cfRule>
  </conditionalFormatting>
  <conditionalFormatting sqref="E243">
    <cfRule type="expression" dxfId="9421" priority="2583">
      <formula>AND(IF(OR($Q243=1,$Q243=2),1,0),IF($X243&lt;=20,1,0))</formula>
    </cfRule>
    <cfRule type="expression" dxfId="9420" priority="2584">
      <formula>AND(IF($Q243=2,1,0),IF($X243&lt;30,1,0))</formula>
    </cfRule>
    <cfRule type="expression" dxfId="9419" priority="2585">
      <formula>AND(IF($Q243=3,1,0),IF($X243&lt;30,1,0))</formula>
    </cfRule>
    <cfRule type="expression" dxfId="9418" priority="2586">
      <formula>AND(IF($Q243=3,1,IF($Q243=4,1,0)),IF($F243&lt;=85,1,0))</formula>
    </cfRule>
  </conditionalFormatting>
  <conditionalFormatting sqref="X243">
    <cfRule type="expression" dxfId="9417" priority="2579">
      <formula>AND(IF(OR($Q243=1,$Q243=2),1,0),IF($X243&lt;=20,1,0))</formula>
    </cfRule>
    <cfRule type="expression" dxfId="9416" priority="2580">
      <formula>AND(IF($Q243=2,1,0),IF($X243&lt;30,1,0))</formula>
    </cfRule>
    <cfRule type="expression" dxfId="9415" priority="2581">
      <formula>AND(IF($Q243=3,1,0),IF($X243&lt;30,1,0))</formula>
    </cfRule>
    <cfRule type="expression" dxfId="9414" priority="2582">
      <formula>AND(IF($Q243=3,1,IF($Q243=4,1,0)),IF($F243&lt;=85,1,0))</formula>
    </cfRule>
  </conditionalFormatting>
  <conditionalFormatting sqref="AI243">
    <cfRule type="expression" dxfId="9413" priority="2575">
      <formula>AND(IF(OR($Q243=1,$Q243=2),1,0),IF($X243&lt;=20,1,0))</formula>
    </cfRule>
    <cfRule type="expression" dxfId="9412" priority="2576">
      <formula>AND(IF($Q243=2,1,0),IF($X243&lt;30,1,0))</formula>
    </cfRule>
    <cfRule type="expression" dxfId="9411" priority="2577">
      <formula>AND(IF($Q243=3,1,0),IF($X243&lt;30,1,0))</formula>
    </cfRule>
    <cfRule type="expression" dxfId="9410" priority="2578">
      <formula>AND(IF($Q243=3,1,IF($Q243=4,1,0)),IF($F243&lt;=85,1,0))</formula>
    </cfRule>
  </conditionalFormatting>
  <conditionalFormatting sqref="AV244">
    <cfRule type="expression" dxfId="9409" priority="2573">
      <formula>AV244="X"</formula>
    </cfRule>
    <cfRule type="expression" dxfId="9408" priority="2574">
      <formula>AV244="후보"</formula>
    </cfRule>
  </conditionalFormatting>
  <conditionalFormatting sqref="AC244">
    <cfRule type="cellIs" dxfId="9407" priority="2571" operator="greaterThan">
      <formula>0.9</formula>
    </cfRule>
    <cfRule type="cellIs" dxfId="9406" priority="2572" operator="greaterThan">
      <formula>0.85</formula>
    </cfRule>
  </conditionalFormatting>
  <conditionalFormatting sqref="N244">
    <cfRule type="cellIs" dxfId="9405" priority="2569" operator="greaterThan">
      <formula>0.9</formula>
    </cfRule>
    <cfRule type="cellIs" dxfId="9404" priority="2570" operator="greaterThan">
      <formula>0.85</formula>
    </cfRule>
  </conditionalFormatting>
  <conditionalFormatting sqref="E244">
    <cfRule type="expression" dxfId="9403" priority="2565">
      <formula>AND(IF(OR($Q244=1,$Q244=2),1,0),IF($X244&lt;=20,1,0))</formula>
    </cfRule>
    <cfRule type="expression" dxfId="9402" priority="2566">
      <formula>AND(IF($Q244=2,1,0),IF($X244&lt;30,1,0))</formula>
    </cfRule>
    <cfRule type="expression" dxfId="9401" priority="2567">
      <formula>AND(IF($Q244=3,1,0),IF($X244&lt;30,1,0))</formula>
    </cfRule>
    <cfRule type="expression" dxfId="9400" priority="2568">
      <formula>AND(IF($Q244=3,1,IF($Q244=4,1,0)),IF($F244&lt;=85,1,0))</formula>
    </cfRule>
  </conditionalFormatting>
  <conditionalFormatting sqref="X244">
    <cfRule type="expression" dxfId="9399" priority="2561">
      <formula>AND(IF(OR($Q244=1,$Q244=2),1,0),IF($X244&lt;=20,1,0))</formula>
    </cfRule>
    <cfRule type="expression" dxfId="9398" priority="2562">
      <formula>AND(IF($Q244=2,1,0),IF($X244&lt;30,1,0))</formula>
    </cfRule>
    <cfRule type="expression" dxfId="9397" priority="2563">
      <formula>AND(IF($Q244=3,1,0),IF($X244&lt;30,1,0))</formula>
    </cfRule>
    <cfRule type="expression" dxfId="9396" priority="2564">
      <formula>AND(IF($Q244=3,1,IF($Q244=4,1,0)),IF($F244&lt;=85,1,0))</formula>
    </cfRule>
  </conditionalFormatting>
  <conditionalFormatting sqref="AI244">
    <cfRule type="expression" dxfId="9395" priority="2557">
      <formula>AND(IF(OR($Q244=1,$Q244=2),1,0),IF($X244&lt;=20,1,0))</formula>
    </cfRule>
    <cfRule type="expression" dxfId="9394" priority="2558">
      <formula>AND(IF($Q244=2,1,0),IF($X244&lt;30,1,0))</formula>
    </cfRule>
    <cfRule type="expression" dxfId="9393" priority="2559">
      <formula>AND(IF($Q244=3,1,0),IF($X244&lt;30,1,0))</formula>
    </cfRule>
    <cfRule type="expression" dxfId="9392" priority="2560">
      <formula>AND(IF($Q244=3,1,IF($Q244=4,1,0)),IF($F244&lt;=85,1,0))</formula>
    </cfRule>
  </conditionalFormatting>
  <conditionalFormatting sqref="AV245">
    <cfRule type="expression" dxfId="9391" priority="2555">
      <formula>AV245="X"</formula>
    </cfRule>
    <cfRule type="expression" dxfId="9390" priority="2556">
      <formula>AV245="후보"</formula>
    </cfRule>
  </conditionalFormatting>
  <conditionalFormatting sqref="AC245">
    <cfRule type="cellIs" dxfId="9389" priority="2553" operator="greaterThan">
      <formula>0.9</formula>
    </cfRule>
    <cfRule type="cellIs" dxfId="9388" priority="2554" operator="greaterThan">
      <formula>0.85</formula>
    </cfRule>
  </conditionalFormatting>
  <conditionalFormatting sqref="N245">
    <cfRule type="cellIs" dxfId="9387" priority="2551" operator="greaterThan">
      <formula>0.9</formula>
    </cfRule>
    <cfRule type="cellIs" dxfId="9386" priority="2552" operator="greaterThan">
      <formula>0.85</formula>
    </cfRule>
  </conditionalFormatting>
  <conditionalFormatting sqref="E245">
    <cfRule type="expression" dxfId="9385" priority="2547">
      <formula>AND(IF(OR($Q245=1,$Q245=2),1,0),IF($X245&lt;=20,1,0))</formula>
    </cfRule>
    <cfRule type="expression" dxfId="9384" priority="2548">
      <formula>AND(IF($Q245=2,1,0),IF($X245&lt;30,1,0))</formula>
    </cfRule>
    <cfRule type="expression" dxfId="9383" priority="2549">
      <formula>AND(IF($Q245=3,1,0),IF($X245&lt;30,1,0))</formula>
    </cfRule>
    <cfRule type="expression" dxfId="9382" priority="2550">
      <formula>AND(IF($Q245=3,1,IF($Q245=4,1,0)),IF($F245&lt;=85,1,0))</formula>
    </cfRule>
  </conditionalFormatting>
  <conditionalFormatting sqref="X245">
    <cfRule type="expression" dxfId="9381" priority="2543">
      <formula>AND(IF(OR($Q245=1,$Q245=2),1,0),IF($X245&lt;=20,1,0))</formula>
    </cfRule>
    <cfRule type="expression" dxfId="9380" priority="2544">
      <formula>AND(IF($Q245=2,1,0),IF($X245&lt;30,1,0))</formula>
    </cfRule>
    <cfRule type="expression" dxfId="9379" priority="2545">
      <formula>AND(IF($Q245=3,1,0),IF($X245&lt;30,1,0))</formula>
    </cfRule>
    <cfRule type="expression" dxfId="9378" priority="2546">
      <formula>AND(IF($Q245=3,1,IF($Q245=4,1,0)),IF($F245&lt;=85,1,0))</formula>
    </cfRule>
  </conditionalFormatting>
  <conditionalFormatting sqref="AI245">
    <cfRule type="expression" dxfId="9377" priority="2539">
      <formula>AND(IF(OR($Q245=1,$Q245=2),1,0),IF($X245&lt;=20,1,0))</formula>
    </cfRule>
    <cfRule type="expression" dxfId="9376" priority="2540">
      <formula>AND(IF($Q245=2,1,0),IF($X245&lt;30,1,0))</formula>
    </cfRule>
    <cfRule type="expression" dxfId="9375" priority="2541">
      <formula>AND(IF($Q245=3,1,0),IF($X245&lt;30,1,0))</formula>
    </cfRule>
    <cfRule type="expression" dxfId="9374" priority="2542">
      <formula>AND(IF($Q245=3,1,IF($Q245=4,1,0)),IF($F245&lt;=85,1,0))</formula>
    </cfRule>
  </conditionalFormatting>
  <conditionalFormatting sqref="AV246">
    <cfRule type="expression" dxfId="9373" priority="2537">
      <formula>AV246="X"</formula>
    </cfRule>
    <cfRule type="expression" dxfId="9372" priority="2538">
      <formula>AV246="후보"</formula>
    </cfRule>
  </conditionalFormatting>
  <conditionalFormatting sqref="AC246">
    <cfRule type="cellIs" dxfId="9371" priority="2535" operator="greaterThan">
      <formula>0.9</formula>
    </cfRule>
    <cfRule type="cellIs" dxfId="9370" priority="2536" operator="greaterThan">
      <formula>0.85</formula>
    </cfRule>
  </conditionalFormatting>
  <conditionalFormatting sqref="N246">
    <cfRule type="cellIs" dxfId="9369" priority="2533" operator="greaterThan">
      <formula>0.9</formula>
    </cfRule>
    <cfRule type="cellIs" dxfId="9368" priority="2534" operator="greaterThan">
      <formula>0.85</formula>
    </cfRule>
  </conditionalFormatting>
  <conditionalFormatting sqref="E246">
    <cfRule type="expression" dxfId="9367" priority="2529">
      <formula>AND(IF(OR($Q246=1,$Q246=2),1,0),IF($X246&lt;=20,1,0))</formula>
    </cfRule>
    <cfRule type="expression" dxfId="9366" priority="2530">
      <formula>AND(IF($Q246=2,1,0),IF($X246&lt;30,1,0))</formula>
    </cfRule>
    <cfRule type="expression" dxfId="9365" priority="2531">
      <formula>AND(IF($Q246=3,1,0),IF($X246&lt;30,1,0))</formula>
    </cfRule>
    <cfRule type="expression" dxfId="9364" priority="2532">
      <formula>AND(IF($Q246=3,1,IF($Q246=4,1,0)),IF($F246&lt;=85,1,0))</formula>
    </cfRule>
  </conditionalFormatting>
  <conditionalFormatting sqref="X246">
    <cfRule type="expression" dxfId="9363" priority="2525">
      <formula>AND(IF(OR($Q246=1,$Q246=2),1,0),IF($X246&lt;=20,1,0))</formula>
    </cfRule>
    <cfRule type="expression" dxfId="9362" priority="2526">
      <formula>AND(IF($Q246=2,1,0),IF($X246&lt;30,1,0))</formula>
    </cfRule>
    <cfRule type="expression" dxfId="9361" priority="2527">
      <formula>AND(IF($Q246=3,1,0),IF($X246&lt;30,1,0))</formula>
    </cfRule>
    <cfRule type="expression" dxfId="9360" priority="2528">
      <formula>AND(IF($Q246=3,1,IF($Q246=4,1,0)),IF($F246&lt;=85,1,0))</formula>
    </cfRule>
  </conditionalFormatting>
  <conditionalFormatting sqref="AI246">
    <cfRule type="expression" dxfId="9359" priority="2521">
      <formula>AND(IF(OR($Q246=1,$Q246=2),1,0),IF($X246&lt;=20,1,0))</formula>
    </cfRule>
    <cfRule type="expression" dxfId="9358" priority="2522">
      <formula>AND(IF($Q246=2,1,0),IF($X246&lt;30,1,0))</formula>
    </cfRule>
    <cfRule type="expression" dxfId="9357" priority="2523">
      <formula>AND(IF($Q246=3,1,0),IF($X246&lt;30,1,0))</formula>
    </cfRule>
    <cfRule type="expression" dxfId="9356" priority="2524">
      <formula>AND(IF($Q246=3,1,IF($Q246=4,1,0)),IF($F246&lt;=85,1,0))</formula>
    </cfRule>
  </conditionalFormatting>
  <conditionalFormatting sqref="AV247">
    <cfRule type="expression" dxfId="9355" priority="2519">
      <formula>AV247="X"</formula>
    </cfRule>
    <cfRule type="expression" dxfId="9354" priority="2520">
      <formula>AV247="후보"</formula>
    </cfRule>
  </conditionalFormatting>
  <conditionalFormatting sqref="AC247">
    <cfRule type="cellIs" dxfId="9353" priority="2517" operator="greaterThan">
      <formula>0.9</formula>
    </cfRule>
    <cfRule type="cellIs" dxfId="9352" priority="2518" operator="greaterThan">
      <formula>0.85</formula>
    </cfRule>
  </conditionalFormatting>
  <conditionalFormatting sqref="N247">
    <cfRule type="cellIs" dxfId="9351" priority="2515" operator="greaterThan">
      <formula>0.9</formula>
    </cfRule>
    <cfRule type="cellIs" dxfId="9350" priority="2516" operator="greaterThan">
      <formula>0.85</formula>
    </cfRule>
  </conditionalFormatting>
  <conditionalFormatting sqref="E247">
    <cfRule type="expression" dxfId="9349" priority="2511">
      <formula>AND(IF(OR($Q247=1,$Q247=2),1,0),IF($X247&lt;=20,1,0))</formula>
    </cfRule>
    <cfRule type="expression" dxfId="9348" priority="2512">
      <formula>AND(IF($Q247=2,1,0),IF($X247&lt;30,1,0))</formula>
    </cfRule>
    <cfRule type="expression" dxfId="9347" priority="2513">
      <formula>AND(IF($Q247=3,1,0),IF($X247&lt;30,1,0))</formula>
    </cfRule>
    <cfRule type="expression" dxfId="9346" priority="2514">
      <formula>AND(IF($Q247=3,1,IF($Q247=4,1,0)),IF($F247&lt;=85,1,0))</formula>
    </cfRule>
  </conditionalFormatting>
  <conditionalFormatting sqref="X247">
    <cfRule type="expression" dxfId="9345" priority="2507">
      <formula>AND(IF(OR($Q247=1,$Q247=2),1,0),IF($X247&lt;=20,1,0))</formula>
    </cfRule>
    <cfRule type="expression" dxfId="9344" priority="2508">
      <formula>AND(IF($Q247=2,1,0),IF($X247&lt;30,1,0))</formula>
    </cfRule>
    <cfRule type="expression" dxfId="9343" priority="2509">
      <formula>AND(IF($Q247=3,1,0),IF($X247&lt;30,1,0))</formula>
    </cfRule>
    <cfRule type="expression" dxfId="9342" priority="2510">
      <formula>AND(IF($Q247=3,1,IF($Q247=4,1,0)),IF($F247&lt;=85,1,0))</formula>
    </cfRule>
  </conditionalFormatting>
  <conditionalFormatting sqref="AI247">
    <cfRule type="expression" dxfId="9341" priority="2503">
      <formula>AND(IF(OR($Q247=1,$Q247=2),1,0),IF($X247&lt;=20,1,0))</formula>
    </cfRule>
    <cfRule type="expression" dxfId="9340" priority="2504">
      <formula>AND(IF($Q247=2,1,0),IF($X247&lt;30,1,0))</formula>
    </cfRule>
    <cfRule type="expression" dxfId="9339" priority="2505">
      <formula>AND(IF($Q247=3,1,0),IF($X247&lt;30,1,0))</formula>
    </cfRule>
    <cfRule type="expression" dxfId="9338" priority="2506">
      <formula>AND(IF($Q247=3,1,IF($Q247=4,1,0)),IF($F247&lt;=85,1,0))</formula>
    </cfRule>
  </conditionalFormatting>
  <conditionalFormatting sqref="AV248">
    <cfRule type="expression" dxfId="9337" priority="2501">
      <formula>AV248="X"</formula>
    </cfRule>
    <cfRule type="expression" dxfId="9336" priority="2502">
      <formula>AV248="후보"</formula>
    </cfRule>
  </conditionalFormatting>
  <conditionalFormatting sqref="AC248">
    <cfRule type="cellIs" dxfId="9335" priority="2499" operator="greaterThan">
      <formula>0.9</formula>
    </cfRule>
    <cfRule type="cellIs" dxfId="9334" priority="2500" operator="greaterThan">
      <formula>0.85</formula>
    </cfRule>
  </conditionalFormatting>
  <conditionalFormatting sqref="N248">
    <cfRule type="cellIs" dxfId="9333" priority="2497" operator="greaterThan">
      <formula>0.9</formula>
    </cfRule>
    <cfRule type="cellIs" dxfId="9332" priority="2498" operator="greaterThan">
      <formula>0.85</formula>
    </cfRule>
  </conditionalFormatting>
  <conditionalFormatting sqref="E248">
    <cfRule type="expression" dxfId="9331" priority="2493">
      <formula>AND(IF(OR($Q248=1,$Q248=2),1,0),IF($X248&lt;=20,1,0))</formula>
    </cfRule>
    <cfRule type="expression" dxfId="9330" priority="2494">
      <formula>AND(IF($Q248=2,1,0),IF($X248&lt;30,1,0))</formula>
    </cfRule>
    <cfRule type="expression" dxfId="9329" priority="2495">
      <formula>AND(IF($Q248=3,1,0),IF($X248&lt;30,1,0))</formula>
    </cfRule>
    <cfRule type="expression" dxfId="9328" priority="2496">
      <formula>AND(IF($Q248=3,1,IF($Q248=4,1,0)),IF($F248&lt;=85,1,0))</formula>
    </cfRule>
  </conditionalFormatting>
  <conditionalFormatting sqref="X248">
    <cfRule type="expression" dxfId="9327" priority="2489">
      <formula>AND(IF(OR($Q248=1,$Q248=2),1,0),IF($X248&lt;=20,1,0))</formula>
    </cfRule>
    <cfRule type="expression" dxfId="9326" priority="2490">
      <formula>AND(IF($Q248=2,1,0),IF($X248&lt;30,1,0))</formula>
    </cfRule>
    <cfRule type="expression" dxfId="9325" priority="2491">
      <formula>AND(IF($Q248=3,1,0),IF($X248&lt;30,1,0))</formula>
    </cfRule>
    <cfRule type="expression" dxfId="9324" priority="2492">
      <formula>AND(IF($Q248=3,1,IF($Q248=4,1,0)),IF($F248&lt;=85,1,0))</formula>
    </cfRule>
  </conditionalFormatting>
  <conditionalFormatting sqref="AI248">
    <cfRule type="expression" dxfId="9323" priority="2485">
      <formula>AND(IF(OR($Q248=1,$Q248=2),1,0),IF($X248&lt;=20,1,0))</formula>
    </cfRule>
    <cfRule type="expression" dxfId="9322" priority="2486">
      <formula>AND(IF($Q248=2,1,0),IF($X248&lt;30,1,0))</formula>
    </cfRule>
    <cfRule type="expression" dxfId="9321" priority="2487">
      <formula>AND(IF($Q248=3,1,0),IF($X248&lt;30,1,0))</formula>
    </cfRule>
    <cfRule type="expression" dxfId="9320" priority="2488">
      <formula>AND(IF($Q248=3,1,IF($Q248=4,1,0)),IF($F248&lt;=85,1,0))</formula>
    </cfRule>
  </conditionalFormatting>
  <conditionalFormatting sqref="AV249">
    <cfRule type="expression" dxfId="9319" priority="2483">
      <formula>AV249="X"</formula>
    </cfRule>
    <cfRule type="expression" dxfId="9318" priority="2484">
      <formula>AV249="후보"</formula>
    </cfRule>
  </conditionalFormatting>
  <conditionalFormatting sqref="AC249">
    <cfRule type="cellIs" dxfId="9317" priority="2481" operator="greaterThan">
      <formula>0.9</formula>
    </cfRule>
    <cfRule type="cellIs" dxfId="9316" priority="2482" operator="greaterThan">
      <formula>0.85</formula>
    </cfRule>
  </conditionalFormatting>
  <conditionalFormatting sqref="N249">
    <cfRule type="cellIs" dxfId="9315" priority="2479" operator="greaterThan">
      <formula>0.9</formula>
    </cfRule>
    <cfRule type="cellIs" dxfId="9314" priority="2480" operator="greaterThan">
      <formula>0.85</formula>
    </cfRule>
  </conditionalFormatting>
  <conditionalFormatting sqref="E249">
    <cfRule type="expression" dxfId="9313" priority="2475">
      <formula>AND(IF(OR($Q249=1,$Q249=2),1,0),IF($X249&lt;=20,1,0))</formula>
    </cfRule>
    <cfRule type="expression" dxfId="9312" priority="2476">
      <formula>AND(IF($Q249=2,1,0),IF($X249&lt;30,1,0))</formula>
    </cfRule>
    <cfRule type="expression" dxfId="9311" priority="2477">
      <formula>AND(IF($Q249=3,1,0),IF($X249&lt;30,1,0))</formula>
    </cfRule>
    <cfRule type="expression" dxfId="9310" priority="2478">
      <formula>AND(IF($Q249=3,1,IF($Q249=4,1,0)),IF($F249&lt;=85,1,0))</formula>
    </cfRule>
  </conditionalFormatting>
  <conditionalFormatting sqref="X249">
    <cfRule type="expression" dxfId="9309" priority="2471">
      <formula>AND(IF(OR($Q249=1,$Q249=2),1,0),IF($X249&lt;=20,1,0))</formula>
    </cfRule>
    <cfRule type="expression" dxfId="9308" priority="2472">
      <formula>AND(IF($Q249=2,1,0),IF($X249&lt;30,1,0))</formula>
    </cfRule>
    <cfRule type="expression" dxfId="9307" priority="2473">
      <formula>AND(IF($Q249=3,1,0),IF($X249&lt;30,1,0))</formula>
    </cfRule>
    <cfRule type="expression" dxfId="9306" priority="2474">
      <formula>AND(IF($Q249=3,1,IF($Q249=4,1,0)),IF($F249&lt;=85,1,0))</formula>
    </cfRule>
  </conditionalFormatting>
  <conditionalFormatting sqref="AI249">
    <cfRule type="expression" dxfId="9305" priority="2467">
      <formula>AND(IF(OR($Q249=1,$Q249=2),1,0),IF($X249&lt;=20,1,0))</formula>
    </cfRule>
    <cfRule type="expression" dxfId="9304" priority="2468">
      <formula>AND(IF($Q249=2,1,0),IF($X249&lt;30,1,0))</formula>
    </cfRule>
    <cfRule type="expression" dxfId="9303" priority="2469">
      <formula>AND(IF($Q249=3,1,0),IF($X249&lt;30,1,0))</formula>
    </cfRule>
    <cfRule type="expression" dxfId="9302" priority="2470">
      <formula>AND(IF($Q249=3,1,IF($Q249=4,1,0)),IF($F249&lt;=85,1,0))</formula>
    </cfRule>
  </conditionalFormatting>
  <conditionalFormatting sqref="AV250">
    <cfRule type="expression" dxfId="9301" priority="2465">
      <formula>AV250="X"</formula>
    </cfRule>
    <cfRule type="expression" dxfId="9300" priority="2466">
      <formula>AV250="후보"</formula>
    </cfRule>
  </conditionalFormatting>
  <conditionalFormatting sqref="AC250">
    <cfRule type="cellIs" dxfId="9299" priority="2463" operator="greaterThan">
      <formula>0.9</formula>
    </cfRule>
    <cfRule type="cellIs" dxfId="9298" priority="2464" operator="greaterThan">
      <formula>0.85</formula>
    </cfRule>
  </conditionalFormatting>
  <conditionalFormatting sqref="N250">
    <cfRule type="cellIs" dxfId="9297" priority="2461" operator="greaterThan">
      <formula>0.9</formula>
    </cfRule>
    <cfRule type="cellIs" dxfId="9296" priority="2462" operator="greaterThan">
      <formula>0.85</formula>
    </cfRule>
  </conditionalFormatting>
  <conditionalFormatting sqref="E250">
    <cfRule type="expression" dxfId="9295" priority="2457">
      <formula>AND(IF(OR($Q250=1,$Q250=2),1,0),IF($X250&lt;=20,1,0))</formula>
    </cfRule>
    <cfRule type="expression" dxfId="9294" priority="2458">
      <formula>AND(IF($Q250=2,1,0),IF($X250&lt;30,1,0))</formula>
    </cfRule>
    <cfRule type="expression" dxfId="9293" priority="2459">
      <formula>AND(IF($Q250=3,1,0),IF($X250&lt;30,1,0))</formula>
    </cfRule>
    <cfRule type="expression" dxfId="9292" priority="2460">
      <formula>AND(IF($Q250=3,1,IF($Q250=4,1,0)),IF($F250&lt;=85,1,0))</formula>
    </cfRule>
  </conditionalFormatting>
  <conditionalFormatting sqref="X250">
    <cfRule type="expression" dxfId="9291" priority="2453">
      <formula>AND(IF(OR($Q250=1,$Q250=2),1,0),IF($X250&lt;=20,1,0))</formula>
    </cfRule>
    <cfRule type="expression" dxfId="9290" priority="2454">
      <formula>AND(IF($Q250=2,1,0),IF($X250&lt;30,1,0))</formula>
    </cfRule>
    <cfRule type="expression" dxfId="9289" priority="2455">
      <formula>AND(IF($Q250=3,1,0),IF($X250&lt;30,1,0))</formula>
    </cfRule>
    <cfRule type="expression" dxfId="9288" priority="2456">
      <formula>AND(IF($Q250=3,1,IF($Q250=4,1,0)),IF($F250&lt;=85,1,0))</formula>
    </cfRule>
  </conditionalFormatting>
  <conditionalFormatting sqref="AI250">
    <cfRule type="expression" dxfId="9287" priority="2449">
      <formula>AND(IF(OR($Q250=1,$Q250=2),1,0),IF($X250&lt;=20,1,0))</formula>
    </cfRule>
    <cfRule type="expression" dxfId="9286" priority="2450">
      <formula>AND(IF($Q250=2,1,0),IF($X250&lt;30,1,0))</formula>
    </cfRule>
    <cfRule type="expression" dxfId="9285" priority="2451">
      <formula>AND(IF($Q250=3,1,0),IF($X250&lt;30,1,0))</formula>
    </cfRule>
    <cfRule type="expression" dxfId="9284" priority="2452">
      <formula>AND(IF($Q250=3,1,IF($Q250=4,1,0)),IF($F250&lt;=85,1,0))</formula>
    </cfRule>
  </conditionalFormatting>
  <conditionalFormatting sqref="AV251">
    <cfRule type="expression" dxfId="9283" priority="2447">
      <formula>AV251="X"</formula>
    </cfRule>
    <cfRule type="expression" dxfId="9282" priority="2448">
      <formula>AV251="후보"</formula>
    </cfRule>
  </conditionalFormatting>
  <conditionalFormatting sqref="AC251">
    <cfRule type="cellIs" dxfId="9281" priority="2445" operator="greaterThan">
      <formula>0.9</formula>
    </cfRule>
    <cfRule type="cellIs" dxfId="9280" priority="2446" operator="greaterThan">
      <formula>0.85</formula>
    </cfRule>
  </conditionalFormatting>
  <conditionalFormatting sqref="N251">
    <cfRule type="cellIs" dxfId="9279" priority="2443" operator="greaterThan">
      <formula>0.9</formula>
    </cfRule>
    <cfRule type="cellIs" dxfId="9278" priority="2444" operator="greaterThan">
      <formula>0.85</formula>
    </cfRule>
  </conditionalFormatting>
  <conditionalFormatting sqref="E251">
    <cfRule type="expression" dxfId="9277" priority="2439">
      <formula>AND(IF(OR($Q251=1,$Q251=2),1,0),IF($X251&lt;=20,1,0))</formula>
    </cfRule>
    <cfRule type="expression" dxfId="9276" priority="2440">
      <formula>AND(IF($Q251=2,1,0),IF($X251&lt;30,1,0))</formula>
    </cfRule>
    <cfRule type="expression" dxfId="9275" priority="2441">
      <formula>AND(IF($Q251=3,1,0),IF($X251&lt;30,1,0))</formula>
    </cfRule>
    <cfRule type="expression" dxfId="9274" priority="2442">
      <formula>AND(IF($Q251=3,1,IF($Q251=4,1,0)),IF($F251&lt;=85,1,0))</formula>
    </cfRule>
  </conditionalFormatting>
  <conditionalFormatting sqref="X251">
    <cfRule type="expression" dxfId="9273" priority="2435">
      <formula>AND(IF(OR($Q251=1,$Q251=2),1,0),IF($X251&lt;=20,1,0))</formula>
    </cfRule>
    <cfRule type="expression" dxfId="9272" priority="2436">
      <formula>AND(IF($Q251=2,1,0),IF($X251&lt;30,1,0))</formula>
    </cfRule>
    <cfRule type="expression" dxfId="9271" priority="2437">
      <formula>AND(IF($Q251=3,1,0),IF($X251&lt;30,1,0))</formula>
    </cfRule>
    <cfRule type="expression" dxfId="9270" priority="2438">
      <formula>AND(IF($Q251=3,1,IF($Q251=4,1,0)),IF($F251&lt;=85,1,0))</formula>
    </cfRule>
  </conditionalFormatting>
  <conditionalFormatting sqref="AI251">
    <cfRule type="expression" dxfId="9269" priority="2431">
      <formula>AND(IF(OR($Q251=1,$Q251=2),1,0),IF($X251&lt;=20,1,0))</formula>
    </cfRule>
    <cfRule type="expression" dxfId="9268" priority="2432">
      <formula>AND(IF($Q251=2,1,0),IF($X251&lt;30,1,0))</formula>
    </cfRule>
    <cfRule type="expression" dxfId="9267" priority="2433">
      <formula>AND(IF($Q251=3,1,0),IF($X251&lt;30,1,0))</formula>
    </cfRule>
    <cfRule type="expression" dxfId="9266" priority="2434">
      <formula>AND(IF($Q251=3,1,IF($Q251=4,1,0)),IF($F251&lt;=85,1,0))</formula>
    </cfRule>
  </conditionalFormatting>
  <conditionalFormatting sqref="AV252">
    <cfRule type="expression" dxfId="9265" priority="2429">
      <formula>AV252="X"</formula>
    </cfRule>
    <cfRule type="expression" dxfId="9264" priority="2430">
      <formula>AV252="후보"</formula>
    </cfRule>
  </conditionalFormatting>
  <conditionalFormatting sqref="AC252">
    <cfRule type="cellIs" dxfId="9263" priority="2427" operator="greaterThan">
      <formula>0.9</formula>
    </cfRule>
    <cfRule type="cellIs" dxfId="9262" priority="2428" operator="greaterThan">
      <formula>0.85</formula>
    </cfRule>
  </conditionalFormatting>
  <conditionalFormatting sqref="N252">
    <cfRule type="cellIs" dxfId="9261" priority="2425" operator="greaterThan">
      <formula>0.9</formula>
    </cfRule>
    <cfRule type="cellIs" dxfId="9260" priority="2426" operator="greaterThan">
      <formula>0.85</formula>
    </cfRule>
  </conditionalFormatting>
  <conditionalFormatting sqref="E252">
    <cfRule type="expression" dxfId="9259" priority="2421">
      <formula>AND(IF(OR($Q252=1,$Q252=2),1,0),IF($X252&lt;=20,1,0))</formula>
    </cfRule>
    <cfRule type="expression" dxfId="9258" priority="2422">
      <formula>AND(IF($Q252=2,1,0),IF($X252&lt;30,1,0))</formula>
    </cfRule>
    <cfRule type="expression" dxfId="9257" priority="2423">
      <formula>AND(IF($Q252=3,1,0),IF($X252&lt;30,1,0))</formula>
    </cfRule>
    <cfRule type="expression" dxfId="9256" priority="2424">
      <formula>AND(IF($Q252=3,1,IF($Q252=4,1,0)),IF($F252&lt;=85,1,0))</formula>
    </cfRule>
  </conditionalFormatting>
  <conditionalFormatting sqref="X252">
    <cfRule type="expression" dxfId="9255" priority="2417">
      <formula>AND(IF(OR($Q252=1,$Q252=2),1,0),IF($X252&lt;=20,1,0))</formula>
    </cfRule>
    <cfRule type="expression" dxfId="9254" priority="2418">
      <formula>AND(IF($Q252=2,1,0),IF($X252&lt;30,1,0))</formula>
    </cfRule>
    <cfRule type="expression" dxfId="9253" priority="2419">
      <formula>AND(IF($Q252=3,1,0),IF($X252&lt;30,1,0))</formula>
    </cfRule>
    <cfRule type="expression" dxfId="9252" priority="2420">
      <formula>AND(IF($Q252=3,1,IF($Q252=4,1,0)),IF($F252&lt;=85,1,0))</formula>
    </cfRule>
  </conditionalFormatting>
  <conditionalFormatting sqref="AI252">
    <cfRule type="expression" dxfId="9251" priority="2413">
      <formula>AND(IF(OR($Q252=1,$Q252=2),1,0),IF($X252&lt;=20,1,0))</formula>
    </cfRule>
    <cfRule type="expression" dxfId="9250" priority="2414">
      <formula>AND(IF($Q252=2,1,0),IF($X252&lt;30,1,0))</formula>
    </cfRule>
    <cfRule type="expression" dxfId="9249" priority="2415">
      <formula>AND(IF($Q252=3,1,0),IF($X252&lt;30,1,0))</formula>
    </cfRule>
    <cfRule type="expression" dxfId="9248" priority="2416">
      <formula>AND(IF($Q252=3,1,IF($Q252=4,1,0)),IF($F252&lt;=85,1,0))</formula>
    </cfRule>
  </conditionalFormatting>
  <conditionalFormatting sqref="AV253">
    <cfRule type="expression" dxfId="9247" priority="2411">
      <formula>AV253="X"</formula>
    </cfRule>
    <cfRule type="expression" dxfId="9246" priority="2412">
      <formula>AV253="후보"</formula>
    </cfRule>
  </conditionalFormatting>
  <conditionalFormatting sqref="AC253">
    <cfRule type="cellIs" dxfId="9245" priority="2409" operator="greaterThan">
      <formula>0.9</formula>
    </cfRule>
    <cfRule type="cellIs" dxfId="9244" priority="2410" operator="greaterThan">
      <formula>0.85</formula>
    </cfRule>
  </conditionalFormatting>
  <conditionalFormatting sqref="N253">
    <cfRule type="cellIs" dxfId="9243" priority="2407" operator="greaterThan">
      <formula>0.9</formula>
    </cfRule>
    <cfRule type="cellIs" dxfId="9242" priority="2408" operator="greaterThan">
      <formula>0.85</formula>
    </cfRule>
  </conditionalFormatting>
  <conditionalFormatting sqref="E253">
    <cfRule type="expression" dxfId="9241" priority="2403">
      <formula>AND(IF(OR($Q253=1,$Q253=2),1,0),IF($X253&lt;=20,1,0))</formula>
    </cfRule>
    <cfRule type="expression" dxfId="9240" priority="2404">
      <formula>AND(IF($Q253=2,1,0),IF($X253&lt;30,1,0))</formula>
    </cfRule>
    <cfRule type="expression" dxfId="9239" priority="2405">
      <formula>AND(IF($Q253=3,1,0),IF($X253&lt;30,1,0))</formula>
    </cfRule>
    <cfRule type="expression" dxfId="9238" priority="2406">
      <formula>AND(IF($Q253=3,1,IF($Q253=4,1,0)),IF($F253&lt;=85,1,0))</formula>
    </cfRule>
  </conditionalFormatting>
  <conditionalFormatting sqref="X253">
    <cfRule type="expression" dxfId="9237" priority="2399">
      <formula>AND(IF(OR($Q253=1,$Q253=2),1,0),IF($X253&lt;=20,1,0))</formula>
    </cfRule>
    <cfRule type="expression" dxfId="9236" priority="2400">
      <formula>AND(IF($Q253=2,1,0),IF($X253&lt;30,1,0))</formula>
    </cfRule>
    <cfRule type="expression" dxfId="9235" priority="2401">
      <formula>AND(IF($Q253=3,1,0),IF($X253&lt;30,1,0))</formula>
    </cfRule>
    <cfRule type="expression" dxfId="9234" priority="2402">
      <formula>AND(IF($Q253=3,1,IF($Q253=4,1,0)),IF($F253&lt;=85,1,0))</formula>
    </cfRule>
  </conditionalFormatting>
  <conditionalFormatting sqref="AI253">
    <cfRule type="expression" dxfId="9233" priority="2395">
      <formula>AND(IF(OR($Q253=1,$Q253=2),1,0),IF($X253&lt;=20,1,0))</formula>
    </cfRule>
    <cfRule type="expression" dxfId="9232" priority="2396">
      <formula>AND(IF($Q253=2,1,0),IF($X253&lt;30,1,0))</formula>
    </cfRule>
    <cfRule type="expression" dxfId="9231" priority="2397">
      <formula>AND(IF($Q253=3,1,0),IF($X253&lt;30,1,0))</formula>
    </cfRule>
    <cfRule type="expression" dxfId="9230" priority="2398">
      <formula>AND(IF($Q253=3,1,IF($Q253=4,1,0)),IF($F253&lt;=85,1,0))</formula>
    </cfRule>
  </conditionalFormatting>
  <conditionalFormatting sqref="AV254">
    <cfRule type="expression" dxfId="9229" priority="2393">
      <formula>AV254="X"</formula>
    </cfRule>
    <cfRule type="expression" dxfId="9228" priority="2394">
      <formula>AV254="후보"</formula>
    </cfRule>
  </conditionalFormatting>
  <conditionalFormatting sqref="AC254">
    <cfRule type="cellIs" dxfId="9227" priority="2391" operator="greaterThan">
      <formula>0.9</formula>
    </cfRule>
    <cfRule type="cellIs" dxfId="9226" priority="2392" operator="greaterThan">
      <formula>0.85</formula>
    </cfRule>
  </conditionalFormatting>
  <conditionalFormatting sqref="N254">
    <cfRule type="cellIs" dxfId="9225" priority="2389" operator="greaterThan">
      <formula>0.9</formula>
    </cfRule>
    <cfRule type="cellIs" dxfId="9224" priority="2390" operator="greaterThan">
      <formula>0.85</formula>
    </cfRule>
  </conditionalFormatting>
  <conditionalFormatting sqref="E254">
    <cfRule type="expression" dxfId="9223" priority="2385">
      <formula>AND(IF(OR($Q254=1,$Q254=2),1,0),IF($X254&lt;=20,1,0))</formula>
    </cfRule>
    <cfRule type="expression" dxfId="9222" priority="2386">
      <formula>AND(IF($Q254=2,1,0),IF($X254&lt;30,1,0))</formula>
    </cfRule>
    <cfRule type="expression" dxfId="9221" priority="2387">
      <formula>AND(IF($Q254=3,1,0),IF($X254&lt;30,1,0))</formula>
    </cfRule>
    <cfRule type="expression" dxfId="9220" priority="2388">
      <formula>AND(IF($Q254=3,1,IF($Q254=4,1,0)),IF($F254&lt;=85,1,0))</formula>
    </cfRule>
  </conditionalFormatting>
  <conditionalFormatting sqref="X254">
    <cfRule type="expression" dxfId="9219" priority="2381">
      <formula>AND(IF(OR($Q254=1,$Q254=2),1,0),IF($X254&lt;=20,1,0))</formula>
    </cfRule>
    <cfRule type="expression" dxfId="9218" priority="2382">
      <formula>AND(IF($Q254=2,1,0),IF($X254&lt;30,1,0))</formula>
    </cfRule>
    <cfRule type="expression" dxfId="9217" priority="2383">
      <formula>AND(IF($Q254=3,1,0),IF($X254&lt;30,1,0))</formula>
    </cfRule>
    <cfRule type="expression" dxfId="9216" priority="2384">
      <formula>AND(IF($Q254=3,1,IF($Q254=4,1,0)),IF($F254&lt;=85,1,0))</formula>
    </cfRule>
  </conditionalFormatting>
  <conditionalFormatting sqref="AI254">
    <cfRule type="expression" dxfId="9215" priority="2377">
      <formula>AND(IF(OR($Q254=1,$Q254=2),1,0),IF($X254&lt;=20,1,0))</formula>
    </cfRule>
    <cfRule type="expression" dxfId="9214" priority="2378">
      <formula>AND(IF($Q254=2,1,0),IF($X254&lt;30,1,0))</formula>
    </cfRule>
    <cfRule type="expression" dxfId="9213" priority="2379">
      <formula>AND(IF($Q254=3,1,0),IF($X254&lt;30,1,0))</formula>
    </cfRule>
    <cfRule type="expression" dxfId="9212" priority="2380">
      <formula>AND(IF($Q254=3,1,IF($Q254=4,1,0)),IF($F254&lt;=85,1,0))</formula>
    </cfRule>
  </conditionalFormatting>
  <conditionalFormatting sqref="AV255">
    <cfRule type="expression" dxfId="9211" priority="2375">
      <formula>AV255="X"</formula>
    </cfRule>
    <cfRule type="expression" dxfId="9210" priority="2376">
      <formula>AV255="후보"</formula>
    </cfRule>
  </conditionalFormatting>
  <conditionalFormatting sqref="AC255">
    <cfRule type="cellIs" dxfId="9209" priority="2373" operator="greaterThan">
      <formula>0.9</formula>
    </cfRule>
    <cfRule type="cellIs" dxfId="9208" priority="2374" operator="greaterThan">
      <formula>0.85</formula>
    </cfRule>
  </conditionalFormatting>
  <conditionalFormatting sqref="N255">
    <cfRule type="cellIs" dxfId="9207" priority="2371" operator="greaterThan">
      <formula>0.9</formula>
    </cfRule>
    <cfRule type="cellIs" dxfId="9206" priority="2372" operator="greaterThan">
      <formula>0.85</formula>
    </cfRule>
  </conditionalFormatting>
  <conditionalFormatting sqref="E255">
    <cfRule type="expression" dxfId="9205" priority="2367">
      <formula>AND(IF(OR($Q255=1,$Q255=2),1,0),IF($X255&lt;=20,1,0))</formula>
    </cfRule>
    <cfRule type="expression" dxfId="9204" priority="2368">
      <formula>AND(IF($Q255=2,1,0),IF($X255&lt;30,1,0))</formula>
    </cfRule>
    <cfRule type="expression" dxfId="9203" priority="2369">
      <formula>AND(IF($Q255=3,1,0),IF($X255&lt;30,1,0))</formula>
    </cfRule>
    <cfRule type="expression" dxfId="9202" priority="2370">
      <formula>AND(IF($Q255=3,1,IF($Q255=4,1,0)),IF($F255&lt;=85,1,0))</formula>
    </cfRule>
  </conditionalFormatting>
  <conditionalFormatting sqref="X255">
    <cfRule type="expression" dxfId="9201" priority="2363">
      <formula>AND(IF(OR($Q255=1,$Q255=2),1,0),IF($X255&lt;=20,1,0))</formula>
    </cfRule>
    <cfRule type="expression" dxfId="9200" priority="2364">
      <formula>AND(IF($Q255=2,1,0),IF($X255&lt;30,1,0))</formula>
    </cfRule>
    <cfRule type="expression" dxfId="9199" priority="2365">
      <formula>AND(IF($Q255=3,1,0),IF($X255&lt;30,1,0))</formula>
    </cfRule>
    <cfRule type="expression" dxfId="9198" priority="2366">
      <formula>AND(IF($Q255=3,1,IF($Q255=4,1,0)),IF($F255&lt;=85,1,0))</formula>
    </cfRule>
  </conditionalFormatting>
  <conditionalFormatting sqref="AI255">
    <cfRule type="expression" dxfId="9197" priority="2359">
      <formula>AND(IF(OR($Q255=1,$Q255=2),1,0),IF($X255&lt;=20,1,0))</formula>
    </cfRule>
    <cfRule type="expression" dxfId="9196" priority="2360">
      <formula>AND(IF($Q255=2,1,0),IF($X255&lt;30,1,0))</formula>
    </cfRule>
    <cfRule type="expression" dxfId="9195" priority="2361">
      <formula>AND(IF($Q255=3,1,0),IF($X255&lt;30,1,0))</formula>
    </cfRule>
    <cfRule type="expression" dxfId="9194" priority="2362">
      <formula>AND(IF($Q255=3,1,IF($Q255=4,1,0)),IF($F255&lt;=85,1,0))</formula>
    </cfRule>
  </conditionalFormatting>
  <conditionalFormatting sqref="AV256">
    <cfRule type="expression" dxfId="9193" priority="2357">
      <formula>AV256="X"</formula>
    </cfRule>
    <cfRule type="expression" dxfId="9192" priority="2358">
      <formula>AV256="후보"</formula>
    </cfRule>
  </conditionalFormatting>
  <conditionalFormatting sqref="AC256">
    <cfRule type="cellIs" dxfId="9191" priority="2355" operator="greaterThan">
      <formula>0.9</formula>
    </cfRule>
    <cfRule type="cellIs" dxfId="9190" priority="2356" operator="greaterThan">
      <formula>0.85</formula>
    </cfRule>
  </conditionalFormatting>
  <conditionalFormatting sqref="N256">
    <cfRule type="cellIs" dxfId="9189" priority="2353" operator="greaterThan">
      <formula>0.9</formula>
    </cfRule>
    <cfRule type="cellIs" dxfId="9188" priority="2354" operator="greaterThan">
      <formula>0.85</formula>
    </cfRule>
  </conditionalFormatting>
  <conditionalFormatting sqref="E256">
    <cfRule type="expression" dxfId="9187" priority="2349">
      <formula>AND(IF(OR($Q256=1,$Q256=2),1,0),IF($X256&lt;=20,1,0))</formula>
    </cfRule>
    <cfRule type="expression" dxfId="9186" priority="2350">
      <formula>AND(IF($Q256=2,1,0),IF($X256&lt;30,1,0))</formula>
    </cfRule>
    <cfRule type="expression" dxfId="9185" priority="2351">
      <formula>AND(IF($Q256=3,1,0),IF($X256&lt;30,1,0))</formula>
    </cfRule>
    <cfRule type="expression" dxfId="9184" priority="2352">
      <formula>AND(IF($Q256=3,1,IF($Q256=4,1,0)),IF($F256&lt;=85,1,0))</formula>
    </cfRule>
  </conditionalFormatting>
  <conditionalFormatting sqref="X256">
    <cfRule type="expression" dxfId="9183" priority="2345">
      <formula>AND(IF(OR($Q256=1,$Q256=2),1,0),IF($X256&lt;=20,1,0))</formula>
    </cfRule>
    <cfRule type="expression" dxfId="9182" priority="2346">
      <formula>AND(IF($Q256=2,1,0),IF($X256&lt;30,1,0))</formula>
    </cfRule>
    <cfRule type="expression" dxfId="9181" priority="2347">
      <formula>AND(IF($Q256=3,1,0),IF($X256&lt;30,1,0))</formula>
    </cfRule>
    <cfRule type="expression" dxfId="9180" priority="2348">
      <formula>AND(IF($Q256=3,1,IF($Q256=4,1,0)),IF($F256&lt;=85,1,0))</formula>
    </cfRule>
  </conditionalFormatting>
  <conditionalFormatting sqref="AI256">
    <cfRule type="expression" dxfId="9179" priority="2341">
      <formula>AND(IF(OR($Q256=1,$Q256=2),1,0),IF($X256&lt;=20,1,0))</formula>
    </cfRule>
    <cfRule type="expression" dxfId="9178" priority="2342">
      <formula>AND(IF($Q256=2,1,0),IF($X256&lt;30,1,0))</formula>
    </cfRule>
    <cfRule type="expression" dxfId="9177" priority="2343">
      <formula>AND(IF($Q256=3,1,0),IF($X256&lt;30,1,0))</formula>
    </cfRule>
    <cfRule type="expression" dxfId="9176" priority="2344">
      <formula>AND(IF($Q256=3,1,IF($Q256=4,1,0)),IF($F256&lt;=85,1,0))</formula>
    </cfRule>
  </conditionalFormatting>
  <conditionalFormatting sqref="AV257">
    <cfRule type="expression" dxfId="9175" priority="2339">
      <formula>AV257="X"</formula>
    </cfRule>
    <cfRule type="expression" dxfId="9174" priority="2340">
      <formula>AV257="후보"</formula>
    </cfRule>
  </conditionalFormatting>
  <conditionalFormatting sqref="AC257">
    <cfRule type="cellIs" dxfId="9173" priority="2337" operator="greaterThan">
      <formula>0.9</formula>
    </cfRule>
    <cfRule type="cellIs" dxfId="9172" priority="2338" operator="greaterThan">
      <formula>0.85</formula>
    </cfRule>
  </conditionalFormatting>
  <conditionalFormatting sqref="N257">
    <cfRule type="cellIs" dxfId="9171" priority="2335" operator="greaterThan">
      <formula>0.9</formula>
    </cfRule>
    <cfRule type="cellIs" dxfId="9170" priority="2336" operator="greaterThan">
      <formula>0.85</formula>
    </cfRule>
  </conditionalFormatting>
  <conditionalFormatting sqref="E257">
    <cfRule type="expression" dxfId="9169" priority="2331">
      <formula>AND(IF(OR($Q257=1,$Q257=2),1,0),IF($X257&lt;=20,1,0))</formula>
    </cfRule>
    <cfRule type="expression" dxfId="9168" priority="2332">
      <formula>AND(IF($Q257=2,1,0),IF($X257&lt;30,1,0))</formula>
    </cfRule>
    <cfRule type="expression" dxfId="9167" priority="2333">
      <formula>AND(IF($Q257=3,1,0),IF($X257&lt;30,1,0))</formula>
    </cfRule>
    <cfRule type="expression" dxfId="9166" priority="2334">
      <formula>AND(IF($Q257=3,1,IF($Q257=4,1,0)),IF($F257&lt;=85,1,0))</formula>
    </cfRule>
  </conditionalFormatting>
  <conditionalFormatting sqref="X257">
    <cfRule type="expression" dxfId="9165" priority="2327">
      <formula>AND(IF(OR($Q257=1,$Q257=2),1,0),IF($X257&lt;=20,1,0))</formula>
    </cfRule>
    <cfRule type="expression" dxfId="9164" priority="2328">
      <formula>AND(IF($Q257=2,1,0),IF($X257&lt;30,1,0))</formula>
    </cfRule>
    <cfRule type="expression" dxfId="9163" priority="2329">
      <formula>AND(IF($Q257=3,1,0),IF($X257&lt;30,1,0))</formula>
    </cfRule>
    <cfRule type="expression" dxfId="9162" priority="2330">
      <formula>AND(IF($Q257=3,1,IF($Q257=4,1,0)),IF($F257&lt;=85,1,0))</formula>
    </cfRule>
  </conditionalFormatting>
  <conditionalFormatting sqref="AI257">
    <cfRule type="expression" dxfId="9161" priority="2323">
      <formula>AND(IF(OR($Q257=1,$Q257=2),1,0),IF($X257&lt;=20,1,0))</formula>
    </cfRule>
    <cfRule type="expression" dxfId="9160" priority="2324">
      <formula>AND(IF($Q257=2,1,0),IF($X257&lt;30,1,0))</formula>
    </cfRule>
    <cfRule type="expression" dxfId="9159" priority="2325">
      <formula>AND(IF($Q257=3,1,0),IF($X257&lt;30,1,0))</formula>
    </cfRule>
    <cfRule type="expression" dxfId="9158" priority="2326">
      <formula>AND(IF($Q257=3,1,IF($Q257=4,1,0)),IF($F257&lt;=85,1,0))</formula>
    </cfRule>
  </conditionalFormatting>
  <conditionalFormatting sqref="AV258">
    <cfRule type="expression" dxfId="9157" priority="2321">
      <formula>AV258="X"</formula>
    </cfRule>
    <cfRule type="expression" dxfId="9156" priority="2322">
      <formula>AV258="후보"</formula>
    </cfRule>
  </conditionalFormatting>
  <conditionalFormatting sqref="AC258">
    <cfRule type="cellIs" dxfId="9155" priority="2319" operator="greaterThan">
      <formula>0.9</formula>
    </cfRule>
    <cfRule type="cellIs" dxfId="9154" priority="2320" operator="greaterThan">
      <formula>0.85</formula>
    </cfRule>
  </conditionalFormatting>
  <conditionalFormatting sqref="N258">
    <cfRule type="cellIs" dxfId="9153" priority="2317" operator="greaterThan">
      <formula>0.9</formula>
    </cfRule>
    <cfRule type="cellIs" dxfId="9152" priority="2318" operator="greaterThan">
      <formula>0.85</formula>
    </cfRule>
  </conditionalFormatting>
  <conditionalFormatting sqref="E258">
    <cfRule type="expression" dxfId="9151" priority="2313">
      <formula>AND(IF(OR($Q258=1,$Q258=2),1,0),IF($X258&lt;=20,1,0))</formula>
    </cfRule>
    <cfRule type="expression" dxfId="9150" priority="2314">
      <formula>AND(IF($Q258=2,1,0),IF($X258&lt;30,1,0))</formula>
    </cfRule>
    <cfRule type="expression" dxfId="9149" priority="2315">
      <formula>AND(IF($Q258=3,1,0),IF($X258&lt;30,1,0))</formula>
    </cfRule>
    <cfRule type="expression" dxfId="9148" priority="2316">
      <formula>AND(IF($Q258=3,1,IF($Q258=4,1,0)),IF($F258&lt;=85,1,0))</formula>
    </cfRule>
  </conditionalFormatting>
  <conditionalFormatting sqref="X258">
    <cfRule type="expression" dxfId="9147" priority="2309">
      <formula>AND(IF(OR($Q258=1,$Q258=2),1,0),IF($X258&lt;=20,1,0))</formula>
    </cfRule>
    <cfRule type="expression" dxfId="9146" priority="2310">
      <formula>AND(IF($Q258=2,1,0),IF($X258&lt;30,1,0))</formula>
    </cfRule>
    <cfRule type="expression" dxfId="9145" priority="2311">
      <formula>AND(IF($Q258=3,1,0),IF($X258&lt;30,1,0))</formula>
    </cfRule>
    <cfRule type="expression" dxfId="9144" priority="2312">
      <formula>AND(IF($Q258=3,1,IF($Q258=4,1,0)),IF($F258&lt;=85,1,0))</formula>
    </cfRule>
  </conditionalFormatting>
  <conditionalFormatting sqref="AI258">
    <cfRule type="expression" dxfId="9143" priority="2305">
      <formula>AND(IF(OR($Q258=1,$Q258=2),1,0),IF($X258&lt;=20,1,0))</formula>
    </cfRule>
    <cfRule type="expression" dxfId="9142" priority="2306">
      <formula>AND(IF($Q258=2,1,0),IF($X258&lt;30,1,0))</formula>
    </cfRule>
    <cfRule type="expression" dxfId="9141" priority="2307">
      <formula>AND(IF($Q258=3,1,0),IF($X258&lt;30,1,0))</formula>
    </cfRule>
    <cfRule type="expression" dxfId="9140" priority="2308">
      <formula>AND(IF($Q258=3,1,IF($Q258=4,1,0)),IF($F258&lt;=85,1,0))</formula>
    </cfRule>
  </conditionalFormatting>
  <conditionalFormatting sqref="AV259">
    <cfRule type="expression" dxfId="9139" priority="2303">
      <formula>AV259="X"</formula>
    </cfRule>
    <cfRule type="expression" dxfId="9138" priority="2304">
      <formula>AV259="후보"</formula>
    </cfRule>
  </conditionalFormatting>
  <conditionalFormatting sqref="AC259">
    <cfRule type="cellIs" dxfId="9137" priority="2301" operator="greaterThan">
      <formula>0.9</formula>
    </cfRule>
    <cfRule type="cellIs" dxfId="9136" priority="2302" operator="greaterThan">
      <formula>0.85</formula>
    </cfRule>
  </conditionalFormatting>
  <conditionalFormatting sqref="N259">
    <cfRule type="cellIs" dxfId="9135" priority="2299" operator="greaterThan">
      <formula>0.9</formula>
    </cfRule>
    <cfRule type="cellIs" dxfId="9134" priority="2300" operator="greaterThan">
      <formula>0.85</formula>
    </cfRule>
  </conditionalFormatting>
  <conditionalFormatting sqref="E259">
    <cfRule type="expression" dxfId="9133" priority="2295">
      <formula>AND(IF(OR($Q259=1,$Q259=2),1,0),IF($X259&lt;=20,1,0))</formula>
    </cfRule>
    <cfRule type="expression" dxfId="9132" priority="2296">
      <formula>AND(IF($Q259=2,1,0),IF($X259&lt;30,1,0))</formula>
    </cfRule>
    <cfRule type="expression" dxfId="9131" priority="2297">
      <formula>AND(IF($Q259=3,1,0),IF($X259&lt;30,1,0))</formula>
    </cfRule>
    <cfRule type="expression" dxfId="9130" priority="2298">
      <formula>AND(IF($Q259=3,1,IF($Q259=4,1,0)),IF($F259&lt;=85,1,0))</formula>
    </cfRule>
  </conditionalFormatting>
  <conditionalFormatting sqref="X259">
    <cfRule type="expression" dxfId="9129" priority="2291">
      <formula>AND(IF(OR($Q259=1,$Q259=2),1,0),IF($X259&lt;=20,1,0))</formula>
    </cfRule>
    <cfRule type="expression" dxfId="9128" priority="2292">
      <formula>AND(IF($Q259=2,1,0),IF($X259&lt;30,1,0))</formula>
    </cfRule>
    <cfRule type="expression" dxfId="9127" priority="2293">
      <formula>AND(IF($Q259=3,1,0),IF($X259&lt;30,1,0))</formula>
    </cfRule>
    <cfRule type="expression" dxfId="9126" priority="2294">
      <formula>AND(IF($Q259=3,1,IF($Q259=4,1,0)),IF($F259&lt;=85,1,0))</formula>
    </cfRule>
  </conditionalFormatting>
  <conditionalFormatting sqref="AI259">
    <cfRule type="expression" dxfId="9125" priority="2287">
      <formula>AND(IF(OR($Q259=1,$Q259=2),1,0),IF($X259&lt;=20,1,0))</formula>
    </cfRule>
    <cfRule type="expression" dxfId="9124" priority="2288">
      <formula>AND(IF($Q259=2,1,0),IF($X259&lt;30,1,0))</formula>
    </cfRule>
    <cfRule type="expression" dxfId="9123" priority="2289">
      <formula>AND(IF($Q259=3,1,0),IF($X259&lt;30,1,0))</formula>
    </cfRule>
    <cfRule type="expression" dxfId="9122" priority="2290">
      <formula>AND(IF($Q259=3,1,IF($Q259=4,1,0)),IF($F259&lt;=85,1,0))</formula>
    </cfRule>
  </conditionalFormatting>
  <conditionalFormatting sqref="AV260">
    <cfRule type="expression" dxfId="9121" priority="2285">
      <formula>AV260="X"</formula>
    </cfRule>
    <cfRule type="expression" dxfId="9120" priority="2286">
      <formula>AV260="후보"</formula>
    </cfRule>
  </conditionalFormatting>
  <conditionalFormatting sqref="AC260">
    <cfRule type="cellIs" dxfId="9119" priority="2283" operator="greaterThan">
      <formula>0.9</formula>
    </cfRule>
    <cfRule type="cellIs" dxfId="9118" priority="2284" operator="greaterThan">
      <formula>0.85</formula>
    </cfRule>
  </conditionalFormatting>
  <conditionalFormatting sqref="N260">
    <cfRule type="cellIs" dxfId="9117" priority="2281" operator="greaterThan">
      <formula>0.9</formula>
    </cfRule>
    <cfRule type="cellIs" dxfId="9116" priority="2282" operator="greaterThan">
      <formula>0.85</formula>
    </cfRule>
  </conditionalFormatting>
  <conditionalFormatting sqref="E260">
    <cfRule type="expression" dxfId="9115" priority="2277">
      <formula>AND(IF(OR($Q260=1,$Q260=2),1,0),IF($X260&lt;=20,1,0))</formula>
    </cfRule>
    <cfRule type="expression" dxfId="9114" priority="2278">
      <formula>AND(IF($Q260=2,1,0),IF($X260&lt;30,1,0))</formula>
    </cfRule>
    <cfRule type="expression" dxfId="9113" priority="2279">
      <formula>AND(IF($Q260=3,1,0),IF($X260&lt;30,1,0))</formula>
    </cfRule>
    <cfRule type="expression" dxfId="9112" priority="2280">
      <formula>AND(IF($Q260=3,1,IF($Q260=4,1,0)),IF($F260&lt;=85,1,0))</formula>
    </cfRule>
  </conditionalFormatting>
  <conditionalFormatting sqref="X260">
    <cfRule type="expression" dxfId="9111" priority="2273">
      <formula>AND(IF(OR($Q260=1,$Q260=2),1,0),IF($X260&lt;=20,1,0))</formula>
    </cfRule>
    <cfRule type="expression" dxfId="9110" priority="2274">
      <formula>AND(IF($Q260=2,1,0),IF($X260&lt;30,1,0))</formula>
    </cfRule>
    <cfRule type="expression" dxfId="9109" priority="2275">
      <formula>AND(IF($Q260=3,1,0),IF($X260&lt;30,1,0))</formula>
    </cfRule>
    <cfRule type="expression" dxfId="9108" priority="2276">
      <formula>AND(IF($Q260=3,1,IF($Q260=4,1,0)),IF($F260&lt;=85,1,0))</formula>
    </cfRule>
  </conditionalFormatting>
  <conditionalFormatting sqref="AI260">
    <cfRule type="expression" dxfId="9107" priority="2269">
      <formula>AND(IF(OR($Q260=1,$Q260=2),1,0),IF($X260&lt;=20,1,0))</formula>
    </cfRule>
    <cfRule type="expression" dxfId="9106" priority="2270">
      <formula>AND(IF($Q260=2,1,0),IF($X260&lt;30,1,0))</formula>
    </cfRule>
    <cfRule type="expression" dxfId="9105" priority="2271">
      <formula>AND(IF($Q260=3,1,0),IF($X260&lt;30,1,0))</formula>
    </cfRule>
    <cfRule type="expression" dxfId="9104" priority="2272">
      <formula>AND(IF($Q260=3,1,IF($Q260=4,1,0)),IF($F260&lt;=85,1,0))</formula>
    </cfRule>
  </conditionalFormatting>
  <conditionalFormatting sqref="AV261">
    <cfRule type="expression" dxfId="9103" priority="2267">
      <formula>AV261="X"</formula>
    </cfRule>
    <cfRule type="expression" dxfId="9102" priority="2268">
      <formula>AV261="후보"</formula>
    </cfRule>
  </conditionalFormatting>
  <conditionalFormatting sqref="AC261">
    <cfRule type="cellIs" dxfId="9101" priority="2265" operator="greaterThan">
      <formula>0.9</formula>
    </cfRule>
    <cfRule type="cellIs" dxfId="9100" priority="2266" operator="greaterThan">
      <formula>0.85</formula>
    </cfRule>
  </conditionalFormatting>
  <conditionalFormatting sqref="N261">
    <cfRule type="cellIs" dxfId="9099" priority="2263" operator="greaterThan">
      <formula>0.9</formula>
    </cfRule>
    <cfRule type="cellIs" dxfId="9098" priority="2264" operator="greaterThan">
      <formula>0.85</formula>
    </cfRule>
  </conditionalFormatting>
  <conditionalFormatting sqref="E261">
    <cfRule type="expression" dxfId="9097" priority="2259">
      <formula>AND(IF(OR($Q261=1,$Q261=2),1,0),IF($X261&lt;=20,1,0))</formula>
    </cfRule>
    <cfRule type="expression" dxfId="9096" priority="2260">
      <formula>AND(IF($Q261=2,1,0),IF($X261&lt;30,1,0))</formula>
    </cfRule>
    <cfRule type="expression" dxfId="9095" priority="2261">
      <formula>AND(IF($Q261=3,1,0),IF($X261&lt;30,1,0))</formula>
    </cfRule>
    <cfRule type="expression" dxfId="9094" priority="2262">
      <formula>AND(IF($Q261=3,1,IF($Q261=4,1,0)),IF($F261&lt;=85,1,0))</formula>
    </cfRule>
  </conditionalFormatting>
  <conditionalFormatting sqref="X261">
    <cfRule type="expression" dxfId="9093" priority="2255">
      <formula>AND(IF(OR($Q261=1,$Q261=2),1,0),IF($X261&lt;=20,1,0))</formula>
    </cfRule>
    <cfRule type="expression" dxfId="9092" priority="2256">
      <formula>AND(IF($Q261=2,1,0),IF($X261&lt;30,1,0))</formula>
    </cfRule>
    <cfRule type="expression" dxfId="9091" priority="2257">
      <formula>AND(IF($Q261=3,1,0),IF($X261&lt;30,1,0))</formula>
    </cfRule>
    <cfRule type="expression" dxfId="9090" priority="2258">
      <formula>AND(IF($Q261=3,1,IF($Q261=4,1,0)),IF($F261&lt;=85,1,0))</formula>
    </cfRule>
  </conditionalFormatting>
  <conditionalFormatting sqref="AI261">
    <cfRule type="expression" dxfId="9089" priority="2251">
      <formula>AND(IF(OR($Q261=1,$Q261=2),1,0),IF($X261&lt;=20,1,0))</formula>
    </cfRule>
    <cfRule type="expression" dxfId="9088" priority="2252">
      <formula>AND(IF($Q261=2,1,0),IF($X261&lt;30,1,0))</formula>
    </cfRule>
    <cfRule type="expression" dxfId="9087" priority="2253">
      <formula>AND(IF($Q261=3,1,0),IF($X261&lt;30,1,0))</formula>
    </cfRule>
    <cfRule type="expression" dxfId="9086" priority="2254">
      <formula>AND(IF($Q261=3,1,IF($Q261=4,1,0)),IF($F261&lt;=85,1,0))</formula>
    </cfRule>
  </conditionalFormatting>
  <conditionalFormatting sqref="AV262">
    <cfRule type="expression" dxfId="9085" priority="2249">
      <formula>AV262="X"</formula>
    </cfRule>
    <cfRule type="expression" dxfId="9084" priority="2250">
      <formula>AV262="후보"</formula>
    </cfRule>
  </conditionalFormatting>
  <conditionalFormatting sqref="AC262">
    <cfRule type="cellIs" dxfId="9083" priority="2247" operator="greaterThan">
      <formula>0.9</formula>
    </cfRule>
    <cfRule type="cellIs" dxfId="9082" priority="2248" operator="greaterThan">
      <formula>0.85</formula>
    </cfRule>
  </conditionalFormatting>
  <conditionalFormatting sqref="N262">
    <cfRule type="cellIs" dxfId="9081" priority="2245" operator="greaterThan">
      <formula>0.9</formula>
    </cfRule>
    <cfRule type="cellIs" dxfId="9080" priority="2246" operator="greaterThan">
      <formula>0.85</formula>
    </cfRule>
  </conditionalFormatting>
  <conditionalFormatting sqref="E262">
    <cfRule type="expression" dxfId="9079" priority="2241">
      <formula>AND(IF(OR($Q262=1,$Q262=2),1,0),IF($X262&lt;=20,1,0))</formula>
    </cfRule>
    <cfRule type="expression" dxfId="9078" priority="2242">
      <formula>AND(IF($Q262=2,1,0),IF($X262&lt;30,1,0))</formula>
    </cfRule>
    <cfRule type="expression" dxfId="9077" priority="2243">
      <formula>AND(IF($Q262=3,1,0),IF($X262&lt;30,1,0))</formula>
    </cfRule>
    <cfRule type="expression" dxfId="9076" priority="2244">
      <formula>AND(IF($Q262=3,1,IF($Q262=4,1,0)),IF($F262&lt;=85,1,0))</formula>
    </cfRule>
  </conditionalFormatting>
  <conditionalFormatting sqref="X262">
    <cfRule type="expression" dxfId="9075" priority="2237">
      <formula>AND(IF(OR($Q262=1,$Q262=2),1,0),IF($X262&lt;=20,1,0))</formula>
    </cfRule>
    <cfRule type="expression" dxfId="9074" priority="2238">
      <formula>AND(IF($Q262=2,1,0),IF($X262&lt;30,1,0))</formula>
    </cfRule>
    <cfRule type="expression" dxfId="9073" priority="2239">
      <formula>AND(IF($Q262=3,1,0),IF($X262&lt;30,1,0))</formula>
    </cfRule>
    <cfRule type="expression" dxfId="9072" priority="2240">
      <formula>AND(IF($Q262=3,1,IF($Q262=4,1,0)),IF($F262&lt;=85,1,0))</formula>
    </cfRule>
  </conditionalFormatting>
  <conditionalFormatting sqref="AI262">
    <cfRule type="expression" dxfId="9071" priority="2233">
      <formula>AND(IF(OR($Q262=1,$Q262=2),1,0),IF($X262&lt;=20,1,0))</formula>
    </cfRule>
    <cfRule type="expression" dxfId="9070" priority="2234">
      <formula>AND(IF($Q262=2,1,0),IF($X262&lt;30,1,0))</formula>
    </cfRule>
    <cfRule type="expression" dxfId="9069" priority="2235">
      <formula>AND(IF($Q262=3,1,0),IF($X262&lt;30,1,0))</formula>
    </cfRule>
    <cfRule type="expression" dxfId="9068" priority="2236">
      <formula>AND(IF($Q262=3,1,IF($Q262=4,1,0)),IF($F262&lt;=85,1,0))</formula>
    </cfRule>
  </conditionalFormatting>
  <conditionalFormatting sqref="AV263">
    <cfRule type="expression" dxfId="9067" priority="2231">
      <formula>AV263="X"</formula>
    </cfRule>
    <cfRule type="expression" dxfId="9066" priority="2232">
      <formula>AV263="후보"</formula>
    </cfRule>
  </conditionalFormatting>
  <conditionalFormatting sqref="AC263">
    <cfRule type="cellIs" dxfId="9065" priority="2229" operator="greaterThan">
      <formula>0.9</formula>
    </cfRule>
    <cfRule type="cellIs" dxfId="9064" priority="2230" operator="greaterThan">
      <formula>0.85</formula>
    </cfRule>
  </conditionalFormatting>
  <conditionalFormatting sqref="N263">
    <cfRule type="cellIs" dxfId="9063" priority="2227" operator="greaterThan">
      <formula>0.9</formula>
    </cfRule>
    <cfRule type="cellIs" dxfId="9062" priority="2228" operator="greaterThan">
      <formula>0.85</formula>
    </cfRule>
  </conditionalFormatting>
  <conditionalFormatting sqref="E263">
    <cfRule type="expression" dxfId="9061" priority="2223">
      <formula>AND(IF(OR($Q263=1,$Q263=2),1,0),IF($X263&lt;=20,1,0))</formula>
    </cfRule>
    <cfRule type="expression" dxfId="9060" priority="2224">
      <formula>AND(IF($Q263=2,1,0),IF($X263&lt;30,1,0))</formula>
    </cfRule>
    <cfRule type="expression" dxfId="9059" priority="2225">
      <formula>AND(IF($Q263=3,1,0),IF($X263&lt;30,1,0))</formula>
    </cfRule>
    <cfRule type="expression" dxfId="9058" priority="2226">
      <formula>AND(IF($Q263=3,1,IF($Q263=4,1,0)),IF($F263&lt;=85,1,0))</formula>
    </cfRule>
  </conditionalFormatting>
  <conditionalFormatting sqref="X263">
    <cfRule type="expression" dxfId="9057" priority="2219">
      <formula>AND(IF(OR($Q263=1,$Q263=2),1,0),IF($X263&lt;=20,1,0))</formula>
    </cfRule>
    <cfRule type="expression" dxfId="9056" priority="2220">
      <formula>AND(IF($Q263=2,1,0),IF($X263&lt;30,1,0))</formula>
    </cfRule>
    <cfRule type="expression" dxfId="9055" priority="2221">
      <formula>AND(IF($Q263=3,1,0),IF($X263&lt;30,1,0))</formula>
    </cfRule>
    <cfRule type="expression" dxfId="9054" priority="2222">
      <formula>AND(IF($Q263=3,1,IF($Q263=4,1,0)),IF($F263&lt;=85,1,0))</formula>
    </cfRule>
  </conditionalFormatting>
  <conditionalFormatting sqref="AI263">
    <cfRule type="expression" dxfId="9053" priority="2215">
      <formula>AND(IF(OR($Q263=1,$Q263=2),1,0),IF($X263&lt;=20,1,0))</formula>
    </cfRule>
    <cfRule type="expression" dxfId="9052" priority="2216">
      <formula>AND(IF($Q263=2,1,0),IF($X263&lt;30,1,0))</formula>
    </cfRule>
    <cfRule type="expression" dxfId="9051" priority="2217">
      <formula>AND(IF($Q263=3,1,0),IF($X263&lt;30,1,0))</formula>
    </cfRule>
    <cfRule type="expression" dxfId="9050" priority="2218">
      <formula>AND(IF($Q263=3,1,IF($Q263=4,1,0)),IF($F263&lt;=85,1,0))</formula>
    </cfRule>
  </conditionalFormatting>
  <conditionalFormatting sqref="AV264">
    <cfRule type="expression" dxfId="9049" priority="2213">
      <formula>AV264="X"</formula>
    </cfRule>
    <cfRule type="expression" dxfId="9048" priority="2214">
      <formula>AV264="후보"</formula>
    </cfRule>
  </conditionalFormatting>
  <conditionalFormatting sqref="AC264">
    <cfRule type="cellIs" dxfId="9047" priority="2211" operator="greaterThan">
      <formula>0.9</formula>
    </cfRule>
    <cfRule type="cellIs" dxfId="9046" priority="2212" operator="greaterThan">
      <formula>0.85</formula>
    </cfRule>
  </conditionalFormatting>
  <conditionalFormatting sqref="N264">
    <cfRule type="cellIs" dxfId="9045" priority="2209" operator="greaterThan">
      <formula>0.9</formula>
    </cfRule>
    <cfRule type="cellIs" dxfId="9044" priority="2210" operator="greaterThan">
      <formula>0.85</formula>
    </cfRule>
  </conditionalFormatting>
  <conditionalFormatting sqref="E264">
    <cfRule type="expression" dxfId="9043" priority="2205">
      <formula>AND(IF(OR($Q264=1,$Q264=2),1,0),IF($X264&lt;=20,1,0))</formula>
    </cfRule>
    <cfRule type="expression" dxfId="9042" priority="2206">
      <formula>AND(IF($Q264=2,1,0),IF($X264&lt;30,1,0))</formula>
    </cfRule>
    <cfRule type="expression" dxfId="9041" priority="2207">
      <formula>AND(IF($Q264=3,1,0),IF($X264&lt;30,1,0))</formula>
    </cfRule>
    <cfRule type="expression" dxfId="9040" priority="2208">
      <formula>AND(IF($Q264=3,1,IF($Q264=4,1,0)),IF($F264&lt;=85,1,0))</formula>
    </cfRule>
  </conditionalFormatting>
  <conditionalFormatting sqref="X264">
    <cfRule type="expression" dxfId="9039" priority="2201">
      <formula>AND(IF(OR($Q264=1,$Q264=2),1,0),IF($X264&lt;=20,1,0))</formula>
    </cfRule>
    <cfRule type="expression" dxfId="9038" priority="2202">
      <formula>AND(IF($Q264=2,1,0),IF($X264&lt;30,1,0))</formula>
    </cfRule>
    <cfRule type="expression" dxfId="9037" priority="2203">
      <formula>AND(IF($Q264=3,1,0),IF($X264&lt;30,1,0))</formula>
    </cfRule>
    <cfRule type="expression" dxfId="9036" priority="2204">
      <formula>AND(IF($Q264=3,1,IF($Q264=4,1,0)),IF($F264&lt;=85,1,0))</formula>
    </cfRule>
  </conditionalFormatting>
  <conditionalFormatting sqref="AI264">
    <cfRule type="expression" dxfId="9035" priority="2197">
      <formula>AND(IF(OR($Q264=1,$Q264=2),1,0),IF($X264&lt;=20,1,0))</formula>
    </cfRule>
    <cfRule type="expression" dxfId="9034" priority="2198">
      <formula>AND(IF($Q264=2,1,0),IF($X264&lt;30,1,0))</formula>
    </cfRule>
    <cfRule type="expression" dxfId="9033" priority="2199">
      <formula>AND(IF($Q264=3,1,0),IF($X264&lt;30,1,0))</formula>
    </cfRule>
    <cfRule type="expression" dxfId="9032" priority="2200">
      <formula>AND(IF($Q264=3,1,IF($Q264=4,1,0)),IF($F264&lt;=85,1,0))</formula>
    </cfRule>
  </conditionalFormatting>
  <conditionalFormatting sqref="AV265">
    <cfRule type="expression" dxfId="9031" priority="2195">
      <formula>AV265="X"</formula>
    </cfRule>
    <cfRule type="expression" dxfId="9030" priority="2196">
      <formula>AV265="후보"</formula>
    </cfRule>
  </conditionalFormatting>
  <conditionalFormatting sqref="AC265">
    <cfRule type="cellIs" dxfId="9029" priority="2193" operator="greaterThan">
      <formula>0.9</formula>
    </cfRule>
    <cfRule type="cellIs" dxfId="9028" priority="2194" operator="greaterThan">
      <formula>0.85</formula>
    </cfRule>
  </conditionalFormatting>
  <conditionalFormatting sqref="N265">
    <cfRule type="cellIs" dxfId="9027" priority="2191" operator="greaterThan">
      <formula>0.9</formula>
    </cfRule>
    <cfRule type="cellIs" dxfId="9026" priority="2192" operator="greaterThan">
      <formula>0.85</formula>
    </cfRule>
  </conditionalFormatting>
  <conditionalFormatting sqref="E265">
    <cfRule type="expression" dxfId="9025" priority="2187">
      <formula>AND(IF(OR($Q265=1,$Q265=2),1,0),IF($X265&lt;=20,1,0))</formula>
    </cfRule>
    <cfRule type="expression" dxfId="9024" priority="2188">
      <formula>AND(IF($Q265=2,1,0),IF($X265&lt;30,1,0))</formula>
    </cfRule>
    <cfRule type="expression" dxfId="9023" priority="2189">
      <formula>AND(IF($Q265=3,1,0),IF($X265&lt;30,1,0))</formula>
    </cfRule>
    <cfRule type="expression" dxfId="9022" priority="2190">
      <formula>AND(IF($Q265=3,1,IF($Q265=4,1,0)),IF($F265&lt;=85,1,0))</formula>
    </cfRule>
  </conditionalFormatting>
  <conditionalFormatting sqref="X265">
    <cfRule type="expression" dxfId="9021" priority="2183">
      <formula>AND(IF(OR($Q265=1,$Q265=2),1,0),IF($X265&lt;=20,1,0))</formula>
    </cfRule>
    <cfRule type="expression" dxfId="9020" priority="2184">
      <formula>AND(IF($Q265=2,1,0),IF($X265&lt;30,1,0))</formula>
    </cfRule>
    <cfRule type="expression" dxfId="9019" priority="2185">
      <formula>AND(IF($Q265=3,1,0),IF($X265&lt;30,1,0))</formula>
    </cfRule>
    <cfRule type="expression" dxfId="9018" priority="2186">
      <formula>AND(IF($Q265=3,1,IF($Q265=4,1,0)),IF($F265&lt;=85,1,0))</formula>
    </cfRule>
  </conditionalFormatting>
  <conditionalFormatting sqref="AI265">
    <cfRule type="expression" dxfId="9017" priority="2179">
      <formula>AND(IF(OR($Q265=1,$Q265=2),1,0),IF($X265&lt;=20,1,0))</formula>
    </cfRule>
    <cfRule type="expression" dxfId="9016" priority="2180">
      <formula>AND(IF($Q265=2,1,0),IF($X265&lt;30,1,0))</formula>
    </cfRule>
    <cfRule type="expression" dxfId="9015" priority="2181">
      <formula>AND(IF($Q265=3,1,0),IF($X265&lt;30,1,0))</formula>
    </cfRule>
    <cfRule type="expression" dxfId="9014" priority="2182">
      <formula>AND(IF($Q265=3,1,IF($Q265=4,1,0)),IF($F265&lt;=85,1,0))</formula>
    </cfRule>
  </conditionalFormatting>
  <conditionalFormatting sqref="AV266">
    <cfRule type="expression" dxfId="9013" priority="2177">
      <formula>AV266="X"</formula>
    </cfRule>
    <cfRule type="expression" dxfId="9012" priority="2178">
      <formula>AV266="후보"</formula>
    </cfRule>
  </conditionalFormatting>
  <conditionalFormatting sqref="AC266">
    <cfRule type="cellIs" dxfId="9011" priority="2175" operator="greaterThan">
      <formula>0.9</formula>
    </cfRule>
    <cfRule type="cellIs" dxfId="9010" priority="2176" operator="greaterThan">
      <formula>0.85</formula>
    </cfRule>
  </conditionalFormatting>
  <conditionalFormatting sqref="N266">
    <cfRule type="cellIs" dxfId="9009" priority="2173" operator="greaterThan">
      <formula>0.9</formula>
    </cfRule>
    <cfRule type="cellIs" dxfId="9008" priority="2174" operator="greaterThan">
      <formula>0.85</formula>
    </cfRule>
  </conditionalFormatting>
  <conditionalFormatting sqref="E266">
    <cfRule type="expression" dxfId="9007" priority="2169">
      <formula>AND(IF(OR($Q266=1,$Q266=2),1,0),IF($X266&lt;=20,1,0))</formula>
    </cfRule>
    <cfRule type="expression" dxfId="9006" priority="2170">
      <formula>AND(IF($Q266=2,1,0),IF($X266&lt;30,1,0))</formula>
    </cfRule>
    <cfRule type="expression" dxfId="9005" priority="2171">
      <formula>AND(IF($Q266=3,1,0),IF($X266&lt;30,1,0))</formula>
    </cfRule>
    <cfRule type="expression" dxfId="9004" priority="2172">
      <formula>AND(IF($Q266=3,1,IF($Q266=4,1,0)),IF($F266&lt;=85,1,0))</formula>
    </cfRule>
  </conditionalFormatting>
  <conditionalFormatting sqref="X266">
    <cfRule type="expression" dxfId="9003" priority="2165">
      <formula>AND(IF(OR($Q266=1,$Q266=2),1,0),IF($X266&lt;=20,1,0))</formula>
    </cfRule>
    <cfRule type="expression" dxfId="9002" priority="2166">
      <formula>AND(IF($Q266=2,1,0),IF($X266&lt;30,1,0))</formula>
    </cfRule>
    <cfRule type="expression" dxfId="9001" priority="2167">
      <formula>AND(IF($Q266=3,1,0),IF($X266&lt;30,1,0))</formula>
    </cfRule>
    <cfRule type="expression" dxfId="9000" priority="2168">
      <formula>AND(IF($Q266=3,1,IF($Q266=4,1,0)),IF($F266&lt;=85,1,0))</formula>
    </cfRule>
  </conditionalFormatting>
  <conditionalFormatting sqref="AI266">
    <cfRule type="expression" dxfId="8999" priority="2161">
      <formula>AND(IF(OR($Q266=1,$Q266=2),1,0),IF($X266&lt;=20,1,0))</formula>
    </cfRule>
    <cfRule type="expression" dxfId="8998" priority="2162">
      <formula>AND(IF($Q266=2,1,0),IF($X266&lt;30,1,0))</formula>
    </cfRule>
    <cfRule type="expression" dxfId="8997" priority="2163">
      <formula>AND(IF($Q266=3,1,0),IF($X266&lt;30,1,0))</formula>
    </cfRule>
    <cfRule type="expression" dxfId="8996" priority="2164">
      <formula>AND(IF($Q266=3,1,IF($Q266=4,1,0)),IF($F266&lt;=85,1,0))</formula>
    </cfRule>
  </conditionalFormatting>
  <conditionalFormatting sqref="AV267">
    <cfRule type="expression" dxfId="8995" priority="2159">
      <formula>AV267="X"</formula>
    </cfRule>
    <cfRule type="expression" dxfId="8994" priority="2160">
      <formula>AV267="후보"</formula>
    </cfRule>
  </conditionalFormatting>
  <conditionalFormatting sqref="AC267">
    <cfRule type="cellIs" dxfId="8993" priority="2157" operator="greaterThan">
      <formula>0.9</formula>
    </cfRule>
    <cfRule type="cellIs" dxfId="8992" priority="2158" operator="greaterThan">
      <formula>0.85</formula>
    </cfRule>
  </conditionalFormatting>
  <conditionalFormatting sqref="N267">
    <cfRule type="cellIs" dxfId="8991" priority="2155" operator="greaterThan">
      <formula>0.9</formula>
    </cfRule>
    <cfRule type="cellIs" dxfId="8990" priority="2156" operator="greaterThan">
      <formula>0.85</formula>
    </cfRule>
  </conditionalFormatting>
  <conditionalFormatting sqref="E267">
    <cfRule type="expression" dxfId="8989" priority="2151">
      <formula>AND(IF(OR($Q267=1,$Q267=2),1,0),IF($X267&lt;=20,1,0))</formula>
    </cfRule>
    <cfRule type="expression" dxfId="8988" priority="2152">
      <formula>AND(IF($Q267=2,1,0),IF($X267&lt;30,1,0))</formula>
    </cfRule>
    <cfRule type="expression" dxfId="8987" priority="2153">
      <formula>AND(IF($Q267=3,1,0),IF($X267&lt;30,1,0))</formula>
    </cfRule>
    <cfRule type="expression" dxfId="8986" priority="2154">
      <formula>AND(IF($Q267=3,1,IF($Q267=4,1,0)),IF($F267&lt;=85,1,0))</formula>
    </cfRule>
  </conditionalFormatting>
  <conditionalFormatting sqref="X267">
    <cfRule type="expression" dxfId="8985" priority="2147">
      <formula>AND(IF(OR($Q267=1,$Q267=2),1,0),IF($X267&lt;=20,1,0))</formula>
    </cfRule>
    <cfRule type="expression" dxfId="8984" priority="2148">
      <formula>AND(IF($Q267=2,1,0),IF($X267&lt;30,1,0))</formula>
    </cfRule>
    <cfRule type="expression" dxfId="8983" priority="2149">
      <formula>AND(IF($Q267=3,1,0),IF($X267&lt;30,1,0))</formula>
    </cfRule>
    <cfRule type="expression" dxfId="8982" priority="2150">
      <formula>AND(IF($Q267=3,1,IF($Q267=4,1,0)),IF($F267&lt;=85,1,0))</formula>
    </cfRule>
  </conditionalFormatting>
  <conditionalFormatting sqref="AI267">
    <cfRule type="expression" dxfId="8981" priority="2143">
      <formula>AND(IF(OR($Q267=1,$Q267=2),1,0),IF($X267&lt;=20,1,0))</formula>
    </cfRule>
    <cfRule type="expression" dxfId="8980" priority="2144">
      <formula>AND(IF($Q267=2,1,0),IF($X267&lt;30,1,0))</formula>
    </cfRule>
    <cfRule type="expression" dxfId="8979" priority="2145">
      <formula>AND(IF($Q267=3,1,0),IF($X267&lt;30,1,0))</formula>
    </cfRule>
    <cfRule type="expression" dxfId="8978" priority="2146">
      <formula>AND(IF($Q267=3,1,IF($Q267=4,1,0)),IF($F267&lt;=85,1,0))</formula>
    </cfRule>
  </conditionalFormatting>
  <conditionalFormatting sqref="AV268">
    <cfRule type="expression" dxfId="8977" priority="2141">
      <formula>AV268="X"</formula>
    </cfRule>
    <cfRule type="expression" dxfId="8976" priority="2142">
      <formula>AV268="후보"</formula>
    </cfRule>
  </conditionalFormatting>
  <conditionalFormatting sqref="AC268">
    <cfRule type="cellIs" dxfId="8975" priority="2139" operator="greaterThan">
      <formula>0.9</formula>
    </cfRule>
    <cfRule type="cellIs" dxfId="8974" priority="2140" operator="greaterThan">
      <formula>0.85</formula>
    </cfRule>
  </conditionalFormatting>
  <conditionalFormatting sqref="N268">
    <cfRule type="cellIs" dxfId="8973" priority="2137" operator="greaterThan">
      <formula>0.9</formula>
    </cfRule>
    <cfRule type="cellIs" dxfId="8972" priority="2138" operator="greaterThan">
      <formula>0.85</formula>
    </cfRule>
  </conditionalFormatting>
  <conditionalFormatting sqref="E268">
    <cfRule type="expression" dxfId="8971" priority="2133">
      <formula>AND(IF(OR($Q268=1,$Q268=2),1,0),IF($X268&lt;=20,1,0))</formula>
    </cfRule>
    <cfRule type="expression" dxfId="8970" priority="2134">
      <formula>AND(IF($Q268=2,1,0),IF($X268&lt;30,1,0))</formula>
    </cfRule>
    <cfRule type="expression" dxfId="8969" priority="2135">
      <formula>AND(IF($Q268=3,1,0),IF($X268&lt;30,1,0))</formula>
    </cfRule>
    <cfRule type="expression" dxfId="8968" priority="2136">
      <formula>AND(IF($Q268=3,1,IF($Q268=4,1,0)),IF($F268&lt;=85,1,0))</formula>
    </cfRule>
  </conditionalFormatting>
  <conditionalFormatting sqref="X268">
    <cfRule type="expression" dxfId="8967" priority="2129">
      <formula>AND(IF(OR($Q268=1,$Q268=2),1,0),IF($X268&lt;=20,1,0))</formula>
    </cfRule>
    <cfRule type="expression" dxfId="8966" priority="2130">
      <formula>AND(IF($Q268=2,1,0),IF($X268&lt;30,1,0))</formula>
    </cfRule>
    <cfRule type="expression" dxfId="8965" priority="2131">
      <formula>AND(IF($Q268=3,1,0),IF($X268&lt;30,1,0))</formula>
    </cfRule>
    <cfRule type="expression" dxfId="8964" priority="2132">
      <formula>AND(IF($Q268=3,1,IF($Q268=4,1,0)),IF($F268&lt;=85,1,0))</formula>
    </cfRule>
  </conditionalFormatting>
  <conditionalFormatting sqref="AI268">
    <cfRule type="expression" dxfId="8963" priority="2125">
      <formula>AND(IF(OR($Q268=1,$Q268=2),1,0),IF($X268&lt;=20,1,0))</formula>
    </cfRule>
    <cfRule type="expression" dxfId="8962" priority="2126">
      <formula>AND(IF($Q268=2,1,0),IF($X268&lt;30,1,0))</formula>
    </cfRule>
    <cfRule type="expression" dxfId="8961" priority="2127">
      <formula>AND(IF($Q268=3,1,0),IF($X268&lt;30,1,0))</formula>
    </cfRule>
    <cfRule type="expression" dxfId="8960" priority="2128">
      <formula>AND(IF($Q268=3,1,IF($Q268=4,1,0)),IF($F268&lt;=85,1,0))</formula>
    </cfRule>
  </conditionalFormatting>
  <conditionalFormatting sqref="AV269">
    <cfRule type="expression" dxfId="8959" priority="2123">
      <formula>AV269="X"</formula>
    </cfRule>
    <cfRule type="expression" dxfId="8958" priority="2124">
      <formula>AV269="후보"</formula>
    </cfRule>
  </conditionalFormatting>
  <conditionalFormatting sqref="AC269">
    <cfRule type="cellIs" dxfId="8957" priority="2121" operator="greaterThan">
      <formula>0.9</formula>
    </cfRule>
    <cfRule type="cellIs" dxfId="8956" priority="2122" operator="greaterThan">
      <formula>0.85</formula>
    </cfRule>
  </conditionalFormatting>
  <conditionalFormatting sqref="N269">
    <cfRule type="cellIs" dxfId="8955" priority="2119" operator="greaterThan">
      <formula>0.9</formula>
    </cfRule>
    <cfRule type="cellIs" dxfId="8954" priority="2120" operator="greaterThan">
      <formula>0.85</formula>
    </cfRule>
  </conditionalFormatting>
  <conditionalFormatting sqref="E269">
    <cfRule type="expression" dxfId="8953" priority="2115">
      <formula>AND(IF(OR($Q269=1,$Q269=2),1,0),IF($X269&lt;=20,1,0))</formula>
    </cfRule>
    <cfRule type="expression" dxfId="8952" priority="2116">
      <formula>AND(IF($Q269=2,1,0),IF($X269&lt;30,1,0))</formula>
    </cfRule>
    <cfRule type="expression" dxfId="8951" priority="2117">
      <formula>AND(IF($Q269=3,1,0),IF($X269&lt;30,1,0))</formula>
    </cfRule>
    <cfRule type="expression" dxfId="8950" priority="2118">
      <formula>AND(IF($Q269=3,1,IF($Q269=4,1,0)),IF($F269&lt;=85,1,0))</formula>
    </cfRule>
  </conditionalFormatting>
  <conditionalFormatting sqref="X269">
    <cfRule type="expression" dxfId="8949" priority="2111">
      <formula>AND(IF(OR($Q269=1,$Q269=2),1,0),IF($X269&lt;=20,1,0))</formula>
    </cfRule>
    <cfRule type="expression" dxfId="8948" priority="2112">
      <formula>AND(IF($Q269=2,1,0),IF($X269&lt;30,1,0))</formula>
    </cfRule>
    <cfRule type="expression" dxfId="8947" priority="2113">
      <formula>AND(IF($Q269=3,1,0),IF($X269&lt;30,1,0))</formula>
    </cfRule>
    <cfRule type="expression" dxfId="8946" priority="2114">
      <formula>AND(IF($Q269=3,1,IF($Q269=4,1,0)),IF($F269&lt;=85,1,0))</formula>
    </cfRule>
  </conditionalFormatting>
  <conditionalFormatting sqref="AI269">
    <cfRule type="expression" dxfId="8945" priority="2107">
      <formula>AND(IF(OR($Q269=1,$Q269=2),1,0),IF($X269&lt;=20,1,0))</formula>
    </cfRule>
    <cfRule type="expression" dxfId="8944" priority="2108">
      <formula>AND(IF($Q269=2,1,0),IF($X269&lt;30,1,0))</formula>
    </cfRule>
    <cfRule type="expression" dxfId="8943" priority="2109">
      <formula>AND(IF($Q269=3,1,0),IF($X269&lt;30,1,0))</formula>
    </cfRule>
    <cfRule type="expression" dxfId="8942" priority="2110">
      <formula>AND(IF($Q269=3,1,IF($Q269=4,1,0)),IF($F269&lt;=85,1,0))</formula>
    </cfRule>
  </conditionalFormatting>
  <conditionalFormatting sqref="AV270">
    <cfRule type="expression" dxfId="8941" priority="2105">
      <formula>AV270="X"</formula>
    </cfRule>
    <cfRule type="expression" dxfId="8940" priority="2106">
      <formula>AV270="후보"</formula>
    </cfRule>
  </conditionalFormatting>
  <conditionalFormatting sqref="AC270">
    <cfRule type="cellIs" dxfId="8939" priority="2103" operator="greaterThan">
      <formula>0.9</formula>
    </cfRule>
    <cfRule type="cellIs" dxfId="8938" priority="2104" operator="greaterThan">
      <formula>0.85</formula>
    </cfRule>
  </conditionalFormatting>
  <conditionalFormatting sqref="N270">
    <cfRule type="cellIs" dxfId="8937" priority="2101" operator="greaterThan">
      <formula>0.9</formula>
    </cfRule>
    <cfRule type="cellIs" dxfId="8936" priority="2102" operator="greaterThan">
      <formula>0.85</formula>
    </cfRule>
  </conditionalFormatting>
  <conditionalFormatting sqref="E270">
    <cfRule type="expression" dxfId="8935" priority="2097">
      <formula>AND(IF(OR($Q270=1,$Q270=2),1,0),IF($X270&lt;=20,1,0))</formula>
    </cfRule>
    <cfRule type="expression" dxfId="8934" priority="2098">
      <formula>AND(IF($Q270=2,1,0),IF($X270&lt;30,1,0))</formula>
    </cfRule>
    <cfRule type="expression" dxfId="8933" priority="2099">
      <formula>AND(IF($Q270=3,1,0),IF($X270&lt;30,1,0))</formula>
    </cfRule>
    <cfRule type="expression" dxfId="8932" priority="2100">
      <formula>AND(IF($Q270=3,1,IF($Q270=4,1,0)),IF($F270&lt;=85,1,0))</formula>
    </cfRule>
  </conditionalFormatting>
  <conditionalFormatting sqref="X270">
    <cfRule type="expression" dxfId="8931" priority="2093">
      <formula>AND(IF(OR($Q270=1,$Q270=2),1,0),IF($X270&lt;=20,1,0))</formula>
    </cfRule>
    <cfRule type="expression" dxfId="8930" priority="2094">
      <formula>AND(IF($Q270=2,1,0),IF($X270&lt;30,1,0))</formula>
    </cfRule>
    <cfRule type="expression" dxfId="8929" priority="2095">
      <formula>AND(IF($Q270=3,1,0),IF($X270&lt;30,1,0))</formula>
    </cfRule>
    <cfRule type="expression" dxfId="8928" priority="2096">
      <formula>AND(IF($Q270=3,1,IF($Q270=4,1,0)),IF($F270&lt;=85,1,0))</formula>
    </cfRule>
  </conditionalFormatting>
  <conditionalFormatting sqref="AI270">
    <cfRule type="expression" dxfId="8927" priority="2089">
      <formula>AND(IF(OR($Q270=1,$Q270=2),1,0),IF($X270&lt;=20,1,0))</formula>
    </cfRule>
    <cfRule type="expression" dxfId="8926" priority="2090">
      <formula>AND(IF($Q270=2,1,0),IF($X270&lt;30,1,0))</formula>
    </cfRule>
    <cfRule type="expression" dxfId="8925" priority="2091">
      <formula>AND(IF($Q270=3,1,0),IF($X270&lt;30,1,0))</formula>
    </cfRule>
    <cfRule type="expression" dxfId="8924" priority="2092">
      <formula>AND(IF($Q270=3,1,IF($Q270=4,1,0)),IF($F270&lt;=85,1,0))</formula>
    </cfRule>
  </conditionalFormatting>
  <conditionalFormatting sqref="AV271">
    <cfRule type="expression" dxfId="8923" priority="2087">
      <formula>AV271="X"</formula>
    </cfRule>
    <cfRule type="expression" dxfId="8922" priority="2088">
      <formula>AV271="후보"</formula>
    </cfRule>
  </conditionalFormatting>
  <conditionalFormatting sqref="AC271">
    <cfRule type="cellIs" dxfId="8921" priority="2085" operator="greaterThan">
      <formula>0.9</formula>
    </cfRule>
    <cfRule type="cellIs" dxfId="8920" priority="2086" operator="greaterThan">
      <formula>0.85</formula>
    </cfRule>
  </conditionalFormatting>
  <conditionalFormatting sqref="N271">
    <cfRule type="cellIs" dxfId="8919" priority="2083" operator="greaterThan">
      <formula>0.9</formula>
    </cfRule>
    <cfRule type="cellIs" dxfId="8918" priority="2084" operator="greaterThan">
      <formula>0.85</formula>
    </cfRule>
  </conditionalFormatting>
  <conditionalFormatting sqref="E271">
    <cfRule type="expression" dxfId="8917" priority="2079">
      <formula>AND(IF(OR($Q271=1,$Q271=2),1,0),IF($X271&lt;=20,1,0))</formula>
    </cfRule>
    <cfRule type="expression" dxfId="8916" priority="2080">
      <formula>AND(IF($Q271=2,1,0),IF($X271&lt;30,1,0))</formula>
    </cfRule>
    <cfRule type="expression" dxfId="8915" priority="2081">
      <formula>AND(IF($Q271=3,1,0),IF($X271&lt;30,1,0))</formula>
    </cfRule>
    <cfRule type="expression" dxfId="8914" priority="2082">
      <formula>AND(IF($Q271=3,1,IF($Q271=4,1,0)),IF($F271&lt;=85,1,0))</formula>
    </cfRule>
  </conditionalFormatting>
  <conditionalFormatting sqref="X271">
    <cfRule type="expression" dxfId="8913" priority="2075">
      <formula>AND(IF(OR($Q271=1,$Q271=2),1,0),IF($X271&lt;=20,1,0))</formula>
    </cfRule>
    <cfRule type="expression" dxfId="8912" priority="2076">
      <formula>AND(IF($Q271=2,1,0),IF($X271&lt;30,1,0))</formula>
    </cfRule>
    <cfRule type="expression" dxfId="8911" priority="2077">
      <formula>AND(IF($Q271=3,1,0),IF($X271&lt;30,1,0))</formula>
    </cfRule>
    <cfRule type="expression" dxfId="8910" priority="2078">
      <formula>AND(IF($Q271=3,1,IF($Q271=4,1,0)),IF($F271&lt;=85,1,0))</formula>
    </cfRule>
  </conditionalFormatting>
  <conditionalFormatting sqref="AI271">
    <cfRule type="expression" dxfId="8909" priority="2071">
      <formula>AND(IF(OR($Q271=1,$Q271=2),1,0),IF($X271&lt;=20,1,0))</formula>
    </cfRule>
    <cfRule type="expression" dxfId="8908" priority="2072">
      <formula>AND(IF($Q271=2,1,0),IF($X271&lt;30,1,0))</formula>
    </cfRule>
    <cfRule type="expression" dxfId="8907" priority="2073">
      <formula>AND(IF($Q271=3,1,0),IF($X271&lt;30,1,0))</formula>
    </cfRule>
    <cfRule type="expression" dxfId="8906" priority="2074">
      <formula>AND(IF($Q271=3,1,IF($Q271=4,1,0)),IF($F271&lt;=85,1,0))</formula>
    </cfRule>
  </conditionalFormatting>
  <conditionalFormatting sqref="AV272">
    <cfRule type="expression" dxfId="8905" priority="2069">
      <formula>AV272="X"</formula>
    </cfRule>
    <cfRule type="expression" dxfId="8904" priority="2070">
      <formula>AV272="후보"</formula>
    </cfRule>
  </conditionalFormatting>
  <conditionalFormatting sqref="AC272">
    <cfRule type="cellIs" dxfId="8903" priority="2067" operator="greaterThan">
      <formula>0.9</formula>
    </cfRule>
    <cfRule type="cellIs" dxfId="8902" priority="2068" operator="greaterThan">
      <formula>0.85</formula>
    </cfRule>
  </conditionalFormatting>
  <conditionalFormatting sqref="N272">
    <cfRule type="cellIs" dxfId="8901" priority="2065" operator="greaterThan">
      <formula>0.9</formula>
    </cfRule>
    <cfRule type="cellIs" dxfId="8900" priority="2066" operator="greaterThan">
      <formula>0.85</formula>
    </cfRule>
  </conditionalFormatting>
  <conditionalFormatting sqref="E272">
    <cfRule type="expression" dxfId="8899" priority="2061">
      <formula>AND(IF(OR($Q272=1,$Q272=2),1,0),IF($X272&lt;=20,1,0))</formula>
    </cfRule>
    <cfRule type="expression" dxfId="8898" priority="2062">
      <formula>AND(IF($Q272=2,1,0),IF($X272&lt;30,1,0))</formula>
    </cfRule>
    <cfRule type="expression" dxfId="8897" priority="2063">
      <formula>AND(IF($Q272=3,1,0),IF($X272&lt;30,1,0))</formula>
    </cfRule>
    <cfRule type="expression" dxfId="8896" priority="2064">
      <formula>AND(IF($Q272=3,1,IF($Q272=4,1,0)),IF($F272&lt;=85,1,0))</formula>
    </cfRule>
  </conditionalFormatting>
  <conditionalFormatting sqref="X272">
    <cfRule type="expression" dxfId="8895" priority="2057">
      <formula>AND(IF(OR($Q272=1,$Q272=2),1,0),IF($X272&lt;=20,1,0))</formula>
    </cfRule>
    <cfRule type="expression" dxfId="8894" priority="2058">
      <formula>AND(IF($Q272=2,1,0),IF($X272&lt;30,1,0))</formula>
    </cfRule>
    <cfRule type="expression" dxfId="8893" priority="2059">
      <formula>AND(IF($Q272=3,1,0),IF($X272&lt;30,1,0))</formula>
    </cfRule>
    <cfRule type="expression" dxfId="8892" priority="2060">
      <formula>AND(IF($Q272=3,1,IF($Q272=4,1,0)),IF($F272&lt;=85,1,0))</formula>
    </cfRule>
  </conditionalFormatting>
  <conditionalFormatting sqref="AI272">
    <cfRule type="expression" dxfId="8891" priority="2053">
      <formula>AND(IF(OR($Q272=1,$Q272=2),1,0),IF($X272&lt;=20,1,0))</formula>
    </cfRule>
    <cfRule type="expression" dxfId="8890" priority="2054">
      <formula>AND(IF($Q272=2,1,0),IF($X272&lt;30,1,0))</formula>
    </cfRule>
    <cfRule type="expression" dxfId="8889" priority="2055">
      <formula>AND(IF($Q272=3,1,0),IF($X272&lt;30,1,0))</formula>
    </cfRule>
    <cfRule type="expression" dxfId="8888" priority="2056">
      <formula>AND(IF($Q272=3,1,IF($Q272=4,1,0)),IF($F272&lt;=85,1,0))</formula>
    </cfRule>
  </conditionalFormatting>
  <conditionalFormatting sqref="AV273">
    <cfRule type="expression" dxfId="8887" priority="2051">
      <formula>AV273="X"</formula>
    </cfRule>
    <cfRule type="expression" dxfId="8886" priority="2052">
      <formula>AV273="후보"</formula>
    </cfRule>
  </conditionalFormatting>
  <conditionalFormatting sqref="AC273">
    <cfRule type="cellIs" dxfId="8885" priority="2049" operator="greaterThan">
      <formula>0.9</formula>
    </cfRule>
    <cfRule type="cellIs" dxfId="8884" priority="2050" operator="greaterThan">
      <formula>0.85</formula>
    </cfRule>
  </conditionalFormatting>
  <conditionalFormatting sqref="N273">
    <cfRule type="cellIs" dxfId="8883" priority="2047" operator="greaterThan">
      <formula>0.9</formula>
    </cfRule>
    <cfRule type="cellIs" dxfId="8882" priority="2048" operator="greaterThan">
      <formula>0.85</formula>
    </cfRule>
  </conditionalFormatting>
  <conditionalFormatting sqref="E273">
    <cfRule type="expression" dxfId="8881" priority="2043">
      <formula>AND(IF(OR($Q273=1,$Q273=2),1,0),IF($X273&lt;=20,1,0))</formula>
    </cfRule>
    <cfRule type="expression" dxfId="8880" priority="2044">
      <formula>AND(IF($Q273=2,1,0),IF($X273&lt;30,1,0))</formula>
    </cfRule>
    <cfRule type="expression" dxfId="8879" priority="2045">
      <formula>AND(IF($Q273=3,1,0),IF($X273&lt;30,1,0))</formula>
    </cfRule>
    <cfRule type="expression" dxfId="8878" priority="2046">
      <formula>AND(IF($Q273=3,1,IF($Q273=4,1,0)),IF($F273&lt;=85,1,0))</formula>
    </cfRule>
  </conditionalFormatting>
  <conditionalFormatting sqref="X273">
    <cfRule type="expression" dxfId="8877" priority="2039">
      <formula>AND(IF(OR($Q273=1,$Q273=2),1,0),IF($X273&lt;=20,1,0))</formula>
    </cfRule>
    <cfRule type="expression" dxfId="8876" priority="2040">
      <formula>AND(IF($Q273=2,1,0),IF($X273&lt;30,1,0))</formula>
    </cfRule>
    <cfRule type="expression" dxfId="8875" priority="2041">
      <formula>AND(IF($Q273=3,1,0),IF($X273&lt;30,1,0))</formula>
    </cfRule>
    <cfRule type="expression" dxfId="8874" priority="2042">
      <formula>AND(IF($Q273=3,1,IF($Q273=4,1,0)),IF($F273&lt;=85,1,0))</formula>
    </cfRule>
  </conditionalFormatting>
  <conditionalFormatting sqref="AI273">
    <cfRule type="expression" dxfId="8873" priority="2035">
      <formula>AND(IF(OR($Q273=1,$Q273=2),1,0),IF($X273&lt;=20,1,0))</formula>
    </cfRule>
    <cfRule type="expression" dxfId="8872" priority="2036">
      <formula>AND(IF($Q273=2,1,0),IF($X273&lt;30,1,0))</formula>
    </cfRule>
    <cfRule type="expression" dxfId="8871" priority="2037">
      <formula>AND(IF($Q273=3,1,0),IF($X273&lt;30,1,0))</formula>
    </cfRule>
    <cfRule type="expression" dxfId="8870" priority="2038">
      <formula>AND(IF($Q273=3,1,IF($Q273=4,1,0)),IF($F273&lt;=85,1,0))</formula>
    </cfRule>
  </conditionalFormatting>
  <conditionalFormatting sqref="AV274">
    <cfRule type="expression" dxfId="8869" priority="2033">
      <formula>AV274="X"</formula>
    </cfRule>
    <cfRule type="expression" dxfId="8868" priority="2034">
      <formula>AV274="후보"</formula>
    </cfRule>
  </conditionalFormatting>
  <conditionalFormatting sqref="AC274">
    <cfRule type="cellIs" dxfId="8867" priority="2031" operator="greaterThan">
      <formula>0.9</formula>
    </cfRule>
    <cfRule type="cellIs" dxfId="8866" priority="2032" operator="greaterThan">
      <formula>0.85</formula>
    </cfRule>
  </conditionalFormatting>
  <conditionalFormatting sqref="N274">
    <cfRule type="cellIs" dxfId="8865" priority="2029" operator="greaterThan">
      <formula>0.9</formula>
    </cfRule>
    <cfRule type="cellIs" dxfId="8864" priority="2030" operator="greaterThan">
      <formula>0.85</formula>
    </cfRule>
  </conditionalFormatting>
  <conditionalFormatting sqref="E274">
    <cfRule type="expression" dxfId="8863" priority="2025">
      <formula>AND(IF(OR($Q274=1,$Q274=2),1,0),IF($X274&lt;=20,1,0))</formula>
    </cfRule>
    <cfRule type="expression" dxfId="8862" priority="2026">
      <formula>AND(IF($Q274=2,1,0),IF($X274&lt;30,1,0))</formula>
    </cfRule>
    <cfRule type="expression" dxfId="8861" priority="2027">
      <formula>AND(IF($Q274=3,1,0),IF($X274&lt;30,1,0))</formula>
    </cfRule>
    <cfRule type="expression" dxfId="8860" priority="2028">
      <formula>AND(IF($Q274=3,1,IF($Q274=4,1,0)),IF($F274&lt;=85,1,0))</formula>
    </cfRule>
  </conditionalFormatting>
  <conditionalFormatting sqref="X274">
    <cfRule type="expression" dxfId="8859" priority="2021">
      <formula>AND(IF(OR($Q274=1,$Q274=2),1,0),IF($X274&lt;=20,1,0))</formula>
    </cfRule>
    <cfRule type="expression" dxfId="8858" priority="2022">
      <formula>AND(IF($Q274=2,1,0),IF($X274&lt;30,1,0))</formula>
    </cfRule>
    <cfRule type="expression" dxfId="8857" priority="2023">
      <formula>AND(IF($Q274=3,1,0),IF($X274&lt;30,1,0))</formula>
    </cfRule>
    <cfRule type="expression" dxfId="8856" priority="2024">
      <formula>AND(IF($Q274=3,1,IF($Q274=4,1,0)),IF($F274&lt;=85,1,0))</formula>
    </cfRule>
  </conditionalFormatting>
  <conditionalFormatting sqref="AI274">
    <cfRule type="expression" dxfId="8855" priority="2017">
      <formula>AND(IF(OR($Q274=1,$Q274=2),1,0),IF($X274&lt;=20,1,0))</formula>
    </cfRule>
    <cfRule type="expression" dxfId="8854" priority="2018">
      <formula>AND(IF($Q274=2,1,0),IF($X274&lt;30,1,0))</formula>
    </cfRule>
    <cfRule type="expression" dxfId="8853" priority="2019">
      <formula>AND(IF($Q274=3,1,0),IF($X274&lt;30,1,0))</formula>
    </cfRule>
    <cfRule type="expression" dxfId="8852" priority="2020">
      <formula>AND(IF($Q274=3,1,IF($Q274=4,1,0)),IF($F274&lt;=85,1,0))</formula>
    </cfRule>
  </conditionalFormatting>
  <conditionalFormatting sqref="AV275">
    <cfRule type="expression" dxfId="8851" priority="2015">
      <formula>AV275="X"</formula>
    </cfRule>
    <cfRule type="expression" dxfId="8850" priority="2016">
      <formula>AV275="후보"</formula>
    </cfRule>
  </conditionalFormatting>
  <conditionalFormatting sqref="AC275">
    <cfRule type="cellIs" dxfId="8849" priority="2013" operator="greaterThan">
      <formula>0.9</formula>
    </cfRule>
    <cfRule type="cellIs" dxfId="8848" priority="2014" operator="greaterThan">
      <formula>0.85</formula>
    </cfRule>
  </conditionalFormatting>
  <conditionalFormatting sqref="N275">
    <cfRule type="cellIs" dxfId="8847" priority="2011" operator="greaterThan">
      <formula>0.9</formula>
    </cfRule>
    <cfRule type="cellIs" dxfId="8846" priority="2012" operator="greaterThan">
      <formula>0.85</formula>
    </cfRule>
  </conditionalFormatting>
  <conditionalFormatting sqref="E275">
    <cfRule type="expression" dxfId="8845" priority="2007">
      <formula>AND(IF(OR($Q275=1,$Q275=2),1,0),IF($X275&lt;=20,1,0))</formula>
    </cfRule>
    <cfRule type="expression" dxfId="8844" priority="2008">
      <formula>AND(IF($Q275=2,1,0),IF($X275&lt;30,1,0))</formula>
    </cfRule>
    <cfRule type="expression" dxfId="8843" priority="2009">
      <formula>AND(IF($Q275=3,1,0),IF($X275&lt;30,1,0))</formula>
    </cfRule>
    <cfRule type="expression" dxfId="8842" priority="2010">
      <formula>AND(IF($Q275=3,1,IF($Q275=4,1,0)),IF($F275&lt;=85,1,0))</formula>
    </cfRule>
  </conditionalFormatting>
  <conditionalFormatting sqref="X275">
    <cfRule type="expression" dxfId="8841" priority="2003">
      <formula>AND(IF(OR($Q275=1,$Q275=2),1,0),IF($X275&lt;=20,1,0))</formula>
    </cfRule>
    <cfRule type="expression" dxfId="8840" priority="2004">
      <formula>AND(IF($Q275=2,1,0),IF($X275&lt;30,1,0))</formula>
    </cfRule>
    <cfRule type="expression" dxfId="8839" priority="2005">
      <formula>AND(IF($Q275=3,1,0),IF($X275&lt;30,1,0))</formula>
    </cfRule>
    <cfRule type="expression" dxfId="8838" priority="2006">
      <formula>AND(IF($Q275=3,1,IF($Q275=4,1,0)),IF($F275&lt;=85,1,0))</formula>
    </cfRule>
  </conditionalFormatting>
  <conditionalFormatting sqref="AI275">
    <cfRule type="expression" dxfId="8837" priority="1999">
      <formula>AND(IF(OR($Q275=1,$Q275=2),1,0),IF($X275&lt;=20,1,0))</formula>
    </cfRule>
    <cfRule type="expression" dxfId="8836" priority="2000">
      <formula>AND(IF($Q275=2,1,0),IF($X275&lt;30,1,0))</formula>
    </cfRule>
    <cfRule type="expression" dxfId="8835" priority="2001">
      <formula>AND(IF($Q275=3,1,0),IF($X275&lt;30,1,0))</formula>
    </cfRule>
    <cfRule type="expression" dxfId="8834" priority="2002">
      <formula>AND(IF($Q275=3,1,IF($Q275=4,1,0)),IF($F275&lt;=85,1,0))</formula>
    </cfRule>
  </conditionalFormatting>
  <conditionalFormatting sqref="AV276">
    <cfRule type="expression" dxfId="8833" priority="1997">
      <formula>AV276="X"</formula>
    </cfRule>
    <cfRule type="expression" dxfId="8832" priority="1998">
      <formula>AV276="후보"</formula>
    </cfRule>
  </conditionalFormatting>
  <conditionalFormatting sqref="AC276">
    <cfRule type="cellIs" dxfId="8831" priority="1995" operator="greaterThan">
      <formula>0.9</formula>
    </cfRule>
    <cfRule type="cellIs" dxfId="8830" priority="1996" operator="greaterThan">
      <formula>0.85</formula>
    </cfRule>
  </conditionalFormatting>
  <conditionalFormatting sqref="N276">
    <cfRule type="cellIs" dxfId="8829" priority="1993" operator="greaterThan">
      <formula>0.9</formula>
    </cfRule>
    <cfRule type="cellIs" dxfId="8828" priority="1994" operator="greaterThan">
      <formula>0.85</formula>
    </cfRule>
  </conditionalFormatting>
  <conditionalFormatting sqref="E276">
    <cfRule type="expression" dxfId="8827" priority="1989">
      <formula>AND(IF(OR($Q276=1,$Q276=2),1,0),IF($X276&lt;=20,1,0))</formula>
    </cfRule>
    <cfRule type="expression" dxfId="8826" priority="1990">
      <formula>AND(IF($Q276=2,1,0),IF($X276&lt;30,1,0))</formula>
    </cfRule>
    <cfRule type="expression" dxfId="8825" priority="1991">
      <formula>AND(IF($Q276=3,1,0),IF($X276&lt;30,1,0))</formula>
    </cfRule>
    <cfRule type="expression" dxfId="8824" priority="1992">
      <formula>AND(IF($Q276=3,1,IF($Q276=4,1,0)),IF($F276&lt;=85,1,0))</formula>
    </cfRule>
  </conditionalFormatting>
  <conditionalFormatting sqref="X276">
    <cfRule type="expression" dxfId="8823" priority="1985">
      <formula>AND(IF(OR($Q276=1,$Q276=2),1,0),IF($X276&lt;=20,1,0))</formula>
    </cfRule>
    <cfRule type="expression" dxfId="8822" priority="1986">
      <formula>AND(IF($Q276=2,1,0),IF($X276&lt;30,1,0))</formula>
    </cfRule>
    <cfRule type="expression" dxfId="8821" priority="1987">
      <formula>AND(IF($Q276=3,1,0),IF($X276&lt;30,1,0))</formula>
    </cfRule>
    <cfRule type="expression" dxfId="8820" priority="1988">
      <formula>AND(IF($Q276=3,1,IF($Q276=4,1,0)),IF($F276&lt;=85,1,0))</formula>
    </cfRule>
  </conditionalFormatting>
  <conditionalFormatting sqref="AI276">
    <cfRule type="expression" dxfId="8819" priority="1981">
      <formula>AND(IF(OR($Q276=1,$Q276=2),1,0),IF($X276&lt;=20,1,0))</formula>
    </cfRule>
    <cfRule type="expression" dxfId="8818" priority="1982">
      <formula>AND(IF($Q276=2,1,0),IF($X276&lt;30,1,0))</formula>
    </cfRule>
    <cfRule type="expression" dxfId="8817" priority="1983">
      <formula>AND(IF($Q276=3,1,0),IF($X276&lt;30,1,0))</formula>
    </cfRule>
    <cfRule type="expression" dxfId="8816" priority="1984">
      <formula>AND(IF($Q276=3,1,IF($Q276=4,1,0)),IF($F276&lt;=85,1,0))</formula>
    </cfRule>
  </conditionalFormatting>
  <conditionalFormatting sqref="AV277">
    <cfRule type="expression" dxfId="8815" priority="1979">
      <formula>AV277="X"</formula>
    </cfRule>
    <cfRule type="expression" dxfId="8814" priority="1980">
      <formula>AV277="후보"</formula>
    </cfRule>
  </conditionalFormatting>
  <conditionalFormatting sqref="AC277">
    <cfRule type="cellIs" dxfId="8813" priority="1977" operator="greaterThan">
      <formula>0.9</formula>
    </cfRule>
    <cfRule type="cellIs" dxfId="8812" priority="1978" operator="greaterThan">
      <formula>0.85</formula>
    </cfRule>
  </conditionalFormatting>
  <conditionalFormatting sqref="N277">
    <cfRule type="cellIs" dxfId="8811" priority="1975" operator="greaterThan">
      <formula>0.9</formula>
    </cfRule>
    <cfRule type="cellIs" dxfId="8810" priority="1976" operator="greaterThan">
      <formula>0.85</formula>
    </cfRule>
  </conditionalFormatting>
  <conditionalFormatting sqref="E277">
    <cfRule type="expression" dxfId="8809" priority="1971">
      <formula>AND(IF(OR($Q277=1,$Q277=2),1,0),IF($X277&lt;=20,1,0))</formula>
    </cfRule>
    <cfRule type="expression" dxfId="8808" priority="1972">
      <formula>AND(IF($Q277=2,1,0),IF($X277&lt;30,1,0))</formula>
    </cfRule>
    <cfRule type="expression" dxfId="8807" priority="1973">
      <formula>AND(IF($Q277=3,1,0),IF($X277&lt;30,1,0))</formula>
    </cfRule>
    <cfRule type="expression" dxfId="8806" priority="1974">
      <formula>AND(IF($Q277=3,1,IF($Q277=4,1,0)),IF($F277&lt;=85,1,0))</formula>
    </cfRule>
  </conditionalFormatting>
  <conditionalFormatting sqref="X277">
    <cfRule type="expression" dxfId="8805" priority="1967">
      <formula>AND(IF(OR($Q277=1,$Q277=2),1,0),IF($X277&lt;=20,1,0))</formula>
    </cfRule>
    <cfRule type="expression" dxfId="8804" priority="1968">
      <formula>AND(IF($Q277=2,1,0),IF($X277&lt;30,1,0))</formula>
    </cfRule>
    <cfRule type="expression" dxfId="8803" priority="1969">
      <formula>AND(IF($Q277=3,1,0),IF($X277&lt;30,1,0))</formula>
    </cfRule>
    <cfRule type="expression" dxfId="8802" priority="1970">
      <formula>AND(IF($Q277=3,1,IF($Q277=4,1,0)),IF($F277&lt;=85,1,0))</formula>
    </cfRule>
  </conditionalFormatting>
  <conditionalFormatting sqref="AI277">
    <cfRule type="expression" dxfId="8801" priority="1963">
      <formula>AND(IF(OR($Q277=1,$Q277=2),1,0),IF($X277&lt;=20,1,0))</formula>
    </cfRule>
    <cfRule type="expression" dxfId="8800" priority="1964">
      <formula>AND(IF($Q277=2,1,0),IF($X277&lt;30,1,0))</formula>
    </cfRule>
    <cfRule type="expression" dxfId="8799" priority="1965">
      <formula>AND(IF($Q277=3,1,0),IF($X277&lt;30,1,0))</formula>
    </cfRule>
    <cfRule type="expression" dxfId="8798" priority="1966">
      <formula>AND(IF($Q277=3,1,IF($Q277=4,1,0)),IF($F277&lt;=85,1,0))</formula>
    </cfRule>
  </conditionalFormatting>
  <conditionalFormatting sqref="AV278">
    <cfRule type="expression" dxfId="8797" priority="1961">
      <formula>AV278="X"</formula>
    </cfRule>
    <cfRule type="expression" dxfId="8796" priority="1962">
      <formula>AV278="후보"</formula>
    </cfRule>
  </conditionalFormatting>
  <conditionalFormatting sqref="AC278">
    <cfRule type="cellIs" dxfId="8795" priority="1959" operator="greaterThan">
      <formula>0.9</formula>
    </cfRule>
    <cfRule type="cellIs" dxfId="8794" priority="1960" operator="greaterThan">
      <formula>0.85</formula>
    </cfRule>
  </conditionalFormatting>
  <conditionalFormatting sqref="N278">
    <cfRule type="cellIs" dxfId="8793" priority="1957" operator="greaterThan">
      <formula>0.9</formula>
    </cfRule>
    <cfRule type="cellIs" dxfId="8792" priority="1958" operator="greaterThan">
      <formula>0.85</formula>
    </cfRule>
  </conditionalFormatting>
  <conditionalFormatting sqref="E278">
    <cfRule type="expression" dxfId="8791" priority="1953">
      <formula>AND(IF(OR($Q278=1,$Q278=2),1,0),IF($X278&lt;=20,1,0))</formula>
    </cfRule>
    <cfRule type="expression" dxfId="8790" priority="1954">
      <formula>AND(IF($Q278=2,1,0),IF($X278&lt;30,1,0))</formula>
    </cfRule>
    <cfRule type="expression" dxfId="8789" priority="1955">
      <formula>AND(IF($Q278=3,1,0),IF($X278&lt;30,1,0))</formula>
    </cfRule>
    <cfRule type="expression" dxfId="8788" priority="1956">
      <formula>AND(IF($Q278=3,1,IF($Q278=4,1,0)),IF($F278&lt;=85,1,0))</formula>
    </cfRule>
  </conditionalFormatting>
  <conditionalFormatting sqref="X278">
    <cfRule type="expression" dxfId="8787" priority="1949">
      <formula>AND(IF(OR($Q278=1,$Q278=2),1,0),IF($X278&lt;=20,1,0))</formula>
    </cfRule>
    <cfRule type="expression" dxfId="8786" priority="1950">
      <formula>AND(IF($Q278=2,1,0),IF($X278&lt;30,1,0))</formula>
    </cfRule>
    <cfRule type="expression" dxfId="8785" priority="1951">
      <formula>AND(IF($Q278=3,1,0),IF($X278&lt;30,1,0))</formula>
    </cfRule>
    <cfRule type="expression" dxfId="8784" priority="1952">
      <formula>AND(IF($Q278=3,1,IF($Q278=4,1,0)),IF($F278&lt;=85,1,0))</formula>
    </cfRule>
  </conditionalFormatting>
  <conditionalFormatting sqref="AI278">
    <cfRule type="expression" dxfId="8783" priority="1945">
      <formula>AND(IF(OR($Q278=1,$Q278=2),1,0),IF($X278&lt;=20,1,0))</formula>
    </cfRule>
    <cfRule type="expression" dxfId="8782" priority="1946">
      <formula>AND(IF($Q278=2,1,0),IF($X278&lt;30,1,0))</formula>
    </cfRule>
    <cfRule type="expression" dxfId="8781" priority="1947">
      <formula>AND(IF($Q278=3,1,0),IF($X278&lt;30,1,0))</formula>
    </cfRule>
    <cfRule type="expression" dxfId="8780" priority="1948">
      <formula>AND(IF($Q278=3,1,IF($Q278=4,1,0)),IF($F278&lt;=85,1,0))</formula>
    </cfRule>
  </conditionalFormatting>
  <conditionalFormatting sqref="AV279">
    <cfRule type="expression" dxfId="8779" priority="1943">
      <formula>AV279="X"</formula>
    </cfRule>
    <cfRule type="expression" dxfId="8778" priority="1944">
      <formula>AV279="후보"</formula>
    </cfRule>
  </conditionalFormatting>
  <conditionalFormatting sqref="AC279">
    <cfRule type="cellIs" dxfId="8777" priority="1941" operator="greaterThan">
      <formula>0.9</formula>
    </cfRule>
    <cfRule type="cellIs" dxfId="8776" priority="1942" operator="greaterThan">
      <formula>0.85</formula>
    </cfRule>
  </conditionalFormatting>
  <conditionalFormatting sqref="N279">
    <cfRule type="cellIs" dxfId="8775" priority="1939" operator="greaterThan">
      <formula>0.9</formula>
    </cfRule>
    <cfRule type="cellIs" dxfId="8774" priority="1940" operator="greaterThan">
      <formula>0.85</formula>
    </cfRule>
  </conditionalFormatting>
  <conditionalFormatting sqref="E279">
    <cfRule type="expression" dxfId="8773" priority="1935">
      <formula>AND(IF(OR($Q279=1,$Q279=2),1,0),IF($X279&lt;=20,1,0))</formula>
    </cfRule>
    <cfRule type="expression" dxfId="8772" priority="1936">
      <formula>AND(IF($Q279=2,1,0),IF($X279&lt;30,1,0))</formula>
    </cfRule>
    <cfRule type="expression" dxfId="8771" priority="1937">
      <formula>AND(IF($Q279=3,1,0),IF($X279&lt;30,1,0))</formula>
    </cfRule>
    <cfRule type="expression" dxfId="8770" priority="1938">
      <formula>AND(IF($Q279=3,1,IF($Q279=4,1,0)),IF($F279&lt;=85,1,0))</formula>
    </cfRule>
  </conditionalFormatting>
  <conditionalFormatting sqref="X279">
    <cfRule type="expression" dxfId="8769" priority="1931">
      <formula>AND(IF(OR($Q279=1,$Q279=2),1,0),IF($X279&lt;=20,1,0))</formula>
    </cfRule>
    <cfRule type="expression" dxfId="8768" priority="1932">
      <formula>AND(IF($Q279=2,1,0),IF($X279&lt;30,1,0))</formula>
    </cfRule>
    <cfRule type="expression" dxfId="8767" priority="1933">
      <formula>AND(IF($Q279=3,1,0),IF($X279&lt;30,1,0))</formula>
    </cfRule>
    <cfRule type="expression" dxfId="8766" priority="1934">
      <formula>AND(IF($Q279=3,1,IF($Q279=4,1,0)),IF($F279&lt;=85,1,0))</formula>
    </cfRule>
  </conditionalFormatting>
  <conditionalFormatting sqref="AI279">
    <cfRule type="expression" dxfId="8765" priority="1927">
      <formula>AND(IF(OR($Q279=1,$Q279=2),1,0),IF($X279&lt;=20,1,0))</formula>
    </cfRule>
    <cfRule type="expression" dxfId="8764" priority="1928">
      <formula>AND(IF($Q279=2,1,0),IF($X279&lt;30,1,0))</formula>
    </cfRule>
    <cfRule type="expression" dxfId="8763" priority="1929">
      <formula>AND(IF($Q279=3,1,0),IF($X279&lt;30,1,0))</formula>
    </cfRule>
    <cfRule type="expression" dxfId="8762" priority="1930">
      <formula>AND(IF($Q279=3,1,IF($Q279=4,1,0)),IF($F279&lt;=85,1,0))</formula>
    </cfRule>
  </conditionalFormatting>
  <conditionalFormatting sqref="AV280">
    <cfRule type="expression" dxfId="8761" priority="1925">
      <formula>AV280="X"</formula>
    </cfRule>
    <cfRule type="expression" dxfId="8760" priority="1926">
      <formula>AV280="후보"</formula>
    </cfRule>
  </conditionalFormatting>
  <conditionalFormatting sqref="AC280">
    <cfRule type="cellIs" dxfId="8759" priority="1923" operator="greaterThan">
      <formula>0.9</formula>
    </cfRule>
    <cfRule type="cellIs" dxfId="8758" priority="1924" operator="greaterThan">
      <formula>0.85</formula>
    </cfRule>
  </conditionalFormatting>
  <conditionalFormatting sqref="N280">
    <cfRule type="cellIs" dxfId="8757" priority="1921" operator="greaterThan">
      <formula>0.9</formula>
    </cfRule>
    <cfRule type="cellIs" dxfId="8756" priority="1922" operator="greaterThan">
      <formula>0.85</formula>
    </cfRule>
  </conditionalFormatting>
  <conditionalFormatting sqref="E280">
    <cfRule type="expression" dxfId="8755" priority="1917">
      <formula>AND(IF(OR($Q280=1,$Q280=2),1,0),IF($X280&lt;=20,1,0))</formula>
    </cfRule>
    <cfRule type="expression" dxfId="8754" priority="1918">
      <formula>AND(IF($Q280=2,1,0),IF($X280&lt;30,1,0))</formula>
    </cfRule>
    <cfRule type="expression" dxfId="8753" priority="1919">
      <formula>AND(IF($Q280=3,1,0),IF($X280&lt;30,1,0))</formula>
    </cfRule>
    <cfRule type="expression" dxfId="8752" priority="1920">
      <formula>AND(IF($Q280=3,1,IF($Q280=4,1,0)),IF($F280&lt;=85,1,0))</formula>
    </cfRule>
  </conditionalFormatting>
  <conditionalFormatting sqref="X280">
    <cfRule type="expression" dxfId="8751" priority="1913">
      <formula>AND(IF(OR($Q280=1,$Q280=2),1,0),IF($X280&lt;=20,1,0))</formula>
    </cfRule>
    <cfRule type="expression" dxfId="8750" priority="1914">
      <formula>AND(IF($Q280=2,1,0),IF($X280&lt;30,1,0))</formula>
    </cfRule>
    <cfRule type="expression" dxfId="8749" priority="1915">
      <formula>AND(IF($Q280=3,1,0),IF($X280&lt;30,1,0))</formula>
    </cfRule>
    <cfRule type="expression" dxfId="8748" priority="1916">
      <formula>AND(IF($Q280=3,1,IF($Q280=4,1,0)),IF($F280&lt;=85,1,0))</formula>
    </cfRule>
  </conditionalFormatting>
  <conditionalFormatting sqref="AI280">
    <cfRule type="expression" dxfId="8747" priority="1909">
      <formula>AND(IF(OR($Q280=1,$Q280=2),1,0),IF($X280&lt;=20,1,0))</formula>
    </cfRule>
    <cfRule type="expression" dxfId="8746" priority="1910">
      <formula>AND(IF($Q280=2,1,0),IF($X280&lt;30,1,0))</formula>
    </cfRule>
    <cfRule type="expression" dxfId="8745" priority="1911">
      <formula>AND(IF($Q280=3,1,0),IF($X280&lt;30,1,0))</formula>
    </cfRule>
    <cfRule type="expression" dxfId="8744" priority="1912">
      <formula>AND(IF($Q280=3,1,IF($Q280=4,1,0)),IF($F280&lt;=85,1,0))</formula>
    </cfRule>
  </conditionalFormatting>
  <conditionalFormatting sqref="AV281">
    <cfRule type="expression" dxfId="8743" priority="1907">
      <formula>AV281="X"</formula>
    </cfRule>
    <cfRule type="expression" dxfId="8742" priority="1908">
      <formula>AV281="후보"</formula>
    </cfRule>
  </conditionalFormatting>
  <conditionalFormatting sqref="AC281">
    <cfRule type="cellIs" dxfId="8741" priority="1905" operator="greaterThan">
      <formula>0.9</formula>
    </cfRule>
    <cfRule type="cellIs" dxfId="8740" priority="1906" operator="greaterThan">
      <formula>0.85</formula>
    </cfRule>
  </conditionalFormatting>
  <conditionalFormatting sqref="N281">
    <cfRule type="cellIs" dxfId="8739" priority="1903" operator="greaterThan">
      <formula>0.9</formula>
    </cfRule>
    <cfRule type="cellIs" dxfId="8738" priority="1904" operator="greaterThan">
      <formula>0.85</formula>
    </cfRule>
  </conditionalFormatting>
  <conditionalFormatting sqref="E281">
    <cfRule type="expression" dxfId="8737" priority="1899">
      <formula>AND(IF(OR($Q281=1,$Q281=2),1,0),IF($X281&lt;=20,1,0))</formula>
    </cfRule>
    <cfRule type="expression" dxfId="8736" priority="1900">
      <formula>AND(IF($Q281=2,1,0),IF($X281&lt;30,1,0))</formula>
    </cfRule>
    <cfRule type="expression" dxfId="8735" priority="1901">
      <formula>AND(IF($Q281=3,1,0),IF($X281&lt;30,1,0))</formula>
    </cfRule>
    <cfRule type="expression" dxfId="8734" priority="1902">
      <formula>AND(IF($Q281=3,1,IF($Q281=4,1,0)),IF($F281&lt;=85,1,0))</formula>
    </cfRule>
  </conditionalFormatting>
  <conditionalFormatting sqref="X281">
    <cfRule type="expression" dxfId="8733" priority="1895">
      <formula>AND(IF(OR($Q281=1,$Q281=2),1,0),IF($X281&lt;=20,1,0))</formula>
    </cfRule>
    <cfRule type="expression" dxfId="8732" priority="1896">
      <formula>AND(IF($Q281=2,1,0),IF($X281&lt;30,1,0))</formula>
    </cfRule>
    <cfRule type="expression" dxfId="8731" priority="1897">
      <formula>AND(IF($Q281=3,1,0),IF($X281&lt;30,1,0))</formula>
    </cfRule>
    <cfRule type="expression" dxfId="8730" priority="1898">
      <formula>AND(IF($Q281=3,1,IF($Q281=4,1,0)),IF($F281&lt;=85,1,0))</formula>
    </cfRule>
  </conditionalFormatting>
  <conditionalFormatting sqref="AI281">
    <cfRule type="expression" dxfId="8729" priority="1891">
      <formula>AND(IF(OR($Q281=1,$Q281=2),1,0),IF($X281&lt;=20,1,0))</formula>
    </cfRule>
    <cfRule type="expression" dxfId="8728" priority="1892">
      <formula>AND(IF($Q281=2,1,0),IF($X281&lt;30,1,0))</formula>
    </cfRule>
    <cfRule type="expression" dxfId="8727" priority="1893">
      <formula>AND(IF($Q281=3,1,0),IF($X281&lt;30,1,0))</formula>
    </cfRule>
    <cfRule type="expression" dxfId="8726" priority="1894">
      <formula>AND(IF($Q281=3,1,IF($Q281=4,1,0)),IF($F281&lt;=85,1,0))</formula>
    </cfRule>
  </conditionalFormatting>
  <conditionalFormatting sqref="AV282">
    <cfRule type="expression" dxfId="8725" priority="1889">
      <formula>AV282="X"</formula>
    </cfRule>
    <cfRule type="expression" dxfId="8724" priority="1890">
      <formula>AV282="후보"</formula>
    </cfRule>
  </conditionalFormatting>
  <conditionalFormatting sqref="AC282">
    <cfRule type="cellIs" dxfId="8723" priority="1887" operator="greaterThan">
      <formula>0.9</formula>
    </cfRule>
    <cfRule type="cellIs" dxfId="8722" priority="1888" operator="greaterThan">
      <formula>0.85</formula>
    </cfRule>
  </conditionalFormatting>
  <conditionalFormatting sqref="N282">
    <cfRule type="cellIs" dxfId="8721" priority="1885" operator="greaterThan">
      <formula>0.9</formula>
    </cfRule>
    <cfRule type="cellIs" dxfId="8720" priority="1886" operator="greaterThan">
      <formula>0.85</formula>
    </cfRule>
  </conditionalFormatting>
  <conditionalFormatting sqref="E282">
    <cfRule type="expression" dxfId="8719" priority="1881">
      <formula>AND(IF(OR($Q282=1,$Q282=2),1,0),IF($X282&lt;=20,1,0))</formula>
    </cfRule>
    <cfRule type="expression" dxfId="8718" priority="1882">
      <formula>AND(IF($Q282=2,1,0),IF($X282&lt;30,1,0))</formula>
    </cfRule>
    <cfRule type="expression" dxfId="8717" priority="1883">
      <formula>AND(IF($Q282=3,1,0),IF($X282&lt;30,1,0))</formula>
    </cfRule>
    <cfRule type="expression" dxfId="8716" priority="1884">
      <formula>AND(IF($Q282=3,1,IF($Q282=4,1,0)),IF($F282&lt;=85,1,0))</formula>
    </cfRule>
  </conditionalFormatting>
  <conditionalFormatting sqref="X282">
    <cfRule type="expression" dxfId="8715" priority="1877">
      <formula>AND(IF(OR($Q282=1,$Q282=2),1,0),IF($X282&lt;=20,1,0))</formula>
    </cfRule>
    <cfRule type="expression" dxfId="8714" priority="1878">
      <formula>AND(IF($Q282=2,1,0),IF($X282&lt;30,1,0))</formula>
    </cfRule>
    <cfRule type="expression" dxfId="8713" priority="1879">
      <formula>AND(IF($Q282=3,1,0),IF($X282&lt;30,1,0))</formula>
    </cfRule>
    <cfRule type="expression" dxfId="8712" priority="1880">
      <formula>AND(IF($Q282=3,1,IF($Q282=4,1,0)),IF($F282&lt;=85,1,0))</formula>
    </cfRule>
  </conditionalFormatting>
  <conditionalFormatting sqref="AI282">
    <cfRule type="expression" dxfId="8711" priority="1873">
      <formula>AND(IF(OR($Q282=1,$Q282=2),1,0),IF($X282&lt;=20,1,0))</formula>
    </cfRule>
    <cfRule type="expression" dxfId="8710" priority="1874">
      <formula>AND(IF($Q282=2,1,0),IF($X282&lt;30,1,0))</formula>
    </cfRule>
    <cfRule type="expression" dxfId="8709" priority="1875">
      <formula>AND(IF($Q282=3,1,0),IF($X282&lt;30,1,0))</formula>
    </cfRule>
    <cfRule type="expression" dxfId="8708" priority="1876">
      <formula>AND(IF($Q282=3,1,IF($Q282=4,1,0)),IF($F282&lt;=85,1,0))</formula>
    </cfRule>
  </conditionalFormatting>
  <conditionalFormatting sqref="AV283">
    <cfRule type="expression" dxfId="8707" priority="1871">
      <formula>AV283="X"</formula>
    </cfRule>
    <cfRule type="expression" dxfId="8706" priority="1872">
      <formula>AV283="후보"</formula>
    </cfRule>
  </conditionalFormatting>
  <conditionalFormatting sqref="AC283">
    <cfRule type="cellIs" dxfId="8705" priority="1869" operator="greaterThan">
      <formula>0.9</formula>
    </cfRule>
    <cfRule type="cellIs" dxfId="8704" priority="1870" operator="greaterThan">
      <formula>0.85</formula>
    </cfRule>
  </conditionalFormatting>
  <conditionalFormatting sqref="N283">
    <cfRule type="cellIs" dxfId="8703" priority="1867" operator="greaterThan">
      <formula>0.9</formula>
    </cfRule>
    <cfRule type="cellIs" dxfId="8702" priority="1868" operator="greaterThan">
      <formula>0.85</formula>
    </cfRule>
  </conditionalFormatting>
  <conditionalFormatting sqref="E283">
    <cfRule type="expression" dxfId="8701" priority="1863">
      <formula>AND(IF(OR($Q283=1,$Q283=2),1,0),IF($X283&lt;=20,1,0))</formula>
    </cfRule>
    <cfRule type="expression" dxfId="8700" priority="1864">
      <formula>AND(IF($Q283=2,1,0),IF($X283&lt;30,1,0))</formula>
    </cfRule>
    <cfRule type="expression" dxfId="8699" priority="1865">
      <formula>AND(IF($Q283=3,1,0),IF($X283&lt;30,1,0))</formula>
    </cfRule>
    <cfRule type="expression" dxfId="8698" priority="1866">
      <formula>AND(IF($Q283=3,1,IF($Q283=4,1,0)),IF($F283&lt;=85,1,0))</formula>
    </cfRule>
  </conditionalFormatting>
  <conditionalFormatting sqref="X283">
    <cfRule type="expression" dxfId="8697" priority="1859">
      <formula>AND(IF(OR($Q283=1,$Q283=2),1,0),IF($X283&lt;=20,1,0))</formula>
    </cfRule>
    <cfRule type="expression" dxfId="8696" priority="1860">
      <formula>AND(IF($Q283=2,1,0),IF($X283&lt;30,1,0))</formula>
    </cfRule>
    <cfRule type="expression" dxfId="8695" priority="1861">
      <formula>AND(IF($Q283=3,1,0),IF($X283&lt;30,1,0))</formula>
    </cfRule>
    <cfRule type="expression" dxfId="8694" priority="1862">
      <formula>AND(IF($Q283=3,1,IF($Q283=4,1,0)),IF($F283&lt;=85,1,0))</formula>
    </cfRule>
  </conditionalFormatting>
  <conditionalFormatting sqref="AI283">
    <cfRule type="expression" dxfId="8693" priority="1855">
      <formula>AND(IF(OR($Q283=1,$Q283=2),1,0),IF($X283&lt;=20,1,0))</formula>
    </cfRule>
    <cfRule type="expression" dxfId="8692" priority="1856">
      <formula>AND(IF($Q283=2,1,0),IF($X283&lt;30,1,0))</formula>
    </cfRule>
    <cfRule type="expression" dxfId="8691" priority="1857">
      <formula>AND(IF($Q283=3,1,0),IF($X283&lt;30,1,0))</formula>
    </cfRule>
    <cfRule type="expression" dxfId="8690" priority="1858">
      <formula>AND(IF($Q283=3,1,IF($Q283=4,1,0)),IF($F283&lt;=85,1,0))</formula>
    </cfRule>
  </conditionalFormatting>
  <conditionalFormatting sqref="AV284">
    <cfRule type="expression" dxfId="8689" priority="1853">
      <formula>AV284="X"</formula>
    </cfRule>
    <cfRule type="expression" dxfId="8688" priority="1854">
      <formula>AV284="후보"</formula>
    </cfRule>
  </conditionalFormatting>
  <conditionalFormatting sqref="AC284">
    <cfRule type="cellIs" dxfId="8687" priority="1851" operator="greaterThan">
      <formula>0.9</formula>
    </cfRule>
    <cfRule type="cellIs" dxfId="8686" priority="1852" operator="greaterThan">
      <formula>0.85</formula>
    </cfRule>
  </conditionalFormatting>
  <conditionalFormatting sqref="N284">
    <cfRule type="cellIs" dxfId="8685" priority="1849" operator="greaterThan">
      <formula>0.9</formula>
    </cfRule>
    <cfRule type="cellIs" dxfId="8684" priority="1850" operator="greaterThan">
      <formula>0.85</formula>
    </cfRule>
  </conditionalFormatting>
  <conditionalFormatting sqref="E284">
    <cfRule type="expression" dxfId="8683" priority="1845">
      <formula>AND(IF(OR($Q284=1,$Q284=2),1,0),IF($X284&lt;=20,1,0))</formula>
    </cfRule>
    <cfRule type="expression" dxfId="8682" priority="1846">
      <formula>AND(IF($Q284=2,1,0),IF($X284&lt;30,1,0))</formula>
    </cfRule>
    <cfRule type="expression" dxfId="8681" priority="1847">
      <formula>AND(IF($Q284=3,1,0),IF($X284&lt;30,1,0))</formula>
    </cfRule>
    <cfRule type="expression" dxfId="8680" priority="1848">
      <formula>AND(IF($Q284=3,1,IF($Q284=4,1,0)),IF($F284&lt;=85,1,0))</formula>
    </cfRule>
  </conditionalFormatting>
  <conditionalFormatting sqref="X284">
    <cfRule type="expression" dxfId="8679" priority="1841">
      <formula>AND(IF(OR($Q284=1,$Q284=2),1,0),IF($X284&lt;=20,1,0))</formula>
    </cfRule>
    <cfRule type="expression" dxfId="8678" priority="1842">
      <formula>AND(IF($Q284=2,1,0),IF($X284&lt;30,1,0))</formula>
    </cfRule>
    <cfRule type="expression" dxfId="8677" priority="1843">
      <formula>AND(IF($Q284=3,1,0),IF($X284&lt;30,1,0))</formula>
    </cfRule>
    <cfRule type="expression" dxfId="8676" priority="1844">
      <formula>AND(IF($Q284=3,1,IF($Q284=4,1,0)),IF($F284&lt;=85,1,0))</formula>
    </cfRule>
  </conditionalFormatting>
  <conditionalFormatting sqref="AI284">
    <cfRule type="expression" dxfId="8675" priority="1837">
      <formula>AND(IF(OR($Q284=1,$Q284=2),1,0),IF($X284&lt;=20,1,0))</formula>
    </cfRule>
    <cfRule type="expression" dxfId="8674" priority="1838">
      <formula>AND(IF($Q284=2,1,0),IF($X284&lt;30,1,0))</formula>
    </cfRule>
    <cfRule type="expression" dxfId="8673" priority="1839">
      <formula>AND(IF($Q284=3,1,0),IF($X284&lt;30,1,0))</formula>
    </cfRule>
    <cfRule type="expression" dxfId="8672" priority="1840">
      <formula>AND(IF($Q284=3,1,IF($Q284=4,1,0)),IF($F284&lt;=85,1,0))</formula>
    </cfRule>
  </conditionalFormatting>
  <conditionalFormatting sqref="AV285">
    <cfRule type="expression" dxfId="8671" priority="1835">
      <formula>AV285="X"</formula>
    </cfRule>
    <cfRule type="expression" dxfId="8670" priority="1836">
      <formula>AV285="후보"</formula>
    </cfRule>
  </conditionalFormatting>
  <conditionalFormatting sqref="AC285">
    <cfRule type="cellIs" dxfId="8669" priority="1833" operator="greaterThan">
      <formula>0.9</formula>
    </cfRule>
    <cfRule type="cellIs" dxfId="8668" priority="1834" operator="greaterThan">
      <formula>0.85</formula>
    </cfRule>
  </conditionalFormatting>
  <conditionalFormatting sqref="N285">
    <cfRule type="cellIs" dxfId="8667" priority="1831" operator="greaterThan">
      <formula>0.9</formula>
    </cfRule>
    <cfRule type="cellIs" dxfId="8666" priority="1832" operator="greaterThan">
      <formula>0.85</formula>
    </cfRule>
  </conditionalFormatting>
  <conditionalFormatting sqref="E285">
    <cfRule type="expression" dxfId="8665" priority="1827">
      <formula>AND(IF(OR($Q285=1,$Q285=2),1,0),IF($X285&lt;=20,1,0))</formula>
    </cfRule>
    <cfRule type="expression" dxfId="8664" priority="1828">
      <formula>AND(IF($Q285=2,1,0),IF($X285&lt;30,1,0))</formula>
    </cfRule>
    <cfRule type="expression" dxfId="8663" priority="1829">
      <formula>AND(IF($Q285=3,1,0),IF($X285&lt;30,1,0))</formula>
    </cfRule>
    <cfRule type="expression" dxfId="8662" priority="1830">
      <formula>AND(IF($Q285=3,1,IF($Q285=4,1,0)),IF($F285&lt;=85,1,0))</formula>
    </cfRule>
  </conditionalFormatting>
  <conditionalFormatting sqref="X285">
    <cfRule type="expression" dxfId="8661" priority="1823">
      <formula>AND(IF(OR($Q285=1,$Q285=2),1,0),IF($X285&lt;=20,1,0))</formula>
    </cfRule>
    <cfRule type="expression" dxfId="8660" priority="1824">
      <formula>AND(IF($Q285=2,1,0),IF($X285&lt;30,1,0))</formula>
    </cfRule>
    <cfRule type="expression" dxfId="8659" priority="1825">
      <formula>AND(IF($Q285=3,1,0),IF($X285&lt;30,1,0))</formula>
    </cfRule>
    <cfRule type="expression" dxfId="8658" priority="1826">
      <formula>AND(IF($Q285=3,1,IF($Q285=4,1,0)),IF($F285&lt;=85,1,0))</formula>
    </cfRule>
  </conditionalFormatting>
  <conditionalFormatting sqref="AI285">
    <cfRule type="expression" dxfId="8657" priority="1819">
      <formula>AND(IF(OR($Q285=1,$Q285=2),1,0),IF($X285&lt;=20,1,0))</formula>
    </cfRule>
    <cfRule type="expression" dxfId="8656" priority="1820">
      <formula>AND(IF($Q285=2,1,0),IF($X285&lt;30,1,0))</formula>
    </cfRule>
    <cfRule type="expression" dxfId="8655" priority="1821">
      <formula>AND(IF($Q285=3,1,0),IF($X285&lt;30,1,0))</formula>
    </cfRule>
    <cfRule type="expression" dxfId="8654" priority="1822">
      <formula>AND(IF($Q285=3,1,IF($Q285=4,1,0)),IF($F285&lt;=85,1,0))</formula>
    </cfRule>
  </conditionalFormatting>
  <conditionalFormatting sqref="AV286">
    <cfRule type="expression" dxfId="8653" priority="1817">
      <formula>AV286="X"</formula>
    </cfRule>
    <cfRule type="expression" dxfId="8652" priority="1818">
      <formula>AV286="후보"</formula>
    </cfRule>
  </conditionalFormatting>
  <conditionalFormatting sqref="AC286">
    <cfRule type="cellIs" dxfId="8651" priority="1815" operator="greaterThan">
      <formula>0.9</formula>
    </cfRule>
    <cfRule type="cellIs" dxfId="8650" priority="1816" operator="greaterThan">
      <formula>0.85</formula>
    </cfRule>
  </conditionalFormatting>
  <conditionalFormatting sqref="N286">
    <cfRule type="cellIs" dxfId="8649" priority="1813" operator="greaterThan">
      <formula>0.9</formula>
    </cfRule>
    <cfRule type="cellIs" dxfId="8648" priority="1814" operator="greaterThan">
      <formula>0.85</formula>
    </cfRule>
  </conditionalFormatting>
  <conditionalFormatting sqref="E286">
    <cfRule type="expression" dxfId="8647" priority="1809">
      <formula>AND(IF(OR($Q286=1,$Q286=2),1,0),IF($X286&lt;=20,1,0))</formula>
    </cfRule>
    <cfRule type="expression" dxfId="8646" priority="1810">
      <formula>AND(IF($Q286=2,1,0),IF($X286&lt;30,1,0))</formula>
    </cfRule>
    <cfRule type="expression" dxfId="8645" priority="1811">
      <formula>AND(IF($Q286=3,1,0),IF($X286&lt;30,1,0))</formula>
    </cfRule>
    <cfRule type="expression" dxfId="8644" priority="1812">
      <formula>AND(IF($Q286=3,1,IF($Q286=4,1,0)),IF($F286&lt;=85,1,0))</formula>
    </cfRule>
  </conditionalFormatting>
  <conditionalFormatting sqref="X286">
    <cfRule type="expression" dxfId="8643" priority="1805">
      <formula>AND(IF(OR($Q286=1,$Q286=2),1,0),IF($X286&lt;=20,1,0))</formula>
    </cfRule>
    <cfRule type="expression" dxfId="8642" priority="1806">
      <formula>AND(IF($Q286=2,1,0),IF($X286&lt;30,1,0))</formula>
    </cfRule>
    <cfRule type="expression" dxfId="8641" priority="1807">
      <formula>AND(IF($Q286=3,1,0),IF($X286&lt;30,1,0))</formula>
    </cfRule>
    <cfRule type="expression" dxfId="8640" priority="1808">
      <formula>AND(IF($Q286=3,1,IF($Q286=4,1,0)),IF($F286&lt;=85,1,0))</formula>
    </cfRule>
  </conditionalFormatting>
  <conditionalFormatting sqref="AI286">
    <cfRule type="expression" dxfId="8639" priority="1801">
      <formula>AND(IF(OR($Q286=1,$Q286=2),1,0),IF($X286&lt;=20,1,0))</formula>
    </cfRule>
    <cfRule type="expression" dxfId="8638" priority="1802">
      <formula>AND(IF($Q286=2,1,0),IF($X286&lt;30,1,0))</formula>
    </cfRule>
    <cfRule type="expression" dxfId="8637" priority="1803">
      <formula>AND(IF($Q286=3,1,0),IF($X286&lt;30,1,0))</formula>
    </cfRule>
    <cfRule type="expression" dxfId="8636" priority="1804">
      <formula>AND(IF($Q286=3,1,IF($Q286=4,1,0)),IF($F286&lt;=85,1,0))</formula>
    </cfRule>
  </conditionalFormatting>
  <conditionalFormatting sqref="AV287">
    <cfRule type="expression" dxfId="8635" priority="1799">
      <formula>AV287="X"</formula>
    </cfRule>
    <cfRule type="expression" dxfId="8634" priority="1800">
      <formula>AV287="후보"</formula>
    </cfRule>
  </conditionalFormatting>
  <conditionalFormatting sqref="AC287">
    <cfRule type="cellIs" dxfId="8633" priority="1797" operator="greaterThan">
      <formula>0.9</formula>
    </cfRule>
    <cfRule type="cellIs" dxfId="8632" priority="1798" operator="greaterThan">
      <formula>0.85</formula>
    </cfRule>
  </conditionalFormatting>
  <conditionalFormatting sqref="N287">
    <cfRule type="cellIs" dxfId="8631" priority="1795" operator="greaterThan">
      <formula>0.9</formula>
    </cfRule>
    <cfRule type="cellIs" dxfId="8630" priority="1796" operator="greaterThan">
      <formula>0.85</formula>
    </cfRule>
  </conditionalFormatting>
  <conditionalFormatting sqref="E287">
    <cfRule type="expression" dxfId="8629" priority="1791">
      <formula>AND(IF(OR($Q287=1,$Q287=2),1,0),IF($X287&lt;=20,1,0))</formula>
    </cfRule>
    <cfRule type="expression" dxfId="8628" priority="1792">
      <formula>AND(IF($Q287=2,1,0),IF($X287&lt;30,1,0))</formula>
    </cfRule>
    <cfRule type="expression" dxfId="8627" priority="1793">
      <formula>AND(IF($Q287=3,1,0),IF($X287&lt;30,1,0))</formula>
    </cfRule>
    <cfRule type="expression" dxfId="8626" priority="1794">
      <formula>AND(IF($Q287=3,1,IF($Q287=4,1,0)),IF($F287&lt;=85,1,0))</formula>
    </cfRule>
  </conditionalFormatting>
  <conditionalFormatting sqref="X287">
    <cfRule type="expression" dxfId="8625" priority="1787">
      <formula>AND(IF(OR($Q287=1,$Q287=2),1,0),IF($X287&lt;=20,1,0))</formula>
    </cfRule>
    <cfRule type="expression" dxfId="8624" priority="1788">
      <formula>AND(IF($Q287=2,1,0),IF($X287&lt;30,1,0))</formula>
    </cfRule>
    <cfRule type="expression" dxfId="8623" priority="1789">
      <formula>AND(IF($Q287=3,1,0),IF($X287&lt;30,1,0))</formula>
    </cfRule>
    <cfRule type="expression" dxfId="8622" priority="1790">
      <formula>AND(IF($Q287=3,1,IF($Q287=4,1,0)),IF($F287&lt;=85,1,0))</formula>
    </cfRule>
  </conditionalFormatting>
  <conditionalFormatting sqref="AI287">
    <cfRule type="expression" dxfId="8621" priority="1783">
      <formula>AND(IF(OR($Q287=1,$Q287=2),1,0),IF($X287&lt;=20,1,0))</formula>
    </cfRule>
    <cfRule type="expression" dxfId="8620" priority="1784">
      <formula>AND(IF($Q287=2,1,0),IF($X287&lt;30,1,0))</formula>
    </cfRule>
    <cfRule type="expression" dxfId="8619" priority="1785">
      <formula>AND(IF($Q287=3,1,0),IF($X287&lt;30,1,0))</formula>
    </cfRule>
    <cfRule type="expression" dxfId="8618" priority="1786">
      <formula>AND(IF($Q287=3,1,IF($Q287=4,1,0)),IF($F287&lt;=85,1,0))</formula>
    </cfRule>
  </conditionalFormatting>
  <conditionalFormatting sqref="AV288">
    <cfRule type="expression" dxfId="8617" priority="1781">
      <formula>AV288="X"</formula>
    </cfRule>
    <cfRule type="expression" dxfId="8616" priority="1782">
      <formula>AV288="후보"</formula>
    </cfRule>
  </conditionalFormatting>
  <conditionalFormatting sqref="AC288">
    <cfRule type="cellIs" dxfId="8615" priority="1779" operator="greaterThan">
      <formula>0.9</formula>
    </cfRule>
    <cfRule type="cellIs" dxfId="8614" priority="1780" operator="greaterThan">
      <formula>0.85</formula>
    </cfRule>
  </conditionalFormatting>
  <conditionalFormatting sqref="N288">
    <cfRule type="cellIs" dxfId="8613" priority="1777" operator="greaterThan">
      <formula>0.9</formula>
    </cfRule>
    <cfRule type="cellIs" dxfId="8612" priority="1778" operator="greaterThan">
      <formula>0.85</formula>
    </cfRule>
  </conditionalFormatting>
  <conditionalFormatting sqref="E288">
    <cfRule type="expression" dxfId="8611" priority="1773">
      <formula>AND(IF(OR($Q288=1,$Q288=2),1,0),IF($X288&lt;=20,1,0))</formula>
    </cfRule>
    <cfRule type="expression" dxfId="8610" priority="1774">
      <formula>AND(IF($Q288=2,1,0),IF($X288&lt;30,1,0))</formula>
    </cfRule>
    <cfRule type="expression" dxfId="8609" priority="1775">
      <formula>AND(IF($Q288=3,1,0),IF($X288&lt;30,1,0))</formula>
    </cfRule>
    <cfRule type="expression" dxfId="8608" priority="1776">
      <formula>AND(IF($Q288=3,1,IF($Q288=4,1,0)),IF($F288&lt;=85,1,0))</formula>
    </cfRule>
  </conditionalFormatting>
  <conditionalFormatting sqref="X288">
    <cfRule type="expression" dxfId="8607" priority="1769">
      <formula>AND(IF(OR($Q288=1,$Q288=2),1,0),IF($X288&lt;=20,1,0))</formula>
    </cfRule>
    <cfRule type="expression" dxfId="8606" priority="1770">
      <formula>AND(IF($Q288=2,1,0),IF($X288&lt;30,1,0))</formula>
    </cfRule>
    <cfRule type="expression" dxfId="8605" priority="1771">
      <formula>AND(IF($Q288=3,1,0),IF($X288&lt;30,1,0))</formula>
    </cfRule>
    <cfRule type="expression" dxfId="8604" priority="1772">
      <formula>AND(IF($Q288=3,1,IF($Q288=4,1,0)),IF($F288&lt;=85,1,0))</formula>
    </cfRule>
  </conditionalFormatting>
  <conditionalFormatting sqref="AI288">
    <cfRule type="expression" dxfId="8603" priority="1765">
      <formula>AND(IF(OR($Q288=1,$Q288=2),1,0),IF($X288&lt;=20,1,0))</formula>
    </cfRule>
    <cfRule type="expression" dxfId="8602" priority="1766">
      <formula>AND(IF($Q288=2,1,0),IF($X288&lt;30,1,0))</formula>
    </cfRule>
    <cfRule type="expression" dxfId="8601" priority="1767">
      <formula>AND(IF($Q288=3,1,0),IF($X288&lt;30,1,0))</formula>
    </cfRule>
    <cfRule type="expression" dxfId="8600" priority="1768">
      <formula>AND(IF($Q288=3,1,IF($Q288=4,1,0)),IF($F288&lt;=85,1,0))</formula>
    </cfRule>
  </conditionalFormatting>
  <conditionalFormatting sqref="AV289">
    <cfRule type="expression" dxfId="8599" priority="1763">
      <formula>AV289="X"</formula>
    </cfRule>
    <cfRule type="expression" dxfId="8598" priority="1764">
      <formula>AV289="후보"</formula>
    </cfRule>
  </conditionalFormatting>
  <conditionalFormatting sqref="AC289">
    <cfRule type="cellIs" dxfId="8597" priority="1761" operator="greaterThan">
      <formula>0.9</formula>
    </cfRule>
    <cfRule type="cellIs" dxfId="8596" priority="1762" operator="greaterThan">
      <formula>0.85</formula>
    </cfRule>
  </conditionalFormatting>
  <conditionalFormatting sqref="N289">
    <cfRule type="cellIs" dxfId="8595" priority="1759" operator="greaterThan">
      <formula>0.9</formula>
    </cfRule>
    <cfRule type="cellIs" dxfId="8594" priority="1760" operator="greaterThan">
      <formula>0.85</formula>
    </cfRule>
  </conditionalFormatting>
  <conditionalFormatting sqref="E289">
    <cfRule type="expression" dxfId="8593" priority="1755">
      <formula>AND(IF(OR($Q289=1,$Q289=2),1,0),IF($X289&lt;=20,1,0))</formula>
    </cfRule>
    <cfRule type="expression" dxfId="8592" priority="1756">
      <formula>AND(IF($Q289=2,1,0),IF($X289&lt;30,1,0))</formula>
    </cfRule>
    <cfRule type="expression" dxfId="8591" priority="1757">
      <formula>AND(IF($Q289=3,1,0),IF($X289&lt;30,1,0))</formula>
    </cfRule>
    <cfRule type="expression" dxfId="8590" priority="1758">
      <formula>AND(IF($Q289=3,1,IF($Q289=4,1,0)),IF($F289&lt;=85,1,0))</formula>
    </cfRule>
  </conditionalFormatting>
  <conditionalFormatting sqref="X289">
    <cfRule type="expression" dxfId="8589" priority="1751">
      <formula>AND(IF(OR($Q289=1,$Q289=2),1,0),IF($X289&lt;=20,1,0))</formula>
    </cfRule>
    <cfRule type="expression" dxfId="8588" priority="1752">
      <formula>AND(IF($Q289=2,1,0),IF($X289&lt;30,1,0))</formula>
    </cfRule>
    <cfRule type="expression" dxfId="8587" priority="1753">
      <formula>AND(IF($Q289=3,1,0),IF($X289&lt;30,1,0))</formula>
    </cfRule>
    <cfRule type="expression" dxfId="8586" priority="1754">
      <formula>AND(IF($Q289=3,1,IF($Q289=4,1,0)),IF($F289&lt;=85,1,0))</formula>
    </cfRule>
  </conditionalFormatting>
  <conditionalFormatting sqref="AI289">
    <cfRule type="expression" dxfId="8585" priority="1747">
      <formula>AND(IF(OR($Q289=1,$Q289=2),1,0),IF($X289&lt;=20,1,0))</formula>
    </cfRule>
    <cfRule type="expression" dxfId="8584" priority="1748">
      <formula>AND(IF($Q289=2,1,0),IF($X289&lt;30,1,0))</formula>
    </cfRule>
    <cfRule type="expression" dxfId="8583" priority="1749">
      <formula>AND(IF($Q289=3,1,0),IF($X289&lt;30,1,0))</formula>
    </cfRule>
    <cfRule type="expression" dxfId="8582" priority="1750">
      <formula>AND(IF($Q289=3,1,IF($Q289=4,1,0)),IF($F289&lt;=85,1,0))</formula>
    </cfRule>
  </conditionalFormatting>
  <conditionalFormatting sqref="AV290">
    <cfRule type="expression" dxfId="8581" priority="1745">
      <formula>AV290="X"</formula>
    </cfRule>
    <cfRule type="expression" dxfId="8580" priority="1746">
      <formula>AV290="후보"</formula>
    </cfRule>
  </conditionalFormatting>
  <conditionalFormatting sqref="AC290">
    <cfRule type="cellIs" dxfId="8579" priority="1743" operator="greaterThan">
      <formula>0.9</formula>
    </cfRule>
    <cfRule type="cellIs" dxfId="8578" priority="1744" operator="greaterThan">
      <formula>0.85</formula>
    </cfRule>
  </conditionalFormatting>
  <conditionalFormatting sqref="N290">
    <cfRule type="cellIs" dxfId="8577" priority="1741" operator="greaterThan">
      <formula>0.9</formula>
    </cfRule>
    <cfRule type="cellIs" dxfId="8576" priority="1742" operator="greaterThan">
      <formula>0.85</formula>
    </cfRule>
  </conditionalFormatting>
  <conditionalFormatting sqref="E290">
    <cfRule type="expression" dxfId="8575" priority="1737">
      <formula>AND(IF(OR($Q290=1,$Q290=2),1,0),IF($X290&lt;=20,1,0))</formula>
    </cfRule>
    <cfRule type="expression" dxfId="8574" priority="1738">
      <formula>AND(IF($Q290=2,1,0),IF($X290&lt;30,1,0))</formula>
    </cfRule>
    <cfRule type="expression" dxfId="8573" priority="1739">
      <formula>AND(IF($Q290=3,1,0),IF($X290&lt;30,1,0))</formula>
    </cfRule>
    <cfRule type="expression" dxfId="8572" priority="1740">
      <formula>AND(IF($Q290=3,1,IF($Q290=4,1,0)),IF($F290&lt;=85,1,0))</formula>
    </cfRule>
  </conditionalFormatting>
  <conditionalFormatting sqref="X290">
    <cfRule type="expression" dxfId="8571" priority="1733">
      <formula>AND(IF(OR($Q290=1,$Q290=2),1,0),IF($X290&lt;=20,1,0))</formula>
    </cfRule>
    <cfRule type="expression" dxfId="8570" priority="1734">
      <formula>AND(IF($Q290=2,1,0),IF($X290&lt;30,1,0))</formula>
    </cfRule>
    <cfRule type="expression" dxfId="8569" priority="1735">
      <formula>AND(IF($Q290=3,1,0),IF($X290&lt;30,1,0))</formula>
    </cfRule>
    <cfRule type="expression" dxfId="8568" priority="1736">
      <formula>AND(IF($Q290=3,1,IF($Q290=4,1,0)),IF($F290&lt;=85,1,0))</formula>
    </cfRule>
  </conditionalFormatting>
  <conditionalFormatting sqref="AI290">
    <cfRule type="expression" dxfId="8567" priority="1729">
      <formula>AND(IF(OR($Q290=1,$Q290=2),1,0),IF($X290&lt;=20,1,0))</formula>
    </cfRule>
    <cfRule type="expression" dxfId="8566" priority="1730">
      <formula>AND(IF($Q290=2,1,0),IF($X290&lt;30,1,0))</formula>
    </cfRule>
    <cfRule type="expression" dxfId="8565" priority="1731">
      <formula>AND(IF($Q290=3,1,0),IF($X290&lt;30,1,0))</formula>
    </cfRule>
    <cfRule type="expression" dxfId="8564" priority="1732">
      <formula>AND(IF($Q290=3,1,IF($Q290=4,1,0)),IF($F290&lt;=85,1,0))</formula>
    </cfRule>
  </conditionalFormatting>
  <conditionalFormatting sqref="AV291">
    <cfRule type="expression" dxfId="8563" priority="1727">
      <formula>AV291="X"</formula>
    </cfRule>
    <cfRule type="expression" dxfId="8562" priority="1728">
      <formula>AV291="후보"</formula>
    </cfRule>
  </conditionalFormatting>
  <conditionalFormatting sqref="AC291">
    <cfRule type="cellIs" dxfId="8561" priority="1725" operator="greaterThan">
      <formula>0.9</formula>
    </cfRule>
    <cfRule type="cellIs" dxfId="8560" priority="1726" operator="greaterThan">
      <formula>0.85</formula>
    </cfRule>
  </conditionalFormatting>
  <conditionalFormatting sqref="N291">
    <cfRule type="cellIs" dxfId="8559" priority="1723" operator="greaterThan">
      <formula>0.9</formula>
    </cfRule>
    <cfRule type="cellIs" dxfId="8558" priority="1724" operator="greaterThan">
      <formula>0.85</formula>
    </cfRule>
  </conditionalFormatting>
  <conditionalFormatting sqref="E291">
    <cfRule type="expression" dxfId="8557" priority="1719">
      <formula>AND(IF(OR($Q291=1,$Q291=2),1,0),IF($X291&lt;=20,1,0))</formula>
    </cfRule>
    <cfRule type="expression" dxfId="8556" priority="1720">
      <formula>AND(IF($Q291=2,1,0),IF($X291&lt;30,1,0))</formula>
    </cfRule>
    <cfRule type="expression" dxfId="8555" priority="1721">
      <formula>AND(IF($Q291=3,1,0),IF($X291&lt;30,1,0))</formula>
    </cfRule>
    <cfRule type="expression" dxfId="8554" priority="1722">
      <formula>AND(IF($Q291=3,1,IF($Q291=4,1,0)),IF($F291&lt;=85,1,0))</formula>
    </cfRule>
  </conditionalFormatting>
  <conditionalFormatting sqref="X291">
    <cfRule type="expression" dxfId="8553" priority="1715">
      <formula>AND(IF(OR($Q291=1,$Q291=2),1,0),IF($X291&lt;=20,1,0))</formula>
    </cfRule>
    <cfRule type="expression" dxfId="8552" priority="1716">
      <formula>AND(IF($Q291=2,1,0),IF($X291&lt;30,1,0))</formula>
    </cfRule>
    <cfRule type="expression" dxfId="8551" priority="1717">
      <formula>AND(IF($Q291=3,1,0),IF($X291&lt;30,1,0))</formula>
    </cfRule>
    <cfRule type="expression" dxfId="8550" priority="1718">
      <formula>AND(IF($Q291=3,1,IF($Q291=4,1,0)),IF($F291&lt;=85,1,0))</formula>
    </cfRule>
  </conditionalFormatting>
  <conditionalFormatting sqref="AI291">
    <cfRule type="expression" dxfId="8549" priority="1711">
      <formula>AND(IF(OR($Q291=1,$Q291=2),1,0),IF($X291&lt;=20,1,0))</formula>
    </cfRule>
    <cfRule type="expression" dxfId="8548" priority="1712">
      <formula>AND(IF($Q291=2,1,0),IF($X291&lt;30,1,0))</formula>
    </cfRule>
    <cfRule type="expression" dxfId="8547" priority="1713">
      <formula>AND(IF($Q291=3,1,0),IF($X291&lt;30,1,0))</formula>
    </cfRule>
    <cfRule type="expression" dxfId="8546" priority="1714">
      <formula>AND(IF($Q291=3,1,IF($Q291=4,1,0)),IF($F291&lt;=85,1,0))</formula>
    </cfRule>
  </conditionalFormatting>
  <conditionalFormatting sqref="AV292">
    <cfRule type="expression" dxfId="8545" priority="1709">
      <formula>AV292="X"</formula>
    </cfRule>
    <cfRule type="expression" dxfId="8544" priority="1710">
      <formula>AV292="후보"</formula>
    </cfRule>
  </conditionalFormatting>
  <conditionalFormatting sqref="AC292">
    <cfRule type="cellIs" dxfId="8543" priority="1707" operator="greaterThan">
      <formula>0.9</formula>
    </cfRule>
    <cfRule type="cellIs" dxfId="8542" priority="1708" operator="greaterThan">
      <formula>0.85</formula>
    </cfRule>
  </conditionalFormatting>
  <conditionalFormatting sqref="N292">
    <cfRule type="cellIs" dxfId="8541" priority="1705" operator="greaterThan">
      <formula>0.9</formula>
    </cfRule>
    <cfRule type="cellIs" dxfId="8540" priority="1706" operator="greaterThan">
      <formula>0.85</formula>
    </cfRule>
  </conditionalFormatting>
  <conditionalFormatting sqref="E292">
    <cfRule type="expression" dxfId="8539" priority="1701">
      <formula>AND(IF(OR($Q292=1,$Q292=2),1,0),IF($X292&lt;=20,1,0))</formula>
    </cfRule>
    <cfRule type="expression" dxfId="8538" priority="1702">
      <formula>AND(IF($Q292=2,1,0),IF($X292&lt;30,1,0))</formula>
    </cfRule>
    <cfRule type="expression" dxfId="8537" priority="1703">
      <formula>AND(IF($Q292=3,1,0),IF($X292&lt;30,1,0))</formula>
    </cfRule>
    <cfRule type="expression" dxfId="8536" priority="1704">
      <formula>AND(IF($Q292=3,1,IF($Q292=4,1,0)),IF($F292&lt;=85,1,0))</formula>
    </cfRule>
  </conditionalFormatting>
  <conditionalFormatting sqref="X292">
    <cfRule type="expression" dxfId="8535" priority="1697">
      <formula>AND(IF(OR($Q292=1,$Q292=2),1,0),IF($X292&lt;=20,1,0))</formula>
    </cfRule>
    <cfRule type="expression" dxfId="8534" priority="1698">
      <formula>AND(IF($Q292=2,1,0),IF($X292&lt;30,1,0))</formula>
    </cfRule>
    <cfRule type="expression" dxfId="8533" priority="1699">
      <formula>AND(IF($Q292=3,1,0),IF($X292&lt;30,1,0))</formula>
    </cfRule>
    <cfRule type="expression" dxfId="8532" priority="1700">
      <formula>AND(IF($Q292=3,1,IF($Q292=4,1,0)),IF($F292&lt;=85,1,0))</formula>
    </cfRule>
  </conditionalFormatting>
  <conditionalFormatting sqref="AI292">
    <cfRule type="expression" dxfId="8531" priority="1693">
      <formula>AND(IF(OR($Q292=1,$Q292=2),1,0),IF($X292&lt;=20,1,0))</formula>
    </cfRule>
    <cfRule type="expression" dxfId="8530" priority="1694">
      <formula>AND(IF($Q292=2,1,0),IF($X292&lt;30,1,0))</formula>
    </cfRule>
    <cfRule type="expression" dxfId="8529" priority="1695">
      <formula>AND(IF($Q292=3,1,0),IF($X292&lt;30,1,0))</formula>
    </cfRule>
    <cfRule type="expression" dxfId="8528" priority="1696">
      <formula>AND(IF($Q292=3,1,IF($Q292=4,1,0)),IF($F292&lt;=85,1,0))</formula>
    </cfRule>
  </conditionalFormatting>
  <conditionalFormatting sqref="AV293">
    <cfRule type="expression" dxfId="8527" priority="1691">
      <formula>AV293="X"</formula>
    </cfRule>
    <cfRule type="expression" dxfId="8526" priority="1692">
      <formula>AV293="후보"</formula>
    </cfRule>
  </conditionalFormatting>
  <conditionalFormatting sqref="AC293">
    <cfRule type="cellIs" dxfId="8525" priority="1689" operator="greaterThan">
      <formula>0.9</formula>
    </cfRule>
    <cfRule type="cellIs" dxfId="8524" priority="1690" operator="greaterThan">
      <formula>0.85</formula>
    </cfRule>
  </conditionalFormatting>
  <conditionalFormatting sqref="N293">
    <cfRule type="cellIs" dxfId="8523" priority="1687" operator="greaterThan">
      <formula>0.9</formula>
    </cfRule>
    <cfRule type="cellIs" dxfId="8522" priority="1688" operator="greaterThan">
      <formula>0.85</formula>
    </cfRule>
  </conditionalFormatting>
  <conditionalFormatting sqref="E293">
    <cfRule type="expression" dxfId="8521" priority="1683">
      <formula>AND(IF(OR($Q293=1,$Q293=2),1,0),IF($X293&lt;=20,1,0))</formula>
    </cfRule>
    <cfRule type="expression" dxfId="8520" priority="1684">
      <formula>AND(IF($Q293=2,1,0),IF($X293&lt;30,1,0))</formula>
    </cfRule>
    <cfRule type="expression" dxfId="8519" priority="1685">
      <formula>AND(IF($Q293=3,1,0),IF($X293&lt;30,1,0))</formula>
    </cfRule>
    <cfRule type="expression" dxfId="8518" priority="1686">
      <formula>AND(IF($Q293=3,1,IF($Q293=4,1,0)),IF($F293&lt;=85,1,0))</formula>
    </cfRule>
  </conditionalFormatting>
  <conditionalFormatting sqref="X293">
    <cfRule type="expression" dxfId="8517" priority="1679">
      <formula>AND(IF(OR($Q293=1,$Q293=2),1,0),IF($X293&lt;=20,1,0))</formula>
    </cfRule>
    <cfRule type="expression" dxfId="8516" priority="1680">
      <formula>AND(IF($Q293=2,1,0),IF($X293&lt;30,1,0))</formula>
    </cfRule>
    <cfRule type="expression" dxfId="8515" priority="1681">
      <formula>AND(IF($Q293=3,1,0),IF($X293&lt;30,1,0))</formula>
    </cfRule>
    <cfRule type="expression" dxfId="8514" priority="1682">
      <formula>AND(IF($Q293=3,1,IF($Q293=4,1,0)),IF($F293&lt;=85,1,0))</formula>
    </cfRule>
  </conditionalFormatting>
  <conditionalFormatting sqref="AI293">
    <cfRule type="expression" dxfId="8513" priority="1675">
      <formula>AND(IF(OR($Q293=1,$Q293=2),1,0),IF($X293&lt;=20,1,0))</formula>
    </cfRule>
    <cfRule type="expression" dxfId="8512" priority="1676">
      <formula>AND(IF($Q293=2,1,0),IF($X293&lt;30,1,0))</formula>
    </cfRule>
    <cfRule type="expression" dxfId="8511" priority="1677">
      <formula>AND(IF($Q293=3,1,0),IF($X293&lt;30,1,0))</formula>
    </cfRule>
    <cfRule type="expression" dxfId="8510" priority="1678">
      <formula>AND(IF($Q293=3,1,IF($Q293=4,1,0)),IF($F293&lt;=85,1,0))</formula>
    </cfRule>
  </conditionalFormatting>
  <conditionalFormatting sqref="AV294">
    <cfRule type="expression" dxfId="8509" priority="1673">
      <formula>AV294="X"</formula>
    </cfRule>
    <cfRule type="expression" dxfId="8508" priority="1674">
      <formula>AV294="후보"</formula>
    </cfRule>
  </conditionalFormatting>
  <conditionalFormatting sqref="AC294">
    <cfRule type="cellIs" dxfId="8507" priority="1671" operator="greaterThan">
      <formula>0.9</formula>
    </cfRule>
    <cfRule type="cellIs" dxfId="8506" priority="1672" operator="greaterThan">
      <formula>0.85</formula>
    </cfRule>
  </conditionalFormatting>
  <conditionalFormatting sqref="N294">
    <cfRule type="cellIs" dxfId="8505" priority="1669" operator="greaterThan">
      <formula>0.9</formula>
    </cfRule>
    <cfRule type="cellIs" dxfId="8504" priority="1670" operator="greaterThan">
      <formula>0.85</formula>
    </cfRule>
  </conditionalFormatting>
  <conditionalFormatting sqref="E294">
    <cfRule type="expression" dxfId="8503" priority="1665">
      <formula>AND(IF(OR($Q294=1,$Q294=2),1,0),IF($X294&lt;=20,1,0))</formula>
    </cfRule>
    <cfRule type="expression" dxfId="8502" priority="1666">
      <formula>AND(IF($Q294=2,1,0),IF($X294&lt;30,1,0))</formula>
    </cfRule>
    <cfRule type="expression" dxfId="8501" priority="1667">
      <formula>AND(IF($Q294=3,1,0),IF($X294&lt;30,1,0))</formula>
    </cfRule>
    <cfRule type="expression" dxfId="8500" priority="1668">
      <formula>AND(IF($Q294=3,1,IF($Q294=4,1,0)),IF($F294&lt;=85,1,0))</formula>
    </cfRule>
  </conditionalFormatting>
  <conditionalFormatting sqref="X294">
    <cfRule type="expression" dxfId="8499" priority="1661">
      <formula>AND(IF(OR($Q294=1,$Q294=2),1,0),IF($X294&lt;=20,1,0))</formula>
    </cfRule>
    <cfRule type="expression" dxfId="8498" priority="1662">
      <formula>AND(IF($Q294=2,1,0),IF($X294&lt;30,1,0))</formula>
    </cfRule>
    <cfRule type="expression" dxfId="8497" priority="1663">
      <formula>AND(IF($Q294=3,1,0),IF($X294&lt;30,1,0))</formula>
    </cfRule>
    <cfRule type="expression" dxfId="8496" priority="1664">
      <formula>AND(IF($Q294=3,1,IF($Q294=4,1,0)),IF($F294&lt;=85,1,0))</formula>
    </cfRule>
  </conditionalFormatting>
  <conditionalFormatting sqref="AI294">
    <cfRule type="expression" dxfId="8495" priority="1657">
      <formula>AND(IF(OR($Q294=1,$Q294=2),1,0),IF($X294&lt;=20,1,0))</formula>
    </cfRule>
    <cfRule type="expression" dxfId="8494" priority="1658">
      <formula>AND(IF($Q294=2,1,0),IF($X294&lt;30,1,0))</formula>
    </cfRule>
    <cfRule type="expression" dxfId="8493" priority="1659">
      <formula>AND(IF($Q294=3,1,0),IF($X294&lt;30,1,0))</formula>
    </cfRule>
    <cfRule type="expression" dxfId="8492" priority="1660">
      <formula>AND(IF($Q294=3,1,IF($Q294=4,1,0)),IF($F294&lt;=85,1,0))</formula>
    </cfRule>
  </conditionalFormatting>
  <conditionalFormatting sqref="AV295">
    <cfRule type="expression" dxfId="8491" priority="1655">
      <formula>AV295="X"</formula>
    </cfRule>
    <cfRule type="expression" dxfId="8490" priority="1656">
      <formula>AV295="후보"</formula>
    </cfRule>
  </conditionalFormatting>
  <conditionalFormatting sqref="AC295">
    <cfRule type="cellIs" dxfId="8489" priority="1653" operator="greaterThan">
      <formula>0.9</formula>
    </cfRule>
    <cfRule type="cellIs" dxfId="8488" priority="1654" operator="greaterThan">
      <formula>0.85</formula>
    </cfRule>
  </conditionalFormatting>
  <conditionalFormatting sqref="N295">
    <cfRule type="cellIs" dxfId="8487" priority="1651" operator="greaterThan">
      <formula>0.9</formula>
    </cfRule>
    <cfRule type="cellIs" dxfId="8486" priority="1652" operator="greaterThan">
      <formula>0.85</formula>
    </cfRule>
  </conditionalFormatting>
  <conditionalFormatting sqref="E295">
    <cfRule type="expression" dxfId="8485" priority="1647">
      <formula>AND(IF(OR($Q295=1,$Q295=2),1,0),IF($X295&lt;=20,1,0))</formula>
    </cfRule>
    <cfRule type="expression" dxfId="8484" priority="1648">
      <formula>AND(IF($Q295=2,1,0),IF($X295&lt;30,1,0))</formula>
    </cfRule>
    <cfRule type="expression" dxfId="8483" priority="1649">
      <formula>AND(IF($Q295=3,1,0),IF($X295&lt;30,1,0))</formula>
    </cfRule>
    <cfRule type="expression" dxfId="8482" priority="1650">
      <formula>AND(IF($Q295=3,1,IF($Q295=4,1,0)),IF($F295&lt;=85,1,0))</formula>
    </cfRule>
  </conditionalFormatting>
  <conditionalFormatting sqref="X295">
    <cfRule type="expression" dxfId="8481" priority="1643">
      <formula>AND(IF(OR($Q295=1,$Q295=2),1,0),IF($X295&lt;=20,1,0))</formula>
    </cfRule>
    <cfRule type="expression" dxfId="8480" priority="1644">
      <formula>AND(IF($Q295=2,1,0),IF($X295&lt;30,1,0))</formula>
    </cfRule>
    <cfRule type="expression" dxfId="8479" priority="1645">
      <formula>AND(IF($Q295=3,1,0),IF($X295&lt;30,1,0))</formula>
    </cfRule>
    <cfRule type="expression" dxfId="8478" priority="1646">
      <formula>AND(IF($Q295=3,1,IF($Q295=4,1,0)),IF($F295&lt;=85,1,0))</formula>
    </cfRule>
  </conditionalFormatting>
  <conditionalFormatting sqref="AI295">
    <cfRule type="expression" dxfId="8477" priority="1639">
      <formula>AND(IF(OR($Q295=1,$Q295=2),1,0),IF($X295&lt;=20,1,0))</formula>
    </cfRule>
    <cfRule type="expression" dxfId="8476" priority="1640">
      <formula>AND(IF($Q295=2,1,0),IF($X295&lt;30,1,0))</formula>
    </cfRule>
    <cfRule type="expression" dxfId="8475" priority="1641">
      <formula>AND(IF($Q295=3,1,0),IF($X295&lt;30,1,0))</formula>
    </cfRule>
    <cfRule type="expression" dxfId="8474" priority="1642">
      <formula>AND(IF($Q295=3,1,IF($Q295=4,1,0)),IF($F295&lt;=85,1,0))</formula>
    </cfRule>
  </conditionalFormatting>
  <conditionalFormatting sqref="AV296">
    <cfRule type="expression" dxfId="8473" priority="1637">
      <formula>AV296="X"</formula>
    </cfRule>
    <cfRule type="expression" dxfId="8472" priority="1638">
      <formula>AV296="후보"</formula>
    </cfRule>
  </conditionalFormatting>
  <conditionalFormatting sqref="AC296">
    <cfRule type="cellIs" dxfId="8471" priority="1635" operator="greaterThan">
      <formula>0.9</formula>
    </cfRule>
    <cfRule type="cellIs" dxfId="8470" priority="1636" operator="greaterThan">
      <formula>0.85</formula>
    </cfRule>
  </conditionalFormatting>
  <conditionalFormatting sqref="N296">
    <cfRule type="cellIs" dxfId="8469" priority="1633" operator="greaterThan">
      <formula>0.9</formula>
    </cfRule>
    <cfRule type="cellIs" dxfId="8468" priority="1634" operator="greaterThan">
      <formula>0.85</formula>
    </cfRule>
  </conditionalFormatting>
  <conditionalFormatting sqref="E296">
    <cfRule type="expression" dxfId="8467" priority="1629">
      <formula>AND(IF(OR($Q296=1,$Q296=2),1,0),IF($X296&lt;=20,1,0))</formula>
    </cfRule>
    <cfRule type="expression" dxfId="8466" priority="1630">
      <formula>AND(IF($Q296=2,1,0),IF($X296&lt;30,1,0))</formula>
    </cfRule>
    <cfRule type="expression" dxfId="8465" priority="1631">
      <formula>AND(IF($Q296=3,1,0),IF($X296&lt;30,1,0))</formula>
    </cfRule>
    <cfRule type="expression" dxfId="8464" priority="1632">
      <formula>AND(IF($Q296=3,1,IF($Q296=4,1,0)),IF($F296&lt;=85,1,0))</formula>
    </cfRule>
  </conditionalFormatting>
  <conditionalFormatting sqref="X296">
    <cfRule type="expression" dxfId="8463" priority="1625">
      <formula>AND(IF(OR($Q296=1,$Q296=2),1,0),IF($X296&lt;=20,1,0))</formula>
    </cfRule>
    <cfRule type="expression" dxfId="8462" priority="1626">
      <formula>AND(IF($Q296=2,1,0),IF($X296&lt;30,1,0))</formula>
    </cfRule>
    <cfRule type="expression" dxfId="8461" priority="1627">
      <formula>AND(IF($Q296=3,1,0),IF($X296&lt;30,1,0))</formula>
    </cfRule>
    <cfRule type="expression" dxfId="8460" priority="1628">
      <formula>AND(IF($Q296=3,1,IF($Q296=4,1,0)),IF($F296&lt;=85,1,0))</formula>
    </cfRule>
  </conditionalFormatting>
  <conditionalFormatting sqref="AI296">
    <cfRule type="expression" dxfId="8459" priority="1621">
      <formula>AND(IF(OR($Q296=1,$Q296=2),1,0),IF($X296&lt;=20,1,0))</formula>
    </cfRule>
    <cfRule type="expression" dxfId="8458" priority="1622">
      <formula>AND(IF($Q296=2,1,0),IF($X296&lt;30,1,0))</formula>
    </cfRule>
    <cfRule type="expression" dxfId="8457" priority="1623">
      <formula>AND(IF($Q296=3,1,0),IF($X296&lt;30,1,0))</formula>
    </cfRule>
    <cfRule type="expression" dxfId="8456" priority="1624">
      <formula>AND(IF($Q296=3,1,IF($Q296=4,1,0)),IF($F296&lt;=85,1,0))</formula>
    </cfRule>
  </conditionalFormatting>
  <conditionalFormatting sqref="AV297">
    <cfRule type="expression" dxfId="8455" priority="1619">
      <formula>AV297="X"</formula>
    </cfRule>
    <cfRule type="expression" dxfId="8454" priority="1620">
      <formula>AV297="후보"</formula>
    </cfRule>
  </conditionalFormatting>
  <conditionalFormatting sqref="AC297">
    <cfRule type="cellIs" dxfId="8453" priority="1617" operator="greaterThan">
      <formula>0.9</formula>
    </cfRule>
    <cfRule type="cellIs" dxfId="8452" priority="1618" operator="greaterThan">
      <formula>0.85</formula>
    </cfRule>
  </conditionalFormatting>
  <conditionalFormatting sqref="N297">
    <cfRule type="cellIs" dxfId="8451" priority="1615" operator="greaterThan">
      <formula>0.9</formula>
    </cfRule>
    <cfRule type="cellIs" dxfId="8450" priority="1616" operator="greaterThan">
      <formula>0.85</formula>
    </cfRule>
  </conditionalFormatting>
  <conditionalFormatting sqref="E297">
    <cfRule type="expression" dxfId="8449" priority="1611">
      <formula>AND(IF(OR($Q297=1,$Q297=2),1,0),IF($X297&lt;=20,1,0))</formula>
    </cfRule>
    <cfRule type="expression" dxfId="8448" priority="1612">
      <formula>AND(IF($Q297=2,1,0),IF($X297&lt;30,1,0))</formula>
    </cfRule>
    <cfRule type="expression" dxfId="8447" priority="1613">
      <formula>AND(IF($Q297=3,1,0),IF($X297&lt;30,1,0))</formula>
    </cfRule>
    <cfRule type="expression" dxfId="8446" priority="1614">
      <formula>AND(IF($Q297=3,1,IF($Q297=4,1,0)),IF($F297&lt;=85,1,0))</formula>
    </cfRule>
  </conditionalFormatting>
  <conditionalFormatting sqref="X297">
    <cfRule type="expression" dxfId="8445" priority="1607">
      <formula>AND(IF(OR($Q297=1,$Q297=2),1,0),IF($X297&lt;=20,1,0))</formula>
    </cfRule>
    <cfRule type="expression" dxfId="8444" priority="1608">
      <formula>AND(IF($Q297=2,1,0),IF($X297&lt;30,1,0))</formula>
    </cfRule>
    <cfRule type="expression" dxfId="8443" priority="1609">
      <formula>AND(IF($Q297=3,1,0),IF($X297&lt;30,1,0))</formula>
    </cfRule>
    <cfRule type="expression" dxfId="8442" priority="1610">
      <formula>AND(IF($Q297=3,1,IF($Q297=4,1,0)),IF($F297&lt;=85,1,0))</formula>
    </cfRule>
  </conditionalFormatting>
  <conditionalFormatting sqref="AI297">
    <cfRule type="expression" dxfId="8441" priority="1603">
      <formula>AND(IF(OR($Q297=1,$Q297=2),1,0),IF($X297&lt;=20,1,0))</formula>
    </cfRule>
    <cfRule type="expression" dxfId="8440" priority="1604">
      <formula>AND(IF($Q297=2,1,0),IF($X297&lt;30,1,0))</formula>
    </cfRule>
    <cfRule type="expression" dxfId="8439" priority="1605">
      <formula>AND(IF($Q297=3,1,0),IF($X297&lt;30,1,0))</formula>
    </cfRule>
    <cfRule type="expression" dxfId="8438" priority="1606">
      <formula>AND(IF($Q297=3,1,IF($Q297=4,1,0)),IF($F297&lt;=85,1,0))</formula>
    </cfRule>
  </conditionalFormatting>
  <conditionalFormatting sqref="AV298">
    <cfRule type="expression" dxfId="8437" priority="1601">
      <formula>AV298="X"</formula>
    </cfRule>
    <cfRule type="expression" dxfId="8436" priority="1602">
      <formula>AV298="후보"</formula>
    </cfRule>
  </conditionalFormatting>
  <conditionalFormatting sqref="AC298">
    <cfRule type="cellIs" dxfId="8435" priority="1599" operator="greaterThan">
      <formula>0.9</formula>
    </cfRule>
    <cfRule type="cellIs" dxfId="8434" priority="1600" operator="greaterThan">
      <formula>0.85</formula>
    </cfRule>
  </conditionalFormatting>
  <conditionalFormatting sqref="N298">
    <cfRule type="cellIs" dxfId="8433" priority="1597" operator="greaterThan">
      <formula>0.9</formula>
    </cfRule>
    <cfRule type="cellIs" dxfId="8432" priority="1598" operator="greaterThan">
      <formula>0.85</formula>
    </cfRule>
  </conditionalFormatting>
  <conditionalFormatting sqref="E298">
    <cfRule type="expression" dxfId="8431" priority="1593">
      <formula>AND(IF(OR($Q298=1,$Q298=2),1,0),IF($X298&lt;=20,1,0))</formula>
    </cfRule>
    <cfRule type="expression" dxfId="8430" priority="1594">
      <formula>AND(IF($Q298=2,1,0),IF($X298&lt;30,1,0))</formula>
    </cfRule>
    <cfRule type="expression" dxfId="8429" priority="1595">
      <formula>AND(IF($Q298=3,1,0),IF($X298&lt;30,1,0))</formula>
    </cfRule>
    <cfRule type="expression" dxfId="8428" priority="1596">
      <formula>AND(IF($Q298=3,1,IF($Q298=4,1,0)),IF($F298&lt;=85,1,0))</formula>
    </cfRule>
  </conditionalFormatting>
  <conditionalFormatting sqref="X298">
    <cfRule type="expression" dxfId="8427" priority="1589">
      <formula>AND(IF(OR($Q298=1,$Q298=2),1,0),IF($X298&lt;=20,1,0))</formula>
    </cfRule>
    <cfRule type="expression" dxfId="8426" priority="1590">
      <formula>AND(IF($Q298=2,1,0),IF($X298&lt;30,1,0))</formula>
    </cfRule>
    <cfRule type="expression" dxfId="8425" priority="1591">
      <formula>AND(IF($Q298=3,1,0),IF($X298&lt;30,1,0))</formula>
    </cfRule>
    <cfRule type="expression" dxfId="8424" priority="1592">
      <formula>AND(IF($Q298=3,1,IF($Q298=4,1,0)),IF($F298&lt;=85,1,0))</formula>
    </cfRule>
  </conditionalFormatting>
  <conditionalFormatting sqref="AI298">
    <cfRule type="expression" dxfId="8423" priority="1585">
      <formula>AND(IF(OR($Q298=1,$Q298=2),1,0),IF($X298&lt;=20,1,0))</formula>
    </cfRule>
    <cfRule type="expression" dxfId="8422" priority="1586">
      <formula>AND(IF($Q298=2,1,0),IF($X298&lt;30,1,0))</formula>
    </cfRule>
    <cfRule type="expression" dxfId="8421" priority="1587">
      <formula>AND(IF($Q298=3,1,0),IF($X298&lt;30,1,0))</formula>
    </cfRule>
    <cfRule type="expression" dxfId="8420" priority="1588">
      <formula>AND(IF($Q298=3,1,IF($Q298=4,1,0)),IF($F298&lt;=85,1,0))</formula>
    </cfRule>
  </conditionalFormatting>
  <conditionalFormatting sqref="AV299">
    <cfRule type="expression" dxfId="8419" priority="1583">
      <formula>AV299="X"</formula>
    </cfRule>
    <cfRule type="expression" dxfId="8418" priority="1584">
      <formula>AV299="후보"</formula>
    </cfRule>
  </conditionalFormatting>
  <conditionalFormatting sqref="AC299">
    <cfRule type="cellIs" dxfId="8417" priority="1581" operator="greaterThan">
      <formula>0.9</formula>
    </cfRule>
    <cfRule type="cellIs" dxfId="8416" priority="1582" operator="greaterThan">
      <formula>0.85</formula>
    </cfRule>
  </conditionalFormatting>
  <conditionalFormatting sqref="N299">
    <cfRule type="cellIs" dxfId="8415" priority="1579" operator="greaterThan">
      <formula>0.9</formula>
    </cfRule>
    <cfRule type="cellIs" dxfId="8414" priority="1580" operator="greaterThan">
      <formula>0.85</formula>
    </cfRule>
  </conditionalFormatting>
  <conditionalFormatting sqref="E299">
    <cfRule type="expression" dxfId="8413" priority="1575">
      <formula>AND(IF(OR($Q299=1,$Q299=2),1,0),IF($X299&lt;=20,1,0))</formula>
    </cfRule>
    <cfRule type="expression" dxfId="8412" priority="1576">
      <formula>AND(IF($Q299=2,1,0),IF($X299&lt;30,1,0))</formula>
    </cfRule>
    <cfRule type="expression" dxfId="8411" priority="1577">
      <formula>AND(IF($Q299=3,1,0),IF($X299&lt;30,1,0))</formula>
    </cfRule>
    <cfRule type="expression" dxfId="8410" priority="1578">
      <formula>AND(IF($Q299=3,1,IF($Q299=4,1,0)),IF($F299&lt;=85,1,0))</formula>
    </cfRule>
  </conditionalFormatting>
  <conditionalFormatting sqref="X299">
    <cfRule type="expression" dxfId="8409" priority="1571">
      <formula>AND(IF(OR($Q299=1,$Q299=2),1,0),IF($X299&lt;=20,1,0))</formula>
    </cfRule>
    <cfRule type="expression" dxfId="8408" priority="1572">
      <formula>AND(IF($Q299=2,1,0),IF($X299&lt;30,1,0))</formula>
    </cfRule>
    <cfRule type="expression" dxfId="8407" priority="1573">
      <formula>AND(IF($Q299=3,1,0),IF($X299&lt;30,1,0))</formula>
    </cfRule>
    <cfRule type="expression" dxfId="8406" priority="1574">
      <formula>AND(IF($Q299=3,1,IF($Q299=4,1,0)),IF($F299&lt;=85,1,0))</formula>
    </cfRule>
  </conditionalFormatting>
  <conditionalFormatting sqref="AI299">
    <cfRule type="expression" dxfId="8405" priority="1567">
      <formula>AND(IF(OR($Q299=1,$Q299=2),1,0),IF($X299&lt;=20,1,0))</formula>
    </cfRule>
    <cfRule type="expression" dxfId="8404" priority="1568">
      <formula>AND(IF($Q299=2,1,0),IF($X299&lt;30,1,0))</formula>
    </cfRule>
    <cfRule type="expression" dxfId="8403" priority="1569">
      <formula>AND(IF($Q299=3,1,0),IF($X299&lt;30,1,0))</formula>
    </cfRule>
    <cfRule type="expression" dxfId="8402" priority="1570">
      <formula>AND(IF($Q299=3,1,IF($Q299=4,1,0)),IF($F299&lt;=85,1,0))</formula>
    </cfRule>
  </conditionalFormatting>
  <conditionalFormatting sqref="AV300">
    <cfRule type="expression" dxfId="8401" priority="1565">
      <formula>AV300="X"</formula>
    </cfRule>
    <cfRule type="expression" dxfId="8400" priority="1566">
      <formula>AV300="후보"</formula>
    </cfRule>
  </conditionalFormatting>
  <conditionalFormatting sqref="AC300">
    <cfRule type="cellIs" dxfId="8399" priority="1563" operator="greaterThan">
      <formula>0.9</formula>
    </cfRule>
    <cfRule type="cellIs" dxfId="8398" priority="1564" operator="greaterThan">
      <formula>0.85</formula>
    </cfRule>
  </conditionalFormatting>
  <conditionalFormatting sqref="N300">
    <cfRule type="cellIs" dxfId="8397" priority="1561" operator="greaterThan">
      <formula>0.9</formula>
    </cfRule>
    <cfRule type="cellIs" dxfId="8396" priority="1562" operator="greaterThan">
      <formula>0.85</formula>
    </cfRule>
  </conditionalFormatting>
  <conditionalFormatting sqref="E300">
    <cfRule type="expression" dxfId="8395" priority="1557">
      <formula>AND(IF(OR($Q300=1,$Q300=2),1,0),IF($X300&lt;=20,1,0))</formula>
    </cfRule>
    <cfRule type="expression" dxfId="8394" priority="1558">
      <formula>AND(IF($Q300=2,1,0),IF($X300&lt;30,1,0))</formula>
    </cfRule>
    <cfRule type="expression" dxfId="8393" priority="1559">
      <formula>AND(IF($Q300=3,1,0),IF($X300&lt;30,1,0))</formula>
    </cfRule>
    <cfRule type="expression" dxfId="8392" priority="1560">
      <formula>AND(IF($Q300=3,1,IF($Q300=4,1,0)),IF($F300&lt;=85,1,0))</formula>
    </cfRule>
  </conditionalFormatting>
  <conditionalFormatting sqref="X300">
    <cfRule type="expression" dxfId="8391" priority="1553">
      <formula>AND(IF(OR($Q300=1,$Q300=2),1,0),IF($X300&lt;=20,1,0))</formula>
    </cfRule>
    <cfRule type="expression" dxfId="8390" priority="1554">
      <formula>AND(IF($Q300=2,1,0),IF($X300&lt;30,1,0))</formula>
    </cfRule>
    <cfRule type="expression" dxfId="8389" priority="1555">
      <formula>AND(IF($Q300=3,1,0),IF($X300&lt;30,1,0))</formula>
    </cfRule>
    <cfRule type="expression" dxfId="8388" priority="1556">
      <formula>AND(IF($Q300=3,1,IF($Q300=4,1,0)),IF($F300&lt;=85,1,0))</formula>
    </cfRule>
  </conditionalFormatting>
  <conditionalFormatting sqref="AI300">
    <cfRule type="expression" dxfId="8387" priority="1549">
      <formula>AND(IF(OR($Q300=1,$Q300=2),1,0),IF($X300&lt;=20,1,0))</formula>
    </cfRule>
    <cfRule type="expression" dxfId="8386" priority="1550">
      <formula>AND(IF($Q300=2,1,0),IF($X300&lt;30,1,0))</formula>
    </cfRule>
    <cfRule type="expression" dxfId="8385" priority="1551">
      <formula>AND(IF($Q300=3,1,0),IF($X300&lt;30,1,0))</formula>
    </cfRule>
    <cfRule type="expression" dxfId="8384" priority="1552">
      <formula>AND(IF($Q300=3,1,IF($Q300=4,1,0)),IF($F300&lt;=85,1,0))</formula>
    </cfRule>
  </conditionalFormatting>
  <conditionalFormatting sqref="AV301">
    <cfRule type="expression" dxfId="8383" priority="1547">
      <formula>AV301="X"</formula>
    </cfRule>
    <cfRule type="expression" dxfId="8382" priority="1548">
      <formula>AV301="후보"</formula>
    </cfRule>
  </conditionalFormatting>
  <conditionalFormatting sqref="AC301">
    <cfRule type="cellIs" dxfId="8381" priority="1545" operator="greaterThan">
      <formula>0.9</formula>
    </cfRule>
    <cfRule type="cellIs" dxfId="8380" priority="1546" operator="greaterThan">
      <formula>0.85</formula>
    </cfRule>
  </conditionalFormatting>
  <conditionalFormatting sqref="N301">
    <cfRule type="cellIs" dxfId="8379" priority="1543" operator="greaterThan">
      <formula>0.9</formula>
    </cfRule>
    <cfRule type="cellIs" dxfId="8378" priority="1544" operator="greaterThan">
      <formula>0.85</formula>
    </cfRule>
  </conditionalFormatting>
  <conditionalFormatting sqref="E301">
    <cfRule type="expression" dxfId="8377" priority="1539">
      <formula>AND(IF(OR($Q301=1,$Q301=2),1,0),IF($X301&lt;=20,1,0))</formula>
    </cfRule>
    <cfRule type="expression" dxfId="8376" priority="1540">
      <formula>AND(IF($Q301=2,1,0),IF($X301&lt;30,1,0))</formula>
    </cfRule>
    <cfRule type="expression" dxfId="8375" priority="1541">
      <formula>AND(IF($Q301=3,1,0),IF($X301&lt;30,1,0))</formula>
    </cfRule>
    <cfRule type="expression" dxfId="8374" priority="1542">
      <formula>AND(IF($Q301=3,1,IF($Q301=4,1,0)),IF($F301&lt;=85,1,0))</formula>
    </cfRule>
  </conditionalFormatting>
  <conditionalFormatting sqref="X301">
    <cfRule type="expression" dxfId="8373" priority="1535">
      <formula>AND(IF(OR($Q301=1,$Q301=2),1,0),IF($X301&lt;=20,1,0))</formula>
    </cfRule>
    <cfRule type="expression" dxfId="8372" priority="1536">
      <formula>AND(IF($Q301=2,1,0),IF($X301&lt;30,1,0))</formula>
    </cfRule>
    <cfRule type="expression" dxfId="8371" priority="1537">
      <formula>AND(IF($Q301=3,1,0),IF($X301&lt;30,1,0))</formula>
    </cfRule>
    <cfRule type="expression" dxfId="8370" priority="1538">
      <formula>AND(IF($Q301=3,1,IF($Q301=4,1,0)),IF($F301&lt;=85,1,0))</formula>
    </cfRule>
  </conditionalFormatting>
  <conditionalFormatting sqref="AI301">
    <cfRule type="expression" dxfId="8369" priority="1531">
      <formula>AND(IF(OR($Q301=1,$Q301=2),1,0),IF($X301&lt;=20,1,0))</formula>
    </cfRule>
    <cfRule type="expression" dxfId="8368" priority="1532">
      <formula>AND(IF($Q301=2,1,0),IF($X301&lt;30,1,0))</formula>
    </cfRule>
    <cfRule type="expression" dxfId="8367" priority="1533">
      <formula>AND(IF($Q301=3,1,0),IF($X301&lt;30,1,0))</formula>
    </cfRule>
    <cfRule type="expression" dxfId="8366" priority="1534">
      <formula>AND(IF($Q301=3,1,IF($Q301=4,1,0)),IF($F301&lt;=85,1,0))</formula>
    </cfRule>
  </conditionalFormatting>
  <conditionalFormatting sqref="AV302">
    <cfRule type="expression" dxfId="8365" priority="1529">
      <formula>AV302="X"</formula>
    </cfRule>
    <cfRule type="expression" dxfId="8364" priority="1530">
      <formula>AV302="후보"</formula>
    </cfRule>
  </conditionalFormatting>
  <conditionalFormatting sqref="AC302">
    <cfRule type="cellIs" dxfId="8363" priority="1527" operator="greaterThan">
      <formula>0.9</formula>
    </cfRule>
    <cfRule type="cellIs" dxfId="8362" priority="1528" operator="greaterThan">
      <formula>0.85</formula>
    </cfRule>
  </conditionalFormatting>
  <conditionalFormatting sqref="N302">
    <cfRule type="cellIs" dxfId="8361" priority="1525" operator="greaterThan">
      <formula>0.9</formula>
    </cfRule>
    <cfRule type="cellIs" dxfId="8360" priority="1526" operator="greaterThan">
      <formula>0.85</formula>
    </cfRule>
  </conditionalFormatting>
  <conditionalFormatting sqref="E302">
    <cfRule type="expression" dxfId="8359" priority="1521">
      <formula>AND(IF(OR($Q302=1,$Q302=2),1,0),IF($X302&lt;=20,1,0))</formula>
    </cfRule>
    <cfRule type="expression" dxfId="8358" priority="1522">
      <formula>AND(IF($Q302=2,1,0),IF($X302&lt;30,1,0))</formula>
    </cfRule>
    <cfRule type="expression" dxfId="8357" priority="1523">
      <formula>AND(IF($Q302=3,1,0),IF($X302&lt;30,1,0))</formula>
    </cfRule>
    <cfRule type="expression" dxfId="8356" priority="1524">
      <formula>AND(IF($Q302=3,1,IF($Q302=4,1,0)),IF($F302&lt;=85,1,0))</formula>
    </cfRule>
  </conditionalFormatting>
  <conditionalFormatting sqref="X302">
    <cfRule type="expression" dxfId="8355" priority="1517">
      <formula>AND(IF(OR($Q302=1,$Q302=2),1,0),IF($X302&lt;=20,1,0))</formula>
    </cfRule>
    <cfRule type="expression" dxfId="8354" priority="1518">
      <formula>AND(IF($Q302=2,1,0),IF($X302&lt;30,1,0))</formula>
    </cfRule>
    <cfRule type="expression" dxfId="8353" priority="1519">
      <formula>AND(IF($Q302=3,1,0),IF($X302&lt;30,1,0))</formula>
    </cfRule>
    <cfRule type="expression" dxfId="8352" priority="1520">
      <formula>AND(IF($Q302=3,1,IF($Q302=4,1,0)),IF($F302&lt;=85,1,0))</formula>
    </cfRule>
  </conditionalFormatting>
  <conditionalFormatting sqref="AI302">
    <cfRule type="expression" dxfId="8351" priority="1513">
      <formula>AND(IF(OR($Q302=1,$Q302=2),1,0),IF($X302&lt;=20,1,0))</formula>
    </cfRule>
    <cfRule type="expression" dxfId="8350" priority="1514">
      <formula>AND(IF($Q302=2,1,0),IF($X302&lt;30,1,0))</formula>
    </cfRule>
    <cfRule type="expression" dxfId="8349" priority="1515">
      <formula>AND(IF($Q302=3,1,0),IF($X302&lt;30,1,0))</formula>
    </cfRule>
    <cfRule type="expression" dxfId="8348" priority="1516">
      <formula>AND(IF($Q302=3,1,IF($Q302=4,1,0)),IF($F302&lt;=85,1,0))</formula>
    </cfRule>
  </conditionalFormatting>
  <conditionalFormatting sqref="AV303">
    <cfRule type="expression" dxfId="8347" priority="1511">
      <formula>AV303="X"</formula>
    </cfRule>
    <cfRule type="expression" dxfId="8346" priority="1512">
      <formula>AV303="후보"</formula>
    </cfRule>
  </conditionalFormatting>
  <conditionalFormatting sqref="AC303">
    <cfRule type="cellIs" dxfId="8345" priority="1509" operator="greaterThan">
      <formula>0.9</formula>
    </cfRule>
    <cfRule type="cellIs" dxfId="8344" priority="1510" operator="greaterThan">
      <formula>0.85</formula>
    </cfRule>
  </conditionalFormatting>
  <conditionalFormatting sqref="N303">
    <cfRule type="cellIs" dxfId="8343" priority="1507" operator="greaterThan">
      <formula>0.9</formula>
    </cfRule>
    <cfRule type="cellIs" dxfId="8342" priority="1508" operator="greaterThan">
      <formula>0.85</formula>
    </cfRule>
  </conditionalFormatting>
  <conditionalFormatting sqref="E303">
    <cfRule type="expression" dxfId="8341" priority="1503">
      <formula>AND(IF(OR($Q303=1,$Q303=2),1,0),IF($X303&lt;=20,1,0))</formula>
    </cfRule>
    <cfRule type="expression" dxfId="8340" priority="1504">
      <formula>AND(IF($Q303=2,1,0),IF($X303&lt;30,1,0))</formula>
    </cfRule>
    <cfRule type="expression" dxfId="8339" priority="1505">
      <formula>AND(IF($Q303=3,1,0),IF($X303&lt;30,1,0))</formula>
    </cfRule>
    <cfRule type="expression" dxfId="8338" priority="1506">
      <formula>AND(IF($Q303=3,1,IF($Q303=4,1,0)),IF($F303&lt;=85,1,0))</formula>
    </cfRule>
  </conditionalFormatting>
  <conditionalFormatting sqref="X303">
    <cfRule type="expression" dxfId="8337" priority="1499">
      <formula>AND(IF(OR($Q303=1,$Q303=2),1,0),IF($X303&lt;=20,1,0))</formula>
    </cfRule>
    <cfRule type="expression" dxfId="8336" priority="1500">
      <formula>AND(IF($Q303=2,1,0),IF($X303&lt;30,1,0))</formula>
    </cfRule>
    <cfRule type="expression" dxfId="8335" priority="1501">
      <formula>AND(IF($Q303=3,1,0),IF($X303&lt;30,1,0))</formula>
    </cfRule>
    <cfRule type="expression" dxfId="8334" priority="1502">
      <formula>AND(IF($Q303=3,1,IF($Q303=4,1,0)),IF($F303&lt;=85,1,0))</formula>
    </cfRule>
  </conditionalFormatting>
  <conditionalFormatting sqref="AI303">
    <cfRule type="expression" dxfId="8333" priority="1495">
      <formula>AND(IF(OR($Q303=1,$Q303=2),1,0),IF($X303&lt;=20,1,0))</formula>
    </cfRule>
    <cfRule type="expression" dxfId="8332" priority="1496">
      <formula>AND(IF($Q303=2,1,0),IF($X303&lt;30,1,0))</formula>
    </cfRule>
    <cfRule type="expression" dxfId="8331" priority="1497">
      <formula>AND(IF($Q303=3,1,0),IF($X303&lt;30,1,0))</formula>
    </cfRule>
    <cfRule type="expression" dxfId="8330" priority="1498">
      <formula>AND(IF($Q303=3,1,IF($Q303=4,1,0)),IF($F303&lt;=85,1,0))</formula>
    </cfRule>
  </conditionalFormatting>
  <conditionalFormatting sqref="AV304">
    <cfRule type="expression" dxfId="8329" priority="1493">
      <formula>AV304="X"</formula>
    </cfRule>
    <cfRule type="expression" dxfId="8328" priority="1494">
      <formula>AV304="후보"</formula>
    </cfRule>
  </conditionalFormatting>
  <conditionalFormatting sqref="AC304">
    <cfRule type="cellIs" dxfId="8327" priority="1491" operator="greaterThan">
      <formula>0.9</formula>
    </cfRule>
    <cfRule type="cellIs" dxfId="8326" priority="1492" operator="greaterThan">
      <formula>0.85</formula>
    </cfRule>
  </conditionalFormatting>
  <conditionalFormatting sqref="N304">
    <cfRule type="cellIs" dxfId="8325" priority="1489" operator="greaterThan">
      <formula>0.9</formula>
    </cfRule>
    <cfRule type="cellIs" dxfId="8324" priority="1490" operator="greaterThan">
      <formula>0.85</formula>
    </cfRule>
  </conditionalFormatting>
  <conditionalFormatting sqref="E304">
    <cfRule type="expression" dxfId="8323" priority="1485">
      <formula>AND(IF(OR($Q304=1,$Q304=2),1,0),IF($X304&lt;=20,1,0))</formula>
    </cfRule>
    <cfRule type="expression" dxfId="8322" priority="1486">
      <formula>AND(IF($Q304=2,1,0),IF($X304&lt;30,1,0))</formula>
    </cfRule>
    <cfRule type="expression" dxfId="8321" priority="1487">
      <formula>AND(IF($Q304=3,1,0),IF($X304&lt;30,1,0))</formula>
    </cfRule>
    <cfRule type="expression" dxfId="8320" priority="1488">
      <formula>AND(IF($Q304=3,1,IF($Q304=4,1,0)),IF($F304&lt;=85,1,0))</formula>
    </cfRule>
  </conditionalFormatting>
  <conditionalFormatting sqref="X304">
    <cfRule type="expression" dxfId="8319" priority="1481">
      <formula>AND(IF(OR($Q304=1,$Q304=2),1,0),IF($X304&lt;=20,1,0))</formula>
    </cfRule>
    <cfRule type="expression" dxfId="8318" priority="1482">
      <formula>AND(IF($Q304=2,1,0),IF($X304&lt;30,1,0))</formula>
    </cfRule>
    <cfRule type="expression" dxfId="8317" priority="1483">
      <formula>AND(IF($Q304=3,1,0),IF($X304&lt;30,1,0))</formula>
    </cfRule>
    <cfRule type="expression" dxfId="8316" priority="1484">
      <formula>AND(IF($Q304=3,1,IF($Q304=4,1,0)),IF($F304&lt;=85,1,0))</formula>
    </cfRule>
  </conditionalFormatting>
  <conditionalFormatting sqref="AI304">
    <cfRule type="expression" dxfId="8315" priority="1477">
      <formula>AND(IF(OR($Q304=1,$Q304=2),1,0),IF($X304&lt;=20,1,0))</formula>
    </cfRule>
    <cfRule type="expression" dxfId="8314" priority="1478">
      <formula>AND(IF($Q304=2,1,0),IF($X304&lt;30,1,0))</formula>
    </cfRule>
    <cfRule type="expression" dxfId="8313" priority="1479">
      <formula>AND(IF($Q304=3,1,0),IF($X304&lt;30,1,0))</formula>
    </cfRule>
    <cfRule type="expression" dxfId="8312" priority="1480">
      <formula>AND(IF($Q304=3,1,IF($Q304=4,1,0)),IF($F304&lt;=85,1,0))</formula>
    </cfRule>
  </conditionalFormatting>
  <conditionalFormatting sqref="AV305">
    <cfRule type="expression" dxfId="8311" priority="1475">
      <formula>AV305="X"</formula>
    </cfRule>
    <cfRule type="expression" dxfId="8310" priority="1476">
      <formula>AV305="후보"</formula>
    </cfRule>
  </conditionalFormatting>
  <conditionalFormatting sqref="AC305">
    <cfRule type="cellIs" dxfId="8309" priority="1473" operator="greaterThan">
      <formula>0.9</formula>
    </cfRule>
    <cfRule type="cellIs" dxfId="8308" priority="1474" operator="greaterThan">
      <formula>0.85</formula>
    </cfRule>
  </conditionalFormatting>
  <conditionalFormatting sqref="N305">
    <cfRule type="cellIs" dxfId="8307" priority="1471" operator="greaterThan">
      <formula>0.9</formula>
    </cfRule>
    <cfRule type="cellIs" dxfId="8306" priority="1472" operator="greaterThan">
      <formula>0.85</formula>
    </cfRule>
  </conditionalFormatting>
  <conditionalFormatting sqref="E305">
    <cfRule type="expression" dxfId="8305" priority="1467">
      <formula>AND(IF(OR($Q305=1,$Q305=2),1,0),IF($X305&lt;=20,1,0))</formula>
    </cfRule>
    <cfRule type="expression" dxfId="8304" priority="1468">
      <formula>AND(IF($Q305=2,1,0),IF($X305&lt;30,1,0))</formula>
    </cfRule>
    <cfRule type="expression" dxfId="8303" priority="1469">
      <formula>AND(IF($Q305=3,1,0),IF($X305&lt;30,1,0))</formula>
    </cfRule>
    <cfRule type="expression" dxfId="8302" priority="1470">
      <formula>AND(IF($Q305=3,1,IF($Q305=4,1,0)),IF($F305&lt;=85,1,0))</formula>
    </cfRule>
  </conditionalFormatting>
  <conditionalFormatting sqref="X305">
    <cfRule type="expression" dxfId="8301" priority="1463">
      <formula>AND(IF(OR($Q305=1,$Q305=2),1,0),IF($X305&lt;=20,1,0))</formula>
    </cfRule>
    <cfRule type="expression" dxfId="8300" priority="1464">
      <formula>AND(IF($Q305=2,1,0),IF($X305&lt;30,1,0))</formula>
    </cfRule>
    <cfRule type="expression" dxfId="8299" priority="1465">
      <formula>AND(IF($Q305=3,1,0),IF($X305&lt;30,1,0))</formula>
    </cfRule>
    <cfRule type="expression" dxfId="8298" priority="1466">
      <formula>AND(IF($Q305=3,1,IF($Q305=4,1,0)),IF($F305&lt;=85,1,0))</formula>
    </cfRule>
  </conditionalFormatting>
  <conditionalFormatting sqref="AI305">
    <cfRule type="expression" dxfId="8297" priority="1459">
      <formula>AND(IF(OR($Q305=1,$Q305=2),1,0),IF($X305&lt;=20,1,0))</formula>
    </cfRule>
    <cfRule type="expression" dxfId="8296" priority="1460">
      <formula>AND(IF($Q305=2,1,0),IF($X305&lt;30,1,0))</formula>
    </cfRule>
    <cfRule type="expression" dxfId="8295" priority="1461">
      <formula>AND(IF($Q305=3,1,0),IF($X305&lt;30,1,0))</formula>
    </cfRule>
    <cfRule type="expression" dxfId="8294" priority="1462">
      <formula>AND(IF($Q305=3,1,IF($Q305=4,1,0)),IF($F305&lt;=85,1,0))</formula>
    </cfRule>
  </conditionalFormatting>
  <conditionalFormatting sqref="AV306">
    <cfRule type="expression" dxfId="8293" priority="1457">
      <formula>AV306="X"</formula>
    </cfRule>
    <cfRule type="expression" dxfId="8292" priority="1458">
      <formula>AV306="후보"</formula>
    </cfRule>
  </conditionalFormatting>
  <conditionalFormatting sqref="AC306">
    <cfRule type="cellIs" dxfId="8291" priority="1455" operator="greaterThan">
      <formula>0.9</formula>
    </cfRule>
    <cfRule type="cellIs" dxfId="8290" priority="1456" operator="greaterThan">
      <formula>0.85</formula>
    </cfRule>
  </conditionalFormatting>
  <conditionalFormatting sqref="N306">
    <cfRule type="cellIs" dxfId="8289" priority="1453" operator="greaterThan">
      <formula>0.9</formula>
    </cfRule>
    <cfRule type="cellIs" dxfId="8288" priority="1454" operator="greaterThan">
      <formula>0.85</formula>
    </cfRule>
  </conditionalFormatting>
  <conditionalFormatting sqref="E306">
    <cfRule type="expression" dxfId="8287" priority="1449">
      <formula>AND(IF(OR($Q306=1,$Q306=2),1,0),IF($X306&lt;=20,1,0))</formula>
    </cfRule>
    <cfRule type="expression" dxfId="8286" priority="1450">
      <formula>AND(IF($Q306=2,1,0),IF($X306&lt;30,1,0))</formula>
    </cfRule>
    <cfRule type="expression" dxfId="8285" priority="1451">
      <formula>AND(IF($Q306=3,1,0),IF($X306&lt;30,1,0))</formula>
    </cfRule>
    <cfRule type="expression" dxfId="8284" priority="1452">
      <formula>AND(IF($Q306=3,1,IF($Q306=4,1,0)),IF($F306&lt;=85,1,0))</formula>
    </cfRule>
  </conditionalFormatting>
  <conditionalFormatting sqref="X306">
    <cfRule type="expression" dxfId="8283" priority="1445">
      <formula>AND(IF(OR($Q306=1,$Q306=2),1,0),IF($X306&lt;=20,1,0))</formula>
    </cfRule>
    <cfRule type="expression" dxfId="8282" priority="1446">
      <formula>AND(IF($Q306=2,1,0),IF($X306&lt;30,1,0))</formula>
    </cfRule>
    <cfRule type="expression" dxfId="8281" priority="1447">
      <formula>AND(IF($Q306=3,1,0),IF($X306&lt;30,1,0))</formula>
    </cfRule>
    <cfRule type="expression" dxfId="8280" priority="1448">
      <formula>AND(IF($Q306=3,1,IF($Q306=4,1,0)),IF($F306&lt;=85,1,0))</formula>
    </cfRule>
  </conditionalFormatting>
  <conditionalFormatting sqref="AI306">
    <cfRule type="expression" dxfId="8279" priority="1441">
      <formula>AND(IF(OR($Q306=1,$Q306=2),1,0),IF($X306&lt;=20,1,0))</formula>
    </cfRule>
    <cfRule type="expression" dxfId="8278" priority="1442">
      <formula>AND(IF($Q306=2,1,0),IF($X306&lt;30,1,0))</formula>
    </cfRule>
    <cfRule type="expression" dxfId="8277" priority="1443">
      <formula>AND(IF($Q306=3,1,0),IF($X306&lt;30,1,0))</formula>
    </cfRule>
    <cfRule type="expression" dxfId="8276" priority="1444">
      <formula>AND(IF($Q306=3,1,IF($Q306=4,1,0)),IF($F306&lt;=85,1,0))</formula>
    </cfRule>
  </conditionalFormatting>
  <conditionalFormatting sqref="AV307">
    <cfRule type="expression" dxfId="8275" priority="1439">
      <formula>AV307="X"</formula>
    </cfRule>
    <cfRule type="expression" dxfId="8274" priority="1440">
      <formula>AV307="후보"</formula>
    </cfRule>
  </conditionalFormatting>
  <conditionalFormatting sqref="AC307">
    <cfRule type="cellIs" dxfId="8273" priority="1437" operator="greaterThan">
      <formula>0.9</formula>
    </cfRule>
    <cfRule type="cellIs" dxfId="8272" priority="1438" operator="greaterThan">
      <formula>0.85</formula>
    </cfRule>
  </conditionalFormatting>
  <conditionalFormatting sqref="N307">
    <cfRule type="cellIs" dxfId="8271" priority="1435" operator="greaterThan">
      <formula>0.9</formula>
    </cfRule>
    <cfRule type="cellIs" dxfId="8270" priority="1436" operator="greaterThan">
      <formula>0.85</formula>
    </cfRule>
  </conditionalFormatting>
  <conditionalFormatting sqref="E307">
    <cfRule type="expression" dxfId="8269" priority="1431">
      <formula>AND(IF(OR($Q307=1,$Q307=2),1,0),IF($X307&lt;=20,1,0))</formula>
    </cfRule>
    <cfRule type="expression" dxfId="8268" priority="1432">
      <formula>AND(IF($Q307=2,1,0),IF($X307&lt;30,1,0))</formula>
    </cfRule>
    <cfRule type="expression" dxfId="8267" priority="1433">
      <formula>AND(IF($Q307=3,1,0),IF($X307&lt;30,1,0))</formula>
    </cfRule>
    <cfRule type="expression" dxfId="8266" priority="1434">
      <formula>AND(IF($Q307=3,1,IF($Q307=4,1,0)),IF($F307&lt;=85,1,0))</formula>
    </cfRule>
  </conditionalFormatting>
  <conditionalFormatting sqref="X307">
    <cfRule type="expression" dxfId="8265" priority="1427">
      <formula>AND(IF(OR($Q307=1,$Q307=2),1,0),IF($X307&lt;=20,1,0))</formula>
    </cfRule>
    <cfRule type="expression" dxfId="8264" priority="1428">
      <formula>AND(IF($Q307=2,1,0),IF($X307&lt;30,1,0))</formula>
    </cfRule>
    <cfRule type="expression" dxfId="8263" priority="1429">
      <formula>AND(IF($Q307=3,1,0),IF($X307&lt;30,1,0))</formula>
    </cfRule>
    <cfRule type="expression" dxfId="8262" priority="1430">
      <formula>AND(IF($Q307=3,1,IF($Q307=4,1,0)),IF($F307&lt;=85,1,0))</formula>
    </cfRule>
  </conditionalFormatting>
  <conditionalFormatting sqref="AI307">
    <cfRule type="expression" dxfId="8261" priority="1423">
      <formula>AND(IF(OR($Q307=1,$Q307=2),1,0),IF($X307&lt;=20,1,0))</formula>
    </cfRule>
    <cfRule type="expression" dxfId="8260" priority="1424">
      <formula>AND(IF($Q307=2,1,0),IF($X307&lt;30,1,0))</formula>
    </cfRule>
    <cfRule type="expression" dxfId="8259" priority="1425">
      <formula>AND(IF($Q307=3,1,0),IF($X307&lt;30,1,0))</formula>
    </cfRule>
    <cfRule type="expression" dxfId="8258" priority="1426">
      <formula>AND(IF($Q307=3,1,IF($Q307=4,1,0)),IF($F307&lt;=85,1,0))</formula>
    </cfRule>
  </conditionalFormatting>
  <conditionalFormatting sqref="AV308">
    <cfRule type="expression" dxfId="8257" priority="1421">
      <formula>AV308="X"</formula>
    </cfRule>
    <cfRule type="expression" dxfId="8256" priority="1422">
      <formula>AV308="후보"</formula>
    </cfRule>
  </conditionalFormatting>
  <conditionalFormatting sqref="AC308">
    <cfRule type="cellIs" dxfId="8255" priority="1419" operator="greaterThan">
      <formula>0.9</formula>
    </cfRule>
    <cfRule type="cellIs" dxfId="8254" priority="1420" operator="greaterThan">
      <formula>0.85</formula>
    </cfRule>
  </conditionalFormatting>
  <conditionalFormatting sqref="N308">
    <cfRule type="cellIs" dxfId="8253" priority="1417" operator="greaterThan">
      <formula>0.9</formula>
    </cfRule>
    <cfRule type="cellIs" dxfId="8252" priority="1418" operator="greaterThan">
      <formula>0.85</formula>
    </cfRule>
  </conditionalFormatting>
  <conditionalFormatting sqref="E308">
    <cfRule type="expression" dxfId="8251" priority="1413">
      <formula>AND(IF(OR($Q308=1,$Q308=2),1,0),IF($X308&lt;=20,1,0))</formula>
    </cfRule>
    <cfRule type="expression" dxfId="8250" priority="1414">
      <formula>AND(IF($Q308=2,1,0),IF($X308&lt;30,1,0))</formula>
    </cfRule>
    <cfRule type="expression" dxfId="8249" priority="1415">
      <formula>AND(IF($Q308=3,1,0),IF($X308&lt;30,1,0))</formula>
    </cfRule>
    <cfRule type="expression" dxfId="8248" priority="1416">
      <formula>AND(IF($Q308=3,1,IF($Q308=4,1,0)),IF($F308&lt;=85,1,0))</formula>
    </cfRule>
  </conditionalFormatting>
  <conditionalFormatting sqref="X308">
    <cfRule type="expression" dxfId="8247" priority="1409">
      <formula>AND(IF(OR($Q308=1,$Q308=2),1,0),IF($X308&lt;=20,1,0))</formula>
    </cfRule>
    <cfRule type="expression" dxfId="8246" priority="1410">
      <formula>AND(IF($Q308=2,1,0),IF($X308&lt;30,1,0))</formula>
    </cfRule>
    <cfRule type="expression" dxfId="8245" priority="1411">
      <formula>AND(IF($Q308=3,1,0),IF($X308&lt;30,1,0))</formula>
    </cfRule>
    <cfRule type="expression" dxfId="8244" priority="1412">
      <formula>AND(IF($Q308=3,1,IF($Q308=4,1,0)),IF($F308&lt;=85,1,0))</formula>
    </cfRule>
  </conditionalFormatting>
  <conditionalFormatting sqref="AI308">
    <cfRule type="expression" dxfId="8243" priority="1405">
      <formula>AND(IF(OR($Q308=1,$Q308=2),1,0),IF($X308&lt;=20,1,0))</formula>
    </cfRule>
    <cfRule type="expression" dxfId="8242" priority="1406">
      <formula>AND(IF($Q308=2,1,0),IF($X308&lt;30,1,0))</formula>
    </cfRule>
    <cfRule type="expression" dxfId="8241" priority="1407">
      <formula>AND(IF($Q308=3,1,0),IF($X308&lt;30,1,0))</formula>
    </cfRule>
    <cfRule type="expression" dxfId="8240" priority="1408">
      <formula>AND(IF($Q308=3,1,IF($Q308=4,1,0)),IF($F308&lt;=85,1,0))</formula>
    </cfRule>
  </conditionalFormatting>
  <conditionalFormatting sqref="AV309">
    <cfRule type="expression" dxfId="8239" priority="1403">
      <formula>AV309="X"</formula>
    </cfRule>
    <cfRule type="expression" dxfId="8238" priority="1404">
      <formula>AV309="후보"</formula>
    </cfRule>
  </conditionalFormatting>
  <conditionalFormatting sqref="AC309">
    <cfRule type="cellIs" dxfId="8237" priority="1401" operator="greaterThan">
      <formula>0.9</formula>
    </cfRule>
    <cfRule type="cellIs" dxfId="8236" priority="1402" operator="greaterThan">
      <formula>0.85</formula>
    </cfRule>
  </conditionalFormatting>
  <conditionalFormatting sqref="N309">
    <cfRule type="cellIs" dxfId="8235" priority="1399" operator="greaterThan">
      <formula>0.9</formula>
    </cfRule>
    <cfRule type="cellIs" dxfId="8234" priority="1400" operator="greaterThan">
      <formula>0.85</formula>
    </cfRule>
  </conditionalFormatting>
  <conditionalFormatting sqref="E309">
    <cfRule type="expression" dxfId="8233" priority="1395">
      <formula>AND(IF(OR($Q309=1,$Q309=2),1,0),IF($X309&lt;=20,1,0))</formula>
    </cfRule>
    <cfRule type="expression" dxfId="8232" priority="1396">
      <formula>AND(IF($Q309=2,1,0),IF($X309&lt;30,1,0))</formula>
    </cfRule>
    <cfRule type="expression" dxfId="8231" priority="1397">
      <formula>AND(IF($Q309=3,1,0),IF($X309&lt;30,1,0))</formula>
    </cfRule>
    <cfRule type="expression" dxfId="8230" priority="1398">
      <formula>AND(IF($Q309=3,1,IF($Q309=4,1,0)),IF($F309&lt;=85,1,0))</formula>
    </cfRule>
  </conditionalFormatting>
  <conditionalFormatting sqref="X309">
    <cfRule type="expression" dxfId="8229" priority="1391">
      <formula>AND(IF(OR($Q309=1,$Q309=2),1,0),IF($X309&lt;=20,1,0))</formula>
    </cfRule>
    <cfRule type="expression" dxfId="8228" priority="1392">
      <formula>AND(IF($Q309=2,1,0),IF($X309&lt;30,1,0))</formula>
    </cfRule>
    <cfRule type="expression" dxfId="8227" priority="1393">
      <formula>AND(IF($Q309=3,1,0),IF($X309&lt;30,1,0))</formula>
    </cfRule>
    <cfRule type="expression" dxfId="8226" priority="1394">
      <formula>AND(IF($Q309=3,1,IF($Q309=4,1,0)),IF($F309&lt;=85,1,0))</formula>
    </cfRule>
  </conditionalFormatting>
  <conditionalFormatting sqref="AI309">
    <cfRule type="expression" dxfId="8225" priority="1387">
      <formula>AND(IF(OR($Q309=1,$Q309=2),1,0),IF($X309&lt;=20,1,0))</formula>
    </cfRule>
    <cfRule type="expression" dxfId="8224" priority="1388">
      <formula>AND(IF($Q309=2,1,0),IF($X309&lt;30,1,0))</formula>
    </cfRule>
    <cfRule type="expression" dxfId="8223" priority="1389">
      <formula>AND(IF($Q309=3,1,0),IF($X309&lt;30,1,0))</formula>
    </cfRule>
    <cfRule type="expression" dxfId="8222" priority="1390">
      <formula>AND(IF($Q309=3,1,IF($Q309=4,1,0)),IF($F309&lt;=85,1,0))</formula>
    </cfRule>
  </conditionalFormatting>
  <conditionalFormatting sqref="AV310">
    <cfRule type="expression" dxfId="8221" priority="1385">
      <formula>AV310="X"</formula>
    </cfRule>
    <cfRule type="expression" dxfId="8220" priority="1386">
      <formula>AV310="후보"</formula>
    </cfRule>
  </conditionalFormatting>
  <conditionalFormatting sqref="AC310">
    <cfRule type="cellIs" dxfId="8219" priority="1383" operator="greaterThan">
      <formula>0.9</formula>
    </cfRule>
    <cfRule type="cellIs" dxfId="8218" priority="1384" operator="greaterThan">
      <formula>0.85</formula>
    </cfRule>
  </conditionalFormatting>
  <conditionalFormatting sqref="N310">
    <cfRule type="cellIs" dxfId="8217" priority="1381" operator="greaterThan">
      <formula>0.9</formula>
    </cfRule>
    <cfRule type="cellIs" dxfId="8216" priority="1382" operator="greaterThan">
      <formula>0.85</formula>
    </cfRule>
  </conditionalFormatting>
  <conditionalFormatting sqref="E310">
    <cfRule type="expression" dxfId="8215" priority="1377">
      <formula>AND(IF(OR($Q310=1,$Q310=2),1,0),IF($X310&lt;=20,1,0))</formula>
    </cfRule>
    <cfRule type="expression" dxfId="8214" priority="1378">
      <formula>AND(IF($Q310=2,1,0),IF($X310&lt;30,1,0))</formula>
    </cfRule>
    <cfRule type="expression" dxfId="8213" priority="1379">
      <formula>AND(IF($Q310=3,1,0),IF($X310&lt;30,1,0))</formula>
    </cfRule>
    <cfRule type="expression" dxfId="8212" priority="1380">
      <formula>AND(IF($Q310=3,1,IF($Q310=4,1,0)),IF($F310&lt;=85,1,0))</formula>
    </cfRule>
  </conditionalFormatting>
  <conditionalFormatting sqref="X310">
    <cfRule type="expression" dxfId="8211" priority="1373">
      <formula>AND(IF(OR($Q310=1,$Q310=2),1,0),IF($X310&lt;=20,1,0))</formula>
    </cfRule>
    <cfRule type="expression" dxfId="8210" priority="1374">
      <formula>AND(IF($Q310=2,1,0),IF($X310&lt;30,1,0))</formula>
    </cfRule>
    <cfRule type="expression" dxfId="8209" priority="1375">
      <formula>AND(IF($Q310=3,1,0),IF($X310&lt;30,1,0))</formula>
    </cfRule>
    <cfRule type="expression" dxfId="8208" priority="1376">
      <formula>AND(IF($Q310=3,1,IF($Q310=4,1,0)),IF($F310&lt;=85,1,0))</formula>
    </cfRule>
  </conditionalFormatting>
  <conditionalFormatting sqref="AI310">
    <cfRule type="expression" dxfId="8207" priority="1369">
      <formula>AND(IF(OR($Q310=1,$Q310=2),1,0),IF($X310&lt;=20,1,0))</formula>
    </cfRule>
    <cfRule type="expression" dxfId="8206" priority="1370">
      <formula>AND(IF($Q310=2,1,0),IF($X310&lt;30,1,0))</formula>
    </cfRule>
    <cfRule type="expression" dxfId="8205" priority="1371">
      <formula>AND(IF($Q310=3,1,0),IF($X310&lt;30,1,0))</formula>
    </cfRule>
    <cfRule type="expression" dxfId="8204" priority="1372">
      <formula>AND(IF($Q310=3,1,IF($Q310=4,1,0)),IF($F310&lt;=85,1,0))</formula>
    </cfRule>
  </conditionalFormatting>
  <conditionalFormatting sqref="AV311">
    <cfRule type="expression" dxfId="8203" priority="1367">
      <formula>AV311="X"</formula>
    </cfRule>
    <cfRule type="expression" dxfId="8202" priority="1368">
      <formula>AV311="후보"</formula>
    </cfRule>
  </conditionalFormatting>
  <conditionalFormatting sqref="AC311">
    <cfRule type="cellIs" dxfId="8201" priority="1365" operator="greaterThan">
      <formula>0.9</formula>
    </cfRule>
    <cfRule type="cellIs" dxfId="8200" priority="1366" operator="greaterThan">
      <formula>0.85</formula>
    </cfRule>
  </conditionalFormatting>
  <conditionalFormatting sqref="N311">
    <cfRule type="cellIs" dxfId="8199" priority="1363" operator="greaterThan">
      <formula>0.9</formula>
    </cfRule>
    <cfRule type="cellIs" dxfId="8198" priority="1364" operator="greaterThan">
      <formula>0.85</formula>
    </cfRule>
  </conditionalFormatting>
  <conditionalFormatting sqref="E311">
    <cfRule type="expression" dxfId="8197" priority="1359">
      <formula>AND(IF(OR($Q311=1,$Q311=2),1,0),IF($X311&lt;=20,1,0))</formula>
    </cfRule>
    <cfRule type="expression" dxfId="8196" priority="1360">
      <formula>AND(IF($Q311=2,1,0),IF($X311&lt;30,1,0))</formula>
    </cfRule>
    <cfRule type="expression" dxfId="8195" priority="1361">
      <formula>AND(IF($Q311=3,1,0),IF($X311&lt;30,1,0))</formula>
    </cfRule>
    <cfRule type="expression" dxfId="8194" priority="1362">
      <formula>AND(IF($Q311=3,1,IF($Q311=4,1,0)),IF($F311&lt;=85,1,0))</formula>
    </cfRule>
  </conditionalFormatting>
  <conditionalFormatting sqref="X311">
    <cfRule type="expression" dxfId="8193" priority="1355">
      <formula>AND(IF(OR($Q311=1,$Q311=2),1,0),IF($X311&lt;=20,1,0))</formula>
    </cfRule>
    <cfRule type="expression" dxfId="8192" priority="1356">
      <formula>AND(IF($Q311=2,1,0),IF($X311&lt;30,1,0))</formula>
    </cfRule>
    <cfRule type="expression" dxfId="8191" priority="1357">
      <formula>AND(IF($Q311=3,1,0),IF($X311&lt;30,1,0))</formula>
    </cfRule>
    <cfRule type="expression" dxfId="8190" priority="1358">
      <formula>AND(IF($Q311=3,1,IF($Q311=4,1,0)),IF($F311&lt;=85,1,0))</formula>
    </cfRule>
  </conditionalFormatting>
  <conditionalFormatting sqref="AI311">
    <cfRule type="expression" dxfId="8189" priority="1351">
      <formula>AND(IF(OR($Q311=1,$Q311=2),1,0),IF($X311&lt;=20,1,0))</formula>
    </cfRule>
    <cfRule type="expression" dxfId="8188" priority="1352">
      <formula>AND(IF($Q311=2,1,0),IF($X311&lt;30,1,0))</formula>
    </cfRule>
    <cfRule type="expression" dxfId="8187" priority="1353">
      <formula>AND(IF($Q311=3,1,0),IF($X311&lt;30,1,0))</formula>
    </cfRule>
    <cfRule type="expression" dxfId="8186" priority="1354">
      <formula>AND(IF($Q311=3,1,IF($Q311=4,1,0)),IF($F311&lt;=85,1,0))</formula>
    </cfRule>
  </conditionalFormatting>
  <conditionalFormatting sqref="AV312">
    <cfRule type="expression" dxfId="8185" priority="1349">
      <formula>AV312="X"</formula>
    </cfRule>
    <cfRule type="expression" dxfId="8184" priority="1350">
      <formula>AV312="후보"</formula>
    </cfRule>
  </conditionalFormatting>
  <conditionalFormatting sqref="AC312">
    <cfRule type="cellIs" dxfId="8183" priority="1347" operator="greaterThan">
      <formula>0.9</formula>
    </cfRule>
    <cfRule type="cellIs" dxfId="8182" priority="1348" operator="greaterThan">
      <formula>0.85</formula>
    </cfRule>
  </conditionalFormatting>
  <conditionalFormatting sqref="N312">
    <cfRule type="cellIs" dxfId="8181" priority="1345" operator="greaterThan">
      <formula>0.9</formula>
    </cfRule>
    <cfRule type="cellIs" dxfId="8180" priority="1346" operator="greaterThan">
      <formula>0.85</formula>
    </cfRule>
  </conditionalFormatting>
  <conditionalFormatting sqref="E312">
    <cfRule type="expression" dxfId="8179" priority="1341">
      <formula>AND(IF(OR($Q312=1,$Q312=2),1,0),IF($X312&lt;=20,1,0))</formula>
    </cfRule>
    <cfRule type="expression" dxfId="8178" priority="1342">
      <formula>AND(IF($Q312=2,1,0),IF($X312&lt;30,1,0))</formula>
    </cfRule>
    <cfRule type="expression" dxfId="8177" priority="1343">
      <formula>AND(IF($Q312=3,1,0),IF($X312&lt;30,1,0))</formula>
    </cfRule>
    <cfRule type="expression" dxfId="8176" priority="1344">
      <formula>AND(IF($Q312=3,1,IF($Q312=4,1,0)),IF($F312&lt;=85,1,0))</formula>
    </cfRule>
  </conditionalFormatting>
  <conditionalFormatting sqref="X312">
    <cfRule type="expression" dxfId="8175" priority="1337">
      <formula>AND(IF(OR($Q312=1,$Q312=2),1,0),IF($X312&lt;=20,1,0))</formula>
    </cfRule>
    <cfRule type="expression" dxfId="8174" priority="1338">
      <formula>AND(IF($Q312=2,1,0),IF($X312&lt;30,1,0))</formula>
    </cfRule>
    <cfRule type="expression" dxfId="8173" priority="1339">
      <formula>AND(IF($Q312=3,1,0),IF($X312&lt;30,1,0))</formula>
    </cfRule>
    <cfRule type="expression" dxfId="8172" priority="1340">
      <formula>AND(IF($Q312=3,1,IF($Q312=4,1,0)),IF($F312&lt;=85,1,0))</formula>
    </cfRule>
  </conditionalFormatting>
  <conditionalFormatting sqref="AI312">
    <cfRule type="expression" dxfId="8171" priority="1333">
      <formula>AND(IF(OR($Q312=1,$Q312=2),1,0),IF($X312&lt;=20,1,0))</formula>
    </cfRule>
    <cfRule type="expression" dxfId="8170" priority="1334">
      <formula>AND(IF($Q312=2,1,0),IF($X312&lt;30,1,0))</formula>
    </cfRule>
    <cfRule type="expression" dxfId="8169" priority="1335">
      <formula>AND(IF($Q312=3,1,0),IF($X312&lt;30,1,0))</formula>
    </cfRule>
    <cfRule type="expression" dxfId="8168" priority="1336">
      <formula>AND(IF($Q312=3,1,IF($Q312=4,1,0)),IF($F312&lt;=85,1,0))</formula>
    </cfRule>
  </conditionalFormatting>
  <conditionalFormatting sqref="AV313">
    <cfRule type="expression" dxfId="8167" priority="1331">
      <formula>AV313="X"</formula>
    </cfRule>
    <cfRule type="expression" dxfId="8166" priority="1332">
      <formula>AV313="후보"</formula>
    </cfRule>
  </conditionalFormatting>
  <conditionalFormatting sqref="AC313">
    <cfRule type="cellIs" dxfId="8165" priority="1329" operator="greaterThan">
      <formula>0.9</formula>
    </cfRule>
    <cfRule type="cellIs" dxfId="8164" priority="1330" operator="greaterThan">
      <formula>0.85</formula>
    </cfRule>
  </conditionalFormatting>
  <conditionalFormatting sqref="N313">
    <cfRule type="cellIs" dxfId="8163" priority="1327" operator="greaterThan">
      <formula>0.9</formula>
    </cfRule>
    <cfRule type="cellIs" dxfId="8162" priority="1328" operator="greaterThan">
      <formula>0.85</formula>
    </cfRule>
  </conditionalFormatting>
  <conditionalFormatting sqref="E313">
    <cfRule type="expression" dxfId="8161" priority="1323">
      <formula>AND(IF(OR($Q313=1,$Q313=2),1,0),IF($X313&lt;=20,1,0))</formula>
    </cfRule>
    <cfRule type="expression" dxfId="8160" priority="1324">
      <formula>AND(IF($Q313=2,1,0),IF($X313&lt;30,1,0))</formula>
    </cfRule>
    <cfRule type="expression" dxfId="8159" priority="1325">
      <formula>AND(IF($Q313=3,1,0),IF($X313&lt;30,1,0))</formula>
    </cfRule>
    <cfRule type="expression" dxfId="8158" priority="1326">
      <formula>AND(IF($Q313=3,1,IF($Q313=4,1,0)),IF($F313&lt;=85,1,0))</formula>
    </cfRule>
  </conditionalFormatting>
  <conditionalFormatting sqref="X313">
    <cfRule type="expression" dxfId="8157" priority="1319">
      <formula>AND(IF(OR($Q313=1,$Q313=2),1,0),IF($X313&lt;=20,1,0))</formula>
    </cfRule>
    <cfRule type="expression" dxfId="8156" priority="1320">
      <formula>AND(IF($Q313=2,1,0),IF($X313&lt;30,1,0))</formula>
    </cfRule>
    <cfRule type="expression" dxfId="8155" priority="1321">
      <formula>AND(IF($Q313=3,1,0),IF($X313&lt;30,1,0))</formula>
    </cfRule>
    <cfRule type="expression" dxfId="8154" priority="1322">
      <formula>AND(IF($Q313=3,1,IF($Q313=4,1,0)),IF($F313&lt;=85,1,0))</formula>
    </cfRule>
  </conditionalFormatting>
  <conditionalFormatting sqref="AI313">
    <cfRule type="expression" dxfId="8153" priority="1315">
      <formula>AND(IF(OR($Q313=1,$Q313=2),1,0),IF($X313&lt;=20,1,0))</formula>
    </cfRule>
    <cfRule type="expression" dxfId="8152" priority="1316">
      <formula>AND(IF($Q313=2,1,0),IF($X313&lt;30,1,0))</formula>
    </cfRule>
    <cfRule type="expression" dxfId="8151" priority="1317">
      <formula>AND(IF($Q313=3,1,0),IF($X313&lt;30,1,0))</formula>
    </cfRule>
    <cfRule type="expression" dxfId="8150" priority="1318">
      <formula>AND(IF($Q313=3,1,IF($Q313=4,1,0)),IF($F313&lt;=85,1,0))</formula>
    </cfRule>
  </conditionalFormatting>
  <conditionalFormatting sqref="AV314">
    <cfRule type="expression" dxfId="8149" priority="1313">
      <formula>AV314="X"</formula>
    </cfRule>
    <cfRule type="expression" dxfId="8148" priority="1314">
      <formula>AV314="후보"</formula>
    </cfRule>
  </conditionalFormatting>
  <conditionalFormatting sqref="AC314">
    <cfRule type="cellIs" dxfId="8147" priority="1311" operator="greaterThan">
      <formula>0.9</formula>
    </cfRule>
    <cfRule type="cellIs" dxfId="8146" priority="1312" operator="greaterThan">
      <formula>0.85</formula>
    </cfRule>
  </conditionalFormatting>
  <conditionalFormatting sqref="N314">
    <cfRule type="cellIs" dxfId="8145" priority="1309" operator="greaterThan">
      <formula>0.9</formula>
    </cfRule>
    <cfRule type="cellIs" dxfId="8144" priority="1310" operator="greaterThan">
      <formula>0.85</formula>
    </cfRule>
  </conditionalFormatting>
  <conditionalFormatting sqref="E314">
    <cfRule type="expression" dxfId="8143" priority="1305">
      <formula>AND(IF(OR($Q314=1,$Q314=2),1,0),IF($X314&lt;=20,1,0))</formula>
    </cfRule>
    <cfRule type="expression" dxfId="8142" priority="1306">
      <formula>AND(IF($Q314=2,1,0),IF($X314&lt;30,1,0))</formula>
    </cfRule>
    <cfRule type="expression" dxfId="8141" priority="1307">
      <formula>AND(IF($Q314=3,1,0),IF($X314&lt;30,1,0))</formula>
    </cfRule>
    <cfRule type="expression" dxfId="8140" priority="1308">
      <formula>AND(IF($Q314=3,1,IF($Q314=4,1,0)),IF($F314&lt;=85,1,0))</formula>
    </cfRule>
  </conditionalFormatting>
  <conditionalFormatting sqref="X314">
    <cfRule type="expression" dxfId="8139" priority="1301">
      <formula>AND(IF(OR($Q314=1,$Q314=2),1,0),IF($X314&lt;=20,1,0))</formula>
    </cfRule>
    <cfRule type="expression" dxfId="8138" priority="1302">
      <formula>AND(IF($Q314=2,1,0),IF($X314&lt;30,1,0))</formula>
    </cfRule>
    <cfRule type="expression" dxfId="8137" priority="1303">
      <formula>AND(IF($Q314=3,1,0),IF($X314&lt;30,1,0))</formula>
    </cfRule>
    <cfRule type="expression" dxfId="8136" priority="1304">
      <formula>AND(IF($Q314=3,1,IF($Q314=4,1,0)),IF($F314&lt;=85,1,0))</formula>
    </cfRule>
  </conditionalFormatting>
  <conditionalFormatting sqref="AI314">
    <cfRule type="expression" dxfId="8135" priority="1297">
      <formula>AND(IF(OR($Q314=1,$Q314=2),1,0),IF($X314&lt;=20,1,0))</formula>
    </cfRule>
    <cfRule type="expression" dxfId="8134" priority="1298">
      <formula>AND(IF($Q314=2,1,0),IF($X314&lt;30,1,0))</formula>
    </cfRule>
    <cfRule type="expression" dxfId="8133" priority="1299">
      <formula>AND(IF($Q314=3,1,0),IF($X314&lt;30,1,0))</formula>
    </cfRule>
    <cfRule type="expression" dxfId="8132" priority="1300">
      <formula>AND(IF($Q314=3,1,IF($Q314=4,1,0)),IF($F314&lt;=85,1,0))</formula>
    </cfRule>
  </conditionalFormatting>
  <conditionalFormatting sqref="AV315">
    <cfRule type="expression" dxfId="8131" priority="1295">
      <formula>AV315="X"</formula>
    </cfRule>
    <cfRule type="expression" dxfId="8130" priority="1296">
      <formula>AV315="후보"</formula>
    </cfRule>
  </conditionalFormatting>
  <conditionalFormatting sqref="AC315">
    <cfRule type="cellIs" dxfId="8129" priority="1293" operator="greaterThan">
      <formula>0.9</formula>
    </cfRule>
    <cfRule type="cellIs" dxfId="8128" priority="1294" operator="greaterThan">
      <formula>0.85</formula>
    </cfRule>
  </conditionalFormatting>
  <conditionalFormatting sqref="N315">
    <cfRule type="cellIs" dxfId="8127" priority="1291" operator="greaterThan">
      <formula>0.9</formula>
    </cfRule>
    <cfRule type="cellIs" dxfId="8126" priority="1292" operator="greaterThan">
      <formula>0.85</formula>
    </cfRule>
  </conditionalFormatting>
  <conditionalFormatting sqref="E315">
    <cfRule type="expression" dxfId="8125" priority="1287">
      <formula>AND(IF(OR($Q315=1,$Q315=2),1,0),IF($X315&lt;=20,1,0))</formula>
    </cfRule>
    <cfRule type="expression" dxfId="8124" priority="1288">
      <formula>AND(IF($Q315=2,1,0),IF($X315&lt;30,1,0))</formula>
    </cfRule>
    <cfRule type="expression" dxfId="8123" priority="1289">
      <formula>AND(IF($Q315=3,1,0),IF($X315&lt;30,1,0))</formula>
    </cfRule>
    <cfRule type="expression" dxfId="8122" priority="1290">
      <formula>AND(IF($Q315=3,1,IF($Q315=4,1,0)),IF($F315&lt;=85,1,0))</formula>
    </cfRule>
  </conditionalFormatting>
  <conditionalFormatting sqref="X315">
    <cfRule type="expression" dxfId="8121" priority="1283">
      <formula>AND(IF(OR($Q315=1,$Q315=2),1,0),IF($X315&lt;=20,1,0))</formula>
    </cfRule>
    <cfRule type="expression" dxfId="8120" priority="1284">
      <formula>AND(IF($Q315=2,1,0),IF($X315&lt;30,1,0))</formula>
    </cfRule>
    <cfRule type="expression" dxfId="8119" priority="1285">
      <formula>AND(IF($Q315=3,1,0),IF($X315&lt;30,1,0))</formula>
    </cfRule>
    <cfRule type="expression" dxfId="8118" priority="1286">
      <formula>AND(IF($Q315=3,1,IF($Q315=4,1,0)),IF($F315&lt;=85,1,0))</formula>
    </cfRule>
  </conditionalFormatting>
  <conditionalFormatting sqref="AI315">
    <cfRule type="expression" dxfId="8117" priority="1279">
      <formula>AND(IF(OR($Q315=1,$Q315=2),1,0),IF($X315&lt;=20,1,0))</formula>
    </cfRule>
    <cfRule type="expression" dxfId="8116" priority="1280">
      <formula>AND(IF($Q315=2,1,0),IF($X315&lt;30,1,0))</formula>
    </cfRule>
    <cfRule type="expression" dxfId="8115" priority="1281">
      <formula>AND(IF($Q315=3,1,0),IF($X315&lt;30,1,0))</formula>
    </cfRule>
    <cfRule type="expression" dxfId="8114" priority="1282">
      <formula>AND(IF($Q315=3,1,IF($Q315=4,1,0)),IF($F315&lt;=85,1,0))</formula>
    </cfRule>
  </conditionalFormatting>
  <conditionalFormatting sqref="AV316">
    <cfRule type="expression" dxfId="8113" priority="1277">
      <formula>AV316="X"</formula>
    </cfRule>
    <cfRule type="expression" dxfId="8112" priority="1278">
      <formula>AV316="후보"</formula>
    </cfRule>
  </conditionalFormatting>
  <conditionalFormatting sqref="AC316">
    <cfRule type="cellIs" dxfId="8111" priority="1275" operator="greaterThan">
      <formula>0.9</formula>
    </cfRule>
    <cfRule type="cellIs" dxfId="8110" priority="1276" operator="greaterThan">
      <formula>0.85</formula>
    </cfRule>
  </conditionalFormatting>
  <conditionalFormatting sqref="N316">
    <cfRule type="cellIs" dxfId="8109" priority="1273" operator="greaterThan">
      <formula>0.9</formula>
    </cfRule>
    <cfRule type="cellIs" dxfId="8108" priority="1274" operator="greaterThan">
      <formula>0.85</formula>
    </cfRule>
  </conditionalFormatting>
  <conditionalFormatting sqref="E316">
    <cfRule type="expression" dxfId="8107" priority="1269">
      <formula>AND(IF(OR($Q316=1,$Q316=2),1,0),IF($X316&lt;=20,1,0))</formula>
    </cfRule>
    <cfRule type="expression" dxfId="8106" priority="1270">
      <formula>AND(IF($Q316=2,1,0),IF($X316&lt;30,1,0))</formula>
    </cfRule>
    <cfRule type="expression" dxfId="8105" priority="1271">
      <formula>AND(IF($Q316=3,1,0),IF($X316&lt;30,1,0))</formula>
    </cfRule>
    <cfRule type="expression" dxfId="8104" priority="1272">
      <formula>AND(IF($Q316=3,1,IF($Q316=4,1,0)),IF($F316&lt;=85,1,0))</formula>
    </cfRule>
  </conditionalFormatting>
  <conditionalFormatting sqref="X316">
    <cfRule type="expression" dxfId="8103" priority="1265">
      <formula>AND(IF(OR($Q316=1,$Q316=2),1,0),IF($X316&lt;=20,1,0))</formula>
    </cfRule>
    <cfRule type="expression" dxfId="8102" priority="1266">
      <formula>AND(IF($Q316=2,1,0),IF($X316&lt;30,1,0))</formula>
    </cfRule>
    <cfRule type="expression" dxfId="8101" priority="1267">
      <formula>AND(IF($Q316=3,1,0),IF($X316&lt;30,1,0))</formula>
    </cfRule>
    <cfRule type="expression" dxfId="8100" priority="1268">
      <formula>AND(IF($Q316=3,1,IF($Q316=4,1,0)),IF($F316&lt;=85,1,0))</formula>
    </cfRule>
  </conditionalFormatting>
  <conditionalFormatting sqref="AI316">
    <cfRule type="expression" dxfId="8099" priority="1261">
      <formula>AND(IF(OR($Q316=1,$Q316=2),1,0),IF($X316&lt;=20,1,0))</formula>
    </cfRule>
    <cfRule type="expression" dxfId="8098" priority="1262">
      <formula>AND(IF($Q316=2,1,0),IF($X316&lt;30,1,0))</formula>
    </cfRule>
    <cfRule type="expression" dxfId="8097" priority="1263">
      <formula>AND(IF($Q316=3,1,0),IF($X316&lt;30,1,0))</formula>
    </cfRule>
    <cfRule type="expression" dxfId="8096" priority="1264">
      <formula>AND(IF($Q316=3,1,IF($Q316=4,1,0)),IF($F316&lt;=85,1,0))</formula>
    </cfRule>
  </conditionalFormatting>
  <conditionalFormatting sqref="AV317">
    <cfRule type="expression" dxfId="8095" priority="1259">
      <formula>AV317="X"</formula>
    </cfRule>
    <cfRule type="expression" dxfId="8094" priority="1260">
      <formula>AV317="후보"</formula>
    </cfRule>
  </conditionalFormatting>
  <conditionalFormatting sqref="AC317">
    <cfRule type="cellIs" dxfId="8093" priority="1257" operator="greaterThan">
      <formula>0.9</formula>
    </cfRule>
    <cfRule type="cellIs" dxfId="8092" priority="1258" operator="greaterThan">
      <formula>0.85</formula>
    </cfRule>
  </conditionalFormatting>
  <conditionalFormatting sqref="N317">
    <cfRule type="cellIs" dxfId="8091" priority="1255" operator="greaterThan">
      <formula>0.9</formula>
    </cfRule>
    <cfRule type="cellIs" dxfId="8090" priority="1256" operator="greaterThan">
      <formula>0.85</formula>
    </cfRule>
  </conditionalFormatting>
  <conditionalFormatting sqref="E317">
    <cfRule type="expression" dxfId="8089" priority="1251">
      <formula>AND(IF(OR($Q317=1,$Q317=2),1,0),IF($X317&lt;=20,1,0))</formula>
    </cfRule>
    <cfRule type="expression" dxfId="8088" priority="1252">
      <formula>AND(IF($Q317=2,1,0),IF($X317&lt;30,1,0))</formula>
    </cfRule>
    <cfRule type="expression" dxfId="8087" priority="1253">
      <formula>AND(IF($Q317=3,1,0),IF($X317&lt;30,1,0))</formula>
    </cfRule>
    <cfRule type="expression" dxfId="8086" priority="1254">
      <formula>AND(IF($Q317=3,1,IF($Q317=4,1,0)),IF($F317&lt;=85,1,0))</formula>
    </cfRule>
  </conditionalFormatting>
  <conditionalFormatting sqref="X317">
    <cfRule type="expression" dxfId="8085" priority="1247">
      <formula>AND(IF(OR($Q317=1,$Q317=2),1,0),IF($X317&lt;=20,1,0))</formula>
    </cfRule>
    <cfRule type="expression" dxfId="8084" priority="1248">
      <formula>AND(IF($Q317=2,1,0),IF($X317&lt;30,1,0))</formula>
    </cfRule>
    <cfRule type="expression" dxfId="8083" priority="1249">
      <formula>AND(IF($Q317=3,1,0),IF($X317&lt;30,1,0))</formula>
    </cfRule>
    <cfRule type="expression" dxfId="8082" priority="1250">
      <formula>AND(IF($Q317=3,1,IF($Q317=4,1,0)),IF($F317&lt;=85,1,0))</formula>
    </cfRule>
  </conditionalFormatting>
  <conditionalFormatting sqref="AI317">
    <cfRule type="expression" dxfId="8081" priority="1243">
      <formula>AND(IF(OR($Q317=1,$Q317=2),1,0),IF($X317&lt;=20,1,0))</formula>
    </cfRule>
    <cfRule type="expression" dxfId="8080" priority="1244">
      <formula>AND(IF($Q317=2,1,0),IF($X317&lt;30,1,0))</formula>
    </cfRule>
    <cfRule type="expression" dxfId="8079" priority="1245">
      <formula>AND(IF($Q317=3,1,0),IF($X317&lt;30,1,0))</formula>
    </cfRule>
    <cfRule type="expression" dxfId="8078" priority="1246">
      <formula>AND(IF($Q317=3,1,IF($Q317=4,1,0)),IF($F317&lt;=85,1,0))</formula>
    </cfRule>
  </conditionalFormatting>
  <conditionalFormatting sqref="AV318">
    <cfRule type="expression" dxfId="8077" priority="1241">
      <formula>AV318="X"</formula>
    </cfRule>
    <cfRule type="expression" dxfId="8076" priority="1242">
      <formula>AV318="후보"</formula>
    </cfRule>
  </conditionalFormatting>
  <conditionalFormatting sqref="AC318">
    <cfRule type="cellIs" dxfId="8075" priority="1239" operator="greaterThan">
      <formula>0.9</formula>
    </cfRule>
    <cfRule type="cellIs" dxfId="8074" priority="1240" operator="greaterThan">
      <formula>0.85</formula>
    </cfRule>
  </conditionalFormatting>
  <conditionalFormatting sqref="N318">
    <cfRule type="cellIs" dxfId="8073" priority="1237" operator="greaterThan">
      <formula>0.9</formula>
    </cfRule>
    <cfRule type="cellIs" dxfId="8072" priority="1238" operator="greaterThan">
      <formula>0.85</formula>
    </cfRule>
  </conditionalFormatting>
  <conditionalFormatting sqref="E318">
    <cfRule type="expression" dxfId="8071" priority="1233">
      <formula>AND(IF(OR($Q318=1,$Q318=2),1,0),IF($X318&lt;=20,1,0))</formula>
    </cfRule>
    <cfRule type="expression" dxfId="8070" priority="1234">
      <formula>AND(IF($Q318=2,1,0),IF($X318&lt;30,1,0))</formula>
    </cfRule>
    <cfRule type="expression" dxfId="8069" priority="1235">
      <formula>AND(IF($Q318=3,1,0),IF($X318&lt;30,1,0))</formula>
    </cfRule>
    <cfRule type="expression" dxfId="8068" priority="1236">
      <formula>AND(IF($Q318=3,1,IF($Q318=4,1,0)),IF($F318&lt;=85,1,0))</formula>
    </cfRule>
  </conditionalFormatting>
  <conditionalFormatting sqref="X318">
    <cfRule type="expression" dxfId="8067" priority="1229">
      <formula>AND(IF(OR($Q318=1,$Q318=2),1,0),IF($X318&lt;=20,1,0))</formula>
    </cfRule>
    <cfRule type="expression" dxfId="8066" priority="1230">
      <formula>AND(IF($Q318=2,1,0),IF($X318&lt;30,1,0))</formula>
    </cfRule>
    <cfRule type="expression" dxfId="8065" priority="1231">
      <formula>AND(IF($Q318=3,1,0),IF($X318&lt;30,1,0))</formula>
    </cfRule>
    <cfRule type="expression" dxfId="8064" priority="1232">
      <formula>AND(IF($Q318=3,1,IF($Q318=4,1,0)),IF($F318&lt;=85,1,0))</formula>
    </cfRule>
  </conditionalFormatting>
  <conditionalFormatting sqref="AI318">
    <cfRule type="expression" dxfId="8063" priority="1225">
      <formula>AND(IF(OR($Q318=1,$Q318=2),1,0),IF($X318&lt;=20,1,0))</formula>
    </cfRule>
    <cfRule type="expression" dxfId="8062" priority="1226">
      <formula>AND(IF($Q318=2,1,0),IF($X318&lt;30,1,0))</formula>
    </cfRule>
    <cfRule type="expression" dxfId="8061" priority="1227">
      <formula>AND(IF($Q318=3,1,0),IF($X318&lt;30,1,0))</formula>
    </cfRule>
    <cfRule type="expression" dxfId="8060" priority="1228">
      <formula>AND(IF($Q318=3,1,IF($Q318=4,1,0)),IF($F318&lt;=85,1,0))</formula>
    </cfRule>
  </conditionalFormatting>
  <conditionalFormatting sqref="AV319">
    <cfRule type="expression" dxfId="8059" priority="1223">
      <formula>AV319="X"</formula>
    </cfRule>
    <cfRule type="expression" dxfId="8058" priority="1224">
      <formula>AV319="후보"</formula>
    </cfRule>
  </conditionalFormatting>
  <conditionalFormatting sqref="AC319">
    <cfRule type="cellIs" dxfId="8057" priority="1221" operator="greaterThan">
      <formula>0.9</formula>
    </cfRule>
    <cfRule type="cellIs" dxfId="8056" priority="1222" operator="greaterThan">
      <formula>0.85</formula>
    </cfRule>
  </conditionalFormatting>
  <conditionalFormatting sqref="N319">
    <cfRule type="cellIs" dxfId="8055" priority="1219" operator="greaterThan">
      <formula>0.9</formula>
    </cfRule>
    <cfRule type="cellIs" dxfId="8054" priority="1220" operator="greaterThan">
      <formula>0.85</formula>
    </cfRule>
  </conditionalFormatting>
  <conditionalFormatting sqref="E319">
    <cfRule type="expression" dxfId="8053" priority="1215">
      <formula>AND(IF(OR($Q319=1,$Q319=2),1,0),IF($X319&lt;=20,1,0))</formula>
    </cfRule>
    <cfRule type="expression" dxfId="8052" priority="1216">
      <formula>AND(IF($Q319=2,1,0),IF($X319&lt;30,1,0))</formula>
    </cfRule>
    <cfRule type="expression" dxfId="8051" priority="1217">
      <formula>AND(IF($Q319=3,1,0),IF($X319&lt;30,1,0))</formula>
    </cfRule>
    <cfRule type="expression" dxfId="8050" priority="1218">
      <formula>AND(IF($Q319=3,1,IF($Q319=4,1,0)),IF($F319&lt;=85,1,0))</formula>
    </cfRule>
  </conditionalFormatting>
  <conditionalFormatting sqref="X319">
    <cfRule type="expression" dxfId="8049" priority="1211">
      <formula>AND(IF(OR($Q319=1,$Q319=2),1,0),IF($X319&lt;=20,1,0))</formula>
    </cfRule>
    <cfRule type="expression" dxfId="8048" priority="1212">
      <formula>AND(IF($Q319=2,1,0),IF($X319&lt;30,1,0))</formula>
    </cfRule>
    <cfRule type="expression" dxfId="8047" priority="1213">
      <formula>AND(IF($Q319=3,1,0),IF($X319&lt;30,1,0))</formula>
    </cfRule>
    <cfRule type="expression" dxfId="8046" priority="1214">
      <formula>AND(IF($Q319=3,1,IF($Q319=4,1,0)),IF($F319&lt;=85,1,0))</formula>
    </cfRule>
  </conditionalFormatting>
  <conditionalFormatting sqref="AI319">
    <cfRule type="expression" dxfId="8045" priority="1207">
      <formula>AND(IF(OR($Q319=1,$Q319=2),1,0),IF($X319&lt;=20,1,0))</formula>
    </cfRule>
    <cfRule type="expression" dxfId="8044" priority="1208">
      <formula>AND(IF($Q319=2,1,0),IF($X319&lt;30,1,0))</formula>
    </cfRule>
    <cfRule type="expression" dxfId="8043" priority="1209">
      <formula>AND(IF($Q319=3,1,0),IF($X319&lt;30,1,0))</formula>
    </cfRule>
    <cfRule type="expression" dxfId="8042" priority="1210">
      <formula>AND(IF($Q319=3,1,IF($Q319=4,1,0)),IF($F319&lt;=85,1,0))</formula>
    </cfRule>
  </conditionalFormatting>
  <conditionalFormatting sqref="AV320">
    <cfRule type="expression" dxfId="8041" priority="1205">
      <formula>AV320="X"</formula>
    </cfRule>
    <cfRule type="expression" dxfId="8040" priority="1206">
      <formula>AV320="후보"</formula>
    </cfRule>
  </conditionalFormatting>
  <conditionalFormatting sqref="AC320">
    <cfRule type="cellIs" dxfId="8039" priority="1203" operator="greaterThan">
      <formula>0.9</formula>
    </cfRule>
    <cfRule type="cellIs" dxfId="8038" priority="1204" operator="greaterThan">
      <formula>0.85</formula>
    </cfRule>
  </conditionalFormatting>
  <conditionalFormatting sqref="N320">
    <cfRule type="cellIs" dxfId="8037" priority="1201" operator="greaterThan">
      <formula>0.9</formula>
    </cfRule>
    <cfRule type="cellIs" dxfId="8036" priority="1202" operator="greaterThan">
      <formula>0.85</formula>
    </cfRule>
  </conditionalFormatting>
  <conditionalFormatting sqref="E320">
    <cfRule type="expression" dxfId="8035" priority="1197">
      <formula>AND(IF(OR($Q320=1,$Q320=2),1,0),IF($X320&lt;=20,1,0))</formula>
    </cfRule>
    <cfRule type="expression" dxfId="8034" priority="1198">
      <formula>AND(IF($Q320=2,1,0),IF($X320&lt;30,1,0))</formula>
    </cfRule>
    <cfRule type="expression" dxfId="8033" priority="1199">
      <formula>AND(IF($Q320=3,1,0),IF($X320&lt;30,1,0))</formula>
    </cfRule>
    <cfRule type="expression" dxfId="8032" priority="1200">
      <formula>AND(IF($Q320=3,1,IF($Q320=4,1,0)),IF($F320&lt;=85,1,0))</formula>
    </cfRule>
  </conditionalFormatting>
  <conditionalFormatting sqref="X320">
    <cfRule type="expression" dxfId="8031" priority="1193">
      <formula>AND(IF(OR($Q320=1,$Q320=2),1,0),IF($X320&lt;=20,1,0))</formula>
    </cfRule>
    <cfRule type="expression" dxfId="8030" priority="1194">
      <formula>AND(IF($Q320=2,1,0),IF($X320&lt;30,1,0))</formula>
    </cfRule>
    <cfRule type="expression" dxfId="8029" priority="1195">
      <formula>AND(IF($Q320=3,1,0),IF($X320&lt;30,1,0))</formula>
    </cfRule>
    <cfRule type="expression" dxfId="8028" priority="1196">
      <formula>AND(IF($Q320=3,1,IF($Q320=4,1,0)),IF($F320&lt;=85,1,0))</formula>
    </cfRule>
  </conditionalFormatting>
  <conditionalFormatting sqref="AI320">
    <cfRule type="expression" dxfId="8027" priority="1189">
      <formula>AND(IF(OR($Q320=1,$Q320=2),1,0),IF($X320&lt;=20,1,0))</formula>
    </cfRule>
    <cfRule type="expression" dxfId="8026" priority="1190">
      <formula>AND(IF($Q320=2,1,0),IF($X320&lt;30,1,0))</formula>
    </cfRule>
    <cfRule type="expression" dxfId="8025" priority="1191">
      <formula>AND(IF($Q320=3,1,0),IF($X320&lt;30,1,0))</formula>
    </cfRule>
    <cfRule type="expression" dxfId="8024" priority="1192">
      <formula>AND(IF($Q320=3,1,IF($Q320=4,1,0)),IF($F320&lt;=85,1,0))</formula>
    </cfRule>
  </conditionalFormatting>
  <conditionalFormatting sqref="AV321">
    <cfRule type="expression" dxfId="8023" priority="1187">
      <formula>AV321="X"</formula>
    </cfRule>
    <cfRule type="expression" dxfId="8022" priority="1188">
      <formula>AV321="후보"</formula>
    </cfRule>
  </conditionalFormatting>
  <conditionalFormatting sqref="AC321">
    <cfRule type="cellIs" dxfId="8021" priority="1185" operator="greaterThan">
      <formula>0.9</formula>
    </cfRule>
    <cfRule type="cellIs" dxfId="8020" priority="1186" operator="greaterThan">
      <formula>0.85</formula>
    </cfRule>
  </conditionalFormatting>
  <conditionalFormatting sqref="N321">
    <cfRule type="cellIs" dxfId="8019" priority="1183" operator="greaterThan">
      <formula>0.9</formula>
    </cfRule>
    <cfRule type="cellIs" dxfId="8018" priority="1184" operator="greaterThan">
      <formula>0.85</formula>
    </cfRule>
  </conditionalFormatting>
  <conditionalFormatting sqref="E321">
    <cfRule type="expression" dxfId="8017" priority="1179">
      <formula>AND(IF(OR($Q321=1,$Q321=2),1,0),IF($X321&lt;=20,1,0))</formula>
    </cfRule>
    <cfRule type="expression" dxfId="8016" priority="1180">
      <formula>AND(IF($Q321=2,1,0),IF($X321&lt;30,1,0))</formula>
    </cfRule>
    <cfRule type="expression" dxfId="8015" priority="1181">
      <formula>AND(IF($Q321=3,1,0),IF($X321&lt;30,1,0))</formula>
    </cfRule>
    <cfRule type="expression" dxfId="8014" priority="1182">
      <formula>AND(IF($Q321=3,1,IF($Q321=4,1,0)),IF($F321&lt;=85,1,0))</formula>
    </cfRule>
  </conditionalFormatting>
  <conditionalFormatting sqref="X321">
    <cfRule type="expression" dxfId="8013" priority="1175">
      <formula>AND(IF(OR($Q321=1,$Q321=2),1,0),IF($X321&lt;=20,1,0))</formula>
    </cfRule>
    <cfRule type="expression" dxfId="8012" priority="1176">
      <formula>AND(IF($Q321=2,1,0),IF($X321&lt;30,1,0))</formula>
    </cfRule>
    <cfRule type="expression" dxfId="8011" priority="1177">
      <formula>AND(IF($Q321=3,1,0),IF($X321&lt;30,1,0))</formula>
    </cfRule>
    <cfRule type="expression" dxfId="8010" priority="1178">
      <formula>AND(IF($Q321=3,1,IF($Q321=4,1,0)),IF($F321&lt;=85,1,0))</formula>
    </cfRule>
  </conditionalFormatting>
  <conditionalFormatting sqref="AI321">
    <cfRule type="expression" dxfId="8009" priority="1171">
      <formula>AND(IF(OR($Q321=1,$Q321=2),1,0),IF($X321&lt;=20,1,0))</formula>
    </cfRule>
    <cfRule type="expression" dxfId="8008" priority="1172">
      <formula>AND(IF($Q321=2,1,0),IF($X321&lt;30,1,0))</formula>
    </cfRule>
    <cfRule type="expression" dxfId="8007" priority="1173">
      <formula>AND(IF($Q321=3,1,0),IF($X321&lt;30,1,0))</formula>
    </cfRule>
    <cfRule type="expression" dxfId="8006" priority="1174">
      <formula>AND(IF($Q321=3,1,IF($Q321=4,1,0)),IF($F321&lt;=85,1,0))</formula>
    </cfRule>
  </conditionalFormatting>
  <conditionalFormatting sqref="AV322">
    <cfRule type="expression" dxfId="8005" priority="1169">
      <formula>AV322="X"</formula>
    </cfRule>
    <cfRule type="expression" dxfId="8004" priority="1170">
      <formula>AV322="후보"</formula>
    </cfRule>
  </conditionalFormatting>
  <conditionalFormatting sqref="AC322">
    <cfRule type="cellIs" dxfId="8003" priority="1167" operator="greaterThan">
      <formula>0.9</formula>
    </cfRule>
    <cfRule type="cellIs" dxfId="8002" priority="1168" operator="greaterThan">
      <formula>0.85</formula>
    </cfRule>
  </conditionalFormatting>
  <conditionalFormatting sqref="N322">
    <cfRule type="cellIs" dxfId="8001" priority="1165" operator="greaterThan">
      <formula>0.9</formula>
    </cfRule>
    <cfRule type="cellIs" dxfId="8000" priority="1166" operator="greaterThan">
      <formula>0.85</formula>
    </cfRule>
  </conditionalFormatting>
  <conditionalFormatting sqref="E322">
    <cfRule type="expression" dxfId="7999" priority="1161">
      <formula>AND(IF(OR($Q322=1,$Q322=2),1,0),IF($X322&lt;=20,1,0))</formula>
    </cfRule>
    <cfRule type="expression" dxfId="7998" priority="1162">
      <formula>AND(IF($Q322=2,1,0),IF($X322&lt;30,1,0))</formula>
    </cfRule>
    <cfRule type="expression" dxfId="7997" priority="1163">
      <formula>AND(IF($Q322=3,1,0),IF($X322&lt;30,1,0))</formula>
    </cfRule>
    <cfRule type="expression" dxfId="7996" priority="1164">
      <formula>AND(IF($Q322=3,1,IF($Q322=4,1,0)),IF($F322&lt;=85,1,0))</formula>
    </cfRule>
  </conditionalFormatting>
  <conditionalFormatting sqref="X322">
    <cfRule type="expression" dxfId="7995" priority="1157">
      <formula>AND(IF(OR($Q322=1,$Q322=2),1,0),IF($X322&lt;=20,1,0))</formula>
    </cfRule>
    <cfRule type="expression" dxfId="7994" priority="1158">
      <formula>AND(IF($Q322=2,1,0),IF($X322&lt;30,1,0))</formula>
    </cfRule>
    <cfRule type="expression" dxfId="7993" priority="1159">
      <formula>AND(IF($Q322=3,1,0),IF($X322&lt;30,1,0))</formula>
    </cfRule>
    <cfRule type="expression" dxfId="7992" priority="1160">
      <formula>AND(IF($Q322=3,1,IF($Q322=4,1,0)),IF($F322&lt;=85,1,0))</formula>
    </cfRule>
  </conditionalFormatting>
  <conditionalFormatting sqref="AI322">
    <cfRule type="expression" dxfId="7991" priority="1153">
      <formula>AND(IF(OR($Q322=1,$Q322=2),1,0),IF($X322&lt;=20,1,0))</formula>
    </cfRule>
    <cfRule type="expression" dxfId="7990" priority="1154">
      <formula>AND(IF($Q322=2,1,0),IF($X322&lt;30,1,0))</formula>
    </cfRule>
    <cfRule type="expression" dxfId="7989" priority="1155">
      <formula>AND(IF($Q322=3,1,0),IF($X322&lt;30,1,0))</formula>
    </cfRule>
    <cfRule type="expression" dxfId="7988" priority="1156">
      <formula>AND(IF($Q322=3,1,IF($Q322=4,1,0)),IF($F322&lt;=85,1,0))</formula>
    </cfRule>
  </conditionalFormatting>
  <conditionalFormatting sqref="AV323">
    <cfRule type="expression" dxfId="7987" priority="1151">
      <formula>AV323="X"</formula>
    </cfRule>
    <cfRule type="expression" dxfId="7986" priority="1152">
      <formula>AV323="후보"</formula>
    </cfRule>
  </conditionalFormatting>
  <conditionalFormatting sqref="AC323">
    <cfRule type="cellIs" dxfId="7985" priority="1149" operator="greaterThan">
      <formula>0.9</formula>
    </cfRule>
    <cfRule type="cellIs" dxfId="7984" priority="1150" operator="greaterThan">
      <formula>0.85</formula>
    </cfRule>
  </conditionalFormatting>
  <conditionalFormatting sqref="N323">
    <cfRule type="cellIs" dxfId="7983" priority="1147" operator="greaterThan">
      <formula>0.9</formula>
    </cfRule>
    <cfRule type="cellIs" dxfId="7982" priority="1148" operator="greaterThan">
      <formula>0.85</formula>
    </cfRule>
  </conditionalFormatting>
  <conditionalFormatting sqref="E323">
    <cfRule type="expression" dxfId="7981" priority="1143">
      <formula>AND(IF(OR($Q323=1,$Q323=2),1,0),IF($X323&lt;=20,1,0))</formula>
    </cfRule>
    <cfRule type="expression" dxfId="7980" priority="1144">
      <formula>AND(IF($Q323=2,1,0),IF($X323&lt;30,1,0))</formula>
    </cfRule>
    <cfRule type="expression" dxfId="7979" priority="1145">
      <formula>AND(IF($Q323=3,1,0),IF($X323&lt;30,1,0))</formula>
    </cfRule>
    <cfRule type="expression" dxfId="7978" priority="1146">
      <formula>AND(IF($Q323=3,1,IF($Q323=4,1,0)),IF($F323&lt;=85,1,0))</formula>
    </cfRule>
  </conditionalFormatting>
  <conditionalFormatting sqref="X323">
    <cfRule type="expression" dxfId="7977" priority="1139">
      <formula>AND(IF(OR($Q323=1,$Q323=2),1,0),IF($X323&lt;=20,1,0))</formula>
    </cfRule>
    <cfRule type="expression" dxfId="7976" priority="1140">
      <formula>AND(IF($Q323=2,1,0),IF($X323&lt;30,1,0))</formula>
    </cfRule>
    <cfRule type="expression" dxfId="7975" priority="1141">
      <formula>AND(IF($Q323=3,1,0),IF($X323&lt;30,1,0))</formula>
    </cfRule>
    <cfRule type="expression" dxfId="7974" priority="1142">
      <formula>AND(IF($Q323=3,1,IF($Q323=4,1,0)),IF($F323&lt;=85,1,0))</formula>
    </cfRule>
  </conditionalFormatting>
  <conditionalFormatting sqref="AI323">
    <cfRule type="expression" dxfId="7973" priority="1135">
      <formula>AND(IF(OR($Q323=1,$Q323=2),1,0),IF($X323&lt;=20,1,0))</formula>
    </cfRule>
    <cfRule type="expression" dxfId="7972" priority="1136">
      <formula>AND(IF($Q323=2,1,0),IF($X323&lt;30,1,0))</formula>
    </cfRule>
    <cfRule type="expression" dxfId="7971" priority="1137">
      <formula>AND(IF($Q323=3,1,0),IF($X323&lt;30,1,0))</formula>
    </cfRule>
    <cfRule type="expression" dxfId="7970" priority="1138">
      <formula>AND(IF($Q323=3,1,IF($Q323=4,1,0)),IF($F323&lt;=85,1,0))</formula>
    </cfRule>
  </conditionalFormatting>
  <conditionalFormatting sqref="AV324">
    <cfRule type="expression" dxfId="7969" priority="1133">
      <formula>AV324="X"</formula>
    </cfRule>
    <cfRule type="expression" dxfId="7968" priority="1134">
      <formula>AV324="후보"</formula>
    </cfRule>
  </conditionalFormatting>
  <conditionalFormatting sqref="AC324">
    <cfRule type="cellIs" dxfId="7967" priority="1131" operator="greaterThan">
      <formula>0.9</formula>
    </cfRule>
    <cfRule type="cellIs" dxfId="7966" priority="1132" operator="greaterThan">
      <formula>0.85</formula>
    </cfRule>
  </conditionalFormatting>
  <conditionalFormatting sqref="N324">
    <cfRule type="cellIs" dxfId="7965" priority="1129" operator="greaterThan">
      <formula>0.9</formula>
    </cfRule>
    <cfRule type="cellIs" dxfId="7964" priority="1130" operator="greaterThan">
      <formula>0.85</formula>
    </cfRule>
  </conditionalFormatting>
  <conditionalFormatting sqref="E324">
    <cfRule type="expression" dxfId="7963" priority="1125">
      <formula>AND(IF(OR($Q324=1,$Q324=2),1,0),IF($X324&lt;=20,1,0))</formula>
    </cfRule>
    <cfRule type="expression" dxfId="7962" priority="1126">
      <formula>AND(IF($Q324=2,1,0),IF($X324&lt;30,1,0))</formula>
    </cfRule>
    <cfRule type="expression" dxfId="7961" priority="1127">
      <formula>AND(IF($Q324=3,1,0),IF($X324&lt;30,1,0))</formula>
    </cfRule>
    <cfRule type="expression" dxfId="7960" priority="1128">
      <formula>AND(IF($Q324=3,1,IF($Q324=4,1,0)),IF($F324&lt;=85,1,0))</formula>
    </cfRule>
  </conditionalFormatting>
  <conditionalFormatting sqref="X324">
    <cfRule type="expression" dxfId="7959" priority="1121">
      <formula>AND(IF(OR($Q324=1,$Q324=2),1,0),IF($X324&lt;=20,1,0))</formula>
    </cfRule>
    <cfRule type="expression" dxfId="7958" priority="1122">
      <formula>AND(IF($Q324=2,1,0),IF($X324&lt;30,1,0))</formula>
    </cfRule>
    <cfRule type="expression" dxfId="7957" priority="1123">
      <formula>AND(IF($Q324=3,1,0),IF($X324&lt;30,1,0))</formula>
    </cfRule>
    <cfRule type="expression" dxfId="7956" priority="1124">
      <formula>AND(IF($Q324=3,1,IF($Q324=4,1,0)),IF($F324&lt;=85,1,0))</formula>
    </cfRule>
  </conditionalFormatting>
  <conditionalFormatting sqref="AI324">
    <cfRule type="expression" dxfId="7955" priority="1117">
      <formula>AND(IF(OR($Q324=1,$Q324=2),1,0),IF($X324&lt;=20,1,0))</formula>
    </cfRule>
    <cfRule type="expression" dxfId="7954" priority="1118">
      <formula>AND(IF($Q324=2,1,0),IF($X324&lt;30,1,0))</formula>
    </cfRule>
    <cfRule type="expression" dxfId="7953" priority="1119">
      <formula>AND(IF($Q324=3,1,0),IF($X324&lt;30,1,0))</formula>
    </cfRule>
    <cfRule type="expression" dxfId="7952" priority="1120">
      <formula>AND(IF($Q324=3,1,IF($Q324=4,1,0)),IF($F324&lt;=85,1,0))</formula>
    </cfRule>
  </conditionalFormatting>
  <conditionalFormatting sqref="AV325">
    <cfRule type="expression" dxfId="7951" priority="1115">
      <formula>AV325="X"</formula>
    </cfRule>
    <cfRule type="expression" dxfId="7950" priority="1116">
      <formula>AV325="후보"</formula>
    </cfRule>
  </conditionalFormatting>
  <conditionalFormatting sqref="AC325">
    <cfRule type="cellIs" dxfId="7949" priority="1113" operator="greaterThan">
      <formula>0.9</formula>
    </cfRule>
    <cfRule type="cellIs" dxfId="7948" priority="1114" operator="greaterThan">
      <formula>0.85</formula>
    </cfRule>
  </conditionalFormatting>
  <conditionalFormatting sqref="N325">
    <cfRule type="cellIs" dxfId="7947" priority="1111" operator="greaterThan">
      <formula>0.9</formula>
    </cfRule>
    <cfRule type="cellIs" dxfId="7946" priority="1112" operator="greaterThan">
      <formula>0.85</formula>
    </cfRule>
  </conditionalFormatting>
  <conditionalFormatting sqref="E325">
    <cfRule type="expression" dxfId="7945" priority="1107">
      <formula>AND(IF(OR($Q325=1,$Q325=2),1,0),IF($X325&lt;=20,1,0))</formula>
    </cfRule>
    <cfRule type="expression" dxfId="7944" priority="1108">
      <formula>AND(IF($Q325=2,1,0),IF($X325&lt;30,1,0))</formula>
    </cfRule>
    <cfRule type="expression" dxfId="7943" priority="1109">
      <formula>AND(IF($Q325=3,1,0),IF($X325&lt;30,1,0))</formula>
    </cfRule>
    <cfRule type="expression" dxfId="7942" priority="1110">
      <formula>AND(IF($Q325=3,1,IF($Q325=4,1,0)),IF($F325&lt;=85,1,0))</formula>
    </cfRule>
  </conditionalFormatting>
  <conditionalFormatting sqref="X325">
    <cfRule type="expression" dxfId="7941" priority="1103">
      <formula>AND(IF(OR($Q325=1,$Q325=2),1,0),IF($X325&lt;=20,1,0))</formula>
    </cfRule>
    <cfRule type="expression" dxfId="7940" priority="1104">
      <formula>AND(IF($Q325=2,1,0),IF($X325&lt;30,1,0))</formula>
    </cfRule>
    <cfRule type="expression" dxfId="7939" priority="1105">
      <formula>AND(IF($Q325=3,1,0),IF($X325&lt;30,1,0))</formula>
    </cfRule>
    <cfRule type="expression" dxfId="7938" priority="1106">
      <formula>AND(IF($Q325=3,1,IF($Q325=4,1,0)),IF($F325&lt;=85,1,0))</formula>
    </cfRule>
  </conditionalFormatting>
  <conditionalFormatting sqref="AI325">
    <cfRule type="expression" dxfId="7937" priority="1099">
      <formula>AND(IF(OR($Q325=1,$Q325=2),1,0),IF($X325&lt;=20,1,0))</formula>
    </cfRule>
    <cfRule type="expression" dxfId="7936" priority="1100">
      <formula>AND(IF($Q325=2,1,0),IF($X325&lt;30,1,0))</formula>
    </cfRule>
    <cfRule type="expression" dxfId="7935" priority="1101">
      <formula>AND(IF($Q325=3,1,0),IF($X325&lt;30,1,0))</formula>
    </cfRule>
    <cfRule type="expression" dxfId="7934" priority="1102">
      <formula>AND(IF($Q325=3,1,IF($Q325=4,1,0)),IF($F325&lt;=85,1,0))</formula>
    </cfRule>
  </conditionalFormatting>
  <conditionalFormatting sqref="AV326">
    <cfRule type="expression" dxfId="7933" priority="1097">
      <formula>AV326="X"</formula>
    </cfRule>
    <cfRule type="expression" dxfId="7932" priority="1098">
      <formula>AV326="후보"</formula>
    </cfRule>
  </conditionalFormatting>
  <conditionalFormatting sqref="AC326">
    <cfRule type="cellIs" dxfId="7931" priority="1095" operator="greaterThan">
      <formula>0.9</formula>
    </cfRule>
    <cfRule type="cellIs" dxfId="7930" priority="1096" operator="greaterThan">
      <formula>0.85</formula>
    </cfRule>
  </conditionalFormatting>
  <conditionalFormatting sqref="N326">
    <cfRule type="cellIs" dxfId="7929" priority="1093" operator="greaterThan">
      <formula>0.9</formula>
    </cfRule>
    <cfRule type="cellIs" dxfId="7928" priority="1094" operator="greaterThan">
      <formula>0.85</formula>
    </cfRule>
  </conditionalFormatting>
  <conditionalFormatting sqref="E326">
    <cfRule type="expression" dxfId="7927" priority="1089">
      <formula>AND(IF(OR($Q326=1,$Q326=2),1,0),IF($X326&lt;=20,1,0))</formula>
    </cfRule>
    <cfRule type="expression" dxfId="7926" priority="1090">
      <formula>AND(IF($Q326=2,1,0),IF($X326&lt;30,1,0))</formula>
    </cfRule>
    <cfRule type="expression" dxfId="7925" priority="1091">
      <formula>AND(IF($Q326=3,1,0),IF($X326&lt;30,1,0))</formula>
    </cfRule>
    <cfRule type="expression" dxfId="7924" priority="1092">
      <formula>AND(IF($Q326=3,1,IF($Q326=4,1,0)),IF($F326&lt;=85,1,0))</formula>
    </cfRule>
  </conditionalFormatting>
  <conditionalFormatting sqref="X326">
    <cfRule type="expression" dxfId="7923" priority="1085">
      <formula>AND(IF(OR($Q326=1,$Q326=2),1,0),IF($X326&lt;=20,1,0))</formula>
    </cfRule>
    <cfRule type="expression" dxfId="7922" priority="1086">
      <formula>AND(IF($Q326=2,1,0),IF($X326&lt;30,1,0))</formula>
    </cfRule>
    <cfRule type="expression" dxfId="7921" priority="1087">
      <formula>AND(IF($Q326=3,1,0),IF($X326&lt;30,1,0))</formula>
    </cfRule>
    <cfRule type="expression" dxfId="7920" priority="1088">
      <formula>AND(IF($Q326=3,1,IF($Q326=4,1,0)),IF($F326&lt;=85,1,0))</formula>
    </cfRule>
  </conditionalFormatting>
  <conditionalFormatting sqref="AI326">
    <cfRule type="expression" dxfId="7919" priority="1081">
      <formula>AND(IF(OR($Q326=1,$Q326=2),1,0),IF($X326&lt;=20,1,0))</formula>
    </cfRule>
    <cfRule type="expression" dxfId="7918" priority="1082">
      <formula>AND(IF($Q326=2,1,0),IF($X326&lt;30,1,0))</formula>
    </cfRule>
    <cfRule type="expression" dxfId="7917" priority="1083">
      <formula>AND(IF($Q326=3,1,0),IF($X326&lt;30,1,0))</formula>
    </cfRule>
    <cfRule type="expression" dxfId="7916" priority="1084">
      <formula>AND(IF($Q326=3,1,IF($Q326=4,1,0)),IF($F326&lt;=85,1,0))</formula>
    </cfRule>
  </conditionalFormatting>
  <conditionalFormatting sqref="AV327">
    <cfRule type="expression" dxfId="7915" priority="1079">
      <formula>AV327="X"</formula>
    </cfRule>
    <cfRule type="expression" dxfId="7914" priority="1080">
      <formula>AV327="후보"</formula>
    </cfRule>
  </conditionalFormatting>
  <conditionalFormatting sqref="AC327">
    <cfRule type="cellIs" dxfId="7913" priority="1077" operator="greaterThan">
      <formula>0.9</formula>
    </cfRule>
    <cfRule type="cellIs" dxfId="7912" priority="1078" operator="greaterThan">
      <formula>0.85</formula>
    </cfRule>
  </conditionalFormatting>
  <conditionalFormatting sqref="N327">
    <cfRule type="cellIs" dxfId="7911" priority="1075" operator="greaterThan">
      <formula>0.9</formula>
    </cfRule>
    <cfRule type="cellIs" dxfId="7910" priority="1076" operator="greaterThan">
      <formula>0.85</formula>
    </cfRule>
  </conditionalFormatting>
  <conditionalFormatting sqref="E327">
    <cfRule type="expression" dxfId="7909" priority="1071">
      <formula>AND(IF(OR($Q327=1,$Q327=2),1,0),IF($X327&lt;=20,1,0))</formula>
    </cfRule>
    <cfRule type="expression" dxfId="7908" priority="1072">
      <formula>AND(IF($Q327=2,1,0),IF($X327&lt;30,1,0))</formula>
    </cfRule>
    <cfRule type="expression" dxfId="7907" priority="1073">
      <formula>AND(IF($Q327=3,1,0),IF($X327&lt;30,1,0))</formula>
    </cfRule>
    <cfRule type="expression" dxfId="7906" priority="1074">
      <formula>AND(IF($Q327=3,1,IF($Q327=4,1,0)),IF($F327&lt;=85,1,0))</formula>
    </cfRule>
  </conditionalFormatting>
  <conditionalFormatting sqref="X327">
    <cfRule type="expression" dxfId="7905" priority="1067">
      <formula>AND(IF(OR($Q327=1,$Q327=2),1,0),IF($X327&lt;=20,1,0))</formula>
    </cfRule>
    <cfRule type="expression" dxfId="7904" priority="1068">
      <formula>AND(IF($Q327=2,1,0),IF($X327&lt;30,1,0))</formula>
    </cfRule>
    <cfRule type="expression" dxfId="7903" priority="1069">
      <formula>AND(IF($Q327=3,1,0),IF($X327&lt;30,1,0))</formula>
    </cfRule>
    <cfRule type="expression" dxfId="7902" priority="1070">
      <formula>AND(IF($Q327=3,1,IF($Q327=4,1,0)),IF($F327&lt;=85,1,0))</formula>
    </cfRule>
  </conditionalFormatting>
  <conditionalFormatting sqref="AI327">
    <cfRule type="expression" dxfId="7901" priority="1063">
      <formula>AND(IF(OR($Q327=1,$Q327=2),1,0),IF($X327&lt;=20,1,0))</formula>
    </cfRule>
    <cfRule type="expression" dxfId="7900" priority="1064">
      <formula>AND(IF($Q327=2,1,0),IF($X327&lt;30,1,0))</formula>
    </cfRule>
    <cfRule type="expression" dxfId="7899" priority="1065">
      <formula>AND(IF($Q327=3,1,0),IF($X327&lt;30,1,0))</formula>
    </cfRule>
    <cfRule type="expression" dxfId="7898" priority="1066">
      <formula>AND(IF($Q327=3,1,IF($Q327=4,1,0)),IF($F327&lt;=85,1,0))</formula>
    </cfRule>
  </conditionalFormatting>
  <conditionalFormatting sqref="AV328">
    <cfRule type="expression" dxfId="7897" priority="1061">
      <formula>AV328="X"</formula>
    </cfRule>
    <cfRule type="expression" dxfId="7896" priority="1062">
      <formula>AV328="후보"</formula>
    </cfRule>
  </conditionalFormatting>
  <conditionalFormatting sqref="AC328">
    <cfRule type="cellIs" dxfId="7895" priority="1059" operator="greaterThan">
      <formula>0.9</formula>
    </cfRule>
    <cfRule type="cellIs" dxfId="7894" priority="1060" operator="greaterThan">
      <formula>0.85</formula>
    </cfRule>
  </conditionalFormatting>
  <conditionalFormatting sqref="N328">
    <cfRule type="cellIs" dxfId="7893" priority="1057" operator="greaterThan">
      <formula>0.9</formula>
    </cfRule>
    <cfRule type="cellIs" dxfId="7892" priority="1058" operator="greaterThan">
      <formula>0.85</formula>
    </cfRule>
  </conditionalFormatting>
  <conditionalFormatting sqref="E328">
    <cfRule type="expression" dxfId="7891" priority="1053">
      <formula>AND(IF(OR($Q328=1,$Q328=2),1,0),IF($X328&lt;=20,1,0))</formula>
    </cfRule>
    <cfRule type="expression" dxfId="7890" priority="1054">
      <formula>AND(IF($Q328=2,1,0),IF($X328&lt;30,1,0))</formula>
    </cfRule>
    <cfRule type="expression" dxfId="7889" priority="1055">
      <formula>AND(IF($Q328=3,1,0),IF($X328&lt;30,1,0))</formula>
    </cfRule>
    <cfRule type="expression" dxfId="7888" priority="1056">
      <formula>AND(IF($Q328=3,1,IF($Q328=4,1,0)),IF($F328&lt;=85,1,0))</formula>
    </cfRule>
  </conditionalFormatting>
  <conditionalFormatting sqref="X328">
    <cfRule type="expression" dxfId="7887" priority="1049">
      <formula>AND(IF(OR($Q328=1,$Q328=2),1,0),IF($X328&lt;=20,1,0))</formula>
    </cfRule>
    <cfRule type="expression" dxfId="7886" priority="1050">
      <formula>AND(IF($Q328=2,1,0),IF($X328&lt;30,1,0))</formula>
    </cfRule>
    <cfRule type="expression" dxfId="7885" priority="1051">
      <formula>AND(IF($Q328=3,1,0),IF($X328&lt;30,1,0))</formula>
    </cfRule>
    <cfRule type="expression" dxfId="7884" priority="1052">
      <formula>AND(IF($Q328=3,1,IF($Q328=4,1,0)),IF($F328&lt;=85,1,0))</formula>
    </cfRule>
  </conditionalFormatting>
  <conditionalFormatting sqref="AI328">
    <cfRule type="expression" dxfId="7883" priority="1045">
      <formula>AND(IF(OR($Q328=1,$Q328=2),1,0),IF($X328&lt;=20,1,0))</formula>
    </cfRule>
    <cfRule type="expression" dxfId="7882" priority="1046">
      <formula>AND(IF($Q328=2,1,0),IF($X328&lt;30,1,0))</formula>
    </cfRule>
    <cfRule type="expression" dxfId="7881" priority="1047">
      <formula>AND(IF($Q328=3,1,0),IF($X328&lt;30,1,0))</formula>
    </cfRule>
    <cfRule type="expression" dxfId="7880" priority="1048">
      <formula>AND(IF($Q328=3,1,IF($Q328=4,1,0)),IF($F328&lt;=85,1,0))</formula>
    </cfRule>
  </conditionalFormatting>
  <conditionalFormatting sqref="AV329">
    <cfRule type="expression" dxfId="7879" priority="1043">
      <formula>AV329="X"</formula>
    </cfRule>
    <cfRule type="expression" dxfId="7878" priority="1044">
      <formula>AV329="후보"</formula>
    </cfRule>
  </conditionalFormatting>
  <conditionalFormatting sqref="AC329">
    <cfRule type="cellIs" dxfId="7877" priority="1041" operator="greaterThan">
      <formula>0.9</formula>
    </cfRule>
    <cfRule type="cellIs" dxfId="7876" priority="1042" operator="greaterThan">
      <formula>0.85</formula>
    </cfRule>
  </conditionalFormatting>
  <conditionalFormatting sqref="N329">
    <cfRule type="cellIs" dxfId="7875" priority="1039" operator="greaterThan">
      <formula>0.9</formula>
    </cfRule>
    <cfRule type="cellIs" dxfId="7874" priority="1040" operator="greaterThan">
      <formula>0.85</formula>
    </cfRule>
  </conditionalFormatting>
  <conditionalFormatting sqref="E329">
    <cfRule type="expression" dxfId="7873" priority="1035">
      <formula>AND(IF(OR($Q329=1,$Q329=2),1,0),IF($X329&lt;=20,1,0))</formula>
    </cfRule>
    <cfRule type="expression" dxfId="7872" priority="1036">
      <formula>AND(IF($Q329=2,1,0),IF($X329&lt;30,1,0))</formula>
    </cfRule>
    <cfRule type="expression" dxfId="7871" priority="1037">
      <formula>AND(IF($Q329=3,1,0),IF($X329&lt;30,1,0))</formula>
    </cfRule>
    <cfRule type="expression" dxfId="7870" priority="1038">
      <formula>AND(IF($Q329=3,1,IF($Q329=4,1,0)),IF($F329&lt;=85,1,0))</formula>
    </cfRule>
  </conditionalFormatting>
  <conditionalFormatting sqref="X329">
    <cfRule type="expression" dxfId="7869" priority="1031">
      <formula>AND(IF(OR($Q329=1,$Q329=2),1,0),IF($X329&lt;=20,1,0))</formula>
    </cfRule>
    <cfRule type="expression" dxfId="7868" priority="1032">
      <formula>AND(IF($Q329=2,1,0),IF($X329&lt;30,1,0))</formula>
    </cfRule>
    <cfRule type="expression" dxfId="7867" priority="1033">
      <formula>AND(IF($Q329=3,1,0),IF($X329&lt;30,1,0))</formula>
    </cfRule>
    <cfRule type="expression" dxfId="7866" priority="1034">
      <formula>AND(IF($Q329=3,1,IF($Q329=4,1,0)),IF($F329&lt;=85,1,0))</formula>
    </cfRule>
  </conditionalFormatting>
  <conditionalFormatting sqref="AI329">
    <cfRule type="expression" dxfId="7865" priority="1027">
      <formula>AND(IF(OR($Q329=1,$Q329=2),1,0),IF($X329&lt;=20,1,0))</formula>
    </cfRule>
    <cfRule type="expression" dxfId="7864" priority="1028">
      <formula>AND(IF($Q329=2,1,0),IF($X329&lt;30,1,0))</formula>
    </cfRule>
    <cfRule type="expression" dxfId="7863" priority="1029">
      <formula>AND(IF($Q329=3,1,0),IF($X329&lt;30,1,0))</formula>
    </cfRule>
    <cfRule type="expression" dxfId="7862" priority="1030">
      <formula>AND(IF($Q329=3,1,IF($Q329=4,1,0)),IF($F329&lt;=85,1,0))</formula>
    </cfRule>
  </conditionalFormatting>
  <conditionalFormatting sqref="AV330">
    <cfRule type="expression" dxfId="7861" priority="1025">
      <formula>AV330="X"</formula>
    </cfRule>
    <cfRule type="expression" dxfId="7860" priority="1026">
      <formula>AV330="후보"</formula>
    </cfRule>
  </conditionalFormatting>
  <conditionalFormatting sqref="AC330">
    <cfRule type="cellIs" dxfId="7859" priority="1023" operator="greaterThan">
      <formula>0.9</formula>
    </cfRule>
    <cfRule type="cellIs" dxfId="7858" priority="1024" operator="greaterThan">
      <formula>0.85</formula>
    </cfRule>
  </conditionalFormatting>
  <conditionalFormatting sqref="N330">
    <cfRule type="cellIs" dxfId="7857" priority="1021" operator="greaterThan">
      <formula>0.9</formula>
    </cfRule>
    <cfRule type="cellIs" dxfId="7856" priority="1022" operator="greaterThan">
      <formula>0.85</formula>
    </cfRule>
  </conditionalFormatting>
  <conditionalFormatting sqref="E330">
    <cfRule type="expression" dxfId="7855" priority="1017">
      <formula>AND(IF(OR($Q330=1,$Q330=2),1,0),IF($X330&lt;=20,1,0))</formula>
    </cfRule>
    <cfRule type="expression" dxfId="7854" priority="1018">
      <formula>AND(IF($Q330=2,1,0),IF($X330&lt;30,1,0))</formula>
    </cfRule>
    <cfRule type="expression" dxfId="7853" priority="1019">
      <formula>AND(IF($Q330=3,1,0),IF($X330&lt;30,1,0))</formula>
    </cfRule>
    <cfRule type="expression" dxfId="7852" priority="1020">
      <formula>AND(IF($Q330=3,1,IF($Q330=4,1,0)),IF($F330&lt;=85,1,0))</formula>
    </cfRule>
  </conditionalFormatting>
  <conditionalFormatting sqref="X330">
    <cfRule type="expression" dxfId="7851" priority="1013">
      <formula>AND(IF(OR($Q330=1,$Q330=2),1,0),IF($X330&lt;=20,1,0))</formula>
    </cfRule>
    <cfRule type="expression" dxfId="7850" priority="1014">
      <formula>AND(IF($Q330=2,1,0),IF($X330&lt;30,1,0))</formula>
    </cfRule>
    <cfRule type="expression" dxfId="7849" priority="1015">
      <formula>AND(IF($Q330=3,1,0),IF($X330&lt;30,1,0))</formula>
    </cfRule>
    <cfRule type="expression" dxfId="7848" priority="1016">
      <formula>AND(IF($Q330=3,1,IF($Q330=4,1,0)),IF($F330&lt;=85,1,0))</formula>
    </cfRule>
  </conditionalFormatting>
  <conditionalFormatting sqref="AI330">
    <cfRule type="expression" dxfId="7847" priority="1009">
      <formula>AND(IF(OR($Q330=1,$Q330=2),1,0),IF($X330&lt;=20,1,0))</formula>
    </cfRule>
    <cfRule type="expression" dxfId="7846" priority="1010">
      <formula>AND(IF($Q330=2,1,0),IF($X330&lt;30,1,0))</formula>
    </cfRule>
    <cfRule type="expression" dxfId="7845" priority="1011">
      <formula>AND(IF($Q330=3,1,0),IF($X330&lt;30,1,0))</formula>
    </cfRule>
    <cfRule type="expression" dxfId="7844" priority="1012">
      <formula>AND(IF($Q330=3,1,IF($Q330=4,1,0)),IF($F330&lt;=85,1,0))</formula>
    </cfRule>
  </conditionalFormatting>
  <conditionalFormatting sqref="AV331">
    <cfRule type="expression" dxfId="7843" priority="1007">
      <formula>AV331="X"</formula>
    </cfRule>
    <cfRule type="expression" dxfId="7842" priority="1008">
      <formula>AV331="후보"</formula>
    </cfRule>
  </conditionalFormatting>
  <conditionalFormatting sqref="AC331">
    <cfRule type="cellIs" dxfId="7841" priority="1005" operator="greaterThan">
      <formula>0.9</formula>
    </cfRule>
    <cfRule type="cellIs" dxfId="7840" priority="1006" operator="greaterThan">
      <formula>0.85</formula>
    </cfRule>
  </conditionalFormatting>
  <conditionalFormatting sqref="N331">
    <cfRule type="cellIs" dxfId="7839" priority="1003" operator="greaterThan">
      <formula>0.9</formula>
    </cfRule>
    <cfRule type="cellIs" dxfId="7838" priority="1004" operator="greaterThan">
      <formula>0.85</formula>
    </cfRule>
  </conditionalFormatting>
  <conditionalFormatting sqref="E331">
    <cfRule type="expression" dxfId="7837" priority="999">
      <formula>AND(IF(OR($Q331=1,$Q331=2),1,0),IF($X331&lt;=20,1,0))</formula>
    </cfRule>
    <cfRule type="expression" dxfId="7836" priority="1000">
      <formula>AND(IF($Q331=2,1,0),IF($X331&lt;30,1,0))</formula>
    </cfRule>
    <cfRule type="expression" dxfId="7835" priority="1001">
      <formula>AND(IF($Q331=3,1,0),IF($X331&lt;30,1,0))</formula>
    </cfRule>
    <cfRule type="expression" dxfId="7834" priority="1002">
      <formula>AND(IF($Q331=3,1,IF($Q331=4,1,0)),IF($F331&lt;=85,1,0))</formula>
    </cfRule>
  </conditionalFormatting>
  <conditionalFormatting sqref="X331">
    <cfRule type="expression" dxfId="7833" priority="995">
      <formula>AND(IF(OR($Q331=1,$Q331=2),1,0),IF($X331&lt;=20,1,0))</formula>
    </cfRule>
    <cfRule type="expression" dxfId="7832" priority="996">
      <formula>AND(IF($Q331=2,1,0),IF($X331&lt;30,1,0))</formula>
    </cfRule>
    <cfRule type="expression" dxfId="7831" priority="997">
      <formula>AND(IF($Q331=3,1,0),IF($X331&lt;30,1,0))</formula>
    </cfRule>
    <cfRule type="expression" dxfId="7830" priority="998">
      <formula>AND(IF($Q331=3,1,IF($Q331=4,1,0)),IF($F331&lt;=85,1,0))</formula>
    </cfRule>
  </conditionalFormatting>
  <conditionalFormatting sqref="AI331">
    <cfRule type="expression" dxfId="7829" priority="991">
      <formula>AND(IF(OR($Q331=1,$Q331=2),1,0),IF($X331&lt;=20,1,0))</formula>
    </cfRule>
    <cfRule type="expression" dxfId="7828" priority="992">
      <formula>AND(IF($Q331=2,1,0),IF($X331&lt;30,1,0))</formula>
    </cfRule>
    <cfRule type="expression" dxfId="7827" priority="993">
      <formula>AND(IF($Q331=3,1,0),IF($X331&lt;30,1,0))</formula>
    </cfRule>
    <cfRule type="expression" dxfId="7826" priority="994">
      <formula>AND(IF($Q331=3,1,IF($Q331=4,1,0)),IF($F331&lt;=85,1,0))</formula>
    </cfRule>
  </conditionalFormatting>
  <conditionalFormatting sqref="AV332">
    <cfRule type="expression" dxfId="7825" priority="989">
      <formula>AV332="X"</formula>
    </cfRule>
    <cfRule type="expression" dxfId="7824" priority="990">
      <formula>AV332="후보"</formula>
    </cfRule>
  </conditionalFormatting>
  <conditionalFormatting sqref="AC332">
    <cfRule type="cellIs" dxfId="7823" priority="987" operator="greaterThan">
      <formula>0.9</formula>
    </cfRule>
    <cfRule type="cellIs" dxfId="7822" priority="988" operator="greaterThan">
      <formula>0.85</formula>
    </cfRule>
  </conditionalFormatting>
  <conditionalFormatting sqref="N332">
    <cfRule type="cellIs" dxfId="7821" priority="985" operator="greaterThan">
      <formula>0.9</formula>
    </cfRule>
    <cfRule type="cellIs" dxfId="7820" priority="986" operator="greaterThan">
      <formula>0.85</formula>
    </cfRule>
  </conditionalFormatting>
  <conditionalFormatting sqref="E332">
    <cfRule type="expression" dxfId="7819" priority="981">
      <formula>AND(IF(OR($Q332=1,$Q332=2),1,0),IF($X332&lt;=20,1,0))</formula>
    </cfRule>
    <cfRule type="expression" dxfId="7818" priority="982">
      <formula>AND(IF($Q332=2,1,0),IF($X332&lt;30,1,0))</formula>
    </cfRule>
    <cfRule type="expression" dxfId="7817" priority="983">
      <formula>AND(IF($Q332=3,1,0),IF($X332&lt;30,1,0))</formula>
    </cfRule>
    <cfRule type="expression" dxfId="7816" priority="984">
      <formula>AND(IF($Q332=3,1,IF($Q332=4,1,0)),IF($F332&lt;=85,1,0))</formula>
    </cfRule>
  </conditionalFormatting>
  <conditionalFormatting sqref="X332">
    <cfRule type="expression" dxfId="7815" priority="977">
      <formula>AND(IF(OR($Q332=1,$Q332=2),1,0),IF($X332&lt;=20,1,0))</formula>
    </cfRule>
    <cfRule type="expression" dxfId="7814" priority="978">
      <formula>AND(IF($Q332=2,1,0),IF($X332&lt;30,1,0))</formula>
    </cfRule>
    <cfRule type="expression" dxfId="7813" priority="979">
      <formula>AND(IF($Q332=3,1,0),IF($X332&lt;30,1,0))</formula>
    </cfRule>
    <cfRule type="expression" dxfId="7812" priority="980">
      <formula>AND(IF($Q332=3,1,IF($Q332=4,1,0)),IF($F332&lt;=85,1,0))</formula>
    </cfRule>
  </conditionalFormatting>
  <conditionalFormatting sqref="AI332">
    <cfRule type="expression" dxfId="7811" priority="973">
      <formula>AND(IF(OR($Q332=1,$Q332=2),1,0),IF($X332&lt;=20,1,0))</formula>
    </cfRule>
    <cfRule type="expression" dxfId="7810" priority="974">
      <formula>AND(IF($Q332=2,1,0),IF($X332&lt;30,1,0))</formula>
    </cfRule>
    <cfRule type="expression" dxfId="7809" priority="975">
      <formula>AND(IF($Q332=3,1,0),IF($X332&lt;30,1,0))</formula>
    </cfRule>
    <cfRule type="expression" dxfId="7808" priority="976">
      <formula>AND(IF($Q332=3,1,IF($Q332=4,1,0)),IF($F332&lt;=85,1,0))</formula>
    </cfRule>
  </conditionalFormatting>
  <conditionalFormatting sqref="AV333">
    <cfRule type="expression" dxfId="7807" priority="971">
      <formula>AV333="X"</formula>
    </cfRule>
    <cfRule type="expression" dxfId="7806" priority="972">
      <formula>AV333="후보"</formula>
    </cfRule>
  </conditionalFormatting>
  <conditionalFormatting sqref="AC333">
    <cfRule type="cellIs" dxfId="7805" priority="969" operator="greaterThan">
      <formula>0.9</formula>
    </cfRule>
    <cfRule type="cellIs" dxfId="7804" priority="970" operator="greaterThan">
      <formula>0.85</formula>
    </cfRule>
  </conditionalFormatting>
  <conditionalFormatting sqref="N333">
    <cfRule type="cellIs" dxfId="7803" priority="967" operator="greaterThan">
      <formula>0.9</formula>
    </cfRule>
    <cfRule type="cellIs" dxfId="7802" priority="968" operator="greaterThan">
      <formula>0.85</formula>
    </cfRule>
  </conditionalFormatting>
  <conditionalFormatting sqref="E333">
    <cfRule type="expression" dxfId="7801" priority="963">
      <formula>AND(IF(OR($Q333=1,$Q333=2),1,0),IF($X333&lt;=20,1,0))</formula>
    </cfRule>
    <cfRule type="expression" dxfId="7800" priority="964">
      <formula>AND(IF($Q333=2,1,0),IF($X333&lt;30,1,0))</formula>
    </cfRule>
    <cfRule type="expression" dxfId="7799" priority="965">
      <formula>AND(IF($Q333=3,1,0),IF($X333&lt;30,1,0))</formula>
    </cfRule>
    <cfRule type="expression" dxfId="7798" priority="966">
      <formula>AND(IF($Q333=3,1,IF($Q333=4,1,0)),IF($F333&lt;=85,1,0))</formula>
    </cfRule>
  </conditionalFormatting>
  <conditionalFormatting sqref="X333">
    <cfRule type="expression" dxfId="7797" priority="959">
      <formula>AND(IF(OR($Q333=1,$Q333=2),1,0),IF($X333&lt;=20,1,0))</formula>
    </cfRule>
    <cfRule type="expression" dxfId="7796" priority="960">
      <formula>AND(IF($Q333=2,1,0),IF($X333&lt;30,1,0))</formula>
    </cfRule>
    <cfRule type="expression" dxfId="7795" priority="961">
      <formula>AND(IF($Q333=3,1,0),IF($X333&lt;30,1,0))</formula>
    </cfRule>
    <cfRule type="expression" dxfId="7794" priority="962">
      <formula>AND(IF($Q333=3,1,IF($Q333=4,1,0)),IF($F333&lt;=85,1,0))</formula>
    </cfRule>
  </conditionalFormatting>
  <conditionalFormatting sqref="AI333">
    <cfRule type="expression" dxfId="7793" priority="955">
      <formula>AND(IF(OR($Q333=1,$Q333=2),1,0),IF($X333&lt;=20,1,0))</formula>
    </cfRule>
    <cfRule type="expression" dxfId="7792" priority="956">
      <formula>AND(IF($Q333=2,1,0),IF($X333&lt;30,1,0))</formula>
    </cfRule>
    <cfRule type="expression" dxfId="7791" priority="957">
      <formula>AND(IF($Q333=3,1,0),IF($X333&lt;30,1,0))</formula>
    </cfRule>
    <cfRule type="expression" dxfId="7790" priority="958">
      <formula>AND(IF($Q333=3,1,IF($Q333=4,1,0)),IF($F333&lt;=85,1,0))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A37" sqref="A37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전북 군산시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107</v>
      </c>
      <c r="M1" s="74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44630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21</v>
      </c>
      <c r="B3" s="77" t="s">
        <v>22</v>
      </c>
      <c r="C3" s="77" t="s">
        <v>23</v>
      </c>
      <c r="D3" s="77" t="s">
        <v>24</v>
      </c>
      <c r="E3" s="77" t="s">
        <v>25</v>
      </c>
      <c r="F3" s="77" t="s">
        <v>26</v>
      </c>
      <c r="G3" s="77" t="s">
        <v>27</v>
      </c>
      <c r="H3" s="78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8" t="s">
        <v>32</v>
      </c>
      <c r="N3" s="77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7" t="s">
        <v>38</v>
      </c>
      <c r="T3" s="35" t="s">
        <v>39</v>
      </c>
      <c r="U3" s="78" t="s">
        <v>40</v>
      </c>
      <c r="V3" s="25"/>
    </row>
    <row r="4" spans="1:22" s="37" customFormat="1" ht="12" x14ac:dyDescent="0.3">
      <c r="A4" s="75" t="s">
        <v>1593</v>
      </c>
      <c r="B4" s="76" t="s">
        <v>1859</v>
      </c>
      <c r="C4" s="86">
        <v>1400</v>
      </c>
      <c r="D4" s="87">
        <v>134.69999999999999</v>
      </c>
      <c r="E4" s="88">
        <v>41</v>
      </c>
      <c r="F4" s="87">
        <v>99.5</v>
      </c>
      <c r="G4" s="17">
        <v>30</v>
      </c>
      <c r="H4" s="89">
        <v>49</v>
      </c>
      <c r="I4" s="90">
        <v>69000</v>
      </c>
      <c r="J4" s="90" t="s">
        <v>84</v>
      </c>
      <c r="K4" s="90">
        <v>34000</v>
      </c>
      <c r="L4" s="90" t="s">
        <v>60</v>
      </c>
      <c r="M4" s="91">
        <f>I4-K4</f>
        <v>35000</v>
      </c>
      <c r="N4" s="4">
        <f>IF(ISERROR(K4/I4),"",K4/I4)</f>
        <v>0.49275362318840582</v>
      </c>
      <c r="O4" s="92">
        <f>I4/E4</f>
        <v>1682.9268292682927</v>
      </c>
      <c r="P4" s="92">
        <f>K4/E4</f>
        <v>829.26829268292681</v>
      </c>
      <c r="Q4" s="80">
        <v>4</v>
      </c>
      <c r="R4" s="80">
        <v>2</v>
      </c>
      <c r="S4" s="80" t="s">
        <v>61</v>
      </c>
      <c r="T4" s="5">
        <v>134</v>
      </c>
      <c r="U4" s="9"/>
    </row>
    <row r="5" spans="1:22" s="37" customFormat="1" ht="12" x14ac:dyDescent="0.3">
      <c r="A5" s="75" t="s">
        <v>1838</v>
      </c>
      <c r="B5" s="76" t="s">
        <v>1585</v>
      </c>
      <c r="C5" s="86">
        <v>332</v>
      </c>
      <c r="D5" s="87">
        <v>189.5</v>
      </c>
      <c r="E5" s="88">
        <v>57</v>
      </c>
      <c r="F5" s="87">
        <v>155.9</v>
      </c>
      <c r="G5" s="17">
        <v>47</v>
      </c>
      <c r="H5" s="89">
        <v>71</v>
      </c>
      <c r="I5" s="90">
        <v>58000</v>
      </c>
      <c r="J5" s="90" t="s">
        <v>80</v>
      </c>
      <c r="K5" s="90"/>
      <c r="L5" s="90"/>
      <c r="M5" s="91">
        <f>I5-K5</f>
        <v>58000</v>
      </c>
      <c r="N5" s="4">
        <f>IF(ISERROR(K5/I5),"",K5/I5)</f>
        <v>0</v>
      </c>
      <c r="O5" s="92">
        <f>I5/E5</f>
        <v>1017.5438596491229</v>
      </c>
      <c r="P5" s="92">
        <f>K5/E5</f>
        <v>0</v>
      </c>
      <c r="Q5" s="80">
        <v>4</v>
      </c>
      <c r="R5" s="80">
        <v>2</v>
      </c>
      <c r="S5" s="80" t="s">
        <v>61</v>
      </c>
      <c r="T5" s="5">
        <v>189</v>
      </c>
      <c r="U5" s="9"/>
    </row>
    <row r="6" spans="1:22" s="37" customFormat="1" ht="12" x14ac:dyDescent="0.3">
      <c r="A6" s="75" t="s">
        <v>1784</v>
      </c>
      <c r="B6" s="76" t="s">
        <v>1783</v>
      </c>
      <c r="C6" s="86">
        <v>354</v>
      </c>
      <c r="D6" s="87">
        <v>215.8</v>
      </c>
      <c r="E6" s="88">
        <v>65</v>
      </c>
      <c r="F6" s="87">
        <v>181.1</v>
      </c>
      <c r="G6" s="17">
        <v>55</v>
      </c>
      <c r="H6" s="89">
        <v>60</v>
      </c>
      <c r="I6" s="90">
        <v>57000</v>
      </c>
      <c r="J6" s="90" t="s">
        <v>60</v>
      </c>
      <c r="K6" s="90">
        <v>45000</v>
      </c>
      <c r="L6" s="90" t="s">
        <v>70</v>
      </c>
      <c r="M6" s="91">
        <f>I6-K6</f>
        <v>12000</v>
      </c>
      <c r="N6" s="4">
        <f>IF(ISERROR(K6/I6),"",K6/I6)</f>
        <v>0.78947368421052633</v>
      </c>
      <c r="O6" s="92">
        <f>I6/E6</f>
        <v>876.92307692307691</v>
      </c>
      <c r="P6" s="92">
        <f>K6/E6</f>
        <v>692.30769230769226</v>
      </c>
      <c r="Q6" s="80">
        <v>5</v>
      </c>
      <c r="R6" s="80">
        <v>2</v>
      </c>
      <c r="S6" s="80" t="s">
        <v>61</v>
      </c>
      <c r="T6" s="5">
        <v>215</v>
      </c>
      <c r="U6" s="9"/>
    </row>
    <row r="7" spans="1:22" s="37" customFormat="1" ht="12" x14ac:dyDescent="0.3">
      <c r="A7" s="75" t="s">
        <v>1534</v>
      </c>
      <c r="B7" s="76" t="s">
        <v>1842</v>
      </c>
      <c r="C7" s="86">
        <v>566</v>
      </c>
      <c r="D7" s="87">
        <v>178.7</v>
      </c>
      <c r="E7" s="88">
        <v>54</v>
      </c>
      <c r="F7" s="87">
        <v>143.80000000000001</v>
      </c>
      <c r="G7" s="17">
        <v>44</v>
      </c>
      <c r="H7" s="89">
        <v>94</v>
      </c>
      <c r="I7" s="90">
        <v>55000</v>
      </c>
      <c r="J7" s="90" t="s">
        <v>60</v>
      </c>
      <c r="K7" s="90"/>
      <c r="L7" s="90"/>
      <c r="M7" s="91">
        <f>I7-K7</f>
        <v>55000</v>
      </c>
      <c r="N7" s="4">
        <f>IF(ISERROR(K7/I7),"",K7/I7)</f>
        <v>0</v>
      </c>
      <c r="O7" s="92">
        <f>I7/E7</f>
        <v>1018.5185185185185</v>
      </c>
      <c r="P7" s="92">
        <f>K7/E7</f>
        <v>0</v>
      </c>
      <c r="Q7" s="80">
        <v>4</v>
      </c>
      <c r="R7" s="80">
        <v>2</v>
      </c>
      <c r="S7" s="80" t="s">
        <v>61</v>
      </c>
      <c r="T7" s="5">
        <v>178</v>
      </c>
      <c r="U7" s="9"/>
    </row>
    <row r="8" spans="1:22" s="37" customFormat="1" ht="12" x14ac:dyDescent="0.3">
      <c r="A8" s="75" t="s">
        <v>1482</v>
      </c>
      <c r="B8" s="76" t="s">
        <v>1780</v>
      </c>
      <c r="C8" s="86">
        <v>540</v>
      </c>
      <c r="D8" s="87">
        <v>130.4</v>
      </c>
      <c r="E8" s="88">
        <v>39</v>
      </c>
      <c r="F8" s="87">
        <v>101.8</v>
      </c>
      <c r="G8" s="17">
        <v>31</v>
      </c>
      <c r="H8" s="89">
        <v>166</v>
      </c>
      <c r="I8" s="90">
        <v>52000</v>
      </c>
      <c r="J8" s="90" t="s">
        <v>66</v>
      </c>
      <c r="K8" s="90">
        <v>39000</v>
      </c>
      <c r="L8" s="90" t="s">
        <v>111</v>
      </c>
      <c r="M8" s="91">
        <f>I8-K8</f>
        <v>13000</v>
      </c>
      <c r="N8" s="4">
        <f>IF(ISERROR(K8/I8),"",K8/I8)</f>
        <v>0.75</v>
      </c>
      <c r="O8" s="92">
        <f>I8/E8</f>
        <v>1333.3333333333333</v>
      </c>
      <c r="P8" s="92">
        <f>K8/E8</f>
        <v>1000</v>
      </c>
      <c r="Q8" s="80">
        <v>3</v>
      </c>
      <c r="R8" s="80">
        <v>2</v>
      </c>
      <c r="S8" s="80" t="s">
        <v>61</v>
      </c>
      <c r="T8" s="5">
        <v>130</v>
      </c>
      <c r="U8" s="9"/>
    </row>
    <row r="9" spans="1:22" s="37" customFormat="1" ht="12" x14ac:dyDescent="0.3">
      <c r="A9" s="75" t="s">
        <v>1787</v>
      </c>
      <c r="B9" s="76" t="s">
        <v>1788</v>
      </c>
      <c r="C9" s="86">
        <v>805</v>
      </c>
      <c r="D9" s="87">
        <v>134.69999999999999</v>
      </c>
      <c r="E9" s="88">
        <v>41</v>
      </c>
      <c r="F9" s="87">
        <v>101.8</v>
      </c>
      <c r="G9" s="17">
        <v>31</v>
      </c>
      <c r="H9" s="89">
        <v>70</v>
      </c>
      <c r="I9" s="90">
        <v>51000</v>
      </c>
      <c r="J9" s="90" t="s">
        <v>84</v>
      </c>
      <c r="K9" s="90"/>
      <c r="L9" s="90"/>
      <c r="M9" s="91">
        <f>I9-K9</f>
        <v>51000</v>
      </c>
      <c r="N9" s="4">
        <f>IF(ISERROR(K9/I9),"",K9/I9)</f>
        <v>0</v>
      </c>
      <c r="O9" s="92">
        <f>I9/E9</f>
        <v>1243.9024390243903</v>
      </c>
      <c r="P9" s="92">
        <f>K9/E9</f>
        <v>0</v>
      </c>
      <c r="Q9" s="80">
        <v>4</v>
      </c>
      <c r="R9" s="80">
        <v>2</v>
      </c>
      <c r="S9" s="80" t="s">
        <v>61</v>
      </c>
      <c r="T9" s="5">
        <v>134</v>
      </c>
      <c r="U9" s="9"/>
    </row>
    <row r="10" spans="1:22" s="37" customFormat="1" ht="12" x14ac:dyDescent="0.3">
      <c r="A10" s="75" t="s">
        <v>1866</v>
      </c>
      <c r="B10" s="76" t="s">
        <v>1867</v>
      </c>
      <c r="C10" s="86">
        <v>854</v>
      </c>
      <c r="D10" s="87">
        <v>113.2</v>
      </c>
      <c r="E10" s="88">
        <v>34</v>
      </c>
      <c r="F10" s="87">
        <v>85</v>
      </c>
      <c r="G10" s="17">
        <v>26</v>
      </c>
      <c r="H10" s="89">
        <v>253</v>
      </c>
      <c r="I10" s="90">
        <v>50000</v>
      </c>
      <c r="J10" s="90" t="s">
        <v>68</v>
      </c>
      <c r="K10" s="90">
        <v>35000</v>
      </c>
      <c r="L10" s="90" t="s">
        <v>80</v>
      </c>
      <c r="M10" s="91">
        <f>I10-K10</f>
        <v>15000</v>
      </c>
      <c r="N10" s="4">
        <f>IF(ISERROR(K10/I10),"",K10/I10)</f>
        <v>0.7</v>
      </c>
      <c r="O10" s="92">
        <f>I10/E10</f>
        <v>1470.5882352941176</v>
      </c>
      <c r="P10" s="92">
        <f>K10/E10</f>
        <v>1029.4117647058824</v>
      </c>
      <c r="Q10" s="80">
        <v>3</v>
      </c>
      <c r="R10" s="80">
        <v>2</v>
      </c>
      <c r="S10" s="80" t="s">
        <v>61</v>
      </c>
      <c r="T10" s="5" t="s">
        <v>108</v>
      </c>
      <c r="U10" s="9"/>
    </row>
    <row r="11" spans="1:22" s="37" customFormat="1" ht="12" x14ac:dyDescent="0.3">
      <c r="A11" s="75" t="s">
        <v>1593</v>
      </c>
      <c r="B11" s="76" t="s">
        <v>1560</v>
      </c>
      <c r="C11" s="86">
        <v>1400</v>
      </c>
      <c r="D11" s="87">
        <v>114.5</v>
      </c>
      <c r="E11" s="88">
        <v>35</v>
      </c>
      <c r="F11" s="87">
        <v>84.7</v>
      </c>
      <c r="G11" s="17">
        <v>26</v>
      </c>
      <c r="H11" s="89">
        <v>215</v>
      </c>
      <c r="I11" s="90">
        <v>49500</v>
      </c>
      <c r="J11" s="90" t="s">
        <v>109</v>
      </c>
      <c r="K11" s="90">
        <v>35000</v>
      </c>
      <c r="L11" s="90" t="s">
        <v>67</v>
      </c>
      <c r="M11" s="91">
        <f>I11-K11</f>
        <v>14500</v>
      </c>
      <c r="N11" s="4">
        <f>IF(ISERROR(K11/I11),"",K11/I11)</f>
        <v>0.70707070707070707</v>
      </c>
      <c r="O11" s="92">
        <f>I11/E11</f>
        <v>1414.2857142857142</v>
      </c>
      <c r="P11" s="92">
        <f>K11/E11</f>
        <v>1000</v>
      </c>
      <c r="Q11" s="80">
        <v>3</v>
      </c>
      <c r="R11" s="80">
        <v>2</v>
      </c>
      <c r="S11" s="80" t="s">
        <v>61</v>
      </c>
      <c r="T11" s="5" t="s">
        <v>110</v>
      </c>
      <c r="U11" s="9"/>
    </row>
    <row r="12" spans="1:22" s="37" customFormat="1" ht="12" x14ac:dyDescent="0.3">
      <c r="A12" s="75" t="s">
        <v>1841</v>
      </c>
      <c r="B12" s="76" t="s">
        <v>1535</v>
      </c>
      <c r="C12" s="86">
        <v>566</v>
      </c>
      <c r="D12" s="87">
        <v>153.9</v>
      </c>
      <c r="E12" s="88">
        <v>47</v>
      </c>
      <c r="F12" s="87">
        <v>119.9</v>
      </c>
      <c r="G12" s="17">
        <v>36</v>
      </c>
      <c r="H12" s="89">
        <v>328</v>
      </c>
      <c r="I12" s="90">
        <v>46000</v>
      </c>
      <c r="J12" s="90" t="s">
        <v>84</v>
      </c>
      <c r="K12" s="90">
        <v>40000</v>
      </c>
      <c r="L12" s="90" t="s">
        <v>68</v>
      </c>
      <c r="M12" s="91">
        <f>I12-K12</f>
        <v>6000</v>
      </c>
      <c r="N12" s="4">
        <f>IF(ISERROR(K12/I12),"",K12/I12)</f>
        <v>0.86956521739130432</v>
      </c>
      <c r="O12" s="92">
        <f>I12/E12</f>
        <v>978.72340425531911</v>
      </c>
      <c r="P12" s="92">
        <f>K12/E12</f>
        <v>851.063829787234</v>
      </c>
      <c r="Q12" s="80">
        <v>4</v>
      </c>
      <c r="R12" s="80">
        <v>2</v>
      </c>
      <c r="S12" s="80" t="s">
        <v>61</v>
      </c>
      <c r="T12" s="5">
        <v>153</v>
      </c>
      <c r="U12" s="9"/>
    </row>
    <row r="13" spans="1:22" s="37" customFormat="1" ht="12" x14ac:dyDescent="0.3">
      <c r="A13" s="75" t="s">
        <v>1456</v>
      </c>
      <c r="B13" s="76" t="s">
        <v>1455</v>
      </c>
      <c r="C13" s="86">
        <v>950</v>
      </c>
      <c r="D13" s="87">
        <v>203.2</v>
      </c>
      <c r="E13" s="88">
        <v>61</v>
      </c>
      <c r="F13" s="87">
        <v>172.2</v>
      </c>
      <c r="G13" s="17">
        <v>52</v>
      </c>
      <c r="H13" s="89">
        <v>40</v>
      </c>
      <c r="I13" s="90">
        <v>45000</v>
      </c>
      <c r="J13" s="90" t="s">
        <v>69</v>
      </c>
      <c r="K13" s="90"/>
      <c r="L13" s="90"/>
      <c r="M13" s="91">
        <f>I13-K13</f>
        <v>45000</v>
      </c>
      <c r="N13" s="4">
        <f>IF(ISERROR(K13/I13),"",K13/I13)</f>
        <v>0</v>
      </c>
      <c r="O13" s="92">
        <f>I13/E13</f>
        <v>737.70491803278685</v>
      </c>
      <c r="P13" s="92">
        <f>K13/E13</f>
        <v>0</v>
      </c>
      <c r="Q13" s="80">
        <v>4</v>
      </c>
      <c r="R13" s="80">
        <v>2</v>
      </c>
      <c r="S13" s="80" t="s">
        <v>76</v>
      </c>
      <c r="T13" s="5" t="s">
        <v>112</v>
      </c>
      <c r="U13" s="9"/>
    </row>
    <row r="14" spans="1:22" s="37" customFormat="1" ht="12" x14ac:dyDescent="0.3">
      <c r="A14" s="75" t="s">
        <v>1607</v>
      </c>
      <c r="B14" s="76" t="s">
        <v>1783</v>
      </c>
      <c r="C14" s="86">
        <v>354</v>
      </c>
      <c r="D14" s="87">
        <v>185.7</v>
      </c>
      <c r="E14" s="88">
        <v>56</v>
      </c>
      <c r="F14" s="87">
        <v>152.69999999999999</v>
      </c>
      <c r="G14" s="17">
        <v>46</v>
      </c>
      <c r="H14" s="89">
        <v>120</v>
      </c>
      <c r="I14" s="90">
        <v>45000</v>
      </c>
      <c r="J14" s="90" t="s">
        <v>66</v>
      </c>
      <c r="K14" s="90"/>
      <c r="L14" s="90"/>
      <c r="M14" s="91">
        <f>I14-K14</f>
        <v>45000</v>
      </c>
      <c r="N14" s="4">
        <f>IF(ISERROR(K14/I14),"",K14/I14)</f>
        <v>0</v>
      </c>
      <c r="O14" s="92">
        <f>I14/E14</f>
        <v>803.57142857142856</v>
      </c>
      <c r="P14" s="92">
        <f>K14/E14</f>
        <v>0</v>
      </c>
      <c r="Q14" s="80">
        <v>4</v>
      </c>
      <c r="R14" s="80">
        <v>2</v>
      </c>
      <c r="S14" s="80" t="s">
        <v>61</v>
      </c>
      <c r="T14" s="5">
        <v>185</v>
      </c>
      <c r="U14" s="9"/>
    </row>
    <row r="15" spans="1:22" s="37" customFormat="1" ht="12" x14ac:dyDescent="0.3">
      <c r="A15" s="75" t="s">
        <v>1785</v>
      </c>
      <c r="B15" s="76" t="s">
        <v>1609</v>
      </c>
      <c r="C15" s="86">
        <v>654</v>
      </c>
      <c r="D15" s="87">
        <v>181.8</v>
      </c>
      <c r="E15" s="88">
        <v>55</v>
      </c>
      <c r="F15" s="87">
        <v>149.9</v>
      </c>
      <c r="G15" s="17">
        <v>45</v>
      </c>
      <c r="H15" s="89">
        <v>57</v>
      </c>
      <c r="I15" s="90">
        <v>45000</v>
      </c>
      <c r="J15" s="90" t="s">
        <v>60</v>
      </c>
      <c r="K15" s="90"/>
      <c r="L15" s="90"/>
      <c r="M15" s="91">
        <f>I15-K15</f>
        <v>45000</v>
      </c>
      <c r="N15" s="4">
        <f>IF(ISERROR(K15/I15),"",K15/I15)</f>
        <v>0</v>
      </c>
      <c r="O15" s="92">
        <f>I15/E15</f>
        <v>818.18181818181813</v>
      </c>
      <c r="P15" s="92">
        <f>K15/E15</f>
        <v>0</v>
      </c>
      <c r="Q15" s="80">
        <v>4</v>
      </c>
      <c r="R15" s="80">
        <v>2</v>
      </c>
      <c r="S15" s="80" t="s">
        <v>61</v>
      </c>
      <c r="T15" s="5">
        <v>181</v>
      </c>
      <c r="U15" s="9"/>
    </row>
    <row r="16" spans="1:22" s="37" customFormat="1" ht="12" x14ac:dyDescent="0.3">
      <c r="A16" s="75" t="s">
        <v>1593</v>
      </c>
      <c r="B16" s="76" t="s">
        <v>1859</v>
      </c>
      <c r="C16" s="86">
        <v>1400</v>
      </c>
      <c r="D16" s="87">
        <v>101.7</v>
      </c>
      <c r="E16" s="88">
        <v>31</v>
      </c>
      <c r="F16" s="87">
        <v>74.900000000000006</v>
      </c>
      <c r="G16" s="17">
        <v>23</v>
      </c>
      <c r="H16" s="89">
        <v>279</v>
      </c>
      <c r="I16" s="90">
        <v>44000</v>
      </c>
      <c r="J16" s="90" t="s">
        <v>154</v>
      </c>
      <c r="K16" s="90">
        <v>30000</v>
      </c>
      <c r="L16" s="90" t="s">
        <v>113</v>
      </c>
      <c r="M16" s="91">
        <f>I16-K16</f>
        <v>14000</v>
      </c>
      <c r="N16" s="4">
        <f>IF(ISERROR(K16/I16),"",K16/I16)</f>
        <v>0.68181818181818177</v>
      </c>
      <c r="O16" s="92">
        <f>I16/E16</f>
        <v>1419.3548387096773</v>
      </c>
      <c r="P16" s="92">
        <f>K16/E16</f>
        <v>967.74193548387098</v>
      </c>
      <c r="Q16" s="80">
        <v>3</v>
      </c>
      <c r="R16" s="80">
        <v>2</v>
      </c>
      <c r="S16" s="80" t="s">
        <v>61</v>
      </c>
      <c r="T16" s="5" t="s">
        <v>114</v>
      </c>
      <c r="U16" s="9"/>
    </row>
    <row r="17" spans="1:21" s="37" customFormat="1" ht="12" x14ac:dyDescent="0.3">
      <c r="A17" s="75" t="s">
        <v>1849</v>
      </c>
      <c r="B17" s="76" t="s">
        <v>1591</v>
      </c>
      <c r="C17" s="86">
        <v>656</v>
      </c>
      <c r="D17" s="87">
        <v>140.69999999999999</v>
      </c>
      <c r="E17" s="88">
        <v>43</v>
      </c>
      <c r="F17" s="87">
        <v>110.2</v>
      </c>
      <c r="G17" s="17">
        <v>33</v>
      </c>
      <c r="H17" s="89">
        <v>132</v>
      </c>
      <c r="I17" s="90">
        <v>42000</v>
      </c>
      <c r="J17" s="90" t="s">
        <v>81</v>
      </c>
      <c r="K17" s="90"/>
      <c r="L17" s="90"/>
      <c r="M17" s="91">
        <f>I17-K17</f>
        <v>42000</v>
      </c>
      <c r="N17" s="4">
        <f>IF(ISERROR(K17/I17),"",K17/I17)</f>
        <v>0</v>
      </c>
      <c r="O17" s="92">
        <f>I17/E17</f>
        <v>976.74418604651157</v>
      </c>
      <c r="P17" s="92">
        <f>K17/E17</f>
        <v>0</v>
      </c>
      <c r="Q17" s="80">
        <v>4</v>
      </c>
      <c r="R17" s="80">
        <v>2</v>
      </c>
      <c r="S17" s="80" t="s">
        <v>61</v>
      </c>
      <c r="T17" s="5">
        <v>140</v>
      </c>
      <c r="U17" s="9"/>
    </row>
    <row r="18" spans="1:21" s="37" customFormat="1" ht="12" x14ac:dyDescent="0.3">
      <c r="A18" s="75" t="s">
        <v>1866</v>
      </c>
      <c r="B18" s="76" t="s">
        <v>1867</v>
      </c>
      <c r="C18" s="86">
        <v>854</v>
      </c>
      <c r="D18" s="87">
        <v>100.4</v>
      </c>
      <c r="E18" s="88">
        <v>30</v>
      </c>
      <c r="F18" s="87">
        <v>75</v>
      </c>
      <c r="G18" s="17">
        <v>23</v>
      </c>
      <c r="H18" s="89">
        <v>174</v>
      </c>
      <c r="I18" s="90">
        <v>40000</v>
      </c>
      <c r="J18" s="90" t="s">
        <v>60</v>
      </c>
      <c r="K18" s="90">
        <v>29000</v>
      </c>
      <c r="L18" s="90" t="s">
        <v>60</v>
      </c>
      <c r="M18" s="91">
        <f>I18-K18</f>
        <v>11000</v>
      </c>
      <c r="N18" s="4">
        <f>IF(ISERROR(K18/I18),"",K18/I18)</f>
        <v>0.72499999999999998</v>
      </c>
      <c r="O18" s="92">
        <f>I18/E18</f>
        <v>1333.3333333333333</v>
      </c>
      <c r="P18" s="92">
        <f>K18/E18</f>
        <v>966.66666666666663</v>
      </c>
      <c r="Q18" s="80">
        <v>3</v>
      </c>
      <c r="R18" s="80">
        <v>2</v>
      </c>
      <c r="S18" s="80" t="s">
        <v>61</v>
      </c>
      <c r="T18" s="5" t="s">
        <v>116</v>
      </c>
      <c r="U18" s="9"/>
    </row>
    <row r="19" spans="1:21" s="37" customFormat="1" ht="12" x14ac:dyDescent="0.3">
      <c r="A19" s="75" t="s">
        <v>1841</v>
      </c>
      <c r="B19" s="76" t="s">
        <v>1842</v>
      </c>
      <c r="C19" s="86">
        <v>566</v>
      </c>
      <c r="D19" s="87">
        <v>130.69999999999999</v>
      </c>
      <c r="E19" s="88">
        <v>40</v>
      </c>
      <c r="F19" s="87">
        <v>100.1</v>
      </c>
      <c r="G19" s="17">
        <v>30</v>
      </c>
      <c r="H19" s="89">
        <v>87</v>
      </c>
      <c r="I19" s="90">
        <v>39000</v>
      </c>
      <c r="J19" s="90" t="s">
        <v>72</v>
      </c>
      <c r="K19" s="90">
        <v>35000</v>
      </c>
      <c r="L19" s="90" t="s">
        <v>65</v>
      </c>
      <c r="M19" s="91">
        <f>I19-K19</f>
        <v>4000</v>
      </c>
      <c r="N19" s="4">
        <f>IF(ISERROR(K19/I19),"",K19/I19)</f>
        <v>0.89743589743589747</v>
      </c>
      <c r="O19" s="92">
        <f>I19/E19</f>
        <v>975</v>
      </c>
      <c r="P19" s="92">
        <f>K19/E19</f>
        <v>875</v>
      </c>
      <c r="Q19" s="80">
        <v>3</v>
      </c>
      <c r="R19" s="80">
        <v>2</v>
      </c>
      <c r="S19" s="80" t="s">
        <v>61</v>
      </c>
      <c r="T19" s="5">
        <v>130</v>
      </c>
      <c r="U19" s="9"/>
    </row>
    <row r="20" spans="1:21" s="37" customFormat="1" ht="12" x14ac:dyDescent="0.3">
      <c r="A20" s="75" t="s">
        <v>1608</v>
      </c>
      <c r="B20" s="76" t="s">
        <v>1609</v>
      </c>
      <c r="C20" s="86">
        <v>654</v>
      </c>
      <c r="D20" s="87">
        <v>152</v>
      </c>
      <c r="E20" s="88">
        <v>46</v>
      </c>
      <c r="F20" s="87">
        <v>121.3</v>
      </c>
      <c r="G20" s="17">
        <v>37</v>
      </c>
      <c r="H20" s="89">
        <v>52</v>
      </c>
      <c r="I20" s="90">
        <v>38500</v>
      </c>
      <c r="J20" s="90" t="s">
        <v>60</v>
      </c>
      <c r="K20" s="90"/>
      <c r="L20" s="90"/>
      <c r="M20" s="91">
        <f>I20-K20</f>
        <v>38500</v>
      </c>
      <c r="N20" s="4">
        <f>IF(ISERROR(K20/I20),"",K20/I20)</f>
        <v>0</v>
      </c>
      <c r="O20" s="92">
        <f>I20/E20</f>
        <v>836.95652173913038</v>
      </c>
      <c r="P20" s="92">
        <f>K20/E20</f>
        <v>0</v>
      </c>
      <c r="Q20" s="80">
        <v>4</v>
      </c>
      <c r="R20" s="80">
        <v>2</v>
      </c>
      <c r="S20" s="80" t="s">
        <v>61</v>
      </c>
      <c r="T20" s="5">
        <v>151</v>
      </c>
      <c r="U20" s="9"/>
    </row>
    <row r="21" spans="1:21" s="37" customFormat="1" ht="12" x14ac:dyDescent="0.3">
      <c r="A21" s="75" t="s">
        <v>1604</v>
      </c>
      <c r="B21" s="76" t="s">
        <v>1605</v>
      </c>
      <c r="C21" s="86">
        <v>540</v>
      </c>
      <c r="D21" s="87">
        <v>100.5</v>
      </c>
      <c r="E21" s="88">
        <v>30</v>
      </c>
      <c r="F21" s="87">
        <v>75</v>
      </c>
      <c r="G21" s="17">
        <v>23</v>
      </c>
      <c r="H21" s="89">
        <v>188</v>
      </c>
      <c r="I21" s="90">
        <v>38000</v>
      </c>
      <c r="J21" s="90" t="s">
        <v>111</v>
      </c>
      <c r="K21" s="90"/>
      <c r="L21" s="90"/>
      <c r="M21" s="91">
        <f>I21-K21</f>
        <v>38000</v>
      </c>
      <c r="N21" s="4">
        <f>IF(ISERROR(K21/I21),"",K21/I21)</f>
        <v>0</v>
      </c>
      <c r="O21" s="92">
        <f>I21/E21</f>
        <v>1266.6666666666667</v>
      </c>
      <c r="P21" s="92">
        <f>K21/E21</f>
        <v>0</v>
      </c>
      <c r="Q21" s="80">
        <v>3</v>
      </c>
      <c r="R21" s="80">
        <v>2</v>
      </c>
      <c r="S21" s="80" t="s">
        <v>61</v>
      </c>
      <c r="T21" s="5" t="s">
        <v>115</v>
      </c>
      <c r="U21" s="9"/>
    </row>
    <row r="22" spans="1:21" s="37" customFormat="1" ht="12" x14ac:dyDescent="0.3">
      <c r="A22" s="75" t="s">
        <v>1787</v>
      </c>
      <c r="B22" s="76" t="s">
        <v>1788</v>
      </c>
      <c r="C22" s="86">
        <v>805</v>
      </c>
      <c r="D22" s="87">
        <v>112.4</v>
      </c>
      <c r="E22" s="88">
        <v>34</v>
      </c>
      <c r="F22" s="87">
        <v>84.9</v>
      </c>
      <c r="G22" s="17">
        <v>26</v>
      </c>
      <c r="H22" s="89">
        <v>274</v>
      </c>
      <c r="I22" s="90">
        <v>36800</v>
      </c>
      <c r="J22" s="90" t="s">
        <v>68</v>
      </c>
      <c r="K22" s="90">
        <v>30000</v>
      </c>
      <c r="L22" s="90" t="s">
        <v>71</v>
      </c>
      <c r="M22" s="91">
        <f>I22-K22</f>
        <v>6800</v>
      </c>
      <c r="N22" s="4">
        <f>IF(ISERROR(K22/I22),"",K22/I22)</f>
        <v>0.81521739130434778</v>
      </c>
      <c r="O22" s="92">
        <f>I22/E22</f>
        <v>1082.3529411764705</v>
      </c>
      <c r="P22" s="92">
        <f>K22/E22</f>
        <v>882.35294117647061</v>
      </c>
      <c r="Q22" s="80">
        <v>4</v>
      </c>
      <c r="R22" s="80">
        <v>2</v>
      </c>
      <c r="S22" s="80" t="s">
        <v>61</v>
      </c>
      <c r="T22" s="5">
        <v>112</v>
      </c>
      <c r="U22" s="9"/>
    </row>
    <row r="23" spans="1:21" s="37" customFormat="1" ht="12" x14ac:dyDescent="0.3">
      <c r="A23" s="75" t="s">
        <v>1484</v>
      </c>
      <c r="B23" s="76" t="s">
        <v>1485</v>
      </c>
      <c r="C23" s="86">
        <v>1078</v>
      </c>
      <c r="D23" s="87">
        <v>111.3</v>
      </c>
      <c r="E23" s="88">
        <v>34</v>
      </c>
      <c r="F23" s="87">
        <v>85</v>
      </c>
      <c r="G23" s="17">
        <v>26</v>
      </c>
      <c r="H23" s="89">
        <v>435</v>
      </c>
      <c r="I23" s="90">
        <v>35500</v>
      </c>
      <c r="J23" s="90" t="s">
        <v>70</v>
      </c>
      <c r="K23" s="90">
        <v>28000</v>
      </c>
      <c r="L23" s="90" t="s">
        <v>69</v>
      </c>
      <c r="M23" s="91">
        <f>I23-K23</f>
        <v>7500</v>
      </c>
      <c r="N23" s="4">
        <f>IF(ISERROR(K23/I23),"",K23/I23)</f>
        <v>0.78873239436619713</v>
      </c>
      <c r="O23" s="92">
        <f>I23/E23</f>
        <v>1044.1176470588234</v>
      </c>
      <c r="P23" s="92">
        <f>K23/E23</f>
        <v>823.52941176470586</v>
      </c>
      <c r="Q23" s="80">
        <v>3</v>
      </c>
      <c r="R23" s="80">
        <v>2</v>
      </c>
      <c r="S23" s="80" t="s">
        <v>61</v>
      </c>
      <c r="T23" s="5" t="s">
        <v>92</v>
      </c>
      <c r="U23" s="9"/>
    </row>
    <row r="24" spans="1:21" s="37" customFormat="1" ht="12" x14ac:dyDescent="0.3">
      <c r="A24" s="75" t="s">
        <v>1785</v>
      </c>
      <c r="B24" s="76" t="s">
        <v>1786</v>
      </c>
      <c r="C24" s="86">
        <v>654</v>
      </c>
      <c r="D24" s="87">
        <v>135.30000000000001</v>
      </c>
      <c r="E24" s="88">
        <v>41</v>
      </c>
      <c r="F24" s="87">
        <v>103.8</v>
      </c>
      <c r="G24" s="17">
        <v>31</v>
      </c>
      <c r="H24" s="89">
        <v>163</v>
      </c>
      <c r="I24" s="90">
        <v>35500</v>
      </c>
      <c r="J24" s="90" t="s">
        <v>84</v>
      </c>
      <c r="K24" s="90">
        <v>31000</v>
      </c>
      <c r="L24" s="90" t="s">
        <v>84</v>
      </c>
      <c r="M24" s="91">
        <f>I24-K24</f>
        <v>4500</v>
      </c>
      <c r="N24" s="4">
        <f>IF(ISERROR(K24/I24),"",K24/I24)</f>
        <v>0.87323943661971826</v>
      </c>
      <c r="O24" s="92">
        <f>I24/E24</f>
        <v>865.85365853658539</v>
      </c>
      <c r="P24" s="92">
        <f>K24/E24</f>
        <v>756.09756097560978</v>
      </c>
      <c r="Q24" s="80">
        <v>3</v>
      </c>
      <c r="R24" s="80">
        <v>2</v>
      </c>
      <c r="S24" s="80" t="s">
        <v>61</v>
      </c>
      <c r="T24" s="5" t="s">
        <v>117</v>
      </c>
      <c r="U24" s="9"/>
    </row>
    <row r="25" spans="1:21" s="37" customFormat="1" ht="12" x14ac:dyDescent="0.3">
      <c r="A25" s="75" t="s">
        <v>1456</v>
      </c>
      <c r="B25" s="76" t="s">
        <v>1455</v>
      </c>
      <c r="C25" s="86">
        <v>950</v>
      </c>
      <c r="D25" s="87">
        <v>176.6</v>
      </c>
      <c r="E25" s="88">
        <v>53</v>
      </c>
      <c r="F25" s="87">
        <v>139.80000000000001</v>
      </c>
      <c r="G25" s="17">
        <v>42</v>
      </c>
      <c r="H25" s="89">
        <v>160</v>
      </c>
      <c r="I25" s="90">
        <v>35000</v>
      </c>
      <c r="J25" s="90" t="s">
        <v>71</v>
      </c>
      <c r="K25" s="90"/>
      <c r="L25" s="90"/>
      <c r="M25" s="91">
        <f>I25-K25</f>
        <v>35000</v>
      </c>
      <c r="N25" s="4">
        <f>IF(ISERROR(K25/I25),"",K25/I25)</f>
        <v>0</v>
      </c>
      <c r="O25" s="92">
        <f>I25/E25</f>
        <v>660.37735849056605</v>
      </c>
      <c r="P25" s="92">
        <f>K25/E25</f>
        <v>0</v>
      </c>
      <c r="Q25" s="80">
        <v>4</v>
      </c>
      <c r="R25" s="80">
        <v>2</v>
      </c>
      <c r="S25" s="80" t="s">
        <v>76</v>
      </c>
      <c r="T25" s="5">
        <v>176</v>
      </c>
      <c r="U25" s="9"/>
    </row>
    <row r="26" spans="1:21" s="37" customFormat="1" ht="12" x14ac:dyDescent="0.3">
      <c r="A26" s="75" t="s">
        <v>1836</v>
      </c>
      <c r="B26" s="76" t="s">
        <v>1837</v>
      </c>
      <c r="C26" s="86">
        <v>782</v>
      </c>
      <c r="D26" s="87">
        <v>113.3</v>
      </c>
      <c r="E26" s="88">
        <v>34</v>
      </c>
      <c r="F26" s="87">
        <v>85</v>
      </c>
      <c r="G26" s="17">
        <v>26</v>
      </c>
      <c r="H26" s="89">
        <v>480</v>
      </c>
      <c r="I26" s="90">
        <v>35000</v>
      </c>
      <c r="J26" s="90" t="s">
        <v>72</v>
      </c>
      <c r="K26" s="90">
        <v>28000</v>
      </c>
      <c r="L26" s="90" t="s">
        <v>88</v>
      </c>
      <c r="M26" s="91">
        <f>I26-K26</f>
        <v>7000</v>
      </c>
      <c r="N26" s="4">
        <f>IF(ISERROR(K26/I26),"",K26/I26)</f>
        <v>0.8</v>
      </c>
      <c r="O26" s="92">
        <f>I26/E26</f>
        <v>1029.4117647058824</v>
      </c>
      <c r="P26" s="92">
        <f>K26/E26</f>
        <v>823.52941176470586</v>
      </c>
      <c r="Q26" s="80">
        <v>3</v>
      </c>
      <c r="R26" s="80">
        <v>2</v>
      </c>
      <c r="S26" s="80" t="s">
        <v>61</v>
      </c>
      <c r="T26" s="5">
        <v>113</v>
      </c>
      <c r="U26" s="9"/>
    </row>
    <row r="27" spans="1:21" s="37" customFormat="1" ht="12" x14ac:dyDescent="0.3">
      <c r="A27" s="75" t="s">
        <v>1456</v>
      </c>
      <c r="B27" s="76" t="s">
        <v>1455</v>
      </c>
      <c r="C27" s="86">
        <v>950</v>
      </c>
      <c r="D27" s="87">
        <v>160</v>
      </c>
      <c r="E27" s="88">
        <v>48</v>
      </c>
      <c r="F27" s="87">
        <v>130.80000000000001</v>
      </c>
      <c r="G27" s="17">
        <v>40</v>
      </c>
      <c r="H27" s="89">
        <v>320</v>
      </c>
      <c r="I27" s="90">
        <v>34000</v>
      </c>
      <c r="J27" s="90" t="s">
        <v>68</v>
      </c>
      <c r="K27" s="90"/>
      <c r="L27" s="90"/>
      <c r="M27" s="91">
        <f>I27-K27</f>
        <v>34000</v>
      </c>
      <c r="N27" s="4">
        <f>IF(ISERROR(K27/I27),"",K27/I27)</f>
        <v>0</v>
      </c>
      <c r="O27" s="92">
        <f>I27/E27</f>
        <v>708.33333333333337</v>
      </c>
      <c r="P27" s="92">
        <f>K27/E27</f>
        <v>0</v>
      </c>
      <c r="Q27" s="80">
        <v>4</v>
      </c>
      <c r="R27" s="80">
        <v>2</v>
      </c>
      <c r="S27" s="80" t="s">
        <v>76</v>
      </c>
      <c r="T27" s="5" t="s">
        <v>119</v>
      </c>
      <c r="U27" s="9"/>
    </row>
    <row r="28" spans="1:21" s="37" customFormat="1" ht="12" x14ac:dyDescent="0.3">
      <c r="A28" s="75" t="s">
        <v>1458</v>
      </c>
      <c r="B28" s="76" t="s">
        <v>1460</v>
      </c>
      <c r="C28" s="86">
        <v>307</v>
      </c>
      <c r="D28" s="87">
        <v>158.30000000000001</v>
      </c>
      <c r="E28" s="88">
        <v>48</v>
      </c>
      <c r="F28" s="87">
        <v>127.2</v>
      </c>
      <c r="G28" s="17">
        <v>38</v>
      </c>
      <c r="H28" s="89">
        <v>77</v>
      </c>
      <c r="I28" s="90">
        <v>34000</v>
      </c>
      <c r="J28" s="90" t="s">
        <v>111</v>
      </c>
      <c r="K28" s="90"/>
      <c r="L28" s="90"/>
      <c r="M28" s="91">
        <f>I28-K28</f>
        <v>34000</v>
      </c>
      <c r="N28" s="4">
        <f>IF(ISERROR(K28/I28),"",K28/I28)</f>
        <v>0</v>
      </c>
      <c r="O28" s="92">
        <f>I28/E28</f>
        <v>708.33333333333337</v>
      </c>
      <c r="P28" s="92">
        <f>K28/E28</f>
        <v>0</v>
      </c>
      <c r="Q28" s="80">
        <v>4</v>
      </c>
      <c r="R28" s="80">
        <v>2</v>
      </c>
      <c r="S28" s="80" t="s">
        <v>76</v>
      </c>
      <c r="T28" s="5" t="s">
        <v>122</v>
      </c>
      <c r="U28" s="9"/>
    </row>
    <row r="29" spans="1:21" s="37" customFormat="1" ht="12" x14ac:dyDescent="0.3">
      <c r="A29" s="75" t="s">
        <v>1607</v>
      </c>
      <c r="B29" s="76" t="s">
        <v>1783</v>
      </c>
      <c r="C29" s="86">
        <v>354</v>
      </c>
      <c r="D29" s="87">
        <v>160.80000000000001</v>
      </c>
      <c r="E29" s="88">
        <v>49</v>
      </c>
      <c r="F29" s="87">
        <v>129.19999999999999</v>
      </c>
      <c r="G29" s="17">
        <v>39</v>
      </c>
      <c r="H29" s="89">
        <v>174</v>
      </c>
      <c r="I29" s="90">
        <v>34000</v>
      </c>
      <c r="J29" s="90" t="s">
        <v>68</v>
      </c>
      <c r="K29" s="90"/>
      <c r="L29" s="90"/>
      <c r="M29" s="91">
        <f>I29-K29</f>
        <v>34000</v>
      </c>
      <c r="N29" s="4">
        <f>IF(ISERROR(K29/I29),"",K29/I29)</f>
        <v>0</v>
      </c>
      <c r="O29" s="92">
        <f>I29/E29</f>
        <v>693.87755102040819</v>
      </c>
      <c r="P29" s="92">
        <f>K29/E29</f>
        <v>0</v>
      </c>
      <c r="Q29" s="80">
        <v>4</v>
      </c>
      <c r="R29" s="80">
        <v>2</v>
      </c>
      <c r="S29" s="80" t="s">
        <v>61</v>
      </c>
      <c r="T29" s="5">
        <v>160</v>
      </c>
      <c r="U29" s="9"/>
    </row>
    <row r="30" spans="1:21" s="37" customFormat="1" ht="12" x14ac:dyDescent="0.3">
      <c r="A30" s="75" t="s">
        <v>1849</v>
      </c>
      <c r="B30" s="76" t="s">
        <v>1546</v>
      </c>
      <c r="C30" s="86">
        <v>656</v>
      </c>
      <c r="D30" s="87">
        <v>125.6</v>
      </c>
      <c r="E30" s="88">
        <v>38</v>
      </c>
      <c r="F30" s="87">
        <v>92.7</v>
      </c>
      <c r="G30" s="17">
        <v>28</v>
      </c>
      <c r="H30" s="89">
        <v>274</v>
      </c>
      <c r="I30" s="90">
        <v>33500</v>
      </c>
      <c r="J30" s="90" t="s">
        <v>69</v>
      </c>
      <c r="K30" s="90"/>
      <c r="L30" s="90"/>
      <c r="M30" s="91">
        <f>I30-K30</f>
        <v>33500</v>
      </c>
      <c r="N30" s="4">
        <f>IF(ISERROR(K30/I30),"",K30/I30)</f>
        <v>0</v>
      </c>
      <c r="O30" s="92">
        <f>I30/E30</f>
        <v>881.57894736842104</v>
      </c>
      <c r="P30" s="92">
        <f>K30/E30</f>
        <v>0</v>
      </c>
      <c r="Q30" s="80">
        <v>3</v>
      </c>
      <c r="R30" s="80">
        <v>2</v>
      </c>
      <c r="S30" s="80" t="s">
        <v>61</v>
      </c>
      <c r="T30" s="5">
        <v>125</v>
      </c>
      <c r="U30" s="9"/>
    </row>
    <row r="31" spans="1:21" s="37" customFormat="1" ht="12" x14ac:dyDescent="0.3">
      <c r="A31" s="75" t="s">
        <v>1469</v>
      </c>
      <c r="B31" s="76" t="s">
        <v>1468</v>
      </c>
      <c r="C31" s="86">
        <v>317</v>
      </c>
      <c r="D31" s="87">
        <v>159.69999999999999</v>
      </c>
      <c r="E31" s="88">
        <v>48</v>
      </c>
      <c r="F31" s="87">
        <v>132.4</v>
      </c>
      <c r="G31" s="17">
        <v>40</v>
      </c>
      <c r="H31" s="89">
        <v>84</v>
      </c>
      <c r="I31" s="90">
        <v>33300</v>
      </c>
      <c r="J31" s="90" t="s">
        <v>81</v>
      </c>
      <c r="K31" s="90"/>
      <c r="L31" s="90"/>
      <c r="M31" s="91">
        <f>I31-K31</f>
        <v>33300</v>
      </c>
      <c r="N31" s="4">
        <f>IF(ISERROR(K31/I31),"",K31/I31)</f>
        <v>0</v>
      </c>
      <c r="O31" s="92">
        <f>I31/E31</f>
        <v>693.75</v>
      </c>
      <c r="P31" s="92">
        <f>K31/E31</f>
        <v>0</v>
      </c>
      <c r="Q31" s="80">
        <v>4</v>
      </c>
      <c r="R31" s="80">
        <v>2</v>
      </c>
      <c r="S31" s="80" t="s">
        <v>61</v>
      </c>
      <c r="T31" s="5">
        <v>159</v>
      </c>
      <c r="U31" s="9"/>
    </row>
    <row r="32" spans="1:21" s="37" customFormat="1" ht="12" x14ac:dyDescent="0.3">
      <c r="A32" s="75" t="s">
        <v>1593</v>
      </c>
      <c r="B32" s="76" t="s">
        <v>1859</v>
      </c>
      <c r="C32" s="86">
        <v>1400</v>
      </c>
      <c r="D32" s="87">
        <v>82</v>
      </c>
      <c r="E32" s="88">
        <v>25</v>
      </c>
      <c r="F32" s="87">
        <v>60</v>
      </c>
      <c r="G32" s="17">
        <v>18</v>
      </c>
      <c r="H32" s="89">
        <v>189</v>
      </c>
      <c r="I32" s="90">
        <v>33000</v>
      </c>
      <c r="J32" s="90" t="s">
        <v>120</v>
      </c>
      <c r="K32" s="90">
        <v>28000</v>
      </c>
      <c r="L32" s="90" t="s">
        <v>91</v>
      </c>
      <c r="M32" s="91">
        <f>I32-K32</f>
        <v>5000</v>
      </c>
      <c r="N32" s="4">
        <f>IF(ISERROR(K32/I32),"",K32/I32)</f>
        <v>0.84848484848484851</v>
      </c>
      <c r="O32" s="92">
        <f>I32/E32</f>
        <v>1320</v>
      </c>
      <c r="P32" s="92">
        <f>K32/E32</f>
        <v>1120</v>
      </c>
      <c r="Q32" s="80">
        <v>3</v>
      </c>
      <c r="R32" s="80">
        <v>2</v>
      </c>
      <c r="S32" s="80" t="s">
        <v>61</v>
      </c>
      <c r="T32" s="5" t="s">
        <v>121</v>
      </c>
      <c r="U32" s="9"/>
    </row>
    <row r="33" spans="1:21" s="37" customFormat="1" ht="12" x14ac:dyDescent="0.3">
      <c r="A33" s="75" t="s">
        <v>1456</v>
      </c>
      <c r="B33" s="76" t="s">
        <v>1455</v>
      </c>
      <c r="C33" s="86">
        <v>950</v>
      </c>
      <c r="D33" s="87">
        <v>146.5</v>
      </c>
      <c r="E33" s="88">
        <v>44</v>
      </c>
      <c r="F33" s="87">
        <v>113.5</v>
      </c>
      <c r="G33" s="17">
        <v>34</v>
      </c>
      <c r="H33" s="89">
        <v>114</v>
      </c>
      <c r="I33" s="90">
        <v>32500</v>
      </c>
      <c r="J33" s="90" t="s">
        <v>81</v>
      </c>
      <c r="K33" s="90"/>
      <c r="L33" s="90"/>
      <c r="M33" s="91">
        <f>I33-K33</f>
        <v>32500</v>
      </c>
      <c r="N33" s="4">
        <f>IF(ISERROR(K33/I33),"",K33/I33)</f>
        <v>0</v>
      </c>
      <c r="O33" s="92">
        <f>I33/E33</f>
        <v>738.63636363636363</v>
      </c>
      <c r="P33" s="92">
        <f>K33/E33</f>
        <v>0</v>
      </c>
      <c r="Q33" s="80">
        <v>3</v>
      </c>
      <c r="R33" s="80">
        <v>2</v>
      </c>
      <c r="S33" s="80" t="s">
        <v>76</v>
      </c>
      <c r="T33" s="5">
        <v>146</v>
      </c>
      <c r="U33" s="9"/>
    </row>
    <row r="34" spans="1:21" s="37" customFormat="1" ht="12" x14ac:dyDescent="0.3">
      <c r="A34" s="75" t="s">
        <v>1409</v>
      </c>
      <c r="B34" s="76" t="s">
        <v>1411</v>
      </c>
      <c r="C34" s="86">
        <v>437</v>
      </c>
      <c r="D34" s="87">
        <v>152.69999999999999</v>
      </c>
      <c r="E34" s="88">
        <v>46</v>
      </c>
      <c r="F34" s="87">
        <v>118.6</v>
      </c>
      <c r="G34" s="17">
        <v>36</v>
      </c>
      <c r="H34" s="89">
        <v>54</v>
      </c>
      <c r="I34" s="90">
        <v>32000</v>
      </c>
      <c r="J34" s="90" t="s">
        <v>67</v>
      </c>
      <c r="K34" s="90"/>
      <c r="L34" s="90"/>
      <c r="M34" s="91">
        <f>I34-K34</f>
        <v>32000</v>
      </c>
      <c r="N34" s="4">
        <f>IF(ISERROR(K34/I34),"",K34/I34)</f>
        <v>0</v>
      </c>
      <c r="O34" s="92">
        <f>I34/E34</f>
        <v>695.6521739130435</v>
      </c>
      <c r="P34" s="92">
        <f>K34/E34</f>
        <v>0</v>
      </c>
      <c r="Q34" s="80">
        <v>4</v>
      </c>
      <c r="R34" s="80">
        <v>2</v>
      </c>
      <c r="S34" s="80" t="s">
        <v>61</v>
      </c>
      <c r="T34" s="5">
        <v>152</v>
      </c>
      <c r="U34" s="9"/>
    </row>
    <row r="35" spans="1:21" s="37" customFormat="1" ht="12" x14ac:dyDescent="0.3">
      <c r="A35" s="75" t="s">
        <v>1458</v>
      </c>
      <c r="B35" s="76" t="s">
        <v>1459</v>
      </c>
      <c r="C35" s="86">
        <v>307</v>
      </c>
      <c r="D35" s="87">
        <v>131.5</v>
      </c>
      <c r="E35" s="88">
        <v>40</v>
      </c>
      <c r="F35" s="87">
        <v>104.6</v>
      </c>
      <c r="G35" s="17">
        <v>32</v>
      </c>
      <c r="H35" s="89">
        <v>79</v>
      </c>
      <c r="I35" s="90">
        <v>32000</v>
      </c>
      <c r="J35" s="90" t="s">
        <v>70</v>
      </c>
      <c r="K35" s="90"/>
      <c r="L35" s="90"/>
      <c r="M35" s="91">
        <f>I35-K35</f>
        <v>32000</v>
      </c>
      <c r="N35" s="4">
        <f>IF(ISERROR(K35/I35),"",K35/I35)</f>
        <v>0</v>
      </c>
      <c r="O35" s="92">
        <f>I35/E35</f>
        <v>800</v>
      </c>
      <c r="P35" s="92">
        <f>K35/E35</f>
        <v>0</v>
      </c>
      <c r="Q35" s="80">
        <v>3</v>
      </c>
      <c r="R35" s="80">
        <v>2</v>
      </c>
      <c r="S35" s="80" t="s">
        <v>76</v>
      </c>
      <c r="T35" s="5" t="s">
        <v>143</v>
      </c>
      <c r="U35" s="9"/>
    </row>
    <row r="36" spans="1:21" s="37" customFormat="1" ht="12" x14ac:dyDescent="0.3">
      <c r="A36" s="75" t="s">
        <v>1581</v>
      </c>
      <c r="B36" s="76" t="s">
        <v>1582</v>
      </c>
      <c r="C36" s="86">
        <v>805</v>
      </c>
      <c r="D36" s="87">
        <v>100</v>
      </c>
      <c r="E36" s="88">
        <v>30</v>
      </c>
      <c r="F36" s="87">
        <v>74.900000000000006</v>
      </c>
      <c r="G36" s="17">
        <v>23</v>
      </c>
      <c r="H36" s="89">
        <v>186</v>
      </c>
      <c r="I36" s="90">
        <v>32000</v>
      </c>
      <c r="J36" s="90" t="s">
        <v>68</v>
      </c>
      <c r="K36" s="90">
        <v>28000</v>
      </c>
      <c r="L36" s="90" t="s">
        <v>120</v>
      </c>
      <c r="M36" s="91">
        <f>I36-K36</f>
        <v>4000</v>
      </c>
      <c r="N36" s="4">
        <f>IF(ISERROR(K36/I36),"",K36/I36)</f>
        <v>0.875</v>
      </c>
      <c r="O36" s="92">
        <f>I36/E36</f>
        <v>1066.6666666666667</v>
      </c>
      <c r="P36" s="92">
        <f>K36/E36</f>
        <v>933.33333333333337</v>
      </c>
      <c r="Q36" s="80">
        <v>3</v>
      </c>
      <c r="R36" s="80">
        <v>2</v>
      </c>
      <c r="S36" s="80" t="s">
        <v>61</v>
      </c>
      <c r="T36" s="5" t="s">
        <v>118</v>
      </c>
      <c r="U36" s="9"/>
    </row>
    <row r="37" spans="1:21" s="37" customFormat="1" ht="12" x14ac:dyDescent="0.3">
      <c r="A37" s="75" t="s">
        <v>1590</v>
      </c>
      <c r="B37" s="76" t="s">
        <v>1591</v>
      </c>
      <c r="C37" s="86">
        <v>724</v>
      </c>
      <c r="D37" s="87">
        <v>115.6</v>
      </c>
      <c r="E37" s="88">
        <v>35</v>
      </c>
      <c r="F37" s="87">
        <v>84.9</v>
      </c>
      <c r="G37" s="17">
        <v>26</v>
      </c>
      <c r="H37" s="89">
        <v>206</v>
      </c>
      <c r="I37" s="90">
        <v>32000</v>
      </c>
      <c r="J37" s="90" t="s">
        <v>65</v>
      </c>
      <c r="K37" s="90">
        <v>28000</v>
      </c>
      <c r="L37" s="90" t="s">
        <v>68</v>
      </c>
      <c r="M37" s="91">
        <f>I37-K37</f>
        <v>4000</v>
      </c>
      <c r="N37" s="4">
        <f>IF(ISERROR(K37/I37),"",K37/I37)</f>
        <v>0.875</v>
      </c>
      <c r="O37" s="92">
        <f>I37/E37</f>
        <v>914.28571428571433</v>
      </c>
      <c r="P37" s="92">
        <f>K37/E37</f>
        <v>800</v>
      </c>
      <c r="Q37" s="80">
        <v>3</v>
      </c>
      <c r="R37" s="80">
        <v>2</v>
      </c>
      <c r="S37" s="80" t="s">
        <v>61</v>
      </c>
      <c r="T37" s="5" t="s">
        <v>93</v>
      </c>
      <c r="U37" s="9"/>
    </row>
    <row r="38" spans="1:21" s="37" customFormat="1" ht="12" x14ac:dyDescent="0.3">
      <c r="A38" s="75" t="s">
        <v>1866</v>
      </c>
      <c r="B38" s="76" t="s">
        <v>1867</v>
      </c>
      <c r="C38" s="86">
        <v>854</v>
      </c>
      <c r="D38" s="87">
        <v>80.5</v>
      </c>
      <c r="E38" s="88">
        <v>24</v>
      </c>
      <c r="F38" s="87">
        <v>59.9</v>
      </c>
      <c r="G38" s="17">
        <v>18</v>
      </c>
      <c r="H38" s="89">
        <v>174</v>
      </c>
      <c r="I38" s="90">
        <v>32000</v>
      </c>
      <c r="J38" s="90" t="s">
        <v>70</v>
      </c>
      <c r="K38" s="90">
        <v>25000</v>
      </c>
      <c r="L38" s="90" t="s">
        <v>65</v>
      </c>
      <c r="M38" s="91">
        <f>I38-K38</f>
        <v>7000</v>
      </c>
      <c r="N38" s="4">
        <f>IF(ISERROR(K38/I38),"",K38/I38)</f>
        <v>0.78125</v>
      </c>
      <c r="O38" s="92">
        <f>I38/E38</f>
        <v>1333.3333333333333</v>
      </c>
      <c r="P38" s="92">
        <f>K38/E38</f>
        <v>1041.6666666666667</v>
      </c>
      <c r="Q38" s="80">
        <v>3</v>
      </c>
      <c r="R38" s="80">
        <v>2</v>
      </c>
      <c r="S38" s="80" t="s">
        <v>61</v>
      </c>
      <c r="T38" s="5">
        <v>80</v>
      </c>
      <c r="U38" s="9"/>
    </row>
    <row r="39" spans="1:21" s="37" customFormat="1" ht="12" x14ac:dyDescent="0.3">
      <c r="A39" s="75" t="s">
        <v>1843</v>
      </c>
      <c r="B39" s="76" t="s">
        <v>1844</v>
      </c>
      <c r="C39" s="86">
        <v>1041</v>
      </c>
      <c r="D39" s="87">
        <v>114.2</v>
      </c>
      <c r="E39" s="88">
        <v>35</v>
      </c>
      <c r="F39" s="87">
        <v>85</v>
      </c>
      <c r="G39" s="17">
        <v>26</v>
      </c>
      <c r="H39" s="89">
        <v>466</v>
      </c>
      <c r="I39" s="90">
        <v>31500</v>
      </c>
      <c r="J39" s="90" t="s">
        <v>74</v>
      </c>
      <c r="K39" s="90">
        <v>26000</v>
      </c>
      <c r="L39" s="90" t="s">
        <v>67</v>
      </c>
      <c r="M39" s="91">
        <f>I39-K39</f>
        <v>5500</v>
      </c>
      <c r="N39" s="4">
        <f>IF(ISERROR(K39/I39),"",K39/I39)</f>
        <v>0.82539682539682535</v>
      </c>
      <c r="O39" s="92">
        <f>I39/E39</f>
        <v>900</v>
      </c>
      <c r="P39" s="92">
        <f>K39/E39</f>
        <v>742.85714285714289</v>
      </c>
      <c r="Q39" s="80">
        <v>3</v>
      </c>
      <c r="R39" s="80">
        <v>2</v>
      </c>
      <c r="S39" s="80" t="s">
        <v>61</v>
      </c>
      <c r="T39" s="5" t="s">
        <v>110</v>
      </c>
      <c r="U39" s="9"/>
    </row>
    <row r="40" spans="1:21" s="37" customFormat="1" ht="12" x14ac:dyDescent="0.3">
      <c r="A40" s="75" t="s">
        <v>1592</v>
      </c>
      <c r="B40" s="76" t="s">
        <v>1856</v>
      </c>
      <c r="C40" s="86">
        <v>469</v>
      </c>
      <c r="D40" s="87">
        <v>109.8</v>
      </c>
      <c r="E40" s="88">
        <v>33</v>
      </c>
      <c r="F40" s="87">
        <v>85</v>
      </c>
      <c r="G40" s="17">
        <v>26</v>
      </c>
      <c r="H40" s="89">
        <v>380</v>
      </c>
      <c r="I40" s="90">
        <v>31000</v>
      </c>
      <c r="J40" s="90" t="s">
        <v>77</v>
      </c>
      <c r="K40" s="90">
        <v>30000</v>
      </c>
      <c r="L40" s="90" t="s">
        <v>81</v>
      </c>
      <c r="M40" s="91">
        <f>I40-K40</f>
        <v>1000</v>
      </c>
      <c r="N40" s="4">
        <f>IF(ISERROR(K40/I40),"",K40/I40)</f>
        <v>0.967741935483871</v>
      </c>
      <c r="O40" s="92">
        <f>I40/E40</f>
        <v>939.39393939393938</v>
      </c>
      <c r="P40" s="92">
        <f>K40/E40</f>
        <v>909.09090909090912</v>
      </c>
      <c r="Q40" s="80">
        <v>3</v>
      </c>
      <c r="R40" s="80">
        <v>2</v>
      </c>
      <c r="S40" s="80" t="s">
        <v>61</v>
      </c>
      <c r="T40" s="5" t="s">
        <v>123</v>
      </c>
      <c r="U40" s="9"/>
    </row>
    <row r="41" spans="1:21" s="37" customFormat="1" ht="12" x14ac:dyDescent="0.3">
      <c r="A41" s="75" t="s">
        <v>1785</v>
      </c>
      <c r="B41" s="76" t="s">
        <v>1786</v>
      </c>
      <c r="C41" s="86">
        <v>654</v>
      </c>
      <c r="D41" s="87">
        <v>113</v>
      </c>
      <c r="E41" s="88">
        <v>34</v>
      </c>
      <c r="F41" s="87">
        <v>84.4</v>
      </c>
      <c r="G41" s="17">
        <v>26</v>
      </c>
      <c r="H41" s="89">
        <v>205</v>
      </c>
      <c r="I41" s="90">
        <v>30000</v>
      </c>
      <c r="J41" s="90" t="s">
        <v>66</v>
      </c>
      <c r="K41" s="90">
        <v>23000</v>
      </c>
      <c r="L41" s="90" t="s">
        <v>70</v>
      </c>
      <c r="M41" s="91">
        <f>I41-K41</f>
        <v>7000</v>
      </c>
      <c r="N41" s="4">
        <f>IF(ISERROR(K41/I41),"",K41/I41)</f>
        <v>0.76666666666666672</v>
      </c>
      <c r="O41" s="92">
        <f>I41/E41</f>
        <v>882.35294117647061</v>
      </c>
      <c r="P41" s="92">
        <f>K41/E41</f>
        <v>676.47058823529414</v>
      </c>
      <c r="Q41" s="80">
        <v>3</v>
      </c>
      <c r="R41" s="80">
        <v>2</v>
      </c>
      <c r="S41" s="80" t="s">
        <v>61</v>
      </c>
      <c r="T41" s="5" t="s">
        <v>108</v>
      </c>
      <c r="U41" s="9"/>
    </row>
    <row r="42" spans="1:21" s="37" customFormat="1" ht="12" x14ac:dyDescent="0.3">
      <c r="A42" s="75" t="s">
        <v>1787</v>
      </c>
      <c r="B42" s="76" t="s">
        <v>1788</v>
      </c>
      <c r="C42" s="86">
        <v>805</v>
      </c>
      <c r="D42" s="87">
        <v>87.9</v>
      </c>
      <c r="E42" s="88">
        <v>27</v>
      </c>
      <c r="F42" s="87">
        <v>65.900000000000006</v>
      </c>
      <c r="G42" s="17">
        <v>20</v>
      </c>
      <c r="H42" s="89">
        <v>47</v>
      </c>
      <c r="I42" s="90">
        <v>29000</v>
      </c>
      <c r="J42" s="90" t="s">
        <v>124</v>
      </c>
      <c r="K42" s="90"/>
      <c r="L42" s="90"/>
      <c r="M42" s="91">
        <f>I42-K42</f>
        <v>29000</v>
      </c>
      <c r="N42" s="4">
        <f>IF(ISERROR(K42/I42),"",K42/I42)</f>
        <v>0</v>
      </c>
      <c r="O42" s="92">
        <f>I42/E42</f>
        <v>1074.0740740740741</v>
      </c>
      <c r="P42" s="92">
        <f>K42/E42</f>
        <v>0</v>
      </c>
      <c r="Q42" s="80">
        <v>3</v>
      </c>
      <c r="R42" s="80">
        <v>2</v>
      </c>
      <c r="S42" s="80" t="s">
        <v>61</v>
      </c>
      <c r="T42" s="5" t="s">
        <v>125</v>
      </c>
      <c r="U42" s="9"/>
    </row>
    <row r="43" spans="1:21" s="37" customFormat="1" ht="12" x14ac:dyDescent="0.3">
      <c r="A43" s="75" t="s">
        <v>1581</v>
      </c>
      <c r="B43" s="76" t="s">
        <v>1582</v>
      </c>
      <c r="C43" s="86">
        <v>805</v>
      </c>
      <c r="D43" s="87">
        <v>80.3</v>
      </c>
      <c r="E43" s="88">
        <v>24</v>
      </c>
      <c r="F43" s="87">
        <v>59.9</v>
      </c>
      <c r="G43" s="17">
        <v>18</v>
      </c>
      <c r="H43" s="89">
        <v>78</v>
      </c>
      <c r="I43" s="90">
        <v>28500</v>
      </c>
      <c r="J43" s="90" t="s">
        <v>77</v>
      </c>
      <c r="K43" s="90"/>
      <c r="L43" s="90"/>
      <c r="M43" s="91">
        <f>I43-K43</f>
        <v>28500</v>
      </c>
      <c r="N43" s="4">
        <f>IF(ISERROR(K43/I43),"",K43/I43)</f>
        <v>0</v>
      </c>
      <c r="O43" s="92">
        <f>I43/E43</f>
        <v>1187.5</v>
      </c>
      <c r="P43" s="92">
        <f>K43/E43</f>
        <v>0</v>
      </c>
      <c r="Q43" s="80">
        <v>3</v>
      </c>
      <c r="R43" s="80">
        <v>1</v>
      </c>
      <c r="S43" s="80" t="s">
        <v>61</v>
      </c>
      <c r="T43" s="5">
        <v>80</v>
      </c>
      <c r="U43" s="9"/>
    </row>
    <row r="44" spans="1:21" s="37" customFormat="1" ht="12" x14ac:dyDescent="0.3">
      <c r="A44" s="75" t="s">
        <v>1861</v>
      </c>
      <c r="B44" s="76" t="s">
        <v>1860</v>
      </c>
      <c r="C44" s="86">
        <v>770</v>
      </c>
      <c r="D44" s="87">
        <v>112.1</v>
      </c>
      <c r="E44" s="88">
        <v>34</v>
      </c>
      <c r="F44" s="87">
        <v>85</v>
      </c>
      <c r="G44" s="17">
        <v>26</v>
      </c>
      <c r="H44" s="89">
        <v>277</v>
      </c>
      <c r="I44" s="90">
        <v>28000</v>
      </c>
      <c r="J44" s="90" t="s">
        <v>71</v>
      </c>
      <c r="K44" s="90">
        <v>22000</v>
      </c>
      <c r="L44" s="90" t="s">
        <v>154</v>
      </c>
      <c r="M44" s="91">
        <f>I44-K44</f>
        <v>6000</v>
      </c>
      <c r="N44" s="4">
        <f>IF(ISERROR(K44/I44),"",K44/I44)</f>
        <v>0.7857142857142857</v>
      </c>
      <c r="O44" s="92">
        <f>I44/E44</f>
        <v>823.52941176470586</v>
      </c>
      <c r="P44" s="92">
        <f>K44/E44</f>
        <v>647.05882352941171</v>
      </c>
      <c r="Q44" s="80">
        <v>3</v>
      </c>
      <c r="R44" s="80">
        <v>2</v>
      </c>
      <c r="S44" s="80" t="s">
        <v>61</v>
      </c>
      <c r="T44" s="5" t="s">
        <v>126</v>
      </c>
      <c r="U44" s="9"/>
    </row>
    <row r="45" spans="1:21" s="37" customFormat="1" ht="12" x14ac:dyDescent="0.3">
      <c r="A45" s="75" t="s">
        <v>1854</v>
      </c>
      <c r="B45" s="76" t="s">
        <v>1855</v>
      </c>
      <c r="C45" s="86">
        <v>449</v>
      </c>
      <c r="D45" s="87">
        <v>110.9</v>
      </c>
      <c r="E45" s="88">
        <v>34</v>
      </c>
      <c r="F45" s="87">
        <v>85</v>
      </c>
      <c r="G45" s="17">
        <v>26</v>
      </c>
      <c r="H45" s="89">
        <v>449</v>
      </c>
      <c r="I45" s="90">
        <v>27500</v>
      </c>
      <c r="J45" s="90" t="s">
        <v>80</v>
      </c>
      <c r="K45" s="90">
        <v>23000</v>
      </c>
      <c r="L45" s="90" t="s">
        <v>71</v>
      </c>
      <c r="M45" s="91">
        <f>I45-K45</f>
        <v>4500</v>
      </c>
      <c r="N45" s="4">
        <f>IF(ISERROR(K45/I45),"",K45/I45)</f>
        <v>0.83636363636363631</v>
      </c>
      <c r="O45" s="92">
        <f>I45/E45</f>
        <v>808.82352941176475</v>
      </c>
      <c r="P45" s="92">
        <f>K45/E45</f>
        <v>676.47058823529414</v>
      </c>
      <c r="Q45" s="80">
        <v>3</v>
      </c>
      <c r="R45" s="80">
        <v>2</v>
      </c>
      <c r="S45" s="80" t="s">
        <v>61</v>
      </c>
      <c r="T45" s="5">
        <v>110</v>
      </c>
      <c r="U45" s="9"/>
    </row>
    <row r="46" spans="1:21" s="37" customFormat="1" ht="12" x14ac:dyDescent="0.3">
      <c r="A46" s="75" t="s">
        <v>1872</v>
      </c>
      <c r="B46" s="76" t="s">
        <v>1873</v>
      </c>
      <c r="C46" s="86">
        <v>480</v>
      </c>
      <c r="D46" s="87">
        <v>110.7</v>
      </c>
      <c r="E46" s="88">
        <v>33</v>
      </c>
      <c r="F46" s="87">
        <v>84.9</v>
      </c>
      <c r="G46" s="17">
        <v>26</v>
      </c>
      <c r="H46" s="89">
        <v>251</v>
      </c>
      <c r="I46" s="90">
        <v>27500</v>
      </c>
      <c r="J46" s="90" t="s">
        <v>84</v>
      </c>
      <c r="K46" s="90">
        <v>24000</v>
      </c>
      <c r="L46" s="90" t="s">
        <v>96</v>
      </c>
      <c r="M46" s="91">
        <f>I46-K46</f>
        <v>3500</v>
      </c>
      <c r="N46" s="4">
        <f>IF(ISERROR(K46/I46),"",K46/I46)</f>
        <v>0.87272727272727268</v>
      </c>
      <c r="O46" s="92">
        <f>I46/E46</f>
        <v>833.33333333333337</v>
      </c>
      <c r="P46" s="92">
        <f>K46/E46</f>
        <v>727.27272727272725</v>
      </c>
      <c r="Q46" s="80">
        <v>3</v>
      </c>
      <c r="R46" s="80">
        <v>2</v>
      </c>
      <c r="S46" s="80" t="s">
        <v>61</v>
      </c>
      <c r="T46" s="5" t="s">
        <v>62</v>
      </c>
      <c r="U46" s="9"/>
    </row>
    <row r="47" spans="1:21" s="37" customFormat="1" ht="12" x14ac:dyDescent="0.3">
      <c r="A47" s="75" t="s">
        <v>1771</v>
      </c>
      <c r="B47" s="76" t="s">
        <v>1772</v>
      </c>
      <c r="C47" s="86">
        <v>352</v>
      </c>
      <c r="D47" s="87">
        <v>110.6</v>
      </c>
      <c r="E47" s="88">
        <v>33</v>
      </c>
      <c r="F47" s="87">
        <v>84.5</v>
      </c>
      <c r="G47" s="17">
        <v>26</v>
      </c>
      <c r="H47" s="89">
        <v>131</v>
      </c>
      <c r="I47" s="90">
        <v>27000</v>
      </c>
      <c r="J47" s="90" t="s">
        <v>84</v>
      </c>
      <c r="K47" s="90"/>
      <c r="L47" s="90"/>
      <c r="M47" s="91">
        <f>I47-K47</f>
        <v>27000</v>
      </c>
      <c r="N47" s="4">
        <f>IF(ISERROR(K47/I47),"",K47/I47)</f>
        <v>0</v>
      </c>
      <c r="O47" s="92">
        <f>I47/E47</f>
        <v>818.18181818181813</v>
      </c>
      <c r="P47" s="92">
        <f>K47/E47</f>
        <v>0</v>
      </c>
      <c r="Q47" s="80">
        <v>3</v>
      </c>
      <c r="R47" s="80">
        <v>2</v>
      </c>
      <c r="S47" s="80" t="s">
        <v>61</v>
      </c>
      <c r="T47" s="5" t="s">
        <v>97</v>
      </c>
      <c r="U47" s="9"/>
    </row>
    <row r="48" spans="1:21" s="37" customFormat="1" ht="12" x14ac:dyDescent="0.3">
      <c r="A48" s="75" t="s">
        <v>1590</v>
      </c>
      <c r="B48" s="76" t="s">
        <v>1591</v>
      </c>
      <c r="C48" s="86">
        <v>724</v>
      </c>
      <c r="D48" s="87">
        <v>99</v>
      </c>
      <c r="E48" s="88">
        <v>30</v>
      </c>
      <c r="F48" s="87">
        <v>69</v>
      </c>
      <c r="G48" s="17">
        <v>21</v>
      </c>
      <c r="H48" s="89">
        <v>212</v>
      </c>
      <c r="I48" s="90">
        <v>27000</v>
      </c>
      <c r="J48" s="90" t="s">
        <v>60</v>
      </c>
      <c r="K48" s="90">
        <v>22500</v>
      </c>
      <c r="L48" s="90" t="s">
        <v>68</v>
      </c>
      <c r="M48" s="91">
        <f>I48-K48</f>
        <v>4500</v>
      </c>
      <c r="N48" s="4">
        <f>IF(ISERROR(K48/I48),"",K48/I48)</f>
        <v>0.83333333333333337</v>
      </c>
      <c r="O48" s="92">
        <f>I48/E48</f>
        <v>900</v>
      </c>
      <c r="P48" s="92">
        <f>K48/E48</f>
        <v>750</v>
      </c>
      <c r="Q48" s="80">
        <v>3</v>
      </c>
      <c r="R48" s="80">
        <v>2</v>
      </c>
      <c r="S48" s="80" t="s">
        <v>61</v>
      </c>
      <c r="T48" s="5">
        <v>99</v>
      </c>
      <c r="U48" s="9"/>
    </row>
    <row r="49" spans="1:21" s="37" customFormat="1" ht="12" x14ac:dyDescent="0.3">
      <c r="A49" s="75" t="s">
        <v>1606</v>
      </c>
      <c r="B49" s="76" t="s">
        <v>1781</v>
      </c>
      <c r="C49" s="86">
        <v>1078</v>
      </c>
      <c r="D49" s="87">
        <v>80.3</v>
      </c>
      <c r="E49" s="88">
        <v>24</v>
      </c>
      <c r="F49" s="87">
        <v>60</v>
      </c>
      <c r="G49" s="17">
        <v>18</v>
      </c>
      <c r="H49" s="89">
        <v>141</v>
      </c>
      <c r="I49" s="90">
        <v>26000</v>
      </c>
      <c r="J49" s="90" t="s">
        <v>60</v>
      </c>
      <c r="K49" s="90"/>
      <c r="L49" s="90"/>
      <c r="M49" s="91">
        <f>I49-K49</f>
        <v>26000</v>
      </c>
      <c r="N49" s="4">
        <f>IF(ISERROR(K49/I49),"",K49/I49)</f>
        <v>0</v>
      </c>
      <c r="O49" s="92">
        <f>I49/E49</f>
        <v>1083.3333333333333</v>
      </c>
      <c r="P49" s="92">
        <f>K49/E49</f>
        <v>0</v>
      </c>
      <c r="Q49" s="80">
        <v>3</v>
      </c>
      <c r="R49" s="80">
        <v>2</v>
      </c>
      <c r="S49" s="80" t="s">
        <v>61</v>
      </c>
      <c r="T49" s="5">
        <v>80</v>
      </c>
      <c r="U49" s="9"/>
    </row>
    <row r="50" spans="1:21" s="37" customFormat="1" ht="12" x14ac:dyDescent="0.3">
      <c r="A50" s="75" t="s">
        <v>1441</v>
      </c>
      <c r="B50" s="76" t="s">
        <v>1442</v>
      </c>
      <c r="C50" s="86">
        <v>572</v>
      </c>
      <c r="D50" s="87">
        <v>153.4</v>
      </c>
      <c r="E50" s="88">
        <v>46</v>
      </c>
      <c r="F50" s="87">
        <v>131.80000000000001</v>
      </c>
      <c r="G50" s="17">
        <v>40</v>
      </c>
      <c r="H50" s="89">
        <v>52</v>
      </c>
      <c r="I50" s="90">
        <v>24000</v>
      </c>
      <c r="J50" s="90" t="s">
        <v>70</v>
      </c>
      <c r="K50" s="90"/>
      <c r="L50" s="90"/>
      <c r="M50" s="91">
        <f>I50-K50</f>
        <v>24000</v>
      </c>
      <c r="N50" s="4">
        <f>IF(ISERROR(K50/I50),"",K50/I50)</f>
        <v>0</v>
      </c>
      <c r="O50" s="92">
        <f>I50/E50</f>
        <v>521.73913043478262</v>
      </c>
      <c r="P50" s="92">
        <f>K50/E50</f>
        <v>0</v>
      </c>
      <c r="Q50" s="80">
        <v>4</v>
      </c>
      <c r="R50" s="80">
        <v>2</v>
      </c>
      <c r="S50" s="80" t="s">
        <v>61</v>
      </c>
      <c r="T50" s="5">
        <v>153</v>
      </c>
      <c r="U50" s="9"/>
    </row>
    <row r="51" spans="1:21" s="37" customFormat="1" ht="12" x14ac:dyDescent="0.3">
      <c r="A51" s="75" t="s">
        <v>1438</v>
      </c>
      <c r="B51" s="76" t="s">
        <v>1440</v>
      </c>
      <c r="C51" s="86">
        <v>670</v>
      </c>
      <c r="D51" s="87">
        <v>161.19999999999999</v>
      </c>
      <c r="E51" s="88">
        <v>49</v>
      </c>
      <c r="F51" s="87">
        <v>135</v>
      </c>
      <c r="G51" s="17">
        <v>41</v>
      </c>
      <c r="H51" s="89">
        <v>80</v>
      </c>
      <c r="I51" s="90">
        <v>23500</v>
      </c>
      <c r="J51" s="90" t="s">
        <v>80</v>
      </c>
      <c r="K51" s="90"/>
      <c r="L51" s="90"/>
      <c r="M51" s="91">
        <f>I51-K51</f>
        <v>23500</v>
      </c>
      <c r="N51" s="4">
        <f>IF(ISERROR(K51/I51),"",K51/I51)</f>
        <v>0</v>
      </c>
      <c r="O51" s="92">
        <f>I51/E51</f>
        <v>479.59183673469386</v>
      </c>
      <c r="P51" s="92">
        <f>K51/E51</f>
        <v>0</v>
      </c>
      <c r="Q51" s="80">
        <v>4</v>
      </c>
      <c r="R51" s="80">
        <v>2</v>
      </c>
      <c r="S51" s="80" t="s">
        <v>61</v>
      </c>
      <c r="T51" s="5">
        <v>161</v>
      </c>
      <c r="U51" s="9"/>
    </row>
    <row r="52" spans="1:21" s="37" customFormat="1" ht="12" x14ac:dyDescent="0.3">
      <c r="A52" s="75" t="s">
        <v>1437</v>
      </c>
      <c r="B52" s="76" t="s">
        <v>1371</v>
      </c>
      <c r="C52" s="86">
        <v>636</v>
      </c>
      <c r="D52" s="87">
        <v>124.6</v>
      </c>
      <c r="E52" s="88">
        <v>38</v>
      </c>
      <c r="F52" s="87">
        <v>99.9</v>
      </c>
      <c r="G52" s="17">
        <v>30</v>
      </c>
      <c r="H52" s="89">
        <v>78</v>
      </c>
      <c r="I52" s="90">
        <v>23000</v>
      </c>
      <c r="J52" s="90" t="s">
        <v>68</v>
      </c>
      <c r="K52" s="90"/>
      <c r="L52" s="90"/>
      <c r="M52" s="91">
        <f>I52-K52</f>
        <v>23000</v>
      </c>
      <c r="N52" s="4">
        <f>IF(ISERROR(K52/I52),"",K52/I52)</f>
        <v>0</v>
      </c>
      <c r="O52" s="92">
        <f>I52/E52</f>
        <v>605.26315789473688</v>
      </c>
      <c r="P52" s="92">
        <f>K52/E52</f>
        <v>0</v>
      </c>
      <c r="Q52" s="80">
        <v>3</v>
      </c>
      <c r="R52" s="80">
        <v>2</v>
      </c>
      <c r="S52" s="80" t="s">
        <v>61</v>
      </c>
      <c r="T52" s="5">
        <v>124</v>
      </c>
      <c r="U52" s="9"/>
    </row>
    <row r="53" spans="1:21" s="37" customFormat="1" ht="12" x14ac:dyDescent="0.3">
      <c r="A53" s="75" t="s">
        <v>1406</v>
      </c>
      <c r="B53" s="76" t="s">
        <v>1408</v>
      </c>
      <c r="C53" s="86">
        <v>800</v>
      </c>
      <c r="D53" s="87">
        <v>66</v>
      </c>
      <c r="E53" s="88">
        <v>20</v>
      </c>
      <c r="F53" s="87">
        <v>66</v>
      </c>
      <c r="G53" s="17">
        <v>20</v>
      </c>
      <c r="H53" s="89">
        <v>125</v>
      </c>
      <c r="I53" s="90">
        <v>22000</v>
      </c>
      <c r="J53" s="90" t="s">
        <v>66</v>
      </c>
      <c r="K53" s="90"/>
      <c r="L53" s="90"/>
      <c r="M53" s="91">
        <f>I53-K53</f>
        <v>22000</v>
      </c>
      <c r="N53" s="4">
        <f>IF(ISERROR(K53/I53),"",K53/I53)</f>
        <v>0</v>
      </c>
      <c r="O53" s="92">
        <f>I53/E53</f>
        <v>1100</v>
      </c>
      <c r="P53" s="92">
        <f>K53/E53</f>
        <v>0</v>
      </c>
      <c r="Q53" s="80">
        <v>3</v>
      </c>
      <c r="R53" s="80">
        <v>1</v>
      </c>
      <c r="S53" s="80" t="s">
        <v>61</v>
      </c>
      <c r="T53" s="5" t="s">
        <v>127</v>
      </c>
      <c r="U53" s="9"/>
    </row>
    <row r="54" spans="1:21" s="37" customFormat="1" ht="12" x14ac:dyDescent="0.3">
      <c r="A54" s="75" t="s">
        <v>1412</v>
      </c>
      <c r="B54" s="76" t="s">
        <v>1413</v>
      </c>
      <c r="C54" s="86">
        <v>420</v>
      </c>
      <c r="D54" s="87">
        <v>136.5</v>
      </c>
      <c r="E54" s="88">
        <v>41</v>
      </c>
      <c r="F54" s="87">
        <v>114.6</v>
      </c>
      <c r="G54" s="17">
        <v>35</v>
      </c>
      <c r="H54" s="89">
        <v>150</v>
      </c>
      <c r="I54" s="90">
        <v>22000</v>
      </c>
      <c r="J54" s="90" t="s">
        <v>68</v>
      </c>
      <c r="K54" s="90"/>
      <c r="L54" s="90"/>
      <c r="M54" s="91">
        <f>I54-K54</f>
        <v>22000</v>
      </c>
      <c r="N54" s="4">
        <f>IF(ISERROR(K54/I54),"",K54/I54)</f>
        <v>0</v>
      </c>
      <c r="O54" s="92">
        <f>I54/E54</f>
        <v>536.58536585365857</v>
      </c>
      <c r="P54" s="92">
        <f>K54/E54</f>
        <v>0</v>
      </c>
      <c r="Q54" s="80">
        <v>4</v>
      </c>
      <c r="R54" s="80">
        <v>2</v>
      </c>
      <c r="S54" s="80" t="s">
        <v>61</v>
      </c>
      <c r="T54" s="5">
        <v>136</v>
      </c>
      <c r="U54" s="9"/>
    </row>
    <row r="55" spans="1:21" s="37" customFormat="1" ht="12" x14ac:dyDescent="0.3">
      <c r="A55" s="75" t="s">
        <v>1477</v>
      </c>
      <c r="B55" s="76" t="s">
        <v>1525</v>
      </c>
      <c r="C55" s="86">
        <v>351</v>
      </c>
      <c r="D55" s="87">
        <v>119.9</v>
      </c>
      <c r="E55" s="88">
        <v>36</v>
      </c>
      <c r="F55" s="87">
        <v>85</v>
      </c>
      <c r="G55" s="17">
        <v>26</v>
      </c>
      <c r="H55" s="89">
        <v>202</v>
      </c>
      <c r="I55" s="90">
        <v>21500</v>
      </c>
      <c r="J55" s="90" t="s">
        <v>72</v>
      </c>
      <c r="K55" s="90">
        <v>19000</v>
      </c>
      <c r="L55" s="90" t="s">
        <v>84</v>
      </c>
      <c r="M55" s="91">
        <f>I55-K55</f>
        <v>2500</v>
      </c>
      <c r="N55" s="4">
        <f>IF(ISERROR(K55/I55),"",K55/I55)</f>
        <v>0.88372093023255816</v>
      </c>
      <c r="O55" s="92">
        <f>I55/E55</f>
        <v>597.22222222222217</v>
      </c>
      <c r="P55" s="92">
        <f>K55/E55</f>
        <v>527.77777777777783</v>
      </c>
      <c r="Q55" s="80">
        <v>3</v>
      </c>
      <c r="R55" s="80">
        <v>2</v>
      </c>
      <c r="S55" s="80" t="s">
        <v>76</v>
      </c>
      <c r="T55" s="5">
        <v>119</v>
      </c>
      <c r="U55" s="9"/>
    </row>
    <row r="56" spans="1:21" s="37" customFormat="1" ht="12" x14ac:dyDescent="0.3">
      <c r="A56" s="75" t="s">
        <v>1409</v>
      </c>
      <c r="B56" s="76" t="s">
        <v>1411</v>
      </c>
      <c r="C56" s="86">
        <v>437</v>
      </c>
      <c r="D56" s="87">
        <v>110.6</v>
      </c>
      <c r="E56" s="88">
        <v>33</v>
      </c>
      <c r="F56" s="87">
        <v>85</v>
      </c>
      <c r="G56" s="17">
        <v>26</v>
      </c>
      <c r="H56" s="89">
        <v>202</v>
      </c>
      <c r="I56" s="90">
        <v>21000</v>
      </c>
      <c r="J56" s="90" t="s">
        <v>70</v>
      </c>
      <c r="K56" s="90"/>
      <c r="L56" s="90"/>
      <c r="M56" s="91">
        <f>I56-K56</f>
        <v>21000</v>
      </c>
      <c r="N56" s="4">
        <f>IF(ISERROR(K56/I56),"",K56/I56)</f>
        <v>0</v>
      </c>
      <c r="O56" s="92">
        <f>I56/E56</f>
        <v>636.36363636363637</v>
      </c>
      <c r="P56" s="92">
        <f>K56/E56</f>
        <v>0</v>
      </c>
      <c r="Q56" s="80">
        <v>3</v>
      </c>
      <c r="R56" s="80">
        <v>2</v>
      </c>
      <c r="S56" s="80" t="s">
        <v>61</v>
      </c>
      <c r="T56" s="5" t="s">
        <v>62</v>
      </c>
      <c r="U56" s="9"/>
    </row>
    <row r="57" spans="1:21" s="37" customFormat="1" ht="12" x14ac:dyDescent="0.3">
      <c r="A57" s="75" t="s">
        <v>1587</v>
      </c>
      <c r="B57" s="76" t="s">
        <v>1845</v>
      </c>
      <c r="C57" s="86">
        <v>570</v>
      </c>
      <c r="D57" s="87">
        <v>83</v>
      </c>
      <c r="E57" s="88">
        <v>25</v>
      </c>
      <c r="F57" s="87">
        <v>60</v>
      </c>
      <c r="G57" s="17">
        <v>18</v>
      </c>
      <c r="H57" s="89">
        <v>235</v>
      </c>
      <c r="I57" s="90">
        <v>21000</v>
      </c>
      <c r="J57" s="90" t="s">
        <v>70</v>
      </c>
      <c r="K57" s="90">
        <v>18500</v>
      </c>
      <c r="L57" s="90" t="s">
        <v>67</v>
      </c>
      <c r="M57" s="91">
        <f>I57-K57</f>
        <v>2500</v>
      </c>
      <c r="N57" s="4">
        <f>IF(ISERROR(K57/I57),"",K57/I57)</f>
        <v>0.88095238095238093</v>
      </c>
      <c r="O57" s="92">
        <f>I57/E57</f>
        <v>840</v>
      </c>
      <c r="P57" s="92">
        <f>K57/E57</f>
        <v>740</v>
      </c>
      <c r="Q57" s="80">
        <v>3</v>
      </c>
      <c r="R57" s="80">
        <v>2</v>
      </c>
      <c r="S57" s="80" t="s">
        <v>61</v>
      </c>
      <c r="T57" s="5" t="s">
        <v>90</v>
      </c>
      <c r="U57" s="9"/>
    </row>
    <row r="58" spans="1:21" s="37" customFormat="1" ht="12" x14ac:dyDescent="0.3">
      <c r="A58" s="75" t="s">
        <v>1588</v>
      </c>
      <c r="B58" s="76" t="s">
        <v>1589</v>
      </c>
      <c r="C58" s="86">
        <v>941</v>
      </c>
      <c r="D58" s="87">
        <v>111.5</v>
      </c>
      <c r="E58" s="88">
        <v>34</v>
      </c>
      <c r="F58" s="87">
        <v>84.7</v>
      </c>
      <c r="G58" s="17">
        <v>26</v>
      </c>
      <c r="H58" s="89">
        <v>729</v>
      </c>
      <c r="I58" s="90">
        <v>20000</v>
      </c>
      <c r="J58" s="90" t="s">
        <v>72</v>
      </c>
      <c r="K58" s="90">
        <v>17500</v>
      </c>
      <c r="L58" s="90" t="s">
        <v>75</v>
      </c>
      <c r="M58" s="91">
        <f>I58-K58</f>
        <v>2500</v>
      </c>
      <c r="N58" s="4">
        <f>IF(ISERROR(K58/I58),"",K58/I58)</f>
        <v>0.875</v>
      </c>
      <c r="O58" s="92">
        <f>I58/E58</f>
        <v>588.23529411764707</v>
      </c>
      <c r="P58" s="92">
        <f>K58/E58</f>
        <v>514.70588235294122</v>
      </c>
      <c r="Q58" s="80">
        <v>3</v>
      </c>
      <c r="R58" s="80">
        <v>2</v>
      </c>
      <c r="S58" s="80" t="s">
        <v>61</v>
      </c>
      <c r="T58" s="5" t="s">
        <v>92</v>
      </c>
      <c r="U58" s="9"/>
    </row>
    <row r="59" spans="1:21" s="37" customFormat="1" ht="12" x14ac:dyDescent="0.3">
      <c r="A59" s="75" t="s">
        <v>1561</v>
      </c>
      <c r="B59" s="76" t="s">
        <v>1860</v>
      </c>
      <c r="C59" s="86">
        <v>770</v>
      </c>
      <c r="D59" s="87">
        <v>79.099999999999994</v>
      </c>
      <c r="E59" s="88">
        <v>24</v>
      </c>
      <c r="F59" s="87">
        <v>59.9</v>
      </c>
      <c r="G59" s="17">
        <v>18</v>
      </c>
      <c r="H59" s="89">
        <v>129</v>
      </c>
      <c r="I59" s="90">
        <v>20000</v>
      </c>
      <c r="J59" s="90" t="s">
        <v>95</v>
      </c>
      <c r="K59" s="90">
        <v>17000</v>
      </c>
      <c r="L59" s="90" t="s">
        <v>68</v>
      </c>
      <c r="M59" s="91">
        <f>I59-K59</f>
        <v>3000</v>
      </c>
      <c r="N59" s="4">
        <f>IF(ISERROR(K59/I59),"",K59/I59)</f>
        <v>0.85</v>
      </c>
      <c r="O59" s="92">
        <f>I59/E59</f>
        <v>833.33333333333337</v>
      </c>
      <c r="P59" s="92">
        <f>K59/E59</f>
        <v>708.33333333333337</v>
      </c>
      <c r="Q59" s="80">
        <v>3</v>
      </c>
      <c r="R59" s="80">
        <v>1</v>
      </c>
      <c r="S59" s="80" t="s">
        <v>61</v>
      </c>
      <c r="T59" s="5">
        <v>79</v>
      </c>
      <c r="U59" s="9"/>
    </row>
    <row r="60" spans="1:21" s="37" customFormat="1" ht="12" x14ac:dyDescent="0.3">
      <c r="A60" s="75" t="s">
        <v>1385</v>
      </c>
      <c r="B60" s="76" t="s">
        <v>1386</v>
      </c>
      <c r="C60" s="86">
        <v>392</v>
      </c>
      <c r="D60" s="87">
        <v>87.1</v>
      </c>
      <c r="E60" s="88">
        <v>26</v>
      </c>
      <c r="F60" s="87">
        <v>59.6</v>
      </c>
      <c r="G60" s="17">
        <v>18</v>
      </c>
      <c r="H60" s="89">
        <v>392</v>
      </c>
      <c r="I60" s="90">
        <v>19500</v>
      </c>
      <c r="J60" s="90" t="s">
        <v>68</v>
      </c>
      <c r="K60" s="90">
        <v>19000</v>
      </c>
      <c r="L60" s="90" t="s">
        <v>77</v>
      </c>
      <c r="M60" s="91">
        <f>I60-K60</f>
        <v>500</v>
      </c>
      <c r="N60" s="4">
        <f>IF(ISERROR(K60/I60),"",K60/I60)</f>
        <v>0.97435897435897434</v>
      </c>
      <c r="O60" s="92">
        <f>I60/E60</f>
        <v>750</v>
      </c>
      <c r="P60" s="92">
        <f>K60/E60</f>
        <v>730.76923076923072</v>
      </c>
      <c r="Q60" s="80">
        <v>3</v>
      </c>
      <c r="R60" s="80">
        <v>2</v>
      </c>
      <c r="S60" s="80" t="s">
        <v>61</v>
      </c>
      <c r="T60" s="5">
        <v>87</v>
      </c>
      <c r="U60" s="9"/>
    </row>
    <row r="61" spans="1:21" s="37" customFormat="1" ht="12" x14ac:dyDescent="0.3">
      <c r="A61" s="75" t="s">
        <v>1846</v>
      </c>
      <c r="B61" s="76" t="s">
        <v>1847</v>
      </c>
      <c r="C61" s="86">
        <v>657</v>
      </c>
      <c r="D61" s="87">
        <v>105.2</v>
      </c>
      <c r="E61" s="88">
        <v>32</v>
      </c>
      <c r="F61" s="87">
        <v>85</v>
      </c>
      <c r="G61" s="17">
        <v>26</v>
      </c>
      <c r="H61" s="89">
        <v>249</v>
      </c>
      <c r="I61" s="90">
        <v>19000</v>
      </c>
      <c r="J61" s="90" t="s">
        <v>67</v>
      </c>
      <c r="K61" s="90">
        <v>18000</v>
      </c>
      <c r="L61" s="90" t="s">
        <v>74</v>
      </c>
      <c r="M61" s="91">
        <f>I61-K61</f>
        <v>1000</v>
      </c>
      <c r="N61" s="4">
        <f>IF(ISERROR(K61/I61),"",K61/I61)</f>
        <v>0.94736842105263153</v>
      </c>
      <c r="O61" s="92">
        <f>I61/E61</f>
        <v>593.75</v>
      </c>
      <c r="P61" s="92">
        <f>K61/E61</f>
        <v>562.5</v>
      </c>
      <c r="Q61" s="80">
        <v>3</v>
      </c>
      <c r="R61" s="80">
        <v>2</v>
      </c>
      <c r="S61" s="80" t="s">
        <v>61</v>
      </c>
      <c r="T61" s="5">
        <v>105</v>
      </c>
      <c r="U61" s="9"/>
    </row>
    <row r="62" spans="1:21" s="37" customFormat="1" ht="12" x14ac:dyDescent="0.3">
      <c r="A62" s="75" t="s">
        <v>1437</v>
      </c>
      <c r="B62" s="76" t="s">
        <v>1436</v>
      </c>
      <c r="C62" s="86">
        <v>636</v>
      </c>
      <c r="D62" s="87">
        <v>105.9</v>
      </c>
      <c r="E62" s="88">
        <v>32</v>
      </c>
      <c r="F62" s="87">
        <v>85</v>
      </c>
      <c r="G62" s="17">
        <v>26</v>
      </c>
      <c r="H62" s="89">
        <v>386</v>
      </c>
      <c r="I62" s="90">
        <v>18700</v>
      </c>
      <c r="J62" s="90" t="s">
        <v>72</v>
      </c>
      <c r="K62" s="90">
        <v>19000</v>
      </c>
      <c r="L62" s="90" t="s">
        <v>70</v>
      </c>
      <c r="M62" s="91">
        <f>I62-K62</f>
        <v>-300</v>
      </c>
      <c r="N62" s="4">
        <f>IF(ISERROR(K62/I62),"",K62/I62)</f>
        <v>1.0160427807486632</v>
      </c>
      <c r="O62" s="92">
        <f>I62/E62</f>
        <v>584.375</v>
      </c>
      <c r="P62" s="92">
        <f>K62/E62</f>
        <v>593.75</v>
      </c>
      <c r="Q62" s="80">
        <v>3</v>
      </c>
      <c r="R62" s="80">
        <v>2</v>
      </c>
      <c r="S62" s="80" t="s">
        <v>61</v>
      </c>
      <c r="T62" s="5">
        <v>105</v>
      </c>
      <c r="U62" s="9"/>
    </row>
    <row r="63" spans="1:21" s="37" customFormat="1" ht="12" x14ac:dyDescent="0.3">
      <c r="A63" s="75" t="s">
        <v>1776</v>
      </c>
      <c r="B63" s="76" t="s">
        <v>1401</v>
      </c>
      <c r="C63" s="86">
        <v>345</v>
      </c>
      <c r="D63" s="87">
        <v>115.7</v>
      </c>
      <c r="E63" s="88">
        <v>35</v>
      </c>
      <c r="F63" s="87">
        <v>93.6</v>
      </c>
      <c r="G63" s="17">
        <v>28</v>
      </c>
      <c r="H63" s="89">
        <v>75</v>
      </c>
      <c r="I63" s="90">
        <v>18500</v>
      </c>
      <c r="J63" s="90" t="s">
        <v>60</v>
      </c>
      <c r="K63" s="90"/>
      <c r="L63" s="90"/>
      <c r="M63" s="91">
        <f>I63-K63</f>
        <v>18500</v>
      </c>
      <c r="N63" s="4">
        <f>IF(ISERROR(K63/I63),"",K63/I63)</f>
        <v>0</v>
      </c>
      <c r="O63" s="92">
        <f>I63/E63</f>
        <v>528.57142857142856</v>
      </c>
      <c r="P63" s="92">
        <f>K63/E63</f>
        <v>0</v>
      </c>
      <c r="Q63" s="80">
        <v>3</v>
      </c>
      <c r="R63" s="80">
        <v>2</v>
      </c>
      <c r="S63" s="80" t="s">
        <v>61</v>
      </c>
      <c r="T63" s="5">
        <v>115</v>
      </c>
      <c r="U63" s="9"/>
    </row>
    <row r="64" spans="1:21" s="37" customFormat="1" ht="12" x14ac:dyDescent="0.3">
      <c r="A64" s="75" t="s">
        <v>1400</v>
      </c>
      <c r="B64" s="76" t="s">
        <v>1401</v>
      </c>
      <c r="C64" s="86">
        <v>345</v>
      </c>
      <c r="D64" s="87">
        <v>120.2</v>
      </c>
      <c r="E64" s="88">
        <v>36</v>
      </c>
      <c r="F64" s="87">
        <v>100</v>
      </c>
      <c r="G64" s="17">
        <v>30</v>
      </c>
      <c r="H64" s="89">
        <v>270</v>
      </c>
      <c r="I64" s="90">
        <v>18000</v>
      </c>
      <c r="J64" s="90" t="s">
        <v>68</v>
      </c>
      <c r="K64" s="90"/>
      <c r="L64" s="90"/>
      <c r="M64" s="91">
        <f>I64-K64</f>
        <v>18000</v>
      </c>
      <c r="N64" s="4">
        <f>IF(ISERROR(K64/I64),"",K64/I64)</f>
        <v>0</v>
      </c>
      <c r="O64" s="92">
        <f>I64/E64</f>
        <v>500</v>
      </c>
      <c r="P64" s="92">
        <f>K64/E64</f>
        <v>0</v>
      </c>
      <c r="Q64" s="80">
        <v>3</v>
      </c>
      <c r="R64" s="80">
        <v>2</v>
      </c>
      <c r="S64" s="80" t="s">
        <v>61</v>
      </c>
      <c r="T64" s="5">
        <v>120</v>
      </c>
      <c r="U64" s="9"/>
    </row>
    <row r="65" spans="1:21" s="37" customFormat="1" ht="12" x14ac:dyDescent="0.3">
      <c r="A65" s="75" t="s">
        <v>1406</v>
      </c>
      <c r="B65" s="76" t="s">
        <v>1408</v>
      </c>
      <c r="C65" s="86">
        <v>800</v>
      </c>
      <c r="D65" s="87">
        <v>54.1</v>
      </c>
      <c r="E65" s="88">
        <v>16</v>
      </c>
      <c r="F65" s="87">
        <v>54.1</v>
      </c>
      <c r="G65" s="17">
        <v>16</v>
      </c>
      <c r="H65" s="89">
        <v>115</v>
      </c>
      <c r="I65" s="90">
        <v>18000</v>
      </c>
      <c r="J65" s="90" t="s">
        <v>68</v>
      </c>
      <c r="K65" s="90"/>
      <c r="L65" s="90"/>
      <c r="M65" s="91">
        <f>I65-K65</f>
        <v>18000</v>
      </c>
      <c r="N65" s="4">
        <f>IF(ISERROR(K65/I65),"",K65/I65)</f>
        <v>0</v>
      </c>
      <c r="O65" s="92">
        <f>I65/E65</f>
        <v>1125</v>
      </c>
      <c r="P65" s="92">
        <f>K65/E65</f>
        <v>0</v>
      </c>
      <c r="Q65" s="80">
        <v>2</v>
      </c>
      <c r="R65" s="80">
        <v>1</v>
      </c>
      <c r="S65" s="80" t="s">
        <v>61</v>
      </c>
      <c r="T65" s="5" t="s">
        <v>128</v>
      </c>
      <c r="U65" s="9"/>
    </row>
    <row r="66" spans="1:21" s="37" customFormat="1" ht="12" x14ac:dyDescent="0.3">
      <c r="A66" s="75" t="s">
        <v>1412</v>
      </c>
      <c r="B66" s="76" t="s">
        <v>1414</v>
      </c>
      <c r="C66" s="86">
        <v>420</v>
      </c>
      <c r="D66" s="87">
        <v>112.4</v>
      </c>
      <c r="E66" s="88">
        <v>34</v>
      </c>
      <c r="F66" s="87">
        <v>92.3</v>
      </c>
      <c r="G66" s="17">
        <v>28</v>
      </c>
      <c r="H66" s="89">
        <v>270</v>
      </c>
      <c r="I66" s="90">
        <v>18000</v>
      </c>
      <c r="J66" s="90" t="s">
        <v>67</v>
      </c>
      <c r="K66" s="90"/>
      <c r="L66" s="90"/>
      <c r="M66" s="91">
        <f>I66-K66</f>
        <v>18000</v>
      </c>
      <c r="N66" s="4">
        <f>IF(ISERROR(K66/I66),"",K66/I66)</f>
        <v>0</v>
      </c>
      <c r="O66" s="92">
        <f>I66/E66</f>
        <v>529.41176470588232</v>
      </c>
      <c r="P66" s="92">
        <f>K66/E66</f>
        <v>0</v>
      </c>
      <c r="Q66" s="80">
        <v>3</v>
      </c>
      <c r="R66" s="80">
        <v>2</v>
      </c>
      <c r="S66" s="80" t="s">
        <v>61</v>
      </c>
      <c r="T66" s="5">
        <v>112</v>
      </c>
      <c r="U66" s="9"/>
    </row>
    <row r="67" spans="1:21" s="37" customFormat="1" ht="12" x14ac:dyDescent="0.3">
      <c r="A67" s="75" t="s">
        <v>1406</v>
      </c>
      <c r="B67" s="76" t="s">
        <v>1408</v>
      </c>
      <c r="C67" s="86">
        <v>800</v>
      </c>
      <c r="D67" s="87">
        <v>53.6</v>
      </c>
      <c r="E67" s="88">
        <v>16</v>
      </c>
      <c r="F67" s="87">
        <v>48.6</v>
      </c>
      <c r="G67" s="17">
        <v>15</v>
      </c>
      <c r="H67" s="89">
        <v>136</v>
      </c>
      <c r="I67" s="90">
        <v>17500</v>
      </c>
      <c r="J67" s="90" t="s">
        <v>68</v>
      </c>
      <c r="K67" s="90"/>
      <c r="L67" s="90"/>
      <c r="M67" s="91">
        <f>I67-K67</f>
        <v>17500</v>
      </c>
      <c r="N67" s="4">
        <f>IF(ISERROR(K67/I67),"",K67/I67)</f>
        <v>0</v>
      </c>
      <c r="O67" s="92">
        <f>I67/E67</f>
        <v>1093.75</v>
      </c>
      <c r="P67" s="92">
        <f>K67/E67</f>
        <v>0</v>
      </c>
      <c r="Q67" s="80">
        <v>2</v>
      </c>
      <c r="R67" s="80">
        <v>1</v>
      </c>
      <c r="S67" s="80" t="s">
        <v>61</v>
      </c>
      <c r="T67" s="5" t="s">
        <v>129</v>
      </c>
      <c r="U67" s="9"/>
    </row>
    <row r="68" spans="1:21" s="37" customFormat="1" ht="12" x14ac:dyDescent="0.3">
      <c r="A68" s="75" t="s">
        <v>1587</v>
      </c>
      <c r="B68" s="76" t="s">
        <v>1845</v>
      </c>
      <c r="C68" s="86">
        <v>570</v>
      </c>
      <c r="D68" s="87">
        <v>71.8</v>
      </c>
      <c r="E68" s="88">
        <v>22</v>
      </c>
      <c r="F68" s="87">
        <v>49.9</v>
      </c>
      <c r="G68" s="17">
        <v>15</v>
      </c>
      <c r="H68" s="89">
        <v>104</v>
      </c>
      <c r="I68" s="90">
        <v>17500</v>
      </c>
      <c r="J68" s="90" t="s">
        <v>71</v>
      </c>
      <c r="K68" s="90">
        <v>16000</v>
      </c>
      <c r="L68" s="90" t="s">
        <v>71</v>
      </c>
      <c r="M68" s="91">
        <f>I68-K68</f>
        <v>1500</v>
      </c>
      <c r="N68" s="4">
        <f>IF(ISERROR(K68/I68),"",K68/I68)</f>
        <v>0.91428571428571426</v>
      </c>
      <c r="O68" s="92">
        <f>I68/E68</f>
        <v>795.4545454545455</v>
      </c>
      <c r="P68" s="92">
        <f>K68/E68</f>
        <v>727.27272727272725</v>
      </c>
      <c r="Q68" s="80">
        <v>2</v>
      </c>
      <c r="R68" s="80">
        <v>1</v>
      </c>
      <c r="S68" s="80" t="s">
        <v>61</v>
      </c>
      <c r="T68" s="5">
        <v>71</v>
      </c>
      <c r="U68" s="9"/>
    </row>
    <row r="69" spans="1:21" s="37" customFormat="1" ht="12" x14ac:dyDescent="0.3">
      <c r="A69" s="75" t="s">
        <v>1846</v>
      </c>
      <c r="B69" s="76" t="s">
        <v>1847</v>
      </c>
      <c r="C69" s="86">
        <v>657</v>
      </c>
      <c r="D69" s="87">
        <v>96.4</v>
      </c>
      <c r="E69" s="88">
        <v>29</v>
      </c>
      <c r="F69" s="87">
        <v>75.2</v>
      </c>
      <c r="G69" s="17">
        <v>23</v>
      </c>
      <c r="H69" s="89">
        <v>136</v>
      </c>
      <c r="I69" s="90">
        <v>17500</v>
      </c>
      <c r="J69" s="90" t="s">
        <v>69</v>
      </c>
      <c r="K69" s="90"/>
      <c r="L69" s="90"/>
      <c r="M69" s="91">
        <f>I69-K69</f>
        <v>17500</v>
      </c>
      <c r="N69" s="4">
        <f>IF(ISERROR(K69/I69),"",K69/I69)</f>
        <v>0</v>
      </c>
      <c r="O69" s="92">
        <f>I69/E69</f>
        <v>603.44827586206895</v>
      </c>
      <c r="P69" s="92">
        <f>K69/E69</f>
        <v>0</v>
      </c>
      <c r="Q69" s="80">
        <v>3</v>
      </c>
      <c r="R69" s="80">
        <v>1</v>
      </c>
      <c r="S69" s="80" t="s">
        <v>61</v>
      </c>
      <c r="T69" s="5">
        <v>96</v>
      </c>
      <c r="U69" s="9"/>
    </row>
    <row r="70" spans="1:21" s="37" customFormat="1" ht="12" x14ac:dyDescent="0.3">
      <c r="A70" s="75" t="s">
        <v>1387</v>
      </c>
      <c r="B70" s="76" t="s">
        <v>1389</v>
      </c>
      <c r="C70" s="86">
        <v>336</v>
      </c>
      <c r="D70" s="87">
        <v>103</v>
      </c>
      <c r="E70" s="88">
        <v>31</v>
      </c>
      <c r="F70" s="87">
        <v>84.8</v>
      </c>
      <c r="G70" s="17">
        <v>26</v>
      </c>
      <c r="H70" s="89">
        <v>120</v>
      </c>
      <c r="I70" s="90">
        <v>17300</v>
      </c>
      <c r="J70" s="90" t="s">
        <v>70</v>
      </c>
      <c r="K70" s="90"/>
      <c r="L70" s="90"/>
      <c r="M70" s="91">
        <f>I70-K70</f>
        <v>17300</v>
      </c>
      <c r="N70" s="4">
        <f>IF(ISERROR(K70/I70),"",K70/I70)</f>
        <v>0</v>
      </c>
      <c r="O70" s="92">
        <f>I70/E70</f>
        <v>558.06451612903231</v>
      </c>
      <c r="P70" s="92">
        <f>K70/E70</f>
        <v>0</v>
      </c>
      <c r="Q70" s="80">
        <v>3</v>
      </c>
      <c r="R70" s="80">
        <v>2</v>
      </c>
      <c r="S70" s="80" t="s">
        <v>61</v>
      </c>
      <c r="T70" s="5">
        <v>103</v>
      </c>
      <c r="U70" s="9"/>
    </row>
    <row r="71" spans="1:21" s="37" customFormat="1" ht="12" x14ac:dyDescent="0.3">
      <c r="A71" s="75" t="s">
        <v>1438</v>
      </c>
      <c r="B71" s="76" t="s">
        <v>1439</v>
      </c>
      <c r="C71" s="86">
        <v>670</v>
      </c>
      <c r="D71" s="87">
        <v>107.4</v>
      </c>
      <c r="E71" s="88">
        <v>32</v>
      </c>
      <c r="F71" s="87">
        <v>85</v>
      </c>
      <c r="G71" s="17">
        <v>26</v>
      </c>
      <c r="H71" s="89">
        <v>422</v>
      </c>
      <c r="I71" s="90">
        <v>17200</v>
      </c>
      <c r="J71" s="90" t="s">
        <v>81</v>
      </c>
      <c r="K71" s="90">
        <v>17000</v>
      </c>
      <c r="L71" s="90" t="s">
        <v>91</v>
      </c>
      <c r="M71" s="91">
        <f>I71-K71</f>
        <v>200</v>
      </c>
      <c r="N71" s="4">
        <f>IF(ISERROR(K71/I71),"",K71/I71)</f>
        <v>0.98837209302325579</v>
      </c>
      <c r="O71" s="92">
        <f>I71/E71</f>
        <v>537.5</v>
      </c>
      <c r="P71" s="92">
        <f>K71/E71</f>
        <v>531.25</v>
      </c>
      <c r="Q71" s="80">
        <v>3</v>
      </c>
      <c r="R71" s="80">
        <v>2</v>
      </c>
      <c r="S71" s="80" t="s">
        <v>61</v>
      </c>
      <c r="T71" s="5">
        <v>107</v>
      </c>
      <c r="U71" s="9"/>
    </row>
    <row r="72" spans="1:21" s="37" customFormat="1" ht="12" x14ac:dyDescent="0.3">
      <c r="A72" s="75" t="s">
        <v>1876</v>
      </c>
      <c r="B72" s="76" t="s">
        <v>1877</v>
      </c>
      <c r="C72" s="86">
        <v>560</v>
      </c>
      <c r="D72" s="87">
        <v>103.9</v>
      </c>
      <c r="E72" s="88">
        <v>31</v>
      </c>
      <c r="F72" s="87">
        <v>85</v>
      </c>
      <c r="G72" s="17">
        <v>26</v>
      </c>
      <c r="H72" s="89">
        <v>420</v>
      </c>
      <c r="I72" s="90">
        <v>17000</v>
      </c>
      <c r="J72" s="90" t="s">
        <v>65</v>
      </c>
      <c r="K72" s="90"/>
      <c r="L72" s="90"/>
      <c r="M72" s="91">
        <f>I72-K72</f>
        <v>17000</v>
      </c>
      <c r="N72" s="4">
        <f>IF(ISERROR(K72/I72),"",K72/I72)</f>
        <v>0</v>
      </c>
      <c r="O72" s="92">
        <f>I72/E72</f>
        <v>548.38709677419354</v>
      </c>
      <c r="P72" s="92">
        <f>K72/E72</f>
        <v>0</v>
      </c>
      <c r="Q72" s="80">
        <v>3</v>
      </c>
      <c r="R72" s="80">
        <v>2</v>
      </c>
      <c r="S72" s="80" t="s">
        <v>61</v>
      </c>
      <c r="T72" s="5">
        <v>103</v>
      </c>
      <c r="U72" s="9"/>
    </row>
    <row r="73" spans="1:21" s="37" customFormat="1" ht="12" x14ac:dyDescent="0.3">
      <c r="A73" s="75" t="s">
        <v>1811</v>
      </c>
      <c r="B73" s="76" t="s">
        <v>1812</v>
      </c>
      <c r="C73" s="86">
        <v>381</v>
      </c>
      <c r="D73" s="87">
        <v>104.4</v>
      </c>
      <c r="E73" s="88">
        <v>32</v>
      </c>
      <c r="F73" s="87">
        <v>84.9</v>
      </c>
      <c r="G73" s="17">
        <v>26</v>
      </c>
      <c r="H73" s="89">
        <v>132</v>
      </c>
      <c r="I73" s="90">
        <v>16500</v>
      </c>
      <c r="J73" s="90" t="s">
        <v>84</v>
      </c>
      <c r="K73" s="90"/>
      <c r="L73" s="90"/>
      <c r="M73" s="91">
        <f>I73-K73</f>
        <v>16500</v>
      </c>
      <c r="N73" s="4">
        <f>IF(ISERROR(K73/I73),"",K73/I73)</f>
        <v>0</v>
      </c>
      <c r="O73" s="92">
        <f>I73/E73</f>
        <v>515.625</v>
      </c>
      <c r="P73" s="92">
        <f>K73/E73</f>
        <v>0</v>
      </c>
      <c r="Q73" s="80">
        <v>3</v>
      </c>
      <c r="R73" s="80">
        <v>2</v>
      </c>
      <c r="S73" s="80" t="s">
        <v>61</v>
      </c>
      <c r="T73" s="5">
        <v>104</v>
      </c>
      <c r="U73" s="9"/>
    </row>
    <row r="74" spans="1:21" s="37" customFormat="1" ht="12" x14ac:dyDescent="0.3">
      <c r="A74" s="75" t="s">
        <v>1862</v>
      </c>
      <c r="B74" s="76" t="s">
        <v>1863</v>
      </c>
      <c r="C74" s="86">
        <v>306</v>
      </c>
      <c r="D74" s="87">
        <v>104.6</v>
      </c>
      <c r="E74" s="88">
        <v>32</v>
      </c>
      <c r="F74" s="87">
        <v>85</v>
      </c>
      <c r="G74" s="17">
        <v>26</v>
      </c>
      <c r="H74" s="89">
        <v>132</v>
      </c>
      <c r="I74" s="90">
        <v>16500</v>
      </c>
      <c r="J74" s="90" t="s">
        <v>72</v>
      </c>
      <c r="K74" s="90"/>
      <c r="L74" s="90"/>
      <c r="M74" s="91">
        <f>I74-K74</f>
        <v>16500</v>
      </c>
      <c r="N74" s="4">
        <f>IF(ISERROR(K74/I74),"",K74/I74)</f>
        <v>0</v>
      </c>
      <c r="O74" s="92">
        <f>I74/E74</f>
        <v>515.625</v>
      </c>
      <c r="P74" s="92">
        <f>K74/E74</f>
        <v>0</v>
      </c>
      <c r="Q74" s="80">
        <v>3</v>
      </c>
      <c r="R74" s="80">
        <v>2</v>
      </c>
      <c r="S74" s="80" t="s">
        <v>61</v>
      </c>
      <c r="T74" s="5">
        <v>104</v>
      </c>
      <c r="U74" s="9"/>
    </row>
    <row r="75" spans="1:21" s="37" customFormat="1" ht="12" x14ac:dyDescent="0.3">
      <c r="A75" s="75" t="s">
        <v>1441</v>
      </c>
      <c r="B75" s="76" t="s">
        <v>1442</v>
      </c>
      <c r="C75" s="86">
        <v>572</v>
      </c>
      <c r="D75" s="87">
        <v>104.5</v>
      </c>
      <c r="E75" s="88">
        <v>32</v>
      </c>
      <c r="F75" s="87">
        <v>84.8</v>
      </c>
      <c r="G75" s="17">
        <v>26</v>
      </c>
      <c r="H75" s="89">
        <v>286</v>
      </c>
      <c r="I75" s="90">
        <v>16000</v>
      </c>
      <c r="J75" s="90" t="s">
        <v>81</v>
      </c>
      <c r="K75" s="90"/>
      <c r="L75" s="90"/>
      <c r="M75" s="91">
        <f>I75-K75</f>
        <v>16000</v>
      </c>
      <c r="N75" s="4">
        <f>IF(ISERROR(K75/I75),"",K75/I75)</f>
        <v>0</v>
      </c>
      <c r="O75" s="92">
        <f>I75/E75</f>
        <v>500</v>
      </c>
      <c r="P75" s="92">
        <f>K75/E75</f>
        <v>0</v>
      </c>
      <c r="Q75" s="80">
        <v>3</v>
      </c>
      <c r="R75" s="80">
        <v>2</v>
      </c>
      <c r="S75" s="80" t="s">
        <v>61</v>
      </c>
      <c r="T75" s="5">
        <v>104</v>
      </c>
      <c r="U75" s="9"/>
    </row>
    <row r="76" spans="1:21" s="37" customFormat="1" ht="12" x14ac:dyDescent="0.3">
      <c r="A76" s="75" t="s">
        <v>1813</v>
      </c>
      <c r="B76" s="76" t="s">
        <v>1812</v>
      </c>
      <c r="C76" s="86">
        <v>381</v>
      </c>
      <c r="D76" s="87">
        <v>155.19999999999999</v>
      </c>
      <c r="E76" s="88">
        <v>47</v>
      </c>
      <c r="F76" s="87">
        <v>131.4</v>
      </c>
      <c r="G76" s="17">
        <v>40</v>
      </c>
      <c r="H76" s="89">
        <v>90</v>
      </c>
      <c r="I76" s="90">
        <v>16000</v>
      </c>
      <c r="J76" s="90" t="s">
        <v>81</v>
      </c>
      <c r="K76" s="90"/>
      <c r="L76" s="90"/>
      <c r="M76" s="91">
        <f>I76-K76</f>
        <v>16000</v>
      </c>
      <c r="N76" s="4">
        <f>IF(ISERROR(K76/I76),"",K76/I76)</f>
        <v>0</v>
      </c>
      <c r="O76" s="92">
        <f>I76/E76</f>
        <v>340.42553191489361</v>
      </c>
      <c r="P76" s="92">
        <f>K76/E76</f>
        <v>0</v>
      </c>
      <c r="Q76" s="80">
        <v>4</v>
      </c>
      <c r="R76" s="80">
        <v>2</v>
      </c>
      <c r="S76" s="80" t="s">
        <v>61</v>
      </c>
      <c r="T76" s="5">
        <v>155</v>
      </c>
      <c r="U76" s="9"/>
    </row>
    <row r="77" spans="1:21" s="37" customFormat="1" ht="12" x14ac:dyDescent="0.3">
      <c r="A77" s="75" t="s">
        <v>1405</v>
      </c>
      <c r="B77" s="76" t="s">
        <v>1401</v>
      </c>
      <c r="C77" s="86">
        <v>490</v>
      </c>
      <c r="D77" s="87">
        <v>103.8</v>
      </c>
      <c r="E77" s="88">
        <v>31</v>
      </c>
      <c r="F77" s="87">
        <v>85</v>
      </c>
      <c r="G77" s="17">
        <v>26</v>
      </c>
      <c r="H77" s="89">
        <v>228</v>
      </c>
      <c r="I77" s="90">
        <v>15700</v>
      </c>
      <c r="J77" s="90" t="s">
        <v>70</v>
      </c>
      <c r="K77" s="90">
        <v>14000</v>
      </c>
      <c r="L77" s="90" t="s">
        <v>71</v>
      </c>
      <c r="M77" s="91">
        <f>I77-K77</f>
        <v>1700</v>
      </c>
      <c r="N77" s="4">
        <f>IF(ISERROR(K77/I77),"",K77/I77)</f>
        <v>0.89171974522292996</v>
      </c>
      <c r="O77" s="92">
        <f>I77/E77</f>
        <v>506.45161290322579</v>
      </c>
      <c r="P77" s="92">
        <f>K77/E77</f>
        <v>451.61290322580646</v>
      </c>
      <c r="Q77" s="80">
        <v>3</v>
      </c>
      <c r="R77" s="80">
        <v>2</v>
      </c>
      <c r="S77" s="80" t="s">
        <v>61</v>
      </c>
      <c r="T77" s="5">
        <v>103</v>
      </c>
      <c r="U77" s="9"/>
    </row>
    <row r="78" spans="1:21" s="37" customFormat="1" ht="12" x14ac:dyDescent="0.3">
      <c r="A78" s="75" t="s">
        <v>1422</v>
      </c>
      <c r="B78" s="76" t="s">
        <v>1401</v>
      </c>
      <c r="C78" s="86">
        <v>479</v>
      </c>
      <c r="D78" s="87">
        <v>105.3</v>
      </c>
      <c r="E78" s="88">
        <v>32</v>
      </c>
      <c r="F78" s="87">
        <v>85</v>
      </c>
      <c r="G78" s="17">
        <v>26</v>
      </c>
      <c r="H78" s="89">
        <v>199</v>
      </c>
      <c r="I78" s="90">
        <v>15000</v>
      </c>
      <c r="J78" s="90" t="s">
        <v>72</v>
      </c>
      <c r="K78" s="90"/>
      <c r="L78" s="90"/>
      <c r="M78" s="91">
        <f>I78-K78</f>
        <v>15000</v>
      </c>
      <c r="N78" s="4">
        <f>IF(ISERROR(K78/I78),"",K78/I78)</f>
        <v>0</v>
      </c>
      <c r="O78" s="92">
        <f>I78/E78</f>
        <v>468.75</v>
      </c>
      <c r="P78" s="92">
        <f>K78/E78</f>
        <v>0</v>
      </c>
      <c r="Q78" s="80">
        <v>3</v>
      </c>
      <c r="R78" s="80">
        <v>2</v>
      </c>
      <c r="S78" s="80" t="s">
        <v>61</v>
      </c>
      <c r="T78" s="5">
        <v>105</v>
      </c>
      <c r="U78" s="9"/>
    </row>
    <row r="79" spans="1:21" s="37" customFormat="1" ht="12" x14ac:dyDescent="0.3">
      <c r="A79" s="75" t="s">
        <v>1479</v>
      </c>
      <c r="B79" s="76" t="s">
        <v>1480</v>
      </c>
      <c r="C79" s="86">
        <v>499</v>
      </c>
      <c r="D79" s="87">
        <v>80.099999999999994</v>
      </c>
      <c r="E79" s="88">
        <v>24</v>
      </c>
      <c r="F79" s="87">
        <v>60</v>
      </c>
      <c r="G79" s="17">
        <v>18</v>
      </c>
      <c r="H79" s="89">
        <v>139</v>
      </c>
      <c r="I79" s="90">
        <v>15000</v>
      </c>
      <c r="J79" s="90" t="s">
        <v>68</v>
      </c>
      <c r="K79" s="90">
        <v>15000</v>
      </c>
      <c r="L79" s="90" t="s">
        <v>74</v>
      </c>
      <c r="M79" s="91">
        <f>I79-K79</f>
        <v>0</v>
      </c>
      <c r="N79" s="4">
        <f>IF(ISERROR(K79/I79),"",K79/I79)</f>
        <v>1</v>
      </c>
      <c r="O79" s="92">
        <f>I79/E79</f>
        <v>625</v>
      </c>
      <c r="P79" s="92">
        <f>K79/E79</f>
        <v>625</v>
      </c>
      <c r="Q79" s="80">
        <v>3</v>
      </c>
      <c r="R79" s="80">
        <v>1</v>
      </c>
      <c r="S79" s="80" t="s">
        <v>61</v>
      </c>
      <c r="T79" s="5">
        <v>80</v>
      </c>
      <c r="U79" s="9"/>
    </row>
    <row r="80" spans="1:21" s="37" customFormat="1" ht="12" x14ac:dyDescent="0.3">
      <c r="A80" s="75" t="s">
        <v>1452</v>
      </c>
      <c r="B80" s="76" t="s">
        <v>1453</v>
      </c>
      <c r="C80" s="86">
        <v>716</v>
      </c>
      <c r="D80" s="87">
        <v>104</v>
      </c>
      <c r="E80" s="88">
        <v>31</v>
      </c>
      <c r="F80" s="87">
        <v>84.9</v>
      </c>
      <c r="G80" s="17">
        <v>26</v>
      </c>
      <c r="H80" s="89">
        <v>462</v>
      </c>
      <c r="I80" s="90">
        <v>14500</v>
      </c>
      <c r="J80" s="90" t="s">
        <v>81</v>
      </c>
      <c r="K80" s="90">
        <v>12500</v>
      </c>
      <c r="L80" s="90" t="s">
        <v>81</v>
      </c>
      <c r="M80" s="91">
        <f>I80-K80</f>
        <v>2000</v>
      </c>
      <c r="N80" s="4">
        <f>IF(ISERROR(K80/I80),"",K80/I80)</f>
        <v>0.86206896551724133</v>
      </c>
      <c r="O80" s="92">
        <f>I80/E80</f>
        <v>467.74193548387098</v>
      </c>
      <c r="P80" s="92">
        <f>K80/E80</f>
        <v>403.22580645161293</v>
      </c>
      <c r="Q80" s="80">
        <v>3</v>
      </c>
      <c r="R80" s="80">
        <v>2</v>
      </c>
      <c r="S80" s="80" t="s">
        <v>61</v>
      </c>
      <c r="T80" s="5">
        <v>104</v>
      </c>
      <c r="U80" s="9"/>
    </row>
    <row r="81" spans="1:21" s="37" customFormat="1" ht="12" x14ac:dyDescent="0.3">
      <c r="A81" s="75" t="s">
        <v>1777</v>
      </c>
      <c r="B81" s="76" t="s">
        <v>1410</v>
      </c>
      <c r="C81" s="86">
        <v>437</v>
      </c>
      <c r="D81" s="87">
        <v>78</v>
      </c>
      <c r="E81" s="88">
        <v>24</v>
      </c>
      <c r="F81" s="87">
        <v>59.9</v>
      </c>
      <c r="G81" s="17">
        <v>18</v>
      </c>
      <c r="H81" s="89">
        <v>155</v>
      </c>
      <c r="I81" s="90">
        <v>14200</v>
      </c>
      <c r="J81" s="90" t="s">
        <v>68</v>
      </c>
      <c r="K81" s="90">
        <v>13000</v>
      </c>
      <c r="L81" s="90" t="s">
        <v>72</v>
      </c>
      <c r="M81" s="91">
        <f>I81-K81</f>
        <v>1200</v>
      </c>
      <c r="N81" s="4">
        <f>IF(ISERROR(K81/I81),"",K81/I81)</f>
        <v>0.91549295774647887</v>
      </c>
      <c r="O81" s="92">
        <f>I81/E81</f>
        <v>591.66666666666663</v>
      </c>
      <c r="P81" s="92">
        <f>K81/E81</f>
        <v>541.66666666666663</v>
      </c>
      <c r="Q81" s="80">
        <v>3</v>
      </c>
      <c r="R81" s="80">
        <v>2</v>
      </c>
      <c r="S81" s="80" t="s">
        <v>61</v>
      </c>
      <c r="T81" s="5">
        <v>77</v>
      </c>
      <c r="U81" s="9"/>
    </row>
    <row r="82" spans="1:21" s="37" customFormat="1" ht="12" x14ac:dyDescent="0.3">
      <c r="A82" s="75" t="s">
        <v>1402</v>
      </c>
      <c r="B82" s="76" t="s">
        <v>1404</v>
      </c>
      <c r="C82" s="86">
        <v>930</v>
      </c>
      <c r="D82" s="87">
        <v>101.7</v>
      </c>
      <c r="E82" s="88">
        <v>31</v>
      </c>
      <c r="F82" s="87">
        <v>84.8</v>
      </c>
      <c r="G82" s="17">
        <v>26</v>
      </c>
      <c r="H82" s="89">
        <v>600</v>
      </c>
      <c r="I82" s="90">
        <v>14000</v>
      </c>
      <c r="J82" s="90" t="s">
        <v>84</v>
      </c>
      <c r="K82" s="90">
        <v>13000</v>
      </c>
      <c r="L82" s="90" t="s">
        <v>68</v>
      </c>
      <c r="M82" s="91">
        <f>I82-K82</f>
        <v>1000</v>
      </c>
      <c r="N82" s="4">
        <f>IF(ISERROR(K82/I82),"",K82/I82)</f>
        <v>0.9285714285714286</v>
      </c>
      <c r="O82" s="92">
        <f>I82/E82</f>
        <v>451.61290322580646</v>
      </c>
      <c r="P82" s="92">
        <f>K82/E82</f>
        <v>419.35483870967744</v>
      </c>
      <c r="Q82" s="80">
        <v>3</v>
      </c>
      <c r="R82" s="80">
        <v>2</v>
      </c>
      <c r="S82" s="80" t="s">
        <v>61</v>
      </c>
      <c r="T82" s="5">
        <v>101</v>
      </c>
      <c r="U82" s="9"/>
    </row>
    <row r="83" spans="1:21" s="37" customFormat="1" ht="12" x14ac:dyDescent="0.3">
      <c r="A83" s="75" t="s">
        <v>1874</v>
      </c>
      <c r="B83" s="76" t="s">
        <v>1875</v>
      </c>
      <c r="C83" s="86">
        <v>560</v>
      </c>
      <c r="D83" s="87">
        <v>91.9</v>
      </c>
      <c r="E83" s="88">
        <v>28</v>
      </c>
      <c r="F83" s="87">
        <v>75.099999999999994</v>
      </c>
      <c r="G83" s="17">
        <v>23</v>
      </c>
      <c r="H83" s="89">
        <v>112</v>
      </c>
      <c r="I83" s="90">
        <v>14000</v>
      </c>
      <c r="J83" s="90" t="s">
        <v>68</v>
      </c>
      <c r="K83" s="90"/>
      <c r="L83" s="90"/>
      <c r="M83" s="91">
        <f>I83-K83</f>
        <v>14000</v>
      </c>
      <c r="N83" s="4">
        <f>IF(ISERROR(K83/I83),"",K83/I83)</f>
        <v>0</v>
      </c>
      <c r="O83" s="92">
        <f>I83/E83</f>
        <v>500</v>
      </c>
      <c r="P83" s="92">
        <f>K83/E83</f>
        <v>0</v>
      </c>
      <c r="Q83" s="80">
        <v>3</v>
      </c>
      <c r="R83" s="80">
        <v>1</v>
      </c>
      <c r="S83" s="80" t="s">
        <v>61</v>
      </c>
      <c r="T83" s="5">
        <v>91</v>
      </c>
      <c r="U83" s="9"/>
    </row>
    <row r="84" spans="1:21" s="37" customFormat="1" ht="12" x14ac:dyDescent="0.3">
      <c r="A84" s="75" t="s">
        <v>1398</v>
      </c>
      <c r="B84" s="76" t="s">
        <v>1453</v>
      </c>
      <c r="C84" s="86">
        <v>460</v>
      </c>
      <c r="D84" s="87">
        <v>106</v>
      </c>
      <c r="E84" s="88">
        <v>32</v>
      </c>
      <c r="F84" s="87">
        <v>84.8</v>
      </c>
      <c r="G84" s="17">
        <v>26</v>
      </c>
      <c r="H84" s="89">
        <v>278</v>
      </c>
      <c r="I84" s="90">
        <v>13800</v>
      </c>
      <c r="J84" s="90" t="s">
        <v>111</v>
      </c>
      <c r="K84" s="90"/>
      <c r="L84" s="90"/>
      <c r="M84" s="91">
        <f>I84-K84</f>
        <v>13800</v>
      </c>
      <c r="N84" s="4">
        <f>IF(ISERROR(K84/I84),"",K84/I84)</f>
        <v>0</v>
      </c>
      <c r="O84" s="92">
        <f>I84/E84</f>
        <v>431.25</v>
      </c>
      <c r="P84" s="92">
        <f>K84/E84</f>
        <v>0</v>
      </c>
      <c r="Q84" s="80">
        <v>3</v>
      </c>
      <c r="R84" s="80">
        <v>2</v>
      </c>
      <c r="S84" s="80" t="s">
        <v>61</v>
      </c>
      <c r="T84" s="5">
        <v>105</v>
      </c>
      <c r="U84" s="9"/>
    </row>
    <row r="85" spans="1:21" s="37" customFormat="1" ht="12" x14ac:dyDescent="0.3">
      <c r="A85" s="75" t="s">
        <v>1418</v>
      </c>
      <c r="B85" s="76" t="s">
        <v>1419</v>
      </c>
      <c r="C85" s="86">
        <v>420</v>
      </c>
      <c r="D85" s="87">
        <v>105.9</v>
      </c>
      <c r="E85" s="88">
        <v>32</v>
      </c>
      <c r="F85" s="87">
        <v>84.8</v>
      </c>
      <c r="G85" s="17">
        <v>26</v>
      </c>
      <c r="H85" s="89">
        <v>182</v>
      </c>
      <c r="I85" s="90">
        <v>13500</v>
      </c>
      <c r="J85" s="90" t="s">
        <v>60</v>
      </c>
      <c r="K85" s="90"/>
      <c r="L85" s="90"/>
      <c r="M85" s="91">
        <f>I85-K85</f>
        <v>13500</v>
      </c>
      <c r="N85" s="4">
        <f>IF(ISERROR(K85/I85),"",K85/I85)</f>
        <v>0</v>
      </c>
      <c r="O85" s="92">
        <f>I85/E85</f>
        <v>421.875</v>
      </c>
      <c r="P85" s="92">
        <f>K85/E85</f>
        <v>0</v>
      </c>
      <c r="Q85" s="80">
        <v>3</v>
      </c>
      <c r="R85" s="80">
        <v>2</v>
      </c>
      <c r="S85" s="80" t="s">
        <v>61</v>
      </c>
      <c r="T85" s="5">
        <v>105</v>
      </c>
      <c r="U85" s="9"/>
    </row>
    <row r="86" spans="1:21" s="37" customFormat="1" ht="12" x14ac:dyDescent="0.3">
      <c r="A86" s="75" t="s">
        <v>1390</v>
      </c>
      <c r="B86" s="76" t="s">
        <v>1391</v>
      </c>
      <c r="C86" s="86">
        <v>899</v>
      </c>
      <c r="D86" s="87">
        <v>105.9</v>
      </c>
      <c r="E86" s="88">
        <v>32</v>
      </c>
      <c r="F86" s="87">
        <v>84.7</v>
      </c>
      <c r="G86" s="17">
        <v>26</v>
      </c>
      <c r="H86" s="89">
        <v>377</v>
      </c>
      <c r="I86" s="90">
        <v>13200</v>
      </c>
      <c r="J86" s="90" t="s">
        <v>69</v>
      </c>
      <c r="K86" s="90">
        <v>12000</v>
      </c>
      <c r="L86" s="90" t="s">
        <v>67</v>
      </c>
      <c r="M86" s="91">
        <f>I86-K86</f>
        <v>1200</v>
      </c>
      <c r="N86" s="4">
        <f>IF(ISERROR(K86/I86),"",K86/I86)</f>
        <v>0.90909090909090906</v>
      </c>
      <c r="O86" s="92">
        <f>I86/E86</f>
        <v>412.5</v>
      </c>
      <c r="P86" s="92">
        <f>K86/E86</f>
        <v>375</v>
      </c>
      <c r="Q86" s="80">
        <v>3</v>
      </c>
      <c r="R86" s="80">
        <v>2</v>
      </c>
      <c r="S86" s="80" t="s">
        <v>61</v>
      </c>
      <c r="T86" s="5">
        <v>105</v>
      </c>
      <c r="U86" s="9"/>
    </row>
    <row r="87" spans="1:21" s="37" customFormat="1" ht="12" x14ac:dyDescent="0.3">
      <c r="A87" s="75" t="s">
        <v>1773</v>
      </c>
      <c r="B87" s="76" t="s">
        <v>1373</v>
      </c>
      <c r="C87" s="86">
        <v>1084</v>
      </c>
      <c r="D87" s="87">
        <v>102.5</v>
      </c>
      <c r="E87" s="88">
        <v>31</v>
      </c>
      <c r="F87" s="87">
        <v>84.9</v>
      </c>
      <c r="G87" s="17">
        <v>26</v>
      </c>
      <c r="H87" s="89">
        <v>537</v>
      </c>
      <c r="I87" s="90">
        <v>13000</v>
      </c>
      <c r="J87" s="90" t="s">
        <v>74</v>
      </c>
      <c r="K87" s="90"/>
      <c r="L87" s="90"/>
      <c r="M87" s="91">
        <f>I87-K87</f>
        <v>13000</v>
      </c>
      <c r="N87" s="4">
        <f>IF(ISERROR(K87/I87),"",K87/I87)</f>
        <v>0</v>
      </c>
      <c r="O87" s="92">
        <f>I87/E87</f>
        <v>419.35483870967744</v>
      </c>
      <c r="P87" s="92">
        <f>K87/E87</f>
        <v>0</v>
      </c>
      <c r="Q87" s="80">
        <v>3</v>
      </c>
      <c r="R87" s="80">
        <v>2</v>
      </c>
      <c r="S87" s="80" t="s">
        <v>61</v>
      </c>
      <c r="T87" s="5">
        <v>102</v>
      </c>
      <c r="U87" s="9"/>
    </row>
    <row r="88" spans="1:21" s="37" customFormat="1" ht="12" x14ac:dyDescent="0.3">
      <c r="A88" s="75" t="s">
        <v>1402</v>
      </c>
      <c r="B88" s="76" t="s">
        <v>1403</v>
      </c>
      <c r="C88" s="86">
        <v>930</v>
      </c>
      <c r="D88" s="87">
        <v>89.1</v>
      </c>
      <c r="E88" s="88">
        <v>27</v>
      </c>
      <c r="F88" s="87">
        <v>73.099999999999994</v>
      </c>
      <c r="G88" s="17">
        <v>22</v>
      </c>
      <c r="H88" s="89">
        <v>330</v>
      </c>
      <c r="I88" s="90">
        <v>13000</v>
      </c>
      <c r="J88" s="90" t="s">
        <v>84</v>
      </c>
      <c r="K88" s="90">
        <v>13000</v>
      </c>
      <c r="L88" s="90" t="s">
        <v>65</v>
      </c>
      <c r="M88" s="91">
        <f>I88-K88</f>
        <v>0</v>
      </c>
      <c r="N88" s="4">
        <f>IF(ISERROR(K88/I88),"",K88/I88)</f>
        <v>1</v>
      </c>
      <c r="O88" s="92">
        <f>I88/E88</f>
        <v>481.48148148148147</v>
      </c>
      <c r="P88" s="92">
        <f>K88/E88</f>
        <v>481.48148148148147</v>
      </c>
      <c r="Q88" s="80">
        <v>3</v>
      </c>
      <c r="R88" s="80">
        <v>2</v>
      </c>
      <c r="S88" s="80" t="s">
        <v>61</v>
      </c>
      <c r="T88" s="5">
        <v>89</v>
      </c>
      <c r="U88" s="9"/>
    </row>
    <row r="89" spans="1:21" s="37" customFormat="1" ht="12" x14ac:dyDescent="0.3">
      <c r="A89" s="75" t="s">
        <v>1437</v>
      </c>
      <c r="B89" s="76" t="s">
        <v>1371</v>
      </c>
      <c r="C89" s="86">
        <v>636</v>
      </c>
      <c r="D89" s="87">
        <v>74.8</v>
      </c>
      <c r="E89" s="88">
        <v>23</v>
      </c>
      <c r="F89" s="87">
        <v>60</v>
      </c>
      <c r="G89" s="17">
        <v>18</v>
      </c>
      <c r="H89" s="89">
        <v>64</v>
      </c>
      <c r="I89" s="90">
        <v>13000</v>
      </c>
      <c r="J89" s="90" t="s">
        <v>68</v>
      </c>
      <c r="K89" s="90"/>
      <c r="L89" s="90"/>
      <c r="M89" s="91">
        <f>I89-K89</f>
        <v>13000</v>
      </c>
      <c r="N89" s="4">
        <f>IF(ISERROR(K89/I89),"",K89/I89)</f>
        <v>0</v>
      </c>
      <c r="O89" s="92">
        <f>I89/E89</f>
        <v>565.21739130434787</v>
      </c>
      <c r="P89" s="92">
        <f>K89/E89</f>
        <v>0</v>
      </c>
      <c r="Q89" s="80">
        <v>3</v>
      </c>
      <c r="R89" s="80">
        <v>1</v>
      </c>
      <c r="S89" s="80" t="s">
        <v>61</v>
      </c>
      <c r="T89" s="5">
        <v>74</v>
      </c>
      <c r="U89" s="9"/>
    </row>
    <row r="90" spans="1:21" s="37" customFormat="1" ht="12" x14ac:dyDescent="0.3">
      <c r="A90" s="75" t="s">
        <v>1452</v>
      </c>
      <c r="B90" s="76" t="s">
        <v>1399</v>
      </c>
      <c r="C90" s="86">
        <v>716</v>
      </c>
      <c r="D90" s="87">
        <v>93.1</v>
      </c>
      <c r="E90" s="88">
        <v>28</v>
      </c>
      <c r="F90" s="87">
        <v>76</v>
      </c>
      <c r="G90" s="17">
        <v>23</v>
      </c>
      <c r="H90" s="89">
        <v>198</v>
      </c>
      <c r="I90" s="90">
        <v>12800</v>
      </c>
      <c r="J90" s="90" t="s">
        <v>60</v>
      </c>
      <c r="K90" s="90"/>
      <c r="L90" s="90"/>
      <c r="M90" s="91">
        <f>I90-K90</f>
        <v>12800</v>
      </c>
      <c r="N90" s="4">
        <f>IF(ISERROR(K90/I90),"",K90/I90)</f>
        <v>0</v>
      </c>
      <c r="O90" s="92">
        <f>I90/E90</f>
        <v>457.14285714285717</v>
      </c>
      <c r="P90" s="92">
        <f>K90/E90</f>
        <v>0</v>
      </c>
      <c r="Q90" s="80">
        <v>3</v>
      </c>
      <c r="R90" s="80">
        <v>1</v>
      </c>
      <c r="S90" s="80" t="s">
        <v>61</v>
      </c>
      <c r="T90" s="5">
        <v>93</v>
      </c>
      <c r="U90" s="9"/>
    </row>
    <row r="91" spans="1:21" s="37" customFormat="1" ht="12" x14ac:dyDescent="0.3">
      <c r="A91" s="75" t="s">
        <v>1374</v>
      </c>
      <c r="B91" s="76" t="s">
        <v>1376</v>
      </c>
      <c r="C91" s="86">
        <v>437</v>
      </c>
      <c r="D91" s="87">
        <v>106</v>
      </c>
      <c r="E91" s="88">
        <v>32</v>
      </c>
      <c r="F91" s="87">
        <v>85</v>
      </c>
      <c r="G91" s="17">
        <v>26</v>
      </c>
      <c r="H91" s="89">
        <v>208</v>
      </c>
      <c r="I91" s="90">
        <v>12600</v>
      </c>
      <c r="J91" s="90" t="s">
        <v>72</v>
      </c>
      <c r="K91" s="90"/>
      <c r="L91" s="90"/>
      <c r="M91" s="91">
        <f>I91-K91</f>
        <v>12600</v>
      </c>
      <c r="N91" s="4">
        <f>IF(ISERROR(K91/I91),"",K91/I91)</f>
        <v>0</v>
      </c>
      <c r="O91" s="92">
        <f>I91/E91</f>
        <v>393.75</v>
      </c>
      <c r="P91" s="92">
        <f>K91/E91</f>
        <v>0</v>
      </c>
      <c r="Q91" s="80">
        <v>3</v>
      </c>
      <c r="R91" s="80">
        <v>2</v>
      </c>
      <c r="S91" s="80" t="s">
        <v>61</v>
      </c>
      <c r="T91" s="5" t="s">
        <v>130</v>
      </c>
      <c r="U91" s="9"/>
    </row>
    <row r="92" spans="1:21" s="37" customFormat="1" ht="12" x14ac:dyDescent="0.3">
      <c r="A92" s="75" t="s">
        <v>1475</v>
      </c>
      <c r="B92" s="76" t="s">
        <v>1476</v>
      </c>
      <c r="C92" s="86">
        <v>874</v>
      </c>
      <c r="D92" s="87">
        <v>80.7</v>
      </c>
      <c r="E92" s="88">
        <v>24</v>
      </c>
      <c r="F92" s="87">
        <v>59.4</v>
      </c>
      <c r="G92" s="17">
        <v>18</v>
      </c>
      <c r="H92" s="89">
        <v>267</v>
      </c>
      <c r="I92" s="90">
        <v>12500</v>
      </c>
      <c r="J92" s="90" t="s">
        <v>81</v>
      </c>
      <c r="K92" s="90">
        <v>12300</v>
      </c>
      <c r="L92" s="90" t="s">
        <v>70</v>
      </c>
      <c r="M92" s="91">
        <f>I92-K92</f>
        <v>200</v>
      </c>
      <c r="N92" s="4">
        <f>IF(ISERROR(K92/I92),"",K92/I92)</f>
        <v>0.98399999999999999</v>
      </c>
      <c r="O92" s="92">
        <f>I92/E92</f>
        <v>520.83333333333337</v>
      </c>
      <c r="P92" s="92">
        <f>K92/E92</f>
        <v>512.5</v>
      </c>
      <c r="Q92" s="80">
        <v>3</v>
      </c>
      <c r="R92" s="80">
        <v>1</v>
      </c>
      <c r="S92" s="80" t="s">
        <v>61</v>
      </c>
      <c r="T92" s="5" t="s">
        <v>85</v>
      </c>
      <c r="U92" s="9"/>
    </row>
    <row r="93" spans="1:21" s="37" customFormat="1" ht="12" x14ac:dyDescent="0.3">
      <c r="A93" s="75" t="s">
        <v>1852</v>
      </c>
      <c r="B93" s="76" t="s">
        <v>1853</v>
      </c>
      <c r="C93" s="86">
        <v>892</v>
      </c>
      <c r="D93" s="87">
        <v>84.4</v>
      </c>
      <c r="E93" s="88">
        <v>26</v>
      </c>
      <c r="F93" s="87">
        <v>59.9</v>
      </c>
      <c r="G93" s="17">
        <v>18</v>
      </c>
      <c r="H93" s="89">
        <v>465</v>
      </c>
      <c r="I93" s="90">
        <v>12500</v>
      </c>
      <c r="J93" s="90" t="s">
        <v>70</v>
      </c>
      <c r="K93" s="90">
        <v>8000</v>
      </c>
      <c r="L93" s="90" t="s">
        <v>88</v>
      </c>
      <c r="M93" s="91">
        <f>I93-K93</f>
        <v>4500</v>
      </c>
      <c r="N93" s="4">
        <f>IF(ISERROR(K93/I93),"",K93/I93)</f>
        <v>0.64</v>
      </c>
      <c r="O93" s="92">
        <f>I93/E93</f>
        <v>480.76923076923077</v>
      </c>
      <c r="P93" s="92">
        <f>K93/E93</f>
        <v>307.69230769230768</v>
      </c>
      <c r="Q93" s="80">
        <v>3</v>
      </c>
      <c r="R93" s="80">
        <v>2</v>
      </c>
      <c r="S93" s="80" t="s">
        <v>61</v>
      </c>
      <c r="T93" s="5" t="s">
        <v>131</v>
      </c>
      <c r="U93" s="9"/>
    </row>
    <row r="94" spans="1:21" s="37" customFormat="1" ht="12" x14ac:dyDescent="0.3">
      <c r="A94" s="75" t="s">
        <v>1418</v>
      </c>
      <c r="B94" s="76" t="s">
        <v>1419</v>
      </c>
      <c r="C94" s="86">
        <v>420</v>
      </c>
      <c r="D94" s="87">
        <v>91.9</v>
      </c>
      <c r="E94" s="88">
        <v>28</v>
      </c>
      <c r="F94" s="87">
        <v>74</v>
      </c>
      <c r="G94" s="17">
        <v>22</v>
      </c>
      <c r="H94" s="89">
        <v>104</v>
      </c>
      <c r="I94" s="90">
        <v>12200</v>
      </c>
      <c r="J94" s="90" t="s">
        <v>84</v>
      </c>
      <c r="K94" s="90"/>
      <c r="L94" s="90"/>
      <c r="M94" s="91">
        <f>I94-K94</f>
        <v>12200</v>
      </c>
      <c r="N94" s="4">
        <f>IF(ISERROR(K94/I94),"",K94/I94)</f>
        <v>0</v>
      </c>
      <c r="O94" s="92">
        <f>I94/E94</f>
        <v>435.71428571428572</v>
      </c>
      <c r="P94" s="92">
        <f>K94/E94</f>
        <v>0</v>
      </c>
      <c r="Q94" s="80">
        <v>3</v>
      </c>
      <c r="R94" s="80">
        <v>1</v>
      </c>
      <c r="S94" s="80" t="s">
        <v>61</v>
      </c>
      <c r="T94" s="5">
        <v>91</v>
      </c>
      <c r="U94" s="9"/>
    </row>
    <row r="95" spans="1:21" s="37" customFormat="1" ht="12" x14ac:dyDescent="0.3">
      <c r="A95" s="75" t="s">
        <v>1366</v>
      </c>
      <c r="B95" s="76" t="s">
        <v>1770</v>
      </c>
      <c r="C95" s="86">
        <v>304</v>
      </c>
      <c r="D95" s="87">
        <v>105.5</v>
      </c>
      <c r="E95" s="88">
        <v>32</v>
      </c>
      <c r="F95" s="87">
        <v>85</v>
      </c>
      <c r="G95" s="17">
        <v>26</v>
      </c>
      <c r="H95" s="89">
        <v>79</v>
      </c>
      <c r="I95" s="90">
        <v>12000</v>
      </c>
      <c r="J95" s="90" t="s">
        <v>66</v>
      </c>
      <c r="K95" s="90"/>
      <c r="L95" s="90"/>
      <c r="M95" s="91">
        <f>I95-K95</f>
        <v>12000</v>
      </c>
      <c r="N95" s="4">
        <f>IF(ISERROR(K95/I95),"",K95/I95)</f>
        <v>0</v>
      </c>
      <c r="O95" s="92">
        <f>I95/E95</f>
        <v>375</v>
      </c>
      <c r="P95" s="92">
        <f>K95/E95</f>
        <v>0</v>
      </c>
      <c r="Q95" s="80">
        <v>3</v>
      </c>
      <c r="R95" s="80">
        <v>2</v>
      </c>
      <c r="S95" s="80" t="s">
        <v>61</v>
      </c>
      <c r="T95" s="5">
        <v>105</v>
      </c>
      <c r="U95" s="9"/>
    </row>
    <row r="96" spans="1:21" s="37" customFormat="1" ht="12" x14ac:dyDescent="0.3">
      <c r="A96" s="75" t="s">
        <v>1395</v>
      </c>
      <c r="B96" s="76" t="s">
        <v>1396</v>
      </c>
      <c r="C96" s="86">
        <v>600</v>
      </c>
      <c r="D96" s="87">
        <v>75.099999999999994</v>
      </c>
      <c r="E96" s="88">
        <v>23</v>
      </c>
      <c r="F96" s="87">
        <v>59.9</v>
      </c>
      <c r="G96" s="17">
        <v>18</v>
      </c>
      <c r="H96" s="89">
        <v>600</v>
      </c>
      <c r="I96" s="90">
        <v>12000</v>
      </c>
      <c r="J96" s="90" t="s">
        <v>67</v>
      </c>
      <c r="K96" s="90">
        <v>10500</v>
      </c>
      <c r="L96" s="90" t="s">
        <v>68</v>
      </c>
      <c r="M96" s="91">
        <f>I96-K96</f>
        <v>1500</v>
      </c>
      <c r="N96" s="4">
        <f>IF(ISERROR(K96/I96),"",K96/I96)</f>
        <v>0.875</v>
      </c>
      <c r="O96" s="92">
        <f>I96/E96</f>
        <v>521.73913043478262</v>
      </c>
      <c r="P96" s="92">
        <f>K96/E96</f>
        <v>456.52173913043481</v>
      </c>
      <c r="Q96" s="80">
        <v>3</v>
      </c>
      <c r="R96" s="80">
        <v>1</v>
      </c>
      <c r="S96" s="80" t="s">
        <v>61</v>
      </c>
      <c r="T96" s="5">
        <v>75</v>
      </c>
      <c r="U96" s="9"/>
    </row>
    <row r="97" spans="1:21" s="37" customFormat="1" ht="12" x14ac:dyDescent="0.3">
      <c r="A97" s="75" t="s">
        <v>1464</v>
      </c>
      <c r="B97" s="76" t="s">
        <v>1463</v>
      </c>
      <c r="C97" s="86">
        <v>1460</v>
      </c>
      <c r="D97" s="87">
        <v>77.900000000000006</v>
      </c>
      <c r="E97" s="88">
        <v>24</v>
      </c>
      <c r="F97" s="87">
        <v>59.4</v>
      </c>
      <c r="G97" s="17">
        <v>18</v>
      </c>
      <c r="H97" s="89">
        <v>759</v>
      </c>
      <c r="I97" s="90">
        <v>12000</v>
      </c>
      <c r="J97" s="90" t="s">
        <v>80</v>
      </c>
      <c r="K97" s="90">
        <v>11500</v>
      </c>
      <c r="L97" s="90" t="s">
        <v>60</v>
      </c>
      <c r="M97" s="91">
        <f>I97-K97</f>
        <v>500</v>
      </c>
      <c r="N97" s="4">
        <f>IF(ISERROR(K97/I97),"",K97/I97)</f>
        <v>0.95833333333333337</v>
      </c>
      <c r="O97" s="92">
        <f>I97/E97</f>
        <v>500</v>
      </c>
      <c r="P97" s="92">
        <f>K97/E97</f>
        <v>479.16666666666669</v>
      </c>
      <c r="Q97" s="80">
        <v>3</v>
      </c>
      <c r="R97" s="80">
        <v>1</v>
      </c>
      <c r="S97" s="80" t="s">
        <v>61</v>
      </c>
      <c r="T97" s="5" t="s">
        <v>83</v>
      </c>
      <c r="U97" s="9"/>
    </row>
    <row r="98" spans="1:21" s="37" customFormat="1" ht="12" x14ac:dyDescent="0.3">
      <c r="A98" s="75" t="s">
        <v>1824</v>
      </c>
      <c r="B98" s="76" t="s">
        <v>1520</v>
      </c>
      <c r="C98" s="86">
        <v>702</v>
      </c>
      <c r="D98" s="87">
        <v>103.9</v>
      </c>
      <c r="E98" s="88">
        <v>31</v>
      </c>
      <c r="F98" s="87">
        <v>84.9</v>
      </c>
      <c r="G98" s="17">
        <v>26</v>
      </c>
      <c r="H98" s="89">
        <v>210</v>
      </c>
      <c r="I98" s="90">
        <v>12000</v>
      </c>
      <c r="J98" s="90" t="s">
        <v>72</v>
      </c>
      <c r="K98" s="90"/>
      <c r="L98" s="90"/>
      <c r="M98" s="91">
        <f>I98-K98</f>
        <v>12000</v>
      </c>
      <c r="N98" s="4">
        <f>IF(ISERROR(K98/I98),"",K98/I98)</f>
        <v>0</v>
      </c>
      <c r="O98" s="92">
        <f>I98/E98</f>
        <v>387.09677419354841</v>
      </c>
      <c r="P98" s="92">
        <f>K98/E98</f>
        <v>0</v>
      </c>
      <c r="Q98" s="80">
        <v>3</v>
      </c>
      <c r="R98" s="80">
        <v>2</v>
      </c>
      <c r="S98" s="80" t="s">
        <v>61</v>
      </c>
      <c r="T98" s="5">
        <v>103</v>
      </c>
      <c r="U98" s="9"/>
    </row>
    <row r="99" spans="1:21" s="37" customFormat="1" ht="12" x14ac:dyDescent="0.3">
      <c r="A99" s="75" t="s">
        <v>1586</v>
      </c>
      <c r="B99" s="76" t="s">
        <v>1403</v>
      </c>
      <c r="C99" s="86">
        <v>660</v>
      </c>
      <c r="D99" s="87">
        <v>105</v>
      </c>
      <c r="E99" s="88">
        <v>32</v>
      </c>
      <c r="F99" s="87">
        <v>84.8</v>
      </c>
      <c r="G99" s="17">
        <v>26</v>
      </c>
      <c r="H99" s="89">
        <v>240</v>
      </c>
      <c r="I99" s="90">
        <v>12000</v>
      </c>
      <c r="J99" s="90" t="s">
        <v>67</v>
      </c>
      <c r="K99" s="90">
        <v>11000</v>
      </c>
      <c r="L99" s="90" t="s">
        <v>67</v>
      </c>
      <c r="M99" s="91">
        <f>I99-K99</f>
        <v>1000</v>
      </c>
      <c r="N99" s="4">
        <f>IF(ISERROR(K99/I99),"",K99/I99)</f>
        <v>0.91666666666666663</v>
      </c>
      <c r="O99" s="92">
        <f>I99/E99</f>
        <v>375</v>
      </c>
      <c r="P99" s="92">
        <f>K99/E99</f>
        <v>343.75</v>
      </c>
      <c r="Q99" s="80">
        <v>3</v>
      </c>
      <c r="R99" s="80">
        <v>2</v>
      </c>
      <c r="S99" s="80" t="s">
        <v>76</v>
      </c>
      <c r="T99" s="5">
        <v>105</v>
      </c>
      <c r="U99" s="9"/>
    </row>
    <row r="100" spans="1:21" s="37" customFormat="1" ht="12" x14ac:dyDescent="0.3">
      <c r="A100" s="75" t="s">
        <v>1431</v>
      </c>
      <c r="B100" s="76" t="s">
        <v>1401</v>
      </c>
      <c r="C100" s="86">
        <v>765</v>
      </c>
      <c r="D100" s="87">
        <v>74.7</v>
      </c>
      <c r="E100" s="88">
        <v>23</v>
      </c>
      <c r="F100" s="87">
        <v>59.9</v>
      </c>
      <c r="G100" s="17">
        <v>18</v>
      </c>
      <c r="H100" s="89">
        <v>300</v>
      </c>
      <c r="I100" s="90">
        <v>11500</v>
      </c>
      <c r="J100" s="90" t="s">
        <v>71</v>
      </c>
      <c r="K100" s="90"/>
      <c r="L100" s="90"/>
      <c r="M100" s="91">
        <f>I100-K100</f>
        <v>11500</v>
      </c>
      <c r="N100" s="4">
        <f>IF(ISERROR(K100/I100),"",K100/I100)</f>
        <v>0</v>
      </c>
      <c r="O100" s="92">
        <f>I100/E100</f>
        <v>500</v>
      </c>
      <c r="P100" s="92">
        <f>K100/E100</f>
        <v>0</v>
      </c>
      <c r="Q100" s="80">
        <v>3</v>
      </c>
      <c r="R100" s="80">
        <v>1</v>
      </c>
      <c r="S100" s="80" t="s">
        <v>61</v>
      </c>
      <c r="T100" s="5">
        <v>74</v>
      </c>
      <c r="U100" s="9"/>
    </row>
    <row r="101" spans="1:21" s="37" customFormat="1" ht="12" x14ac:dyDescent="0.3">
      <c r="A101" s="75" t="s">
        <v>1816</v>
      </c>
      <c r="B101" s="76" t="s">
        <v>1817</v>
      </c>
      <c r="C101" s="86">
        <v>675</v>
      </c>
      <c r="D101" s="87">
        <v>106.8</v>
      </c>
      <c r="E101" s="88">
        <v>32</v>
      </c>
      <c r="F101" s="87">
        <v>85</v>
      </c>
      <c r="G101" s="17">
        <v>26</v>
      </c>
      <c r="H101" s="89">
        <v>405</v>
      </c>
      <c r="I101" s="90">
        <v>11500</v>
      </c>
      <c r="J101" s="90" t="s">
        <v>74</v>
      </c>
      <c r="K101" s="90">
        <v>9000</v>
      </c>
      <c r="L101" s="90" t="s">
        <v>74</v>
      </c>
      <c r="M101" s="91">
        <f>I101-K101</f>
        <v>2500</v>
      </c>
      <c r="N101" s="4">
        <f>IF(ISERROR(K101/I101),"",K101/I101)</f>
        <v>0.78260869565217395</v>
      </c>
      <c r="O101" s="92">
        <f>I101/E101</f>
        <v>359.375</v>
      </c>
      <c r="P101" s="92">
        <f>K101/E101</f>
        <v>281.25</v>
      </c>
      <c r="Q101" s="80">
        <v>3</v>
      </c>
      <c r="R101" s="80">
        <v>2</v>
      </c>
      <c r="S101" s="80" t="s">
        <v>61</v>
      </c>
      <c r="T101" s="5">
        <v>106</v>
      </c>
      <c r="U101" s="9"/>
    </row>
    <row r="102" spans="1:21" s="37" customFormat="1" ht="12" x14ac:dyDescent="0.3">
      <c r="A102" s="75" t="s">
        <v>1405</v>
      </c>
      <c r="B102" s="76" t="s">
        <v>1401</v>
      </c>
      <c r="C102" s="86">
        <v>490</v>
      </c>
      <c r="D102" s="87">
        <v>83.8</v>
      </c>
      <c r="E102" s="88">
        <v>25</v>
      </c>
      <c r="F102" s="87">
        <v>67.900000000000006</v>
      </c>
      <c r="G102" s="17">
        <v>21</v>
      </c>
      <c r="H102" s="89">
        <v>262</v>
      </c>
      <c r="I102" s="90">
        <v>11000</v>
      </c>
      <c r="J102" s="90" t="s">
        <v>81</v>
      </c>
      <c r="K102" s="90">
        <v>11500</v>
      </c>
      <c r="L102" s="90" t="s">
        <v>70</v>
      </c>
      <c r="M102" s="91">
        <f>I102-K102</f>
        <v>-500</v>
      </c>
      <c r="N102" s="4">
        <f>IF(ISERROR(K102/I102),"",K102/I102)</f>
        <v>1.0454545454545454</v>
      </c>
      <c r="O102" s="92">
        <f>I102/E102</f>
        <v>440</v>
      </c>
      <c r="P102" s="92">
        <f>K102/E102</f>
        <v>460</v>
      </c>
      <c r="Q102" s="80">
        <v>3</v>
      </c>
      <c r="R102" s="80">
        <v>1</v>
      </c>
      <c r="S102" s="80" t="s">
        <v>61</v>
      </c>
      <c r="T102" s="5">
        <v>83</v>
      </c>
      <c r="U102" s="9"/>
    </row>
    <row r="103" spans="1:21" s="37" customFormat="1" ht="12" x14ac:dyDescent="0.3">
      <c r="A103" s="75" t="s">
        <v>1422</v>
      </c>
      <c r="B103" s="76" t="s">
        <v>1401</v>
      </c>
      <c r="C103" s="86">
        <v>479</v>
      </c>
      <c r="D103" s="87">
        <v>74.3</v>
      </c>
      <c r="E103" s="88">
        <v>22</v>
      </c>
      <c r="F103" s="87">
        <v>60</v>
      </c>
      <c r="G103" s="17">
        <v>18</v>
      </c>
      <c r="H103" s="89">
        <v>180</v>
      </c>
      <c r="I103" s="90">
        <v>10800</v>
      </c>
      <c r="J103" s="90" t="s">
        <v>71</v>
      </c>
      <c r="K103" s="90">
        <v>9500</v>
      </c>
      <c r="L103" s="90" t="s">
        <v>84</v>
      </c>
      <c r="M103" s="91">
        <f>I103-K103</f>
        <v>1300</v>
      </c>
      <c r="N103" s="4">
        <f>IF(ISERROR(K103/I103),"",K103/I103)</f>
        <v>0.87962962962962965</v>
      </c>
      <c r="O103" s="92">
        <f>I103/E103</f>
        <v>490.90909090909093</v>
      </c>
      <c r="P103" s="92">
        <f>K103/E103</f>
        <v>431.81818181818181</v>
      </c>
      <c r="Q103" s="80">
        <v>3</v>
      </c>
      <c r="R103" s="80">
        <v>1</v>
      </c>
      <c r="S103" s="80" t="s">
        <v>76</v>
      </c>
      <c r="T103" s="5">
        <v>74</v>
      </c>
      <c r="U103" s="9"/>
    </row>
    <row r="104" spans="1:21" s="37" customFormat="1" ht="12" x14ac:dyDescent="0.3">
      <c r="A104" s="75" t="s">
        <v>1775</v>
      </c>
      <c r="B104" s="76" t="s">
        <v>1399</v>
      </c>
      <c r="C104" s="86">
        <v>460</v>
      </c>
      <c r="D104" s="87">
        <v>92</v>
      </c>
      <c r="E104" s="88">
        <v>28</v>
      </c>
      <c r="F104" s="87">
        <v>74</v>
      </c>
      <c r="G104" s="17">
        <v>22</v>
      </c>
      <c r="H104" s="89">
        <v>104</v>
      </c>
      <c r="I104" s="90">
        <v>10500</v>
      </c>
      <c r="J104" s="90" t="s">
        <v>65</v>
      </c>
      <c r="K104" s="90"/>
      <c r="L104" s="90"/>
      <c r="M104" s="91">
        <f>I104-K104</f>
        <v>10500</v>
      </c>
      <c r="N104" s="4">
        <f>IF(ISERROR(K104/I104),"",K104/I104)</f>
        <v>0</v>
      </c>
      <c r="O104" s="92">
        <f>I104/E104</f>
        <v>375</v>
      </c>
      <c r="P104" s="92">
        <f>K104/E104</f>
        <v>0</v>
      </c>
      <c r="Q104" s="80">
        <v>3</v>
      </c>
      <c r="R104" s="80">
        <v>1</v>
      </c>
      <c r="S104" s="80" t="s">
        <v>61</v>
      </c>
      <c r="T104" s="5">
        <v>91</v>
      </c>
      <c r="U104" s="9"/>
    </row>
    <row r="105" spans="1:21" s="37" customFormat="1" ht="12" x14ac:dyDescent="0.3">
      <c r="A105" s="75" t="s">
        <v>1584</v>
      </c>
      <c r="B105" s="76" t="s">
        <v>1478</v>
      </c>
      <c r="C105" s="86">
        <v>972</v>
      </c>
      <c r="D105" s="87">
        <v>78.8</v>
      </c>
      <c r="E105" s="88">
        <v>24</v>
      </c>
      <c r="F105" s="87">
        <v>60</v>
      </c>
      <c r="G105" s="17">
        <v>18</v>
      </c>
      <c r="H105" s="89">
        <v>252</v>
      </c>
      <c r="I105" s="90">
        <v>10500</v>
      </c>
      <c r="J105" s="90" t="s">
        <v>70</v>
      </c>
      <c r="K105" s="90">
        <v>9000</v>
      </c>
      <c r="L105" s="90" t="s">
        <v>60</v>
      </c>
      <c r="M105" s="91">
        <f>I105-K105</f>
        <v>1500</v>
      </c>
      <c r="N105" s="4">
        <f>IF(ISERROR(K105/I105),"",K105/I105)</f>
        <v>0.8571428571428571</v>
      </c>
      <c r="O105" s="92">
        <f>I105/E105</f>
        <v>437.5</v>
      </c>
      <c r="P105" s="92">
        <f>K105/E105</f>
        <v>375</v>
      </c>
      <c r="Q105" s="80">
        <v>2</v>
      </c>
      <c r="R105" s="80">
        <v>1</v>
      </c>
      <c r="S105" s="80" t="s">
        <v>61</v>
      </c>
      <c r="T105" s="5" t="s">
        <v>133</v>
      </c>
      <c r="U105" s="9"/>
    </row>
    <row r="106" spans="1:21" s="37" customFormat="1" ht="12" x14ac:dyDescent="0.3">
      <c r="A106" s="75" t="s">
        <v>1586</v>
      </c>
      <c r="B106" s="76" t="s">
        <v>1403</v>
      </c>
      <c r="C106" s="86">
        <v>660</v>
      </c>
      <c r="D106" s="87">
        <v>97.2</v>
      </c>
      <c r="E106" s="88">
        <v>29</v>
      </c>
      <c r="F106" s="87">
        <v>78.5</v>
      </c>
      <c r="G106" s="17">
        <v>24</v>
      </c>
      <c r="H106" s="89">
        <v>120</v>
      </c>
      <c r="I106" s="90">
        <v>10500</v>
      </c>
      <c r="J106" s="90" t="s">
        <v>65</v>
      </c>
      <c r="K106" s="90"/>
      <c r="L106" s="90"/>
      <c r="M106" s="91">
        <f>I106-K106</f>
        <v>10500</v>
      </c>
      <c r="N106" s="4">
        <f>IF(ISERROR(K106/I106),"",K106/I106)</f>
        <v>0</v>
      </c>
      <c r="O106" s="92">
        <f>I106/E106</f>
        <v>362.06896551724139</v>
      </c>
      <c r="P106" s="92">
        <f>K106/E106</f>
        <v>0</v>
      </c>
      <c r="Q106" s="80">
        <v>3</v>
      </c>
      <c r="R106" s="80">
        <v>2</v>
      </c>
      <c r="S106" s="80" t="s">
        <v>61</v>
      </c>
      <c r="T106" s="5">
        <v>97</v>
      </c>
      <c r="U106" s="9"/>
    </row>
    <row r="107" spans="1:21" s="37" customFormat="1" ht="12" x14ac:dyDescent="0.3">
      <c r="A107" s="75" t="s">
        <v>1420</v>
      </c>
      <c r="B107" s="76" t="s">
        <v>1421</v>
      </c>
      <c r="C107" s="86">
        <v>840</v>
      </c>
      <c r="D107" s="87">
        <v>76.099999999999994</v>
      </c>
      <c r="E107" s="88">
        <v>23</v>
      </c>
      <c r="F107" s="87">
        <v>59.7</v>
      </c>
      <c r="G107" s="17">
        <v>18</v>
      </c>
      <c r="H107" s="89">
        <v>477</v>
      </c>
      <c r="I107" s="90">
        <v>10000</v>
      </c>
      <c r="J107" s="90" t="s">
        <v>65</v>
      </c>
      <c r="K107" s="90">
        <v>10000</v>
      </c>
      <c r="L107" s="90" t="s">
        <v>84</v>
      </c>
      <c r="M107" s="91">
        <f>I107-K107</f>
        <v>0</v>
      </c>
      <c r="N107" s="4">
        <f>IF(ISERROR(K107/I107),"",K107/I107)</f>
        <v>1</v>
      </c>
      <c r="O107" s="92">
        <f>I107/E107</f>
        <v>434.78260869565219</v>
      </c>
      <c r="P107" s="92">
        <f>K107/E107</f>
        <v>434.78260869565219</v>
      </c>
      <c r="Q107" s="80">
        <v>3</v>
      </c>
      <c r="R107" s="80">
        <v>1</v>
      </c>
      <c r="S107" s="80" t="s">
        <v>61</v>
      </c>
      <c r="T107" s="5" t="s">
        <v>73</v>
      </c>
      <c r="U107" s="9"/>
    </row>
    <row r="108" spans="1:21" s="37" customFormat="1" ht="12" x14ac:dyDescent="0.3">
      <c r="A108" s="75" t="s">
        <v>1423</v>
      </c>
      <c r="B108" s="76" t="s">
        <v>1424</v>
      </c>
      <c r="C108" s="86">
        <v>498</v>
      </c>
      <c r="D108" s="87">
        <v>95.8</v>
      </c>
      <c r="E108" s="88">
        <v>29</v>
      </c>
      <c r="F108" s="87">
        <v>84.6</v>
      </c>
      <c r="G108" s="17">
        <v>26</v>
      </c>
      <c r="H108" s="89">
        <v>384</v>
      </c>
      <c r="I108" s="90">
        <v>10000</v>
      </c>
      <c r="J108" s="90" t="s">
        <v>65</v>
      </c>
      <c r="K108" s="90"/>
      <c r="L108" s="90"/>
      <c r="M108" s="91">
        <f>I108-K108</f>
        <v>10000</v>
      </c>
      <c r="N108" s="4">
        <f>IF(ISERROR(K108/I108),"",K108/I108)</f>
        <v>0</v>
      </c>
      <c r="O108" s="92">
        <f>I108/E108</f>
        <v>344.82758620689657</v>
      </c>
      <c r="P108" s="92">
        <f>K108/E108</f>
        <v>0</v>
      </c>
      <c r="Q108" s="80">
        <v>3</v>
      </c>
      <c r="R108" s="80">
        <v>2</v>
      </c>
      <c r="S108" s="80" t="s">
        <v>61</v>
      </c>
      <c r="T108" s="5" t="s">
        <v>132</v>
      </c>
      <c r="U108" s="9"/>
    </row>
    <row r="109" spans="1:21" s="37" customFormat="1" ht="12" x14ac:dyDescent="0.3">
      <c r="A109" s="75" t="s">
        <v>1433</v>
      </c>
      <c r="B109" s="76" t="s">
        <v>1378</v>
      </c>
      <c r="C109" s="86">
        <v>458</v>
      </c>
      <c r="D109" s="87">
        <v>104.1</v>
      </c>
      <c r="E109" s="88">
        <v>31</v>
      </c>
      <c r="F109" s="87">
        <v>85</v>
      </c>
      <c r="G109" s="17">
        <v>26</v>
      </c>
      <c r="H109" s="89">
        <v>245</v>
      </c>
      <c r="I109" s="90">
        <v>9500</v>
      </c>
      <c r="J109" s="90" t="s">
        <v>111</v>
      </c>
      <c r="K109" s="90"/>
      <c r="L109" s="90"/>
      <c r="M109" s="91">
        <f>I109-K109</f>
        <v>9500</v>
      </c>
      <c r="N109" s="4">
        <f>IF(ISERROR(K109/I109),"",K109/I109)</f>
        <v>0</v>
      </c>
      <c r="O109" s="92">
        <f>I109/E109</f>
        <v>306.45161290322579</v>
      </c>
      <c r="P109" s="92">
        <f>K109/E109</f>
        <v>0</v>
      </c>
      <c r="Q109" s="80">
        <v>3</v>
      </c>
      <c r="R109" s="80">
        <v>2</v>
      </c>
      <c r="S109" s="80" t="s">
        <v>61</v>
      </c>
      <c r="T109" s="5">
        <v>104</v>
      </c>
      <c r="U109" s="9"/>
    </row>
    <row r="110" spans="1:21" s="37" customFormat="1" ht="12" x14ac:dyDescent="0.3">
      <c r="A110" s="75" t="s">
        <v>1387</v>
      </c>
      <c r="B110" s="76" t="s">
        <v>1389</v>
      </c>
      <c r="C110" s="86">
        <v>336</v>
      </c>
      <c r="D110" s="87">
        <v>83.8</v>
      </c>
      <c r="E110" s="88">
        <v>25</v>
      </c>
      <c r="F110" s="87">
        <v>59.9</v>
      </c>
      <c r="G110" s="17">
        <v>18</v>
      </c>
      <c r="H110" s="89">
        <v>120</v>
      </c>
      <c r="I110" s="90">
        <v>9300</v>
      </c>
      <c r="J110" s="90" t="s">
        <v>60</v>
      </c>
      <c r="K110" s="90"/>
      <c r="L110" s="90"/>
      <c r="M110" s="91">
        <f>I110-K110</f>
        <v>9300</v>
      </c>
      <c r="N110" s="4">
        <f>IF(ISERROR(K110/I110),"",K110/I110)</f>
        <v>0</v>
      </c>
      <c r="O110" s="92">
        <f>I110/E110</f>
        <v>372</v>
      </c>
      <c r="P110" s="92">
        <f>K110/E110</f>
        <v>0</v>
      </c>
      <c r="Q110" s="80">
        <v>2</v>
      </c>
      <c r="R110" s="80">
        <v>1</v>
      </c>
      <c r="S110" s="80" t="s">
        <v>61</v>
      </c>
      <c r="T110" s="5">
        <v>83</v>
      </c>
      <c r="U110" s="9"/>
    </row>
    <row r="111" spans="1:21" s="37" customFormat="1" ht="12" x14ac:dyDescent="0.3">
      <c r="A111" s="75" t="s">
        <v>1475</v>
      </c>
      <c r="B111" s="76" t="s">
        <v>1474</v>
      </c>
      <c r="C111" s="86">
        <v>874</v>
      </c>
      <c r="D111" s="87">
        <v>68.3</v>
      </c>
      <c r="E111" s="88">
        <v>21</v>
      </c>
      <c r="F111" s="87">
        <v>50.3</v>
      </c>
      <c r="G111" s="17">
        <v>15</v>
      </c>
      <c r="H111" s="89">
        <v>288</v>
      </c>
      <c r="I111" s="90">
        <v>9200</v>
      </c>
      <c r="J111" s="90" t="s">
        <v>71</v>
      </c>
      <c r="K111" s="90">
        <v>8800</v>
      </c>
      <c r="L111" s="90" t="s">
        <v>70</v>
      </c>
      <c r="M111" s="91">
        <f>I111-K111</f>
        <v>400</v>
      </c>
      <c r="N111" s="4">
        <f>IF(ISERROR(K111/I111),"",K111/I111)</f>
        <v>0.95652173913043481</v>
      </c>
      <c r="O111" s="92">
        <f>I111/E111</f>
        <v>438.09523809523807</v>
      </c>
      <c r="P111" s="92">
        <f>K111/E111</f>
        <v>419.04761904761904</v>
      </c>
      <c r="Q111" s="80">
        <v>2</v>
      </c>
      <c r="R111" s="80">
        <v>1</v>
      </c>
      <c r="S111" s="80" t="s">
        <v>76</v>
      </c>
      <c r="T111" s="5" t="s">
        <v>135</v>
      </c>
      <c r="U111" s="9"/>
    </row>
    <row r="112" spans="1:21" s="37" customFormat="1" ht="12" x14ac:dyDescent="0.3">
      <c r="A112" s="75" t="s">
        <v>1390</v>
      </c>
      <c r="B112" s="76" t="s">
        <v>1391</v>
      </c>
      <c r="C112" s="86">
        <v>899</v>
      </c>
      <c r="D112" s="87">
        <v>74.2</v>
      </c>
      <c r="E112" s="88">
        <v>22</v>
      </c>
      <c r="F112" s="87">
        <v>59.4</v>
      </c>
      <c r="G112" s="17">
        <v>18</v>
      </c>
      <c r="H112" s="89">
        <v>344</v>
      </c>
      <c r="I112" s="90">
        <v>9000</v>
      </c>
      <c r="J112" s="90" t="s">
        <v>71</v>
      </c>
      <c r="K112" s="90">
        <v>8000</v>
      </c>
      <c r="L112" s="90" t="s">
        <v>81</v>
      </c>
      <c r="M112" s="91">
        <f>I112-K112</f>
        <v>1000</v>
      </c>
      <c r="N112" s="4">
        <f>IF(ISERROR(K112/I112),"",K112/I112)</f>
        <v>0.88888888888888884</v>
      </c>
      <c r="O112" s="92">
        <f>I112/E112</f>
        <v>409.09090909090907</v>
      </c>
      <c r="P112" s="92">
        <f>K112/E112</f>
        <v>363.63636363636363</v>
      </c>
      <c r="Q112" s="80">
        <v>3</v>
      </c>
      <c r="R112" s="80">
        <v>1</v>
      </c>
      <c r="S112" s="80" t="s">
        <v>61</v>
      </c>
      <c r="T112" s="5">
        <v>74</v>
      </c>
      <c r="U112" s="9"/>
    </row>
    <row r="113" spans="1:21" s="37" customFormat="1" ht="12" x14ac:dyDescent="0.3">
      <c r="A113" s="75" t="s">
        <v>1815</v>
      </c>
      <c r="B113" s="76" t="s">
        <v>1515</v>
      </c>
      <c r="C113" s="86">
        <v>675</v>
      </c>
      <c r="D113" s="87">
        <v>75</v>
      </c>
      <c r="E113" s="88">
        <v>23</v>
      </c>
      <c r="F113" s="87">
        <v>59.7</v>
      </c>
      <c r="G113" s="17">
        <v>18</v>
      </c>
      <c r="H113" s="89">
        <v>270</v>
      </c>
      <c r="I113" s="90">
        <v>9000</v>
      </c>
      <c r="J113" s="90" t="s">
        <v>74</v>
      </c>
      <c r="K113" s="90"/>
      <c r="L113" s="90"/>
      <c r="M113" s="91">
        <f>I113-K113</f>
        <v>9000</v>
      </c>
      <c r="N113" s="4">
        <f>IF(ISERROR(K113/I113),"",K113/I113)</f>
        <v>0</v>
      </c>
      <c r="O113" s="92">
        <f>I113/E113</f>
        <v>391.30434782608694</v>
      </c>
      <c r="P113" s="92">
        <f>K113/E113</f>
        <v>0</v>
      </c>
      <c r="Q113" s="80">
        <v>3</v>
      </c>
      <c r="R113" s="80">
        <v>1</v>
      </c>
      <c r="S113" s="80" t="s">
        <v>61</v>
      </c>
      <c r="T113" s="5">
        <v>75</v>
      </c>
      <c r="U113" s="9"/>
    </row>
    <row r="114" spans="1:21" s="37" customFormat="1" ht="12" x14ac:dyDescent="0.3">
      <c r="A114" s="75" t="s">
        <v>1434</v>
      </c>
      <c r="B114" s="76" t="s">
        <v>1435</v>
      </c>
      <c r="C114" s="86">
        <v>1541</v>
      </c>
      <c r="D114" s="87">
        <v>79.2</v>
      </c>
      <c r="E114" s="88">
        <v>24</v>
      </c>
      <c r="F114" s="87">
        <v>58.1</v>
      </c>
      <c r="G114" s="17">
        <v>18</v>
      </c>
      <c r="H114" s="89">
        <v>1243</v>
      </c>
      <c r="I114" s="90">
        <v>8700</v>
      </c>
      <c r="J114" s="90" t="s">
        <v>81</v>
      </c>
      <c r="K114" s="90">
        <v>8000</v>
      </c>
      <c r="L114" s="90" t="s">
        <v>65</v>
      </c>
      <c r="M114" s="91">
        <f>I114-K114</f>
        <v>700</v>
      </c>
      <c r="N114" s="4">
        <f>IF(ISERROR(K114/I114),"",K114/I114)</f>
        <v>0.91954022988505746</v>
      </c>
      <c r="O114" s="92">
        <f>I114/E114</f>
        <v>362.5</v>
      </c>
      <c r="P114" s="92">
        <f>K114/E114</f>
        <v>333.33333333333331</v>
      </c>
      <c r="Q114" s="80">
        <v>3</v>
      </c>
      <c r="R114" s="80">
        <v>1</v>
      </c>
      <c r="S114" s="80" t="s">
        <v>76</v>
      </c>
      <c r="T114" s="5">
        <v>79</v>
      </c>
      <c r="U114" s="9"/>
    </row>
    <row r="115" spans="1:21" s="37" customFormat="1" ht="12" x14ac:dyDescent="0.3">
      <c r="A115" s="75" t="s">
        <v>1433</v>
      </c>
      <c r="B115" s="76" t="s">
        <v>1378</v>
      </c>
      <c r="C115" s="86">
        <v>458</v>
      </c>
      <c r="D115" s="87">
        <v>81.3</v>
      </c>
      <c r="E115" s="88">
        <v>25</v>
      </c>
      <c r="F115" s="87">
        <v>65.099999999999994</v>
      </c>
      <c r="G115" s="17">
        <v>20</v>
      </c>
      <c r="H115" s="89">
        <v>144</v>
      </c>
      <c r="I115" s="90">
        <v>8500</v>
      </c>
      <c r="J115" s="90" t="s">
        <v>72</v>
      </c>
      <c r="K115" s="90">
        <v>7000</v>
      </c>
      <c r="L115" s="90" t="s">
        <v>66</v>
      </c>
      <c r="M115" s="91">
        <f>I115-K115</f>
        <v>1500</v>
      </c>
      <c r="N115" s="4">
        <f>IF(ISERROR(K115/I115),"",K115/I115)</f>
        <v>0.82352941176470584</v>
      </c>
      <c r="O115" s="92">
        <f>I115/E115</f>
        <v>340</v>
      </c>
      <c r="P115" s="92">
        <f>K115/E115</f>
        <v>280</v>
      </c>
      <c r="Q115" s="80">
        <v>3</v>
      </c>
      <c r="R115" s="80">
        <v>1</v>
      </c>
      <c r="S115" s="80" t="s">
        <v>61</v>
      </c>
      <c r="T115" s="5">
        <v>81</v>
      </c>
      <c r="U115" s="9"/>
    </row>
    <row r="116" spans="1:21" s="37" customFormat="1" ht="12" x14ac:dyDescent="0.3">
      <c r="A116" s="75" t="s">
        <v>1802</v>
      </c>
      <c r="B116" s="76" t="s">
        <v>1803</v>
      </c>
      <c r="C116" s="86">
        <v>750</v>
      </c>
      <c r="D116" s="87">
        <v>57.9</v>
      </c>
      <c r="E116" s="88">
        <v>18</v>
      </c>
      <c r="F116" s="87">
        <v>47</v>
      </c>
      <c r="G116" s="17">
        <v>14</v>
      </c>
      <c r="H116" s="89">
        <v>290</v>
      </c>
      <c r="I116" s="90">
        <v>8500</v>
      </c>
      <c r="J116" s="90" t="s">
        <v>68</v>
      </c>
      <c r="K116" s="90"/>
      <c r="L116" s="90"/>
      <c r="M116" s="91">
        <f>I116-K116</f>
        <v>8500</v>
      </c>
      <c r="N116" s="4">
        <f>IF(ISERROR(K116/I116),"",K116/I116)</f>
        <v>0</v>
      </c>
      <c r="O116" s="92">
        <f>I116/E116</f>
        <v>472.22222222222223</v>
      </c>
      <c r="P116" s="92">
        <f>K116/E116</f>
        <v>0</v>
      </c>
      <c r="Q116" s="80">
        <v>2</v>
      </c>
      <c r="R116" s="80">
        <v>1</v>
      </c>
      <c r="S116" s="80" t="s">
        <v>61</v>
      </c>
      <c r="T116" s="5">
        <v>57</v>
      </c>
      <c r="U116" s="9"/>
    </row>
    <row r="117" spans="1:21" s="37" customFormat="1" ht="12" x14ac:dyDescent="0.3">
      <c r="A117" s="75" t="s">
        <v>1811</v>
      </c>
      <c r="B117" s="76" t="s">
        <v>1812</v>
      </c>
      <c r="C117" s="86">
        <v>381</v>
      </c>
      <c r="D117" s="87">
        <v>81.099999999999994</v>
      </c>
      <c r="E117" s="88">
        <v>25</v>
      </c>
      <c r="F117" s="87">
        <v>59.9</v>
      </c>
      <c r="G117" s="17">
        <v>18</v>
      </c>
      <c r="H117" s="89">
        <v>159</v>
      </c>
      <c r="I117" s="90">
        <v>8500</v>
      </c>
      <c r="J117" s="90" t="s">
        <v>66</v>
      </c>
      <c r="K117" s="90"/>
      <c r="L117" s="90"/>
      <c r="M117" s="91">
        <f>I117-K117</f>
        <v>8500</v>
      </c>
      <c r="N117" s="4">
        <f>IF(ISERROR(K117/I117),"",K117/I117)</f>
        <v>0</v>
      </c>
      <c r="O117" s="92">
        <f>I117/E117</f>
        <v>340</v>
      </c>
      <c r="P117" s="92">
        <f>K117/E117</f>
        <v>0</v>
      </c>
      <c r="Q117" s="80">
        <v>3</v>
      </c>
      <c r="R117" s="80">
        <v>1</v>
      </c>
      <c r="S117" s="80" t="s">
        <v>76</v>
      </c>
      <c r="T117" s="5">
        <v>81</v>
      </c>
      <c r="U117" s="9"/>
    </row>
    <row r="118" spans="1:21" s="37" customFormat="1" ht="12" x14ac:dyDescent="0.3">
      <c r="A118" s="75" t="s">
        <v>1820</v>
      </c>
      <c r="B118" s="76" t="s">
        <v>1821</v>
      </c>
      <c r="C118" s="86">
        <v>350</v>
      </c>
      <c r="D118" s="87">
        <v>103.5</v>
      </c>
      <c r="E118" s="88">
        <v>31</v>
      </c>
      <c r="F118" s="87">
        <v>84.9</v>
      </c>
      <c r="G118" s="17">
        <v>26</v>
      </c>
      <c r="H118" s="89">
        <v>52</v>
      </c>
      <c r="I118" s="90">
        <v>8500</v>
      </c>
      <c r="J118" s="90" t="s">
        <v>72</v>
      </c>
      <c r="K118" s="90"/>
      <c r="L118" s="90"/>
      <c r="M118" s="91">
        <f>I118-K118</f>
        <v>8500</v>
      </c>
      <c r="N118" s="4">
        <f>IF(ISERROR(K118/I118),"",K118/I118)</f>
        <v>0</v>
      </c>
      <c r="O118" s="92">
        <f>I118/E118</f>
        <v>274.19354838709677</v>
      </c>
      <c r="P118" s="92">
        <f>K118/E118</f>
        <v>0</v>
      </c>
      <c r="Q118" s="80">
        <v>3</v>
      </c>
      <c r="R118" s="80">
        <v>2</v>
      </c>
      <c r="S118" s="80" t="s">
        <v>61</v>
      </c>
      <c r="T118" s="5" t="s">
        <v>134</v>
      </c>
      <c r="U118" s="9"/>
    </row>
    <row r="119" spans="1:21" s="37" customFormat="1" ht="12" x14ac:dyDescent="0.3">
      <c r="A119" s="75" t="s">
        <v>1572</v>
      </c>
      <c r="B119" s="76" t="s">
        <v>1573</v>
      </c>
      <c r="C119" s="86">
        <v>383</v>
      </c>
      <c r="D119" s="87">
        <v>76</v>
      </c>
      <c r="E119" s="88">
        <v>23</v>
      </c>
      <c r="F119" s="87">
        <v>59.8</v>
      </c>
      <c r="G119" s="17">
        <v>18</v>
      </c>
      <c r="H119" s="89">
        <v>263</v>
      </c>
      <c r="I119" s="90">
        <v>8500</v>
      </c>
      <c r="J119" s="90" t="s">
        <v>74</v>
      </c>
      <c r="K119" s="90"/>
      <c r="L119" s="90"/>
      <c r="M119" s="91">
        <f>I119-K119</f>
        <v>8500</v>
      </c>
      <c r="N119" s="4">
        <f>IF(ISERROR(K119/I119),"",K119/I119)</f>
        <v>0</v>
      </c>
      <c r="O119" s="92">
        <f>I119/E119</f>
        <v>369.56521739130437</v>
      </c>
      <c r="P119" s="92">
        <f>K119/E119</f>
        <v>0</v>
      </c>
      <c r="Q119" s="80">
        <v>3</v>
      </c>
      <c r="R119" s="80">
        <v>1</v>
      </c>
      <c r="S119" s="80" t="s">
        <v>61</v>
      </c>
      <c r="T119" s="5">
        <v>76</v>
      </c>
      <c r="U119" s="9"/>
    </row>
    <row r="120" spans="1:21" s="37" customFormat="1" ht="12" x14ac:dyDescent="0.3">
      <c r="A120" s="75" t="s">
        <v>1434</v>
      </c>
      <c r="B120" s="76" t="s">
        <v>1599</v>
      </c>
      <c r="C120" s="86">
        <v>1541</v>
      </c>
      <c r="D120" s="87">
        <v>69.8</v>
      </c>
      <c r="E120" s="88">
        <v>21</v>
      </c>
      <c r="F120" s="87">
        <v>49.7</v>
      </c>
      <c r="G120" s="17">
        <v>15</v>
      </c>
      <c r="H120" s="89">
        <v>149</v>
      </c>
      <c r="I120" s="90">
        <v>8000</v>
      </c>
      <c r="J120" s="90" t="s">
        <v>70</v>
      </c>
      <c r="K120" s="90"/>
      <c r="L120" s="90"/>
      <c r="M120" s="91">
        <f>I120-K120</f>
        <v>8000</v>
      </c>
      <c r="N120" s="4">
        <f>IF(ISERROR(K120/I120),"",K120/I120)</f>
        <v>0</v>
      </c>
      <c r="O120" s="92">
        <f>I120/E120</f>
        <v>380.95238095238096</v>
      </c>
      <c r="P120" s="92">
        <f>K120/E120</f>
        <v>0</v>
      </c>
      <c r="Q120" s="80">
        <v>2</v>
      </c>
      <c r="R120" s="80">
        <v>1</v>
      </c>
      <c r="S120" s="80" t="s">
        <v>76</v>
      </c>
      <c r="T120" s="5">
        <v>69</v>
      </c>
      <c r="U120" s="9"/>
    </row>
    <row r="121" spans="1:21" s="37" customFormat="1" ht="12" x14ac:dyDescent="0.3">
      <c r="A121" s="75" t="s">
        <v>1464</v>
      </c>
      <c r="B121" s="76" t="s">
        <v>1463</v>
      </c>
      <c r="C121" s="86">
        <v>1460</v>
      </c>
      <c r="D121" s="87">
        <v>65.400000000000006</v>
      </c>
      <c r="E121" s="88">
        <v>20</v>
      </c>
      <c r="F121" s="87">
        <v>49.9</v>
      </c>
      <c r="G121" s="17">
        <v>15</v>
      </c>
      <c r="H121" s="89">
        <v>529</v>
      </c>
      <c r="I121" s="90">
        <v>8000</v>
      </c>
      <c r="J121" s="90" t="s">
        <v>67</v>
      </c>
      <c r="K121" s="90">
        <v>7500</v>
      </c>
      <c r="L121" s="90" t="s">
        <v>69</v>
      </c>
      <c r="M121" s="91">
        <f>I121-K121</f>
        <v>500</v>
      </c>
      <c r="N121" s="4">
        <f>IF(ISERROR(K121/I121),"",K121/I121)</f>
        <v>0.9375</v>
      </c>
      <c r="O121" s="92">
        <f>I121/E121</f>
        <v>400</v>
      </c>
      <c r="P121" s="92">
        <f>K121/E121</f>
        <v>375</v>
      </c>
      <c r="Q121" s="80">
        <v>2</v>
      </c>
      <c r="R121" s="80">
        <v>1</v>
      </c>
      <c r="S121" s="80" t="s">
        <v>61</v>
      </c>
      <c r="T121" s="5" t="s">
        <v>82</v>
      </c>
      <c r="U121" s="9"/>
    </row>
    <row r="122" spans="1:21" s="37" customFormat="1" ht="12" x14ac:dyDescent="0.3">
      <c r="A122" s="75" t="s">
        <v>1501</v>
      </c>
      <c r="B122" s="76" t="s">
        <v>1502</v>
      </c>
      <c r="C122" s="86">
        <v>380</v>
      </c>
      <c r="D122" s="87">
        <v>75.900000000000006</v>
      </c>
      <c r="E122" s="88">
        <v>23</v>
      </c>
      <c r="F122" s="87">
        <v>59.4</v>
      </c>
      <c r="G122" s="17">
        <v>18</v>
      </c>
      <c r="H122" s="89">
        <v>254</v>
      </c>
      <c r="I122" s="90">
        <v>8000</v>
      </c>
      <c r="J122" s="90" t="s">
        <v>72</v>
      </c>
      <c r="K122" s="90">
        <v>8000</v>
      </c>
      <c r="L122" s="90" t="s">
        <v>84</v>
      </c>
      <c r="M122" s="91">
        <f>I122-K122</f>
        <v>0</v>
      </c>
      <c r="N122" s="4">
        <f>IF(ISERROR(K122/I122),"",K122/I122)</f>
        <v>1</v>
      </c>
      <c r="O122" s="92">
        <f>I122/E122</f>
        <v>347.82608695652175</v>
      </c>
      <c r="P122" s="92">
        <f>K122/E122</f>
        <v>347.82608695652175</v>
      </c>
      <c r="Q122" s="80">
        <v>3</v>
      </c>
      <c r="R122" s="80">
        <v>1</v>
      </c>
      <c r="S122" s="80" t="s">
        <v>61</v>
      </c>
      <c r="T122" s="5">
        <v>75</v>
      </c>
      <c r="U122" s="9"/>
    </row>
    <row r="123" spans="1:21" s="37" customFormat="1" ht="12" x14ac:dyDescent="0.3">
      <c r="A123" s="75" t="s">
        <v>1433</v>
      </c>
      <c r="B123" s="76" t="s">
        <v>1378</v>
      </c>
      <c r="C123" s="86">
        <v>458</v>
      </c>
      <c r="D123" s="87">
        <v>96.8</v>
      </c>
      <c r="E123" s="88">
        <v>29</v>
      </c>
      <c r="F123" s="87">
        <v>78.099999999999994</v>
      </c>
      <c r="G123" s="17">
        <v>24</v>
      </c>
      <c r="H123" s="89">
        <v>69</v>
      </c>
      <c r="I123" s="90">
        <v>7800</v>
      </c>
      <c r="J123" s="90" t="s">
        <v>67</v>
      </c>
      <c r="K123" s="90"/>
      <c r="L123" s="90"/>
      <c r="M123" s="91">
        <f>I123-K123</f>
        <v>7800</v>
      </c>
      <c r="N123" s="4">
        <f>IF(ISERROR(K123/I123),"",K123/I123)</f>
        <v>0</v>
      </c>
      <c r="O123" s="92">
        <f>I123/E123</f>
        <v>268.9655172413793</v>
      </c>
      <c r="P123" s="92">
        <f>K123/E123</f>
        <v>0</v>
      </c>
      <c r="Q123" s="80">
        <v>3</v>
      </c>
      <c r="R123" s="80">
        <v>1</v>
      </c>
      <c r="S123" s="80" t="s">
        <v>61</v>
      </c>
      <c r="T123" s="5">
        <v>96</v>
      </c>
      <c r="U123" s="9"/>
    </row>
    <row r="124" spans="1:21" s="37" customFormat="1" ht="12" x14ac:dyDescent="0.3">
      <c r="A124" s="75" t="s">
        <v>1779</v>
      </c>
      <c r="B124" s="76" t="s">
        <v>1367</v>
      </c>
      <c r="C124" s="86">
        <v>765</v>
      </c>
      <c r="D124" s="87">
        <v>71.5</v>
      </c>
      <c r="E124" s="88">
        <v>22</v>
      </c>
      <c r="F124" s="87">
        <v>49.8</v>
      </c>
      <c r="G124" s="17">
        <v>15</v>
      </c>
      <c r="H124" s="89">
        <v>120</v>
      </c>
      <c r="I124" s="90">
        <v>7500</v>
      </c>
      <c r="J124" s="90" t="s">
        <v>69</v>
      </c>
      <c r="K124" s="90">
        <v>7000</v>
      </c>
      <c r="L124" s="90" t="s">
        <v>72</v>
      </c>
      <c r="M124" s="91">
        <f>I124-K124</f>
        <v>500</v>
      </c>
      <c r="N124" s="4">
        <f>IF(ISERROR(K124/I124),"",K124/I124)</f>
        <v>0.93333333333333335</v>
      </c>
      <c r="O124" s="92">
        <f>I124/E124</f>
        <v>340.90909090909093</v>
      </c>
      <c r="P124" s="92">
        <f>K124/E124</f>
        <v>318.18181818181819</v>
      </c>
      <c r="Q124" s="80">
        <v>2</v>
      </c>
      <c r="R124" s="80">
        <v>1</v>
      </c>
      <c r="S124" s="80" t="s">
        <v>76</v>
      </c>
      <c r="T124" s="5">
        <v>71</v>
      </c>
      <c r="U124" s="9"/>
    </row>
    <row r="125" spans="1:21" s="37" customFormat="1" ht="12" x14ac:dyDescent="0.3">
      <c r="A125" s="75" t="s">
        <v>1518</v>
      </c>
      <c r="B125" s="76" t="s">
        <v>1426</v>
      </c>
      <c r="C125" s="86">
        <v>350</v>
      </c>
      <c r="D125" s="87">
        <v>91.4</v>
      </c>
      <c r="E125" s="88">
        <v>28</v>
      </c>
      <c r="F125" s="87">
        <v>75</v>
      </c>
      <c r="G125" s="17">
        <v>23</v>
      </c>
      <c r="H125" s="89">
        <v>59</v>
      </c>
      <c r="I125" s="90">
        <v>7500</v>
      </c>
      <c r="J125" s="90" t="s">
        <v>81</v>
      </c>
      <c r="K125" s="90"/>
      <c r="L125" s="90"/>
      <c r="M125" s="91">
        <f>I125-K125</f>
        <v>7500</v>
      </c>
      <c r="N125" s="4">
        <f>IF(ISERROR(K125/I125),"",K125/I125)</f>
        <v>0</v>
      </c>
      <c r="O125" s="92">
        <f>I125/E125</f>
        <v>267.85714285714283</v>
      </c>
      <c r="P125" s="92">
        <f>K125/E125</f>
        <v>0</v>
      </c>
      <c r="Q125" s="80">
        <v>3</v>
      </c>
      <c r="R125" s="80">
        <v>1</v>
      </c>
      <c r="S125" s="80" t="s">
        <v>61</v>
      </c>
      <c r="T125" s="5">
        <v>91</v>
      </c>
      <c r="U125" s="9"/>
    </row>
    <row r="126" spans="1:21" s="37" customFormat="1" ht="12" x14ac:dyDescent="0.3">
      <c r="A126" s="75" t="s">
        <v>1586</v>
      </c>
      <c r="B126" s="76" t="s">
        <v>1403</v>
      </c>
      <c r="C126" s="86">
        <v>660</v>
      </c>
      <c r="D126" s="87">
        <v>83.5</v>
      </c>
      <c r="E126" s="88">
        <v>25</v>
      </c>
      <c r="F126" s="87">
        <v>67.400000000000006</v>
      </c>
      <c r="G126" s="17">
        <v>20</v>
      </c>
      <c r="H126" s="89">
        <v>120</v>
      </c>
      <c r="I126" s="90">
        <v>7500</v>
      </c>
      <c r="J126" s="90" t="s">
        <v>71</v>
      </c>
      <c r="K126" s="90"/>
      <c r="L126" s="90"/>
      <c r="M126" s="91">
        <f>I126-K126</f>
        <v>7500</v>
      </c>
      <c r="N126" s="4">
        <f>IF(ISERROR(K126/I126),"",K126/I126)</f>
        <v>0</v>
      </c>
      <c r="O126" s="92">
        <f>I126/E126</f>
        <v>300</v>
      </c>
      <c r="P126" s="92">
        <f>K126/E126</f>
        <v>0</v>
      </c>
      <c r="Q126" s="80">
        <v>3</v>
      </c>
      <c r="R126" s="80">
        <v>1</v>
      </c>
      <c r="S126" s="80" t="s">
        <v>76</v>
      </c>
      <c r="T126" s="5">
        <v>83</v>
      </c>
      <c r="U126" s="9"/>
    </row>
    <row r="127" spans="1:21" s="37" customFormat="1" ht="12" x14ac:dyDescent="0.3">
      <c r="A127" s="75" t="s">
        <v>1372</v>
      </c>
      <c r="B127" s="76" t="s">
        <v>1373</v>
      </c>
      <c r="C127" s="86">
        <v>1084</v>
      </c>
      <c r="D127" s="87">
        <v>80.099999999999994</v>
      </c>
      <c r="E127" s="88">
        <v>24</v>
      </c>
      <c r="F127" s="87">
        <v>59.9</v>
      </c>
      <c r="G127" s="17">
        <v>18</v>
      </c>
      <c r="H127" s="89">
        <v>427</v>
      </c>
      <c r="I127" s="90">
        <v>7000</v>
      </c>
      <c r="J127" s="90" t="s">
        <v>66</v>
      </c>
      <c r="K127" s="90">
        <v>7500</v>
      </c>
      <c r="L127" s="90" t="s">
        <v>65</v>
      </c>
      <c r="M127" s="91">
        <f>I127-K127</f>
        <v>-500</v>
      </c>
      <c r="N127" s="4">
        <f>IF(ISERROR(K127/I127),"",K127/I127)</f>
        <v>1.0714285714285714</v>
      </c>
      <c r="O127" s="92">
        <f>I127/E127</f>
        <v>291.66666666666669</v>
      </c>
      <c r="P127" s="92">
        <f>K127/E127</f>
        <v>312.5</v>
      </c>
      <c r="Q127" s="80">
        <v>3</v>
      </c>
      <c r="R127" s="80">
        <v>1</v>
      </c>
      <c r="S127" s="80" t="s">
        <v>61</v>
      </c>
      <c r="T127" s="5">
        <v>80</v>
      </c>
      <c r="U127" s="9"/>
    </row>
    <row r="128" spans="1:21" s="37" customFormat="1" ht="12" x14ac:dyDescent="0.3">
      <c r="A128" s="75" t="s">
        <v>1382</v>
      </c>
      <c r="B128" s="76" t="s">
        <v>1383</v>
      </c>
      <c r="C128" s="86">
        <v>1186</v>
      </c>
      <c r="D128" s="87">
        <v>69</v>
      </c>
      <c r="E128" s="88">
        <v>21</v>
      </c>
      <c r="F128" s="87">
        <v>53.8</v>
      </c>
      <c r="G128" s="17">
        <v>16</v>
      </c>
      <c r="H128" s="89">
        <v>941</v>
      </c>
      <c r="I128" s="90">
        <v>7000</v>
      </c>
      <c r="J128" s="90" t="s">
        <v>72</v>
      </c>
      <c r="K128" s="90">
        <v>6500</v>
      </c>
      <c r="L128" s="90" t="s">
        <v>72</v>
      </c>
      <c r="M128" s="91">
        <f>I128-K128</f>
        <v>500</v>
      </c>
      <c r="N128" s="4">
        <f>IF(ISERROR(K128/I128),"",K128/I128)</f>
        <v>0.9285714285714286</v>
      </c>
      <c r="O128" s="92">
        <f>I128/E128</f>
        <v>333.33333333333331</v>
      </c>
      <c r="P128" s="92">
        <f>K128/E128</f>
        <v>309.52380952380952</v>
      </c>
      <c r="Q128" s="80">
        <v>2</v>
      </c>
      <c r="R128" s="80">
        <v>1</v>
      </c>
      <c r="S128" s="80" t="s">
        <v>76</v>
      </c>
      <c r="T128" s="5">
        <v>68</v>
      </c>
      <c r="U128" s="9"/>
    </row>
    <row r="129" spans="1:21" s="37" customFormat="1" ht="12" x14ac:dyDescent="0.3">
      <c r="A129" s="75" t="s">
        <v>1825</v>
      </c>
      <c r="B129" s="76" t="s">
        <v>1827</v>
      </c>
      <c r="C129" s="86">
        <v>499</v>
      </c>
      <c r="D129" s="87">
        <v>88.3</v>
      </c>
      <c r="E129" s="88">
        <v>27</v>
      </c>
      <c r="F129" s="87">
        <v>72</v>
      </c>
      <c r="G129" s="17">
        <v>22</v>
      </c>
      <c r="H129" s="89">
        <v>128</v>
      </c>
      <c r="I129" s="90">
        <v>6700</v>
      </c>
      <c r="J129" s="90" t="s">
        <v>74</v>
      </c>
      <c r="K129" s="90"/>
      <c r="L129" s="90"/>
      <c r="M129" s="91">
        <f>I129-K129</f>
        <v>6700</v>
      </c>
      <c r="N129" s="4">
        <f>IF(ISERROR(K129/I129),"",K129/I129)</f>
        <v>0</v>
      </c>
      <c r="O129" s="92">
        <f>I129/E129</f>
        <v>248.14814814814815</v>
      </c>
      <c r="P129" s="92">
        <f>K129/E129</f>
        <v>0</v>
      </c>
      <c r="Q129" s="80">
        <v>3</v>
      </c>
      <c r="R129" s="80">
        <v>2</v>
      </c>
      <c r="S129" s="80" t="s">
        <v>61</v>
      </c>
      <c r="T129" s="5">
        <v>88</v>
      </c>
      <c r="U129" s="9"/>
    </row>
    <row r="130" spans="1:21" s="37" customFormat="1" ht="12" x14ac:dyDescent="0.3">
      <c r="A130" s="75" t="s">
        <v>1871</v>
      </c>
      <c r="B130" s="76" t="s">
        <v>1396</v>
      </c>
      <c r="C130" s="86">
        <v>383</v>
      </c>
      <c r="D130" s="87">
        <v>60.5</v>
      </c>
      <c r="E130" s="88">
        <v>18</v>
      </c>
      <c r="F130" s="87">
        <v>47.6</v>
      </c>
      <c r="G130" s="17">
        <v>14</v>
      </c>
      <c r="H130" s="89">
        <v>120</v>
      </c>
      <c r="I130" s="90">
        <v>6400</v>
      </c>
      <c r="J130" s="90" t="s">
        <v>65</v>
      </c>
      <c r="K130" s="90"/>
      <c r="L130" s="90"/>
      <c r="M130" s="91">
        <f>I130-K130</f>
        <v>6400</v>
      </c>
      <c r="N130" s="4">
        <f>IF(ISERROR(K130/I130),"",K130/I130)</f>
        <v>0</v>
      </c>
      <c r="O130" s="92">
        <f>I130/E130</f>
        <v>355.55555555555554</v>
      </c>
      <c r="P130" s="92">
        <f>K130/E130</f>
        <v>0</v>
      </c>
      <c r="Q130" s="80">
        <v>3</v>
      </c>
      <c r="R130" s="80">
        <v>1</v>
      </c>
      <c r="S130" s="80" t="s">
        <v>61</v>
      </c>
      <c r="T130" s="5">
        <v>60</v>
      </c>
      <c r="U130" s="9"/>
    </row>
    <row r="131" spans="1:21" s="37" customFormat="1" ht="12" x14ac:dyDescent="0.3">
      <c r="A131" s="75" t="s">
        <v>1848</v>
      </c>
      <c r="B131" s="76" t="s">
        <v>1371</v>
      </c>
      <c r="C131" s="86">
        <v>360</v>
      </c>
      <c r="D131" s="87">
        <v>46.9</v>
      </c>
      <c r="E131" s="88">
        <v>14</v>
      </c>
      <c r="F131" s="87">
        <v>39.5</v>
      </c>
      <c r="G131" s="17">
        <v>12</v>
      </c>
      <c r="H131" s="89">
        <v>205</v>
      </c>
      <c r="I131" s="90">
        <v>6300</v>
      </c>
      <c r="J131" s="90" t="s">
        <v>81</v>
      </c>
      <c r="K131" s="90"/>
      <c r="L131" s="90"/>
      <c r="M131" s="91">
        <f>I131-K131</f>
        <v>6300</v>
      </c>
      <c r="N131" s="4">
        <f>IF(ISERROR(K131/I131),"",K131/I131)</f>
        <v>0</v>
      </c>
      <c r="O131" s="92">
        <f>I131/E131</f>
        <v>450</v>
      </c>
      <c r="P131" s="92">
        <f>K131/E131</f>
        <v>0</v>
      </c>
      <c r="Q131" s="80">
        <v>2</v>
      </c>
      <c r="R131" s="80">
        <v>1</v>
      </c>
      <c r="S131" s="80" t="s">
        <v>61</v>
      </c>
      <c r="T131" s="5">
        <v>46</v>
      </c>
      <c r="U131" s="9"/>
    </row>
    <row r="132" spans="1:21" s="37" customFormat="1" ht="12" x14ac:dyDescent="0.3">
      <c r="A132" s="75" t="s">
        <v>1825</v>
      </c>
      <c r="B132" s="76" t="s">
        <v>1828</v>
      </c>
      <c r="C132" s="86">
        <v>499</v>
      </c>
      <c r="D132" s="87">
        <v>78.400000000000006</v>
      </c>
      <c r="E132" s="88">
        <v>24</v>
      </c>
      <c r="F132" s="87">
        <v>59.8</v>
      </c>
      <c r="G132" s="17">
        <v>18</v>
      </c>
      <c r="H132" s="89">
        <v>48</v>
      </c>
      <c r="I132" s="90">
        <v>6000</v>
      </c>
      <c r="J132" s="90" t="s">
        <v>84</v>
      </c>
      <c r="K132" s="90"/>
      <c r="L132" s="90"/>
      <c r="M132" s="91">
        <f>I132-K132</f>
        <v>6000</v>
      </c>
      <c r="N132" s="4">
        <f>IF(ISERROR(K132/I132),"",K132/I132)</f>
        <v>0</v>
      </c>
      <c r="O132" s="92">
        <f>I132/E132</f>
        <v>250</v>
      </c>
      <c r="P132" s="92">
        <f>K132/E132</f>
        <v>0</v>
      </c>
      <c r="Q132" s="80">
        <v>3</v>
      </c>
      <c r="R132" s="80">
        <v>1</v>
      </c>
      <c r="S132" s="80" t="s">
        <v>76</v>
      </c>
      <c r="T132" s="5" t="s">
        <v>137</v>
      </c>
      <c r="U132" s="9"/>
    </row>
    <row r="133" spans="1:21" s="37" customFormat="1" ht="12" x14ac:dyDescent="0.3">
      <c r="A133" s="75" t="s">
        <v>1519</v>
      </c>
      <c r="B133" s="76" t="s">
        <v>1520</v>
      </c>
      <c r="C133" s="86">
        <v>702</v>
      </c>
      <c r="D133" s="87">
        <v>79.5</v>
      </c>
      <c r="E133" s="88">
        <v>24</v>
      </c>
      <c r="F133" s="87">
        <v>60.5</v>
      </c>
      <c r="G133" s="17">
        <v>18</v>
      </c>
      <c r="H133" s="89">
        <v>251</v>
      </c>
      <c r="I133" s="90">
        <v>5900</v>
      </c>
      <c r="J133" s="90" t="s">
        <v>81</v>
      </c>
      <c r="K133" s="90"/>
      <c r="L133" s="90"/>
      <c r="M133" s="91">
        <f>I133-K133</f>
        <v>5900</v>
      </c>
      <c r="N133" s="4">
        <f>IF(ISERROR(K133/I133),"",K133/I133)</f>
        <v>0</v>
      </c>
      <c r="O133" s="92">
        <f>I133/E133</f>
        <v>245.83333333333334</v>
      </c>
      <c r="P133" s="92">
        <f>K133/E133</f>
        <v>0</v>
      </c>
      <c r="Q133" s="80">
        <v>3</v>
      </c>
      <c r="R133" s="80">
        <v>1</v>
      </c>
      <c r="S133" s="80" t="s">
        <v>61</v>
      </c>
      <c r="T133" s="5" t="s">
        <v>136</v>
      </c>
      <c r="U133" s="9"/>
    </row>
    <row r="134" spans="1:21" s="37" customFormat="1" ht="12" x14ac:dyDescent="0.3">
      <c r="A134" s="75" t="s">
        <v>1431</v>
      </c>
      <c r="B134" s="76" t="s">
        <v>1367</v>
      </c>
      <c r="C134" s="86">
        <v>765</v>
      </c>
      <c r="D134" s="87">
        <v>56.5</v>
      </c>
      <c r="E134" s="88">
        <v>17</v>
      </c>
      <c r="F134" s="87">
        <v>39.299999999999997</v>
      </c>
      <c r="G134" s="17">
        <v>12</v>
      </c>
      <c r="H134" s="89">
        <v>60</v>
      </c>
      <c r="I134" s="90">
        <v>5500</v>
      </c>
      <c r="J134" s="90" t="s">
        <v>72</v>
      </c>
      <c r="K134" s="90"/>
      <c r="L134" s="90"/>
      <c r="M134" s="91">
        <f>I134-K134</f>
        <v>5500</v>
      </c>
      <c r="N134" s="4">
        <f>IF(ISERROR(K134/I134),"",K134/I134)</f>
        <v>0</v>
      </c>
      <c r="O134" s="92">
        <f>I134/E134</f>
        <v>323.52941176470586</v>
      </c>
      <c r="P134" s="92">
        <f>K134/E134</f>
        <v>0</v>
      </c>
      <c r="Q134" s="80">
        <v>2</v>
      </c>
      <c r="R134" s="80">
        <v>1</v>
      </c>
      <c r="S134" s="80" t="s">
        <v>76</v>
      </c>
      <c r="T134" s="5">
        <v>56</v>
      </c>
      <c r="U134" s="9"/>
    </row>
    <row r="135" spans="1:21" s="37" customFormat="1" ht="12" x14ac:dyDescent="0.3">
      <c r="A135" s="75" t="s">
        <v>1382</v>
      </c>
      <c r="B135" s="76" t="s">
        <v>1383</v>
      </c>
      <c r="C135" s="86">
        <v>1186</v>
      </c>
      <c r="D135" s="87">
        <v>51.7</v>
      </c>
      <c r="E135" s="88">
        <v>16</v>
      </c>
      <c r="F135" s="87">
        <v>40.299999999999997</v>
      </c>
      <c r="G135" s="17">
        <v>12</v>
      </c>
      <c r="H135" s="89">
        <v>230</v>
      </c>
      <c r="I135" s="90">
        <v>4900</v>
      </c>
      <c r="J135" s="90" t="s">
        <v>84</v>
      </c>
      <c r="K135" s="90">
        <v>5000</v>
      </c>
      <c r="L135" s="90" t="s">
        <v>69</v>
      </c>
      <c r="M135" s="91">
        <f>I135-K135</f>
        <v>-100</v>
      </c>
      <c r="N135" s="4">
        <f>IF(ISERROR(K135/I135),"",K135/I135)</f>
        <v>1.0204081632653061</v>
      </c>
      <c r="O135" s="92">
        <f>I135/E135</f>
        <v>306.25</v>
      </c>
      <c r="P135" s="92">
        <f>K135/E135</f>
        <v>312.5</v>
      </c>
      <c r="Q135" s="80">
        <v>1</v>
      </c>
      <c r="R135" s="80">
        <v>1</v>
      </c>
      <c r="S135" s="80" t="s">
        <v>76</v>
      </c>
      <c r="T135" s="5">
        <v>51</v>
      </c>
      <c r="U135" s="9"/>
    </row>
    <row r="136" spans="1:21" s="37" customFormat="1" ht="12" x14ac:dyDescent="0.3">
      <c r="A136" s="75" t="s">
        <v>1832</v>
      </c>
      <c r="B136" s="76" t="s">
        <v>1833</v>
      </c>
      <c r="C136" s="86">
        <v>720</v>
      </c>
      <c r="D136" s="87">
        <v>63</v>
      </c>
      <c r="E136" s="88">
        <v>19</v>
      </c>
      <c r="F136" s="87">
        <v>45.4</v>
      </c>
      <c r="G136" s="17">
        <v>14</v>
      </c>
      <c r="H136" s="89">
        <v>416</v>
      </c>
      <c r="I136" s="90">
        <v>4700</v>
      </c>
      <c r="J136" s="90" t="s">
        <v>88</v>
      </c>
      <c r="K136" s="90"/>
      <c r="L136" s="90"/>
      <c r="M136" s="91">
        <f>I136-K136</f>
        <v>4700</v>
      </c>
      <c r="N136" s="4">
        <f>IF(ISERROR(K136/I136),"",K136/I136)</f>
        <v>0</v>
      </c>
      <c r="O136" s="92">
        <f>I136/E136</f>
        <v>247.36842105263159</v>
      </c>
      <c r="P136" s="92">
        <f>K136/E136</f>
        <v>0</v>
      </c>
      <c r="Q136" s="80">
        <v>2</v>
      </c>
      <c r="R136" s="80">
        <v>1</v>
      </c>
      <c r="S136" s="80" t="s">
        <v>76</v>
      </c>
      <c r="T136" s="5" t="s">
        <v>138</v>
      </c>
      <c r="U136" s="9"/>
    </row>
    <row r="137" spans="1:21" s="37" customFormat="1" ht="12" x14ac:dyDescent="0.3">
      <c r="A137" s="75" t="s">
        <v>1370</v>
      </c>
      <c r="B137" s="76" t="s">
        <v>1371</v>
      </c>
      <c r="C137" s="86">
        <v>880</v>
      </c>
      <c r="D137" s="87">
        <v>55</v>
      </c>
      <c r="E137" s="88">
        <v>17</v>
      </c>
      <c r="F137" s="87">
        <v>40</v>
      </c>
      <c r="G137" s="17">
        <v>12</v>
      </c>
      <c r="H137" s="89">
        <v>163</v>
      </c>
      <c r="I137" s="90">
        <v>4300</v>
      </c>
      <c r="J137" s="90" t="s">
        <v>74</v>
      </c>
      <c r="K137" s="90"/>
      <c r="L137" s="90"/>
      <c r="M137" s="91">
        <f>I137-K137</f>
        <v>4300</v>
      </c>
      <c r="N137" s="4">
        <f>IF(ISERROR(K137/I137),"",K137/I137)</f>
        <v>0</v>
      </c>
      <c r="O137" s="92">
        <f>I137/E137</f>
        <v>252.94117647058823</v>
      </c>
      <c r="P137" s="92">
        <f>K137/E137</f>
        <v>0</v>
      </c>
      <c r="Q137" s="80">
        <v>3</v>
      </c>
      <c r="R137" s="80">
        <v>1</v>
      </c>
      <c r="S137" s="80" t="s">
        <v>61</v>
      </c>
      <c r="T137" s="5">
        <v>54</v>
      </c>
      <c r="U137" s="9"/>
    </row>
    <row r="138" spans="1:21" s="37" customFormat="1" ht="12" x14ac:dyDescent="0.3">
      <c r="A138" s="75" t="s">
        <v>1826</v>
      </c>
      <c r="B138" s="76" t="s">
        <v>1827</v>
      </c>
      <c r="C138" s="86">
        <v>499</v>
      </c>
      <c r="D138" s="87">
        <v>63.4</v>
      </c>
      <c r="E138" s="88">
        <v>19</v>
      </c>
      <c r="F138" s="87">
        <v>49.3</v>
      </c>
      <c r="G138" s="17">
        <v>15</v>
      </c>
      <c r="H138" s="89">
        <v>50</v>
      </c>
      <c r="I138" s="90">
        <v>4000</v>
      </c>
      <c r="J138" s="90" t="s">
        <v>84</v>
      </c>
      <c r="K138" s="90"/>
      <c r="L138" s="90"/>
      <c r="M138" s="91">
        <f>I138-K138</f>
        <v>4000</v>
      </c>
      <c r="N138" s="4">
        <f>IF(ISERROR(K138/I138),"",K138/I138)</f>
        <v>0</v>
      </c>
      <c r="O138" s="92">
        <f>I138/E138</f>
        <v>210.52631578947367</v>
      </c>
      <c r="P138" s="92">
        <f>K138/E138</f>
        <v>0</v>
      </c>
      <c r="Q138" s="80">
        <v>2</v>
      </c>
      <c r="R138" s="80">
        <v>1</v>
      </c>
      <c r="S138" s="80" t="s">
        <v>61</v>
      </c>
      <c r="T138" s="5">
        <v>63</v>
      </c>
      <c r="U138" s="9"/>
    </row>
    <row r="139" spans="1:21" s="37" customFormat="1" ht="12" x14ac:dyDescent="0.3">
      <c r="A139" s="75" t="s">
        <v>1580</v>
      </c>
      <c r="B139" s="76" t="s">
        <v>1454</v>
      </c>
      <c r="C139" s="86">
        <v>498</v>
      </c>
      <c r="D139" s="87">
        <v>53.9</v>
      </c>
      <c r="E139" s="88">
        <v>16</v>
      </c>
      <c r="F139" s="87">
        <v>40</v>
      </c>
      <c r="G139" s="17">
        <v>12</v>
      </c>
      <c r="H139" s="89">
        <v>498</v>
      </c>
      <c r="I139" s="90">
        <v>3950</v>
      </c>
      <c r="J139" s="90" t="s">
        <v>71</v>
      </c>
      <c r="K139" s="90">
        <v>4500</v>
      </c>
      <c r="L139" s="90" t="s">
        <v>111</v>
      </c>
      <c r="M139" s="91">
        <f>I139-K139</f>
        <v>-550</v>
      </c>
      <c r="N139" s="4">
        <f>IF(ISERROR(K139/I139),"",K139/I139)</f>
        <v>1.139240506329114</v>
      </c>
      <c r="O139" s="92">
        <f>I139/E139</f>
        <v>246.875</v>
      </c>
      <c r="P139" s="92">
        <f>K139/E139</f>
        <v>281.25</v>
      </c>
      <c r="Q139" s="80">
        <v>2</v>
      </c>
      <c r="R139" s="80">
        <v>1</v>
      </c>
      <c r="S139" s="80" t="s">
        <v>61</v>
      </c>
      <c r="T139" s="5">
        <v>53</v>
      </c>
      <c r="U139" s="9"/>
    </row>
    <row r="140" spans="1:21" s="37" customFormat="1" ht="12" x14ac:dyDescent="0.3">
      <c r="A140" s="75" t="s">
        <v>1829</v>
      </c>
      <c r="B140" s="76" t="s">
        <v>1429</v>
      </c>
      <c r="C140" s="86">
        <v>398</v>
      </c>
      <c r="D140" s="87">
        <v>41.3</v>
      </c>
      <c r="E140" s="88">
        <v>12</v>
      </c>
      <c r="F140" s="87">
        <v>31.8</v>
      </c>
      <c r="G140" s="17">
        <v>10</v>
      </c>
      <c r="H140" s="89">
        <v>390</v>
      </c>
      <c r="I140" s="90">
        <v>3000</v>
      </c>
      <c r="J140" s="90" t="s">
        <v>81</v>
      </c>
      <c r="K140" s="90"/>
      <c r="L140" s="90"/>
      <c r="M140" s="91">
        <f>I140-K140</f>
        <v>3000</v>
      </c>
      <c r="N140" s="4">
        <f>IF(ISERROR(K140/I140),"",K140/I140)</f>
        <v>0</v>
      </c>
      <c r="O140" s="92">
        <f>I140/E140</f>
        <v>250</v>
      </c>
      <c r="P140" s="92">
        <f>K140/E140</f>
        <v>0</v>
      </c>
      <c r="Q140" s="80">
        <v>1</v>
      </c>
      <c r="R140" s="80">
        <v>1</v>
      </c>
      <c r="S140" s="80" t="s">
        <v>76</v>
      </c>
      <c r="T140" s="5">
        <v>41</v>
      </c>
      <c r="U140" s="9"/>
    </row>
    <row r="141" spans="1:21" s="37" customFormat="1" ht="12" x14ac:dyDescent="0.3">
      <c r="A141" s="75" t="s">
        <v>1809</v>
      </c>
      <c r="B141" s="76" t="s">
        <v>1810</v>
      </c>
      <c r="C141" s="86">
        <v>349</v>
      </c>
      <c r="D141" s="87">
        <v>51.5</v>
      </c>
      <c r="E141" s="88">
        <v>16</v>
      </c>
      <c r="F141" s="87">
        <v>39</v>
      </c>
      <c r="G141" s="17">
        <v>12</v>
      </c>
      <c r="H141" s="89">
        <v>295</v>
      </c>
      <c r="I141" s="90">
        <v>2100</v>
      </c>
      <c r="J141" s="90" t="s">
        <v>71</v>
      </c>
      <c r="K141" s="90"/>
      <c r="L141" s="90"/>
      <c r="M141" s="91">
        <f>I141-K141</f>
        <v>2100</v>
      </c>
      <c r="N141" s="4">
        <f>IF(ISERROR(K141/I141),"",K141/I141)</f>
        <v>0</v>
      </c>
      <c r="O141" s="92">
        <f>I141/E141</f>
        <v>131.25</v>
      </c>
      <c r="P141" s="92">
        <f>K141/E141</f>
        <v>0</v>
      </c>
      <c r="Q141" s="80">
        <v>2</v>
      </c>
      <c r="R141" s="80">
        <v>1</v>
      </c>
      <c r="S141" s="80" t="s">
        <v>76</v>
      </c>
      <c r="T141" s="5">
        <v>51</v>
      </c>
      <c r="U141" s="9"/>
    </row>
    <row r="142" spans="1:21" s="37" customFormat="1" ht="12" x14ac:dyDescent="0.3">
      <c r="A142" s="75" t="s">
        <v>1806</v>
      </c>
      <c r="B142" s="76" t="s">
        <v>1413</v>
      </c>
      <c r="C142" s="86">
        <v>404</v>
      </c>
      <c r="D142" s="87">
        <v>52.1</v>
      </c>
      <c r="E142" s="88">
        <v>16</v>
      </c>
      <c r="F142" s="87">
        <v>39.1</v>
      </c>
      <c r="G142" s="17">
        <v>12</v>
      </c>
      <c r="H142" s="89">
        <v>105</v>
      </c>
      <c r="I142" s="90">
        <v>1900</v>
      </c>
      <c r="J142" s="90" t="s">
        <v>81</v>
      </c>
      <c r="K142" s="90"/>
      <c r="L142" s="90"/>
      <c r="M142" s="91">
        <f>I142-K142</f>
        <v>1900</v>
      </c>
      <c r="N142" s="4">
        <f>IF(ISERROR(K142/I142),"",K142/I142)</f>
        <v>0</v>
      </c>
      <c r="O142" s="92">
        <f>I142/E142</f>
        <v>118.75</v>
      </c>
      <c r="P142" s="92">
        <f>K142/E142</f>
        <v>0</v>
      </c>
      <c r="Q142" s="80">
        <v>1</v>
      </c>
      <c r="R142" s="80">
        <v>1</v>
      </c>
      <c r="S142" s="80" t="s">
        <v>61</v>
      </c>
      <c r="T142" s="5">
        <v>52</v>
      </c>
      <c r="U142" s="9"/>
    </row>
    <row r="143" spans="1:21" s="37" customFormat="1" ht="12" x14ac:dyDescent="0.3">
      <c r="A143" s="75" t="s">
        <v>1769</v>
      </c>
      <c r="B143" s="76" t="s">
        <v>1401</v>
      </c>
      <c r="C143" s="86">
        <v>304</v>
      </c>
      <c r="D143" s="87">
        <v>76.8</v>
      </c>
      <c r="E143" s="88">
        <v>23</v>
      </c>
      <c r="F143" s="87">
        <v>59.3</v>
      </c>
      <c r="G143" s="17">
        <v>18</v>
      </c>
      <c r="H143" s="89">
        <v>138</v>
      </c>
      <c r="I143" s="90"/>
      <c r="J143" s="90"/>
      <c r="K143" s="90"/>
      <c r="L143" s="90"/>
      <c r="M143" s="91">
        <f>I143-K143</f>
        <v>0</v>
      </c>
      <c r="N143" s="4" t="str">
        <f>IF(ISERROR(K143/I143),"",K143/I143)</f>
        <v/>
      </c>
      <c r="O143" s="92">
        <f>I143/E143</f>
        <v>0</v>
      </c>
      <c r="P143" s="92">
        <f>K143/E143</f>
        <v>0</v>
      </c>
      <c r="Q143" s="80">
        <v>3</v>
      </c>
      <c r="R143" s="80">
        <v>1</v>
      </c>
      <c r="S143" s="80" t="s">
        <v>76</v>
      </c>
      <c r="T143" s="5">
        <v>76</v>
      </c>
      <c r="U143" s="9"/>
    </row>
    <row r="144" spans="1:21" s="37" customFormat="1" ht="12" x14ac:dyDescent="0.3">
      <c r="A144" s="75" t="s">
        <v>1769</v>
      </c>
      <c r="B144" s="76" t="s">
        <v>1770</v>
      </c>
      <c r="C144" s="86">
        <v>304</v>
      </c>
      <c r="D144" s="87">
        <v>91.1</v>
      </c>
      <c r="E144" s="88">
        <v>28</v>
      </c>
      <c r="F144" s="87">
        <v>74.099999999999994</v>
      </c>
      <c r="G144" s="17">
        <v>22</v>
      </c>
      <c r="H144" s="89">
        <v>87</v>
      </c>
      <c r="I144" s="90"/>
      <c r="J144" s="90"/>
      <c r="K144" s="90"/>
      <c r="L144" s="90"/>
      <c r="M144" s="91">
        <f>I144-K144</f>
        <v>0</v>
      </c>
      <c r="N144" s="4" t="str">
        <f>IF(ISERROR(K144/I144),"",K144/I144)</f>
        <v/>
      </c>
      <c r="O144" s="92">
        <f>I144/E144</f>
        <v>0</v>
      </c>
      <c r="P144" s="92">
        <f>K144/E144</f>
        <v>0</v>
      </c>
      <c r="Q144" s="80">
        <v>3</v>
      </c>
      <c r="R144" s="80">
        <v>2</v>
      </c>
      <c r="S144" s="80" t="s">
        <v>61</v>
      </c>
      <c r="T144" s="5">
        <v>91</v>
      </c>
      <c r="U144" s="9"/>
    </row>
    <row r="145" spans="1:21" s="37" customFormat="1" ht="12" x14ac:dyDescent="0.3">
      <c r="A145" s="75" t="s">
        <v>1372</v>
      </c>
      <c r="B145" s="76" t="s">
        <v>1373</v>
      </c>
      <c r="C145" s="86">
        <v>1084</v>
      </c>
      <c r="D145" s="87">
        <v>146.30000000000001</v>
      </c>
      <c r="E145" s="88">
        <v>44</v>
      </c>
      <c r="F145" s="87">
        <v>125.9</v>
      </c>
      <c r="G145" s="17">
        <v>38</v>
      </c>
      <c r="H145" s="89">
        <v>120</v>
      </c>
      <c r="I145" s="90"/>
      <c r="J145" s="90"/>
      <c r="K145" s="90"/>
      <c r="L145" s="90"/>
      <c r="M145" s="91">
        <f>I145-K145</f>
        <v>0</v>
      </c>
      <c r="N145" s="4" t="str">
        <f>IF(ISERROR(K145/I145),"",K145/I145)</f>
        <v/>
      </c>
      <c r="O145" s="92">
        <f>I145/E145</f>
        <v>0</v>
      </c>
      <c r="P145" s="92">
        <f>K145/E145</f>
        <v>0</v>
      </c>
      <c r="Q145" s="80">
        <v>4</v>
      </c>
      <c r="R145" s="80">
        <v>2</v>
      </c>
      <c r="S145" s="80" t="s">
        <v>61</v>
      </c>
      <c r="T145" s="5">
        <v>146</v>
      </c>
      <c r="U145" s="9"/>
    </row>
    <row r="146" spans="1:21" s="37" customFormat="1" ht="12" x14ac:dyDescent="0.3">
      <c r="A146" s="75" t="s">
        <v>1374</v>
      </c>
      <c r="B146" s="76" t="s">
        <v>1376</v>
      </c>
      <c r="C146" s="86">
        <v>437</v>
      </c>
      <c r="D146" s="87">
        <v>74.7</v>
      </c>
      <c r="E146" s="88">
        <v>23</v>
      </c>
      <c r="F146" s="87">
        <v>59.9</v>
      </c>
      <c r="G146" s="17">
        <v>18</v>
      </c>
      <c r="H146" s="89">
        <v>164</v>
      </c>
      <c r="I146" s="90"/>
      <c r="J146" s="90"/>
      <c r="K146" s="90"/>
      <c r="L146" s="90"/>
      <c r="M146" s="91">
        <f>I146-K146</f>
        <v>0</v>
      </c>
      <c r="N146" s="4" t="str">
        <f>IF(ISERROR(K146/I146),"",K146/I146)</f>
        <v/>
      </c>
      <c r="O146" s="92">
        <f>I146/E146</f>
        <v>0</v>
      </c>
      <c r="P146" s="92">
        <f>K146/E146</f>
        <v>0</v>
      </c>
      <c r="Q146" s="80">
        <v>3</v>
      </c>
      <c r="R146" s="80">
        <v>1</v>
      </c>
      <c r="S146" s="80" t="s">
        <v>61</v>
      </c>
      <c r="T146" s="5" t="s">
        <v>139</v>
      </c>
      <c r="U146" s="9"/>
    </row>
    <row r="147" spans="1:21" s="37" customFormat="1" ht="12" x14ac:dyDescent="0.3">
      <c r="A147" s="75" t="s">
        <v>1377</v>
      </c>
      <c r="B147" s="76" t="s">
        <v>1378</v>
      </c>
      <c r="C147" s="86">
        <v>424</v>
      </c>
      <c r="D147" s="87">
        <v>106.7</v>
      </c>
      <c r="E147" s="88">
        <v>32</v>
      </c>
      <c r="F147" s="87">
        <v>84.9</v>
      </c>
      <c r="G147" s="17">
        <v>26</v>
      </c>
      <c r="H147" s="89">
        <v>192</v>
      </c>
      <c r="I147" s="90"/>
      <c r="J147" s="90"/>
      <c r="K147" s="90"/>
      <c r="L147" s="90"/>
      <c r="M147" s="91">
        <f>I147-K147</f>
        <v>0</v>
      </c>
      <c r="N147" s="4" t="str">
        <f>IF(ISERROR(K147/I147),"",K147/I147)</f>
        <v/>
      </c>
      <c r="O147" s="92">
        <f>I147/E147</f>
        <v>0</v>
      </c>
      <c r="P147" s="92">
        <f>K147/E147</f>
        <v>0</v>
      </c>
      <c r="Q147" s="80">
        <v>3</v>
      </c>
      <c r="R147" s="80">
        <v>2</v>
      </c>
      <c r="S147" s="80" t="s">
        <v>61</v>
      </c>
      <c r="T147" s="5" t="s">
        <v>130</v>
      </c>
      <c r="U147" s="9"/>
    </row>
    <row r="148" spans="1:21" s="37" customFormat="1" ht="12" x14ac:dyDescent="0.3">
      <c r="A148" s="75" t="s">
        <v>1377</v>
      </c>
      <c r="B148" s="76" t="s">
        <v>1378</v>
      </c>
      <c r="C148" s="86">
        <v>424</v>
      </c>
      <c r="D148" s="87">
        <v>155.4</v>
      </c>
      <c r="E148" s="88">
        <v>47</v>
      </c>
      <c r="F148" s="87">
        <v>128.5</v>
      </c>
      <c r="G148" s="17">
        <v>39</v>
      </c>
      <c r="H148" s="89">
        <v>88</v>
      </c>
      <c r="I148" s="90"/>
      <c r="J148" s="90"/>
      <c r="K148" s="90"/>
      <c r="L148" s="90"/>
      <c r="M148" s="91">
        <f>I148-K148</f>
        <v>0</v>
      </c>
      <c r="N148" s="4" t="str">
        <f>IF(ISERROR(K148/I148),"",K148/I148)</f>
        <v/>
      </c>
      <c r="O148" s="92">
        <f>I148/E148</f>
        <v>0</v>
      </c>
      <c r="P148" s="92">
        <f>K148/E148</f>
        <v>0</v>
      </c>
      <c r="Q148" s="80">
        <v>4</v>
      </c>
      <c r="R148" s="80">
        <v>2</v>
      </c>
      <c r="S148" s="80" t="s">
        <v>76</v>
      </c>
      <c r="T148" s="5">
        <v>155</v>
      </c>
      <c r="U148" s="9"/>
    </row>
    <row r="149" spans="1:21" s="37" customFormat="1" ht="12" x14ac:dyDescent="0.3">
      <c r="A149" s="75" t="s">
        <v>1595</v>
      </c>
      <c r="B149" s="76" t="s">
        <v>1381</v>
      </c>
      <c r="C149" s="86">
        <v>993</v>
      </c>
      <c r="D149" s="87">
        <v>80.5</v>
      </c>
      <c r="E149" s="88">
        <v>24</v>
      </c>
      <c r="F149" s="87">
        <v>59.8</v>
      </c>
      <c r="G149" s="17">
        <v>18</v>
      </c>
      <c r="H149" s="89">
        <v>178</v>
      </c>
      <c r="I149" s="90"/>
      <c r="J149" s="90"/>
      <c r="K149" s="90"/>
      <c r="L149" s="90"/>
      <c r="M149" s="91">
        <f>I149-K149</f>
        <v>0</v>
      </c>
      <c r="N149" s="4" t="str">
        <f>IF(ISERROR(K149/I149),"",K149/I149)</f>
        <v/>
      </c>
      <c r="O149" s="92">
        <f>I149/E149</f>
        <v>0</v>
      </c>
      <c r="P149" s="92">
        <f>K149/E149</f>
        <v>0</v>
      </c>
      <c r="Q149" s="80">
        <v>3</v>
      </c>
      <c r="R149" s="80">
        <v>2</v>
      </c>
      <c r="S149" s="80" t="s">
        <v>61</v>
      </c>
      <c r="T149" s="5" t="s">
        <v>87</v>
      </c>
      <c r="U149" s="9"/>
    </row>
    <row r="150" spans="1:21" s="37" customFormat="1" ht="12" x14ac:dyDescent="0.3">
      <c r="A150" s="75" t="s">
        <v>1379</v>
      </c>
      <c r="B150" s="76" t="s">
        <v>1381</v>
      </c>
      <c r="C150" s="86">
        <v>993</v>
      </c>
      <c r="D150" s="87">
        <v>98.3</v>
      </c>
      <c r="E150" s="88">
        <v>30</v>
      </c>
      <c r="F150" s="87">
        <v>73.400000000000006</v>
      </c>
      <c r="G150" s="17">
        <v>22</v>
      </c>
      <c r="H150" s="89">
        <v>86</v>
      </c>
      <c r="I150" s="90"/>
      <c r="J150" s="90"/>
      <c r="K150" s="90"/>
      <c r="L150" s="90"/>
      <c r="M150" s="91">
        <f>I150-K150</f>
        <v>0</v>
      </c>
      <c r="N150" s="4" t="str">
        <f>IF(ISERROR(K150/I150),"",K150/I150)</f>
        <v/>
      </c>
      <c r="O150" s="92">
        <f>I150/E150</f>
        <v>0</v>
      </c>
      <c r="P150" s="92">
        <f>K150/E150</f>
        <v>0</v>
      </c>
      <c r="Q150" s="80">
        <v>3</v>
      </c>
      <c r="R150" s="80">
        <v>2</v>
      </c>
      <c r="S150" s="80" t="s">
        <v>61</v>
      </c>
      <c r="T150" s="5">
        <v>98</v>
      </c>
      <c r="U150" s="9"/>
    </row>
    <row r="151" spans="1:21" s="37" customFormat="1" ht="12" x14ac:dyDescent="0.3">
      <c r="A151" s="75" t="s">
        <v>1379</v>
      </c>
      <c r="B151" s="76" t="s">
        <v>1381</v>
      </c>
      <c r="C151" s="86">
        <v>993</v>
      </c>
      <c r="D151" s="87">
        <v>112.4</v>
      </c>
      <c r="E151" s="88">
        <v>34</v>
      </c>
      <c r="F151" s="87">
        <v>85</v>
      </c>
      <c r="G151" s="17">
        <v>26</v>
      </c>
      <c r="H151" s="89">
        <v>36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2</v>
      </c>
      <c r="S151" s="80" t="s">
        <v>61</v>
      </c>
      <c r="T151" s="5" t="s">
        <v>140</v>
      </c>
      <c r="U151" s="9"/>
    </row>
    <row r="152" spans="1:21" s="37" customFormat="1" ht="12" x14ac:dyDescent="0.3">
      <c r="A152" s="75" t="s">
        <v>1387</v>
      </c>
      <c r="B152" s="76" t="s">
        <v>1388</v>
      </c>
      <c r="C152" s="86">
        <v>336</v>
      </c>
      <c r="D152" s="87">
        <v>148.80000000000001</v>
      </c>
      <c r="E152" s="88">
        <v>45</v>
      </c>
      <c r="F152" s="87">
        <v>126.6</v>
      </c>
      <c r="G152" s="17">
        <v>38</v>
      </c>
      <c r="H152" s="89">
        <v>96</v>
      </c>
      <c r="I152" s="90"/>
      <c r="J152" s="90"/>
      <c r="K152" s="90"/>
      <c r="L152" s="90"/>
      <c r="M152" s="91">
        <f>I152-K152</f>
        <v>0</v>
      </c>
      <c r="N152" s="4" t="str">
        <f>IF(ISERROR(K152/I152),"",K152/I152)</f>
        <v/>
      </c>
      <c r="O152" s="92">
        <f>I152/E152</f>
        <v>0</v>
      </c>
      <c r="P152" s="92">
        <f>K152/E152</f>
        <v>0</v>
      </c>
      <c r="Q152" s="80">
        <v>4</v>
      </c>
      <c r="R152" s="80">
        <v>2</v>
      </c>
      <c r="S152" s="80" t="s">
        <v>61</v>
      </c>
      <c r="T152" s="5">
        <v>148</v>
      </c>
      <c r="U152" s="9"/>
    </row>
    <row r="153" spans="1:21" s="37" customFormat="1" ht="12" x14ac:dyDescent="0.3">
      <c r="A153" s="75" t="s">
        <v>1390</v>
      </c>
      <c r="B153" s="76" t="s">
        <v>1391</v>
      </c>
      <c r="C153" s="86">
        <v>899</v>
      </c>
      <c r="D153" s="87">
        <v>94.1</v>
      </c>
      <c r="E153" s="88">
        <v>28</v>
      </c>
      <c r="F153" s="87">
        <v>75.3</v>
      </c>
      <c r="G153" s="17">
        <v>23</v>
      </c>
      <c r="H153" s="89">
        <v>119</v>
      </c>
      <c r="I153" s="90"/>
      <c r="J153" s="90"/>
      <c r="K153" s="90"/>
      <c r="L153" s="90"/>
      <c r="M153" s="91">
        <f>I153-K153</f>
        <v>0</v>
      </c>
      <c r="N153" s="4" t="str">
        <f>IF(ISERROR(K153/I153),"",K153/I153)</f>
        <v/>
      </c>
      <c r="O153" s="92">
        <f>I153/E153</f>
        <v>0</v>
      </c>
      <c r="P153" s="92">
        <f>K153/E153</f>
        <v>0</v>
      </c>
      <c r="Q153" s="80">
        <v>3</v>
      </c>
      <c r="R153" s="80">
        <v>1</v>
      </c>
      <c r="S153" s="80" t="s">
        <v>61</v>
      </c>
      <c r="T153" s="5">
        <v>94</v>
      </c>
      <c r="U153" s="9"/>
    </row>
    <row r="154" spans="1:21" s="37" customFormat="1" ht="12" x14ac:dyDescent="0.3">
      <c r="A154" s="75" t="s">
        <v>1390</v>
      </c>
      <c r="B154" s="76" t="s">
        <v>1391</v>
      </c>
      <c r="C154" s="86">
        <v>899</v>
      </c>
      <c r="D154" s="87">
        <v>168.1</v>
      </c>
      <c r="E154" s="88">
        <v>51</v>
      </c>
      <c r="F154" s="87">
        <v>134.6</v>
      </c>
      <c r="G154" s="17">
        <v>41</v>
      </c>
      <c r="H154" s="89">
        <v>59</v>
      </c>
      <c r="I154" s="90"/>
      <c r="J154" s="90"/>
      <c r="K154" s="90"/>
      <c r="L154" s="90"/>
      <c r="M154" s="91">
        <f>I154-K154</f>
        <v>0</v>
      </c>
      <c r="N154" s="4" t="str">
        <f>IF(ISERROR(K154/I154),"",K154/I154)</f>
        <v/>
      </c>
      <c r="O154" s="92">
        <f>I154/E154</f>
        <v>0</v>
      </c>
      <c r="P154" s="92">
        <f>K154/E154</f>
        <v>0</v>
      </c>
      <c r="Q154" s="80">
        <v>4</v>
      </c>
      <c r="R154" s="80">
        <v>2</v>
      </c>
      <c r="S154" s="80" t="s">
        <v>61</v>
      </c>
      <c r="T154" s="5">
        <v>168</v>
      </c>
      <c r="U154" s="9"/>
    </row>
    <row r="155" spans="1:21" s="37" customFormat="1" ht="12" x14ac:dyDescent="0.3">
      <c r="A155" s="75" t="s">
        <v>1392</v>
      </c>
      <c r="B155" s="76" t="s">
        <v>1393</v>
      </c>
      <c r="C155" s="86">
        <v>498</v>
      </c>
      <c r="D155" s="87">
        <v>89.5</v>
      </c>
      <c r="E155" s="88">
        <v>27</v>
      </c>
      <c r="F155" s="87">
        <v>72.2</v>
      </c>
      <c r="G155" s="17">
        <v>22</v>
      </c>
      <c r="H155" s="89">
        <v>112</v>
      </c>
      <c r="I155" s="90"/>
      <c r="J155" s="90"/>
      <c r="K155" s="90">
        <v>10500</v>
      </c>
      <c r="L155" s="90" t="s">
        <v>65</v>
      </c>
      <c r="M155" s="91">
        <f>I155-K155</f>
        <v>-10500</v>
      </c>
      <c r="N155" s="4" t="str">
        <f>IF(ISERROR(K155/I155),"",K155/I155)</f>
        <v/>
      </c>
      <c r="O155" s="92">
        <f>I155/E155</f>
        <v>0</v>
      </c>
      <c r="P155" s="92">
        <f>K155/E155</f>
        <v>388.88888888888891</v>
      </c>
      <c r="Q155" s="80">
        <v>3</v>
      </c>
      <c r="R155" s="80">
        <v>1</v>
      </c>
      <c r="S155" s="80" t="s">
        <v>61</v>
      </c>
      <c r="T155" s="5">
        <v>89</v>
      </c>
      <c r="U155" s="9"/>
    </row>
    <row r="156" spans="1:21" s="37" customFormat="1" ht="12" x14ac:dyDescent="0.3">
      <c r="A156" s="75" t="s">
        <v>1774</v>
      </c>
      <c r="B156" s="76" t="s">
        <v>1596</v>
      </c>
      <c r="C156" s="86">
        <v>498</v>
      </c>
      <c r="D156" s="87">
        <v>104.1</v>
      </c>
      <c r="E156" s="88">
        <v>31</v>
      </c>
      <c r="F156" s="87">
        <v>84.7</v>
      </c>
      <c r="G156" s="17">
        <v>26</v>
      </c>
      <c r="H156" s="89">
        <v>330</v>
      </c>
      <c r="I156" s="90"/>
      <c r="J156" s="90"/>
      <c r="K156" s="90"/>
      <c r="L156" s="90"/>
      <c r="M156" s="91">
        <f>I156-K156</f>
        <v>0</v>
      </c>
      <c r="N156" s="4" t="str">
        <f>IF(ISERROR(K156/I156),"",K156/I156)</f>
        <v/>
      </c>
      <c r="O156" s="92">
        <f>I156/E156</f>
        <v>0</v>
      </c>
      <c r="P156" s="92">
        <f>K156/E156</f>
        <v>0</v>
      </c>
      <c r="Q156" s="80">
        <v>3</v>
      </c>
      <c r="R156" s="80">
        <v>1</v>
      </c>
      <c r="S156" s="80" t="s">
        <v>61</v>
      </c>
      <c r="T156" s="5">
        <v>104</v>
      </c>
      <c r="U156" s="9"/>
    </row>
    <row r="157" spans="1:21" s="37" customFormat="1" ht="12" x14ac:dyDescent="0.3">
      <c r="A157" s="75" t="s">
        <v>1392</v>
      </c>
      <c r="B157" s="76" t="s">
        <v>1393</v>
      </c>
      <c r="C157" s="86">
        <v>498</v>
      </c>
      <c r="D157" s="87">
        <v>149.30000000000001</v>
      </c>
      <c r="E157" s="88">
        <v>45</v>
      </c>
      <c r="F157" s="87">
        <v>126.2</v>
      </c>
      <c r="G157" s="17">
        <v>38</v>
      </c>
      <c r="H157" s="89">
        <v>56</v>
      </c>
      <c r="I157" s="90"/>
      <c r="J157" s="90"/>
      <c r="K157" s="90"/>
      <c r="L157" s="90"/>
      <c r="M157" s="91">
        <f>I157-K157</f>
        <v>0</v>
      </c>
      <c r="N157" s="4" t="str">
        <f>IF(ISERROR(K157/I157),"",K157/I157)</f>
        <v/>
      </c>
      <c r="O157" s="92">
        <f>I157/E157</f>
        <v>0</v>
      </c>
      <c r="P157" s="92">
        <f>K157/E157</f>
        <v>0</v>
      </c>
      <c r="Q157" s="80">
        <v>4</v>
      </c>
      <c r="R157" s="80">
        <v>2</v>
      </c>
      <c r="S157" s="80" t="s">
        <v>61</v>
      </c>
      <c r="T157" s="5">
        <v>149</v>
      </c>
      <c r="U157" s="9"/>
    </row>
    <row r="158" spans="1:21" s="37" customFormat="1" ht="12" x14ac:dyDescent="0.3">
      <c r="A158" s="75" t="s">
        <v>1394</v>
      </c>
      <c r="B158" s="76" t="s">
        <v>1384</v>
      </c>
      <c r="C158" s="86">
        <v>495</v>
      </c>
      <c r="D158" s="87">
        <v>63.7</v>
      </c>
      <c r="E158" s="88">
        <v>19</v>
      </c>
      <c r="F158" s="87">
        <v>49.7</v>
      </c>
      <c r="G158" s="17">
        <v>15</v>
      </c>
      <c r="H158" s="89">
        <v>495</v>
      </c>
      <c r="I158" s="90"/>
      <c r="J158" s="90"/>
      <c r="K158" s="90"/>
      <c r="L158" s="90"/>
      <c r="M158" s="91">
        <f>I158-K158</f>
        <v>0</v>
      </c>
      <c r="N158" s="4" t="str">
        <f>IF(ISERROR(K158/I158),"",K158/I158)</f>
        <v/>
      </c>
      <c r="O158" s="92">
        <f>I158/E158</f>
        <v>0</v>
      </c>
      <c r="P158" s="92">
        <f>K158/E158</f>
        <v>0</v>
      </c>
      <c r="Q158" s="80">
        <v>2</v>
      </c>
      <c r="R158" s="80">
        <v>1</v>
      </c>
      <c r="S158" s="80" t="s">
        <v>61</v>
      </c>
      <c r="T158" s="5">
        <v>63</v>
      </c>
      <c r="U158" s="9"/>
    </row>
    <row r="159" spans="1:21" s="37" customFormat="1" ht="12" x14ac:dyDescent="0.3">
      <c r="A159" s="75" t="s">
        <v>1597</v>
      </c>
      <c r="B159" s="76" t="s">
        <v>1397</v>
      </c>
      <c r="C159" s="86">
        <v>210</v>
      </c>
      <c r="D159" s="87">
        <v>122.5</v>
      </c>
      <c r="E159" s="88">
        <v>37</v>
      </c>
      <c r="F159" s="87">
        <v>99.9</v>
      </c>
      <c r="G159" s="17">
        <v>30</v>
      </c>
      <c r="H159" s="89">
        <v>90</v>
      </c>
      <c r="I159" s="90"/>
      <c r="J159" s="90"/>
      <c r="K159" s="90"/>
      <c r="L159" s="90"/>
      <c r="M159" s="91">
        <f>I159-K159</f>
        <v>0</v>
      </c>
      <c r="N159" s="4" t="str">
        <f>IF(ISERROR(K159/I159),"",K159/I159)</f>
        <v/>
      </c>
      <c r="O159" s="92">
        <f>I159/E159</f>
        <v>0</v>
      </c>
      <c r="P159" s="92">
        <f>K159/E159</f>
        <v>0</v>
      </c>
      <c r="Q159" s="80">
        <v>4</v>
      </c>
      <c r="R159" s="80">
        <v>2</v>
      </c>
      <c r="S159" s="80" t="s">
        <v>61</v>
      </c>
      <c r="T159" s="5">
        <v>122</v>
      </c>
      <c r="U159" s="9"/>
    </row>
    <row r="160" spans="1:21" s="37" customFormat="1" ht="12" x14ac:dyDescent="0.3">
      <c r="A160" s="75" t="s">
        <v>1597</v>
      </c>
      <c r="B160" s="76" t="s">
        <v>1397</v>
      </c>
      <c r="C160" s="86">
        <v>210</v>
      </c>
      <c r="D160" s="87">
        <v>160</v>
      </c>
      <c r="E160" s="88">
        <v>48</v>
      </c>
      <c r="F160" s="87">
        <v>134.9</v>
      </c>
      <c r="G160" s="17">
        <v>41</v>
      </c>
      <c r="H160" s="89">
        <v>90</v>
      </c>
      <c r="I160" s="90"/>
      <c r="J160" s="90"/>
      <c r="K160" s="90"/>
      <c r="L160" s="90"/>
      <c r="M160" s="91">
        <f>I160-K160</f>
        <v>0</v>
      </c>
      <c r="N160" s="4" t="str">
        <f>IF(ISERROR(K160/I160),"",K160/I160)</f>
        <v/>
      </c>
      <c r="O160" s="92">
        <f>I160/E160</f>
        <v>0</v>
      </c>
      <c r="P160" s="92">
        <f>K160/E160</f>
        <v>0</v>
      </c>
      <c r="Q160" s="80">
        <v>4</v>
      </c>
      <c r="R160" s="80">
        <v>2</v>
      </c>
      <c r="S160" s="80" t="s">
        <v>61</v>
      </c>
      <c r="T160" s="5">
        <v>160</v>
      </c>
      <c r="U160" s="9"/>
    </row>
    <row r="161" spans="1:21" s="37" customFormat="1" ht="12" x14ac:dyDescent="0.3">
      <c r="A161" s="75" t="s">
        <v>1597</v>
      </c>
      <c r="B161" s="76" t="s">
        <v>1397</v>
      </c>
      <c r="C161" s="86">
        <v>210</v>
      </c>
      <c r="D161" s="87">
        <v>197.4</v>
      </c>
      <c r="E161" s="88">
        <v>60</v>
      </c>
      <c r="F161" s="87">
        <v>164.9</v>
      </c>
      <c r="G161" s="17">
        <v>50</v>
      </c>
      <c r="H161" s="89">
        <v>30</v>
      </c>
      <c r="I161" s="90"/>
      <c r="J161" s="90"/>
      <c r="K161" s="90"/>
      <c r="L161" s="90"/>
      <c r="M161" s="91">
        <f>I161-K161</f>
        <v>0</v>
      </c>
      <c r="N161" s="4" t="str">
        <f>IF(ISERROR(K161/I161),"",K161/I161)</f>
        <v/>
      </c>
      <c r="O161" s="92">
        <f>I161/E161</f>
        <v>0</v>
      </c>
      <c r="P161" s="92">
        <f>K161/E161</f>
        <v>0</v>
      </c>
      <c r="Q161" s="80">
        <v>4</v>
      </c>
      <c r="R161" s="80">
        <v>2</v>
      </c>
      <c r="S161" s="80" t="s">
        <v>61</v>
      </c>
      <c r="T161" s="5">
        <v>197</v>
      </c>
      <c r="U161" s="9"/>
    </row>
    <row r="162" spans="1:21" s="37" customFormat="1" ht="12" x14ac:dyDescent="0.3">
      <c r="A162" s="75" t="s">
        <v>1398</v>
      </c>
      <c r="B162" s="76" t="s">
        <v>1453</v>
      </c>
      <c r="C162" s="86">
        <v>460</v>
      </c>
      <c r="D162" s="87">
        <v>155.6</v>
      </c>
      <c r="E162" s="88">
        <v>47</v>
      </c>
      <c r="F162" s="87">
        <v>131.80000000000001</v>
      </c>
      <c r="G162" s="17">
        <v>40</v>
      </c>
      <c r="H162" s="89">
        <v>78</v>
      </c>
      <c r="I162" s="90"/>
      <c r="J162" s="90"/>
      <c r="K162" s="90"/>
      <c r="L162" s="90"/>
      <c r="M162" s="91">
        <f>I162-K162</f>
        <v>0</v>
      </c>
      <c r="N162" s="4" t="str">
        <f>IF(ISERROR(K162/I162),"",K162/I162)</f>
        <v/>
      </c>
      <c r="O162" s="92">
        <f>I162/E162</f>
        <v>0</v>
      </c>
      <c r="P162" s="92">
        <f>K162/E162</f>
        <v>0</v>
      </c>
      <c r="Q162" s="80">
        <v>4</v>
      </c>
      <c r="R162" s="80">
        <v>2</v>
      </c>
      <c r="S162" s="80" t="s">
        <v>61</v>
      </c>
      <c r="T162" s="5">
        <v>155</v>
      </c>
      <c r="U162" s="9"/>
    </row>
    <row r="163" spans="1:21" s="37" customFormat="1" ht="12" x14ac:dyDescent="0.3">
      <c r="A163" s="75" t="s">
        <v>1415</v>
      </c>
      <c r="B163" s="76" t="s">
        <v>1417</v>
      </c>
      <c r="C163" s="86">
        <v>260</v>
      </c>
      <c r="D163" s="87">
        <v>105.3</v>
      </c>
      <c r="E163" s="88">
        <v>32</v>
      </c>
      <c r="F163" s="87">
        <v>85</v>
      </c>
      <c r="G163" s="17">
        <v>26</v>
      </c>
      <c r="H163" s="89">
        <v>230</v>
      </c>
      <c r="I163" s="90"/>
      <c r="J163" s="90"/>
      <c r="K163" s="90"/>
      <c r="L163" s="90"/>
      <c r="M163" s="91">
        <f>I163-K163</f>
        <v>0</v>
      </c>
      <c r="N163" s="4" t="str">
        <f>IF(ISERROR(K163/I163),"",K163/I163)</f>
        <v/>
      </c>
      <c r="O163" s="92">
        <f>I163/E163</f>
        <v>0</v>
      </c>
      <c r="P163" s="92">
        <f>K163/E163</f>
        <v>0</v>
      </c>
      <c r="Q163" s="80">
        <v>3</v>
      </c>
      <c r="R163" s="80">
        <v>2</v>
      </c>
      <c r="S163" s="80" t="s">
        <v>61</v>
      </c>
      <c r="T163" s="5">
        <v>105</v>
      </c>
      <c r="U163" s="9"/>
    </row>
    <row r="164" spans="1:21" s="37" customFormat="1" ht="12" x14ac:dyDescent="0.3">
      <c r="A164" s="75" t="s">
        <v>1415</v>
      </c>
      <c r="B164" s="76" t="s">
        <v>1417</v>
      </c>
      <c r="C164" s="86">
        <v>260</v>
      </c>
      <c r="D164" s="87">
        <v>225.8</v>
      </c>
      <c r="E164" s="88">
        <v>68</v>
      </c>
      <c r="F164" s="87">
        <v>187.1</v>
      </c>
      <c r="G164" s="17">
        <v>57</v>
      </c>
      <c r="H164" s="89">
        <v>30</v>
      </c>
      <c r="I164" s="90"/>
      <c r="J164" s="90"/>
      <c r="K164" s="90"/>
      <c r="L164" s="90"/>
      <c r="M164" s="91">
        <f>I164-K164</f>
        <v>0</v>
      </c>
      <c r="N164" s="4" t="str">
        <f>IF(ISERROR(K164/I164),"",K164/I164)</f>
        <v/>
      </c>
      <c r="O164" s="92">
        <f>I164/E164</f>
        <v>0</v>
      </c>
      <c r="P164" s="92">
        <f>K164/E164</f>
        <v>0</v>
      </c>
      <c r="Q164" s="80">
        <v>5</v>
      </c>
      <c r="R164" s="80">
        <v>2</v>
      </c>
      <c r="S164" s="80" t="s">
        <v>61</v>
      </c>
      <c r="T164" s="5">
        <v>225</v>
      </c>
      <c r="U164" s="9"/>
    </row>
    <row r="165" spans="1:21" s="37" customFormat="1" ht="12" x14ac:dyDescent="0.3">
      <c r="A165" s="75" t="s">
        <v>1778</v>
      </c>
      <c r="B165" s="76" t="s">
        <v>1598</v>
      </c>
      <c r="C165" s="86">
        <v>420</v>
      </c>
      <c r="D165" s="87">
        <v>155.4</v>
      </c>
      <c r="E165" s="88">
        <v>47</v>
      </c>
      <c r="F165" s="87">
        <v>131.80000000000001</v>
      </c>
      <c r="G165" s="17">
        <v>40</v>
      </c>
      <c r="H165" s="89">
        <v>78</v>
      </c>
      <c r="I165" s="90"/>
      <c r="J165" s="90"/>
      <c r="K165" s="90"/>
      <c r="L165" s="90"/>
      <c r="M165" s="91">
        <f>I165-K165</f>
        <v>0</v>
      </c>
      <c r="N165" s="4" t="str">
        <f>IF(ISERROR(K165/I165),"",K165/I165)</f>
        <v/>
      </c>
      <c r="O165" s="92">
        <f>I165/E165</f>
        <v>0</v>
      </c>
      <c r="P165" s="92">
        <f>K165/E165</f>
        <v>0</v>
      </c>
      <c r="Q165" s="80">
        <v>4</v>
      </c>
      <c r="R165" s="80">
        <v>2</v>
      </c>
      <c r="S165" s="80" t="s">
        <v>61</v>
      </c>
      <c r="T165" s="5">
        <v>155</v>
      </c>
      <c r="U165" s="9"/>
    </row>
    <row r="166" spans="1:21" s="37" customFormat="1" ht="12" x14ac:dyDescent="0.3">
      <c r="A166" s="75" t="s">
        <v>1418</v>
      </c>
      <c r="B166" s="76" t="s">
        <v>1419</v>
      </c>
      <c r="C166" s="86">
        <v>420</v>
      </c>
      <c r="D166" s="87">
        <v>191.8</v>
      </c>
      <c r="E166" s="88">
        <v>58</v>
      </c>
      <c r="F166" s="87">
        <v>162.9</v>
      </c>
      <c r="G166" s="17">
        <v>49</v>
      </c>
      <c r="H166" s="89">
        <v>56</v>
      </c>
      <c r="I166" s="90"/>
      <c r="J166" s="90"/>
      <c r="K166" s="90"/>
      <c r="L166" s="90"/>
      <c r="M166" s="91">
        <f>I166-K166</f>
        <v>0</v>
      </c>
      <c r="N166" s="4" t="str">
        <f>IF(ISERROR(K166/I166),"",K166/I166)</f>
        <v/>
      </c>
      <c r="O166" s="92">
        <f>I166/E166</f>
        <v>0</v>
      </c>
      <c r="P166" s="92">
        <f>K166/E166</f>
        <v>0</v>
      </c>
      <c r="Q166" s="80">
        <v>5</v>
      </c>
      <c r="R166" s="80">
        <v>2</v>
      </c>
      <c r="S166" s="80" t="s">
        <v>61</v>
      </c>
      <c r="T166" s="5">
        <v>191</v>
      </c>
      <c r="U166" s="9"/>
    </row>
    <row r="167" spans="1:21" s="37" customFormat="1" ht="12" x14ac:dyDescent="0.3">
      <c r="A167" s="75" t="s">
        <v>1422</v>
      </c>
      <c r="B167" s="76" t="s">
        <v>1367</v>
      </c>
      <c r="C167" s="86">
        <v>479</v>
      </c>
      <c r="D167" s="87">
        <v>167.1</v>
      </c>
      <c r="E167" s="88">
        <v>51</v>
      </c>
      <c r="F167" s="87">
        <v>134.80000000000001</v>
      </c>
      <c r="G167" s="17">
        <v>41</v>
      </c>
      <c r="H167" s="89">
        <v>80</v>
      </c>
      <c r="I167" s="90"/>
      <c r="J167" s="90"/>
      <c r="K167" s="90"/>
      <c r="L167" s="90"/>
      <c r="M167" s="91">
        <f>I167-K167</f>
        <v>0</v>
      </c>
      <c r="N167" s="4" t="str">
        <f>IF(ISERROR(K167/I167),"",K167/I167)</f>
        <v/>
      </c>
      <c r="O167" s="92">
        <f>I167/E167</f>
        <v>0</v>
      </c>
      <c r="P167" s="92">
        <f>K167/E167</f>
        <v>0</v>
      </c>
      <c r="Q167" s="80">
        <v>4</v>
      </c>
      <c r="R167" s="80">
        <v>2</v>
      </c>
      <c r="S167" s="80" t="s">
        <v>61</v>
      </c>
      <c r="T167" s="5">
        <v>167</v>
      </c>
      <c r="U167" s="9"/>
    </row>
    <row r="168" spans="1:21" s="37" customFormat="1" ht="12" x14ac:dyDescent="0.3">
      <c r="A168" s="75" t="s">
        <v>1423</v>
      </c>
      <c r="B168" s="76" t="s">
        <v>1424</v>
      </c>
      <c r="C168" s="86">
        <v>498</v>
      </c>
      <c r="D168" s="87">
        <v>84.4</v>
      </c>
      <c r="E168" s="88">
        <v>26</v>
      </c>
      <c r="F168" s="87">
        <v>73.2</v>
      </c>
      <c r="G168" s="17">
        <v>22</v>
      </c>
      <c r="H168" s="89">
        <v>84</v>
      </c>
      <c r="I168" s="90"/>
      <c r="J168" s="90"/>
      <c r="K168" s="90"/>
      <c r="L168" s="90"/>
      <c r="M168" s="91">
        <f>I168-K168</f>
        <v>0</v>
      </c>
      <c r="N168" s="4" t="str">
        <f>IF(ISERROR(K168/I168),"",K168/I168)</f>
        <v/>
      </c>
      <c r="O168" s="92">
        <f>I168/E168</f>
        <v>0</v>
      </c>
      <c r="P168" s="92">
        <f>K168/E168</f>
        <v>0</v>
      </c>
      <c r="Q168" s="80">
        <v>3</v>
      </c>
      <c r="R168" s="80">
        <v>1</v>
      </c>
      <c r="S168" s="80" t="s">
        <v>61</v>
      </c>
      <c r="T168" s="5">
        <v>84</v>
      </c>
      <c r="U168" s="9"/>
    </row>
    <row r="169" spans="1:21" s="37" customFormat="1" ht="12" x14ac:dyDescent="0.3">
      <c r="A169" s="75" t="s">
        <v>1425</v>
      </c>
      <c r="B169" s="76" t="s">
        <v>1427</v>
      </c>
      <c r="C169" s="86">
        <v>246</v>
      </c>
      <c r="D169" s="87">
        <v>74.400000000000006</v>
      </c>
      <c r="E169" s="88">
        <v>23</v>
      </c>
      <c r="F169" s="87">
        <v>59.1</v>
      </c>
      <c r="G169" s="17">
        <v>18</v>
      </c>
      <c r="H169" s="89">
        <v>168</v>
      </c>
      <c r="I169" s="90"/>
      <c r="J169" s="90"/>
      <c r="K169" s="90"/>
      <c r="L169" s="90"/>
      <c r="M169" s="91">
        <f>I169-K169</f>
        <v>0</v>
      </c>
      <c r="N169" s="4" t="str">
        <f>IF(ISERROR(K169/I169),"",K169/I169)</f>
        <v/>
      </c>
      <c r="O169" s="92">
        <f>I169/E169</f>
        <v>0</v>
      </c>
      <c r="P169" s="92">
        <f>K169/E169</f>
        <v>0</v>
      </c>
      <c r="Q169" s="80">
        <v>3</v>
      </c>
      <c r="R169" s="80">
        <v>1</v>
      </c>
      <c r="S169" s="80" t="s">
        <v>61</v>
      </c>
      <c r="T169" s="5">
        <v>74</v>
      </c>
      <c r="U169" s="9"/>
    </row>
    <row r="170" spans="1:21" s="37" customFormat="1" ht="12" x14ac:dyDescent="0.3">
      <c r="A170" s="75" t="s">
        <v>1425</v>
      </c>
      <c r="B170" s="76" t="s">
        <v>1427</v>
      </c>
      <c r="C170" s="86">
        <v>246</v>
      </c>
      <c r="D170" s="87">
        <v>103.7</v>
      </c>
      <c r="E170" s="88">
        <v>31</v>
      </c>
      <c r="F170" s="87">
        <v>84.7</v>
      </c>
      <c r="G170" s="17">
        <v>26</v>
      </c>
      <c r="H170" s="89">
        <v>48</v>
      </c>
      <c r="I170" s="90"/>
      <c r="J170" s="90"/>
      <c r="K170" s="90"/>
      <c r="L170" s="90"/>
      <c r="M170" s="91">
        <f>I170-K170</f>
        <v>0</v>
      </c>
      <c r="N170" s="4" t="str">
        <f>IF(ISERROR(K170/I170),"",K170/I170)</f>
        <v/>
      </c>
      <c r="O170" s="92">
        <f>I170/E170</f>
        <v>0</v>
      </c>
      <c r="P170" s="92">
        <f>K170/E170</f>
        <v>0</v>
      </c>
      <c r="Q170" s="80">
        <v>3</v>
      </c>
      <c r="R170" s="80">
        <v>2</v>
      </c>
      <c r="S170" s="80" t="s">
        <v>61</v>
      </c>
      <c r="T170" s="5">
        <v>103</v>
      </c>
      <c r="U170" s="9"/>
    </row>
    <row r="171" spans="1:21" s="37" customFormat="1" ht="12" x14ac:dyDescent="0.3">
      <c r="A171" s="75" t="s">
        <v>1428</v>
      </c>
      <c r="B171" s="76" t="s">
        <v>1429</v>
      </c>
      <c r="C171" s="86">
        <v>773</v>
      </c>
      <c r="D171" s="87">
        <v>110.6</v>
      </c>
      <c r="E171" s="88">
        <v>33</v>
      </c>
      <c r="F171" s="87">
        <v>84.9</v>
      </c>
      <c r="G171" s="17">
        <v>26</v>
      </c>
      <c r="H171" s="89">
        <v>336</v>
      </c>
      <c r="I171" s="90"/>
      <c r="J171" s="90"/>
      <c r="K171" s="90"/>
      <c r="L171" s="90"/>
      <c r="M171" s="91">
        <f>I171-K171</f>
        <v>0</v>
      </c>
      <c r="N171" s="4" t="str">
        <f>IF(ISERROR(K171/I171),"",K171/I171)</f>
        <v/>
      </c>
      <c r="O171" s="92">
        <f>I171/E171</f>
        <v>0</v>
      </c>
      <c r="P171" s="92">
        <f>K171/E171</f>
        <v>0</v>
      </c>
      <c r="Q171" s="80">
        <v>3</v>
      </c>
      <c r="R171" s="80">
        <v>2</v>
      </c>
      <c r="S171" s="80" t="s">
        <v>61</v>
      </c>
      <c r="T171" s="5" t="s">
        <v>62</v>
      </c>
      <c r="U171" s="9"/>
    </row>
    <row r="172" spans="1:21" s="37" customFormat="1" ht="12" x14ac:dyDescent="0.3">
      <c r="A172" s="75" t="s">
        <v>1432</v>
      </c>
      <c r="B172" s="76" t="s">
        <v>1417</v>
      </c>
      <c r="C172" s="86">
        <v>268</v>
      </c>
      <c r="D172" s="87">
        <v>78.2</v>
      </c>
      <c r="E172" s="88">
        <v>24</v>
      </c>
      <c r="F172" s="87">
        <v>59.9</v>
      </c>
      <c r="G172" s="17">
        <v>18</v>
      </c>
      <c r="H172" s="89">
        <v>268</v>
      </c>
      <c r="I172" s="90"/>
      <c r="J172" s="90"/>
      <c r="K172" s="90"/>
      <c r="L172" s="90"/>
      <c r="M172" s="91">
        <f>I172-K172</f>
        <v>0</v>
      </c>
      <c r="N172" s="4" t="str">
        <f>IF(ISERROR(K172/I172),"",K172/I172)</f>
        <v/>
      </c>
      <c r="O172" s="92">
        <f>I172/E172</f>
        <v>0</v>
      </c>
      <c r="P172" s="92">
        <f>K172/E172</f>
        <v>0</v>
      </c>
      <c r="Q172" s="80">
        <v>2</v>
      </c>
      <c r="R172" s="80">
        <v>1</v>
      </c>
      <c r="S172" s="80" t="s">
        <v>61</v>
      </c>
      <c r="T172" s="5">
        <v>78</v>
      </c>
      <c r="U172" s="9"/>
    </row>
    <row r="173" spans="1:21" s="37" customFormat="1" ht="12" x14ac:dyDescent="0.3">
      <c r="A173" s="75" t="s">
        <v>1434</v>
      </c>
      <c r="B173" s="76" t="s">
        <v>1599</v>
      </c>
      <c r="C173" s="86">
        <v>1541</v>
      </c>
      <c r="D173" s="87">
        <v>54.8</v>
      </c>
      <c r="E173" s="88">
        <v>17</v>
      </c>
      <c r="F173" s="87">
        <v>37.700000000000003</v>
      </c>
      <c r="G173" s="17">
        <v>11</v>
      </c>
      <c r="H173" s="89">
        <v>149</v>
      </c>
      <c r="I173" s="90"/>
      <c r="J173" s="90"/>
      <c r="K173" s="90"/>
      <c r="L173" s="90"/>
      <c r="M173" s="91">
        <f>I173-K173</f>
        <v>0</v>
      </c>
      <c r="N173" s="4" t="str">
        <f>IF(ISERROR(K173/I173),"",K173/I173)</f>
        <v/>
      </c>
      <c r="O173" s="92">
        <f>I173/E173</f>
        <v>0</v>
      </c>
      <c r="P173" s="92">
        <f>K173/E173</f>
        <v>0</v>
      </c>
      <c r="Q173" s="80">
        <v>2</v>
      </c>
      <c r="R173" s="80">
        <v>1</v>
      </c>
      <c r="S173" s="80" t="s">
        <v>76</v>
      </c>
      <c r="T173" s="5">
        <v>54</v>
      </c>
      <c r="U173" s="9"/>
    </row>
    <row r="174" spans="1:21" s="37" customFormat="1" ht="12" x14ac:dyDescent="0.3">
      <c r="A174" s="75" t="s">
        <v>1437</v>
      </c>
      <c r="B174" s="76" t="s">
        <v>1371</v>
      </c>
      <c r="C174" s="86">
        <v>636</v>
      </c>
      <c r="D174" s="87">
        <v>93.7</v>
      </c>
      <c r="E174" s="88">
        <v>28</v>
      </c>
      <c r="F174" s="87">
        <v>75.2</v>
      </c>
      <c r="G174" s="17">
        <v>23</v>
      </c>
      <c r="H174" s="89">
        <v>68</v>
      </c>
      <c r="I174" s="90"/>
      <c r="J174" s="90"/>
      <c r="K174" s="90"/>
      <c r="L174" s="90"/>
      <c r="M174" s="91">
        <f>I174-K174</f>
        <v>0</v>
      </c>
      <c r="N174" s="4" t="str">
        <f>IF(ISERROR(K174/I174),"",K174/I174)</f>
        <v/>
      </c>
      <c r="O174" s="92">
        <f>I174/E174</f>
        <v>0</v>
      </c>
      <c r="P174" s="92">
        <f>K174/E174</f>
        <v>0</v>
      </c>
      <c r="Q174" s="80">
        <v>3</v>
      </c>
      <c r="R174" s="80">
        <v>1</v>
      </c>
      <c r="S174" s="80" t="s">
        <v>61</v>
      </c>
      <c r="T174" s="5">
        <v>93</v>
      </c>
      <c r="U174" s="9"/>
    </row>
    <row r="175" spans="1:21" s="37" customFormat="1" ht="12" x14ac:dyDescent="0.3">
      <c r="A175" s="75" t="s">
        <v>1437</v>
      </c>
      <c r="B175" s="76" t="s">
        <v>1371</v>
      </c>
      <c r="C175" s="86">
        <v>636</v>
      </c>
      <c r="D175" s="87">
        <v>147.30000000000001</v>
      </c>
      <c r="E175" s="88">
        <v>45</v>
      </c>
      <c r="F175" s="87">
        <v>118.2</v>
      </c>
      <c r="G175" s="17">
        <v>36</v>
      </c>
      <c r="H175" s="89">
        <v>40</v>
      </c>
      <c r="I175" s="90"/>
      <c r="J175" s="90"/>
      <c r="K175" s="90"/>
      <c r="L175" s="90"/>
      <c r="M175" s="91">
        <f>I175-K175</f>
        <v>0</v>
      </c>
      <c r="N175" s="4" t="str">
        <f>IF(ISERROR(K175/I175),"",K175/I175)</f>
        <v/>
      </c>
      <c r="O175" s="92">
        <f>I175/E175</f>
        <v>0</v>
      </c>
      <c r="P175" s="92">
        <f>K175/E175</f>
        <v>0</v>
      </c>
      <c r="Q175" s="80">
        <v>4</v>
      </c>
      <c r="R175" s="80">
        <v>2</v>
      </c>
      <c r="S175" s="80" t="s">
        <v>61</v>
      </c>
      <c r="T175" s="5">
        <v>147</v>
      </c>
      <c r="U175" s="9"/>
    </row>
    <row r="176" spans="1:21" s="37" customFormat="1" ht="12" x14ac:dyDescent="0.3">
      <c r="A176" s="75" t="s">
        <v>1438</v>
      </c>
      <c r="B176" s="76" t="s">
        <v>1440</v>
      </c>
      <c r="C176" s="86">
        <v>670</v>
      </c>
      <c r="D176" s="87">
        <v>95.5</v>
      </c>
      <c r="E176" s="88">
        <v>29</v>
      </c>
      <c r="F176" s="87">
        <v>73.900000000000006</v>
      </c>
      <c r="G176" s="17">
        <v>22</v>
      </c>
      <c r="H176" s="89">
        <v>128</v>
      </c>
      <c r="I176" s="90"/>
      <c r="J176" s="90"/>
      <c r="K176" s="90"/>
      <c r="L176" s="90"/>
      <c r="M176" s="91">
        <f>I176-K176</f>
        <v>0</v>
      </c>
      <c r="N176" s="4" t="str">
        <f>IF(ISERROR(K176/I176),"",K176/I176)</f>
        <v/>
      </c>
      <c r="O176" s="92">
        <f>I176/E176</f>
        <v>0</v>
      </c>
      <c r="P176" s="92">
        <f>K176/E176</f>
        <v>0</v>
      </c>
      <c r="Q176" s="80">
        <v>3</v>
      </c>
      <c r="R176" s="80">
        <v>1</v>
      </c>
      <c r="S176" s="80" t="s">
        <v>61</v>
      </c>
      <c r="T176" s="5">
        <v>95</v>
      </c>
      <c r="U176" s="9"/>
    </row>
    <row r="177" spans="1:21" s="37" customFormat="1" ht="12" x14ac:dyDescent="0.3">
      <c r="A177" s="75" t="s">
        <v>1438</v>
      </c>
      <c r="B177" s="76" t="s">
        <v>1439</v>
      </c>
      <c r="C177" s="86">
        <v>670</v>
      </c>
      <c r="D177" s="87">
        <v>139.69999999999999</v>
      </c>
      <c r="E177" s="88">
        <v>42</v>
      </c>
      <c r="F177" s="87">
        <v>115</v>
      </c>
      <c r="G177" s="17">
        <v>35</v>
      </c>
      <c r="H177" s="89">
        <v>40</v>
      </c>
      <c r="I177" s="90"/>
      <c r="J177" s="90"/>
      <c r="K177" s="90"/>
      <c r="L177" s="90"/>
      <c r="M177" s="91">
        <f>I177-K177</f>
        <v>0</v>
      </c>
      <c r="N177" s="4" t="str">
        <f>IF(ISERROR(K177/I177),"",K177/I177)</f>
        <v/>
      </c>
      <c r="O177" s="92">
        <f>I177/E177</f>
        <v>0</v>
      </c>
      <c r="P177" s="92">
        <f>K177/E177</f>
        <v>0</v>
      </c>
      <c r="Q177" s="80">
        <v>4</v>
      </c>
      <c r="R177" s="80">
        <v>2</v>
      </c>
      <c r="S177" s="80" t="s">
        <v>61</v>
      </c>
      <c r="T177" s="5">
        <v>139</v>
      </c>
      <c r="U177" s="9"/>
    </row>
    <row r="178" spans="1:21" s="37" customFormat="1" ht="12" x14ac:dyDescent="0.3">
      <c r="A178" s="75" t="s">
        <v>1441</v>
      </c>
      <c r="B178" s="76" t="s">
        <v>1443</v>
      </c>
      <c r="C178" s="86">
        <v>572</v>
      </c>
      <c r="D178" s="87">
        <v>90.6</v>
      </c>
      <c r="E178" s="88">
        <v>27</v>
      </c>
      <c r="F178" s="87">
        <v>74</v>
      </c>
      <c r="G178" s="17">
        <v>22</v>
      </c>
      <c r="H178" s="89">
        <v>234</v>
      </c>
      <c r="I178" s="90"/>
      <c r="J178" s="90"/>
      <c r="K178" s="90"/>
      <c r="L178" s="90"/>
      <c r="M178" s="91">
        <f>I178-K178</f>
        <v>0</v>
      </c>
      <c r="N178" s="4" t="str">
        <f>IF(ISERROR(K178/I178),"",K178/I178)</f>
        <v/>
      </c>
      <c r="O178" s="92">
        <f>I178/E178</f>
        <v>0</v>
      </c>
      <c r="P178" s="92">
        <f>K178/E178</f>
        <v>0</v>
      </c>
      <c r="Q178" s="80">
        <v>3</v>
      </c>
      <c r="R178" s="80">
        <v>1</v>
      </c>
      <c r="S178" s="80" t="s">
        <v>61</v>
      </c>
      <c r="T178" s="5">
        <v>90</v>
      </c>
      <c r="U178" s="9"/>
    </row>
    <row r="179" spans="1:21" s="37" customFormat="1" ht="12" x14ac:dyDescent="0.3">
      <c r="A179" s="75" t="s">
        <v>1600</v>
      </c>
      <c r="B179" s="76" t="s">
        <v>1601</v>
      </c>
      <c r="C179" s="86">
        <v>390</v>
      </c>
      <c r="D179" s="87">
        <v>61.2</v>
      </c>
      <c r="E179" s="88">
        <v>19</v>
      </c>
      <c r="F179" s="87">
        <v>55.4</v>
      </c>
      <c r="G179" s="17">
        <v>17</v>
      </c>
      <c r="H179" s="89">
        <v>170</v>
      </c>
      <c r="I179" s="90"/>
      <c r="J179" s="90"/>
      <c r="K179" s="90"/>
      <c r="L179" s="90"/>
      <c r="M179" s="91">
        <f>I179-K179</f>
        <v>0</v>
      </c>
      <c r="N179" s="4" t="str">
        <f>IF(ISERROR(K179/I179),"",K179/I179)</f>
        <v/>
      </c>
      <c r="O179" s="92">
        <f>I179/E179</f>
        <v>0</v>
      </c>
      <c r="P179" s="92">
        <f>K179/E179</f>
        <v>0</v>
      </c>
      <c r="Q179" s="80">
        <v>2</v>
      </c>
      <c r="R179" s="80">
        <v>1</v>
      </c>
      <c r="S179" s="80" t="s">
        <v>76</v>
      </c>
      <c r="T179" s="5">
        <v>61</v>
      </c>
      <c r="U179" s="9"/>
    </row>
    <row r="180" spans="1:21" s="37" customFormat="1" ht="12" x14ac:dyDescent="0.3">
      <c r="A180" s="75" t="s">
        <v>1600</v>
      </c>
      <c r="B180" s="76" t="s">
        <v>1601</v>
      </c>
      <c r="C180" s="86">
        <v>390</v>
      </c>
      <c r="D180" s="87">
        <v>72.7</v>
      </c>
      <c r="E180" s="88">
        <v>22</v>
      </c>
      <c r="F180" s="87">
        <v>65.8</v>
      </c>
      <c r="G180" s="17">
        <v>20</v>
      </c>
      <c r="H180" s="89">
        <v>120</v>
      </c>
      <c r="I180" s="90"/>
      <c r="J180" s="90"/>
      <c r="K180" s="90"/>
      <c r="L180" s="90"/>
      <c r="M180" s="91">
        <f>I180-K180</f>
        <v>0</v>
      </c>
      <c r="N180" s="4" t="str">
        <f>IF(ISERROR(K180/I180),"",K180/I180)</f>
        <v/>
      </c>
      <c r="O180" s="92">
        <f>I180/E180</f>
        <v>0</v>
      </c>
      <c r="P180" s="92">
        <f>K180/E180</f>
        <v>0</v>
      </c>
      <c r="Q180" s="80">
        <v>3</v>
      </c>
      <c r="R180" s="80">
        <v>1</v>
      </c>
      <c r="S180" s="80" t="s">
        <v>61</v>
      </c>
      <c r="T180" s="5">
        <v>72</v>
      </c>
      <c r="U180" s="9"/>
    </row>
    <row r="181" spans="1:21" s="37" customFormat="1" ht="12" x14ac:dyDescent="0.3">
      <c r="A181" s="75" t="s">
        <v>1445</v>
      </c>
      <c r="B181" s="76" t="s">
        <v>1446</v>
      </c>
      <c r="C181" s="86">
        <v>942</v>
      </c>
      <c r="D181" s="87">
        <v>115.3</v>
      </c>
      <c r="E181" s="88">
        <v>35</v>
      </c>
      <c r="F181" s="87">
        <v>84.9</v>
      </c>
      <c r="G181" s="17">
        <v>26</v>
      </c>
      <c r="H181" s="89">
        <v>318</v>
      </c>
      <c r="I181" s="90"/>
      <c r="J181" s="90"/>
      <c r="K181" s="90"/>
      <c r="L181" s="90"/>
      <c r="M181" s="91">
        <f>I181-K181</f>
        <v>0</v>
      </c>
      <c r="N181" s="4" t="str">
        <f>IF(ISERROR(K181/I181),"",K181/I181)</f>
        <v/>
      </c>
      <c r="O181" s="92">
        <f>I181/E181</f>
        <v>0</v>
      </c>
      <c r="P181" s="92">
        <f>K181/E181</f>
        <v>0</v>
      </c>
      <c r="Q181" s="80">
        <v>3</v>
      </c>
      <c r="R181" s="80">
        <v>2</v>
      </c>
      <c r="S181" s="80" t="s">
        <v>61</v>
      </c>
      <c r="T181" s="5" t="s">
        <v>141</v>
      </c>
      <c r="U181" s="9"/>
    </row>
    <row r="182" spans="1:21" s="37" customFormat="1" ht="12" x14ac:dyDescent="0.3">
      <c r="A182" s="75" t="s">
        <v>1448</v>
      </c>
      <c r="B182" s="76" t="s">
        <v>1449</v>
      </c>
      <c r="C182" s="86">
        <v>614</v>
      </c>
      <c r="D182" s="87">
        <v>108.7</v>
      </c>
      <c r="E182" s="88">
        <v>33</v>
      </c>
      <c r="F182" s="87">
        <v>76.3</v>
      </c>
      <c r="G182" s="17">
        <v>23</v>
      </c>
      <c r="H182" s="89">
        <v>248</v>
      </c>
      <c r="I182" s="90"/>
      <c r="J182" s="90"/>
      <c r="K182" s="90"/>
      <c r="L182" s="90"/>
      <c r="M182" s="91">
        <f>I182-K182</f>
        <v>0</v>
      </c>
      <c r="N182" s="4" t="str">
        <f>IF(ISERROR(K182/I182),"",K182/I182)</f>
        <v/>
      </c>
      <c r="O182" s="92">
        <f>I182/E182</f>
        <v>0</v>
      </c>
      <c r="P182" s="92">
        <f>K182/E182</f>
        <v>0</v>
      </c>
      <c r="Q182" s="80">
        <v>3</v>
      </c>
      <c r="R182" s="80">
        <v>2</v>
      </c>
      <c r="S182" s="80" t="s">
        <v>61</v>
      </c>
      <c r="T182" s="5">
        <v>108</v>
      </c>
      <c r="U182" s="9"/>
    </row>
    <row r="183" spans="1:21" s="37" customFormat="1" ht="12" x14ac:dyDescent="0.3">
      <c r="A183" s="75" t="s">
        <v>1448</v>
      </c>
      <c r="B183" s="76" t="s">
        <v>1658</v>
      </c>
      <c r="C183" s="86">
        <v>614</v>
      </c>
      <c r="D183" s="87">
        <v>120.5</v>
      </c>
      <c r="E183" s="88">
        <v>36</v>
      </c>
      <c r="F183" s="87">
        <v>84.9</v>
      </c>
      <c r="G183" s="17">
        <v>26</v>
      </c>
      <c r="H183" s="89">
        <v>244</v>
      </c>
      <c r="I183" s="90"/>
      <c r="J183" s="90"/>
      <c r="K183" s="90"/>
      <c r="L183" s="90"/>
      <c r="M183" s="91">
        <f>I183-K183</f>
        <v>0</v>
      </c>
      <c r="N183" s="4" t="str">
        <f>IF(ISERROR(K183/I183),"",K183/I183)</f>
        <v/>
      </c>
      <c r="O183" s="92">
        <f>I183/E183</f>
        <v>0</v>
      </c>
      <c r="P183" s="92">
        <f>K183/E183</f>
        <v>0</v>
      </c>
      <c r="Q183" s="80">
        <v>3</v>
      </c>
      <c r="R183" s="80">
        <v>2</v>
      </c>
      <c r="S183" s="80" t="s">
        <v>61</v>
      </c>
      <c r="T183" s="5">
        <v>120</v>
      </c>
      <c r="U183" s="9"/>
    </row>
    <row r="184" spans="1:21" s="37" customFormat="1" ht="12" x14ac:dyDescent="0.3">
      <c r="A184" s="75" t="s">
        <v>1450</v>
      </c>
      <c r="B184" s="76" t="s">
        <v>1451</v>
      </c>
      <c r="C184" s="86">
        <v>318</v>
      </c>
      <c r="D184" s="87">
        <v>94.9</v>
      </c>
      <c r="E184" s="88">
        <v>29</v>
      </c>
      <c r="F184" s="87">
        <v>75.3</v>
      </c>
      <c r="G184" s="17">
        <v>23</v>
      </c>
      <c r="H184" s="89">
        <v>90</v>
      </c>
      <c r="I184" s="90"/>
      <c r="J184" s="90"/>
      <c r="K184" s="90"/>
      <c r="L184" s="90"/>
      <c r="M184" s="91">
        <f>I184-K184</f>
        <v>0</v>
      </c>
      <c r="N184" s="4" t="str">
        <f>IF(ISERROR(K184/I184),"",K184/I184)</f>
        <v/>
      </c>
      <c r="O184" s="92">
        <f>I184/E184</f>
        <v>0</v>
      </c>
      <c r="P184" s="92">
        <f>K184/E184</f>
        <v>0</v>
      </c>
      <c r="Q184" s="80">
        <v>3</v>
      </c>
      <c r="R184" s="80">
        <v>2</v>
      </c>
      <c r="S184" s="80" t="s">
        <v>61</v>
      </c>
      <c r="T184" s="5">
        <v>94</v>
      </c>
      <c r="U184" s="9"/>
    </row>
    <row r="185" spans="1:21" s="37" customFormat="1" ht="12" x14ac:dyDescent="0.3">
      <c r="A185" s="75" t="s">
        <v>1450</v>
      </c>
      <c r="B185" s="76" t="s">
        <v>1451</v>
      </c>
      <c r="C185" s="86">
        <v>318</v>
      </c>
      <c r="D185" s="87">
        <v>107.1</v>
      </c>
      <c r="E185" s="88">
        <v>32</v>
      </c>
      <c r="F185" s="87">
        <v>85</v>
      </c>
      <c r="G185" s="17">
        <v>26</v>
      </c>
      <c r="H185" s="89">
        <v>129</v>
      </c>
      <c r="I185" s="90"/>
      <c r="J185" s="90"/>
      <c r="K185" s="90"/>
      <c r="L185" s="90"/>
      <c r="M185" s="91">
        <f>I185-K185</f>
        <v>0</v>
      </c>
      <c r="N185" s="4" t="str">
        <f>IF(ISERROR(K185/I185),"",K185/I185)</f>
        <v/>
      </c>
      <c r="O185" s="92">
        <f>I185/E185</f>
        <v>0</v>
      </c>
      <c r="P185" s="92">
        <f>K185/E185</f>
        <v>0</v>
      </c>
      <c r="Q185" s="80">
        <v>3</v>
      </c>
      <c r="R185" s="80">
        <v>2</v>
      </c>
      <c r="S185" s="80" t="s">
        <v>61</v>
      </c>
      <c r="T185" s="5" t="s">
        <v>142</v>
      </c>
      <c r="U185" s="9"/>
    </row>
    <row r="186" spans="1:21" s="37" customFormat="1" ht="12" x14ac:dyDescent="0.3">
      <c r="A186" s="75" t="s">
        <v>1452</v>
      </c>
      <c r="B186" s="76" t="s">
        <v>1399</v>
      </c>
      <c r="C186" s="86">
        <v>716</v>
      </c>
      <c r="D186" s="87">
        <v>79.7</v>
      </c>
      <c r="E186" s="88">
        <v>24</v>
      </c>
      <c r="F186" s="87">
        <v>65.2</v>
      </c>
      <c r="G186" s="17">
        <v>20</v>
      </c>
      <c r="H186" s="89">
        <v>56</v>
      </c>
      <c r="I186" s="90"/>
      <c r="J186" s="90"/>
      <c r="K186" s="90"/>
      <c r="L186" s="90"/>
      <c r="M186" s="91">
        <f>I186-K186</f>
        <v>0</v>
      </c>
      <c r="N186" s="4" t="str">
        <f>IF(ISERROR(K186/I186),"",K186/I186)</f>
        <v/>
      </c>
      <c r="O186" s="92">
        <f>I186/E186</f>
        <v>0</v>
      </c>
      <c r="P186" s="92">
        <f>K186/E186</f>
        <v>0</v>
      </c>
      <c r="Q186" s="80">
        <v>3</v>
      </c>
      <c r="R186" s="80">
        <v>1</v>
      </c>
      <c r="S186" s="80" t="s">
        <v>61</v>
      </c>
      <c r="T186" s="5">
        <v>79</v>
      </c>
      <c r="U186" s="9"/>
    </row>
    <row r="187" spans="1:21" s="37" customFormat="1" ht="12" x14ac:dyDescent="0.3">
      <c r="A187" s="75" t="s">
        <v>1456</v>
      </c>
      <c r="B187" s="76" t="s">
        <v>1455</v>
      </c>
      <c r="C187" s="86">
        <v>950</v>
      </c>
      <c r="D187" s="87">
        <v>110.3</v>
      </c>
      <c r="E187" s="88">
        <v>33</v>
      </c>
      <c r="F187" s="87">
        <v>84.7</v>
      </c>
      <c r="G187" s="17">
        <v>26</v>
      </c>
      <c r="H187" s="89">
        <v>120</v>
      </c>
      <c r="I187" s="90"/>
      <c r="J187" s="90"/>
      <c r="K187" s="90"/>
      <c r="L187" s="90"/>
      <c r="M187" s="91">
        <f>I187-K187</f>
        <v>0</v>
      </c>
      <c r="N187" s="4" t="str">
        <f>IF(ISERROR(K187/I187),"",K187/I187)</f>
        <v/>
      </c>
      <c r="O187" s="92">
        <f>I187/E187</f>
        <v>0</v>
      </c>
      <c r="P187" s="92">
        <f>K187/E187</f>
        <v>0</v>
      </c>
      <c r="Q187" s="80">
        <v>3</v>
      </c>
      <c r="R187" s="80">
        <v>2</v>
      </c>
      <c r="S187" s="80" t="s">
        <v>76</v>
      </c>
      <c r="T187" s="5" t="s">
        <v>62</v>
      </c>
      <c r="U187" s="9"/>
    </row>
    <row r="188" spans="1:21" s="37" customFormat="1" ht="12" x14ac:dyDescent="0.3">
      <c r="A188" s="75" t="s">
        <v>1458</v>
      </c>
      <c r="B188" s="76" t="s">
        <v>1459</v>
      </c>
      <c r="C188" s="86">
        <v>307</v>
      </c>
      <c r="D188" s="87">
        <v>109.8</v>
      </c>
      <c r="E188" s="88">
        <v>33</v>
      </c>
      <c r="F188" s="87">
        <v>85</v>
      </c>
      <c r="G188" s="17">
        <v>26</v>
      </c>
      <c r="H188" s="89">
        <v>50</v>
      </c>
      <c r="I188" s="90"/>
      <c r="J188" s="90"/>
      <c r="K188" s="90"/>
      <c r="L188" s="90"/>
      <c r="M188" s="91">
        <f>I188-K188</f>
        <v>0</v>
      </c>
      <c r="N188" s="4" t="str">
        <f>IF(ISERROR(K188/I188),"",K188/I188)</f>
        <v/>
      </c>
      <c r="O188" s="92">
        <f>I188/E188</f>
        <v>0</v>
      </c>
      <c r="P188" s="92">
        <f>K188/E188</f>
        <v>0</v>
      </c>
      <c r="Q188" s="80">
        <v>3</v>
      </c>
      <c r="R188" s="80">
        <v>2</v>
      </c>
      <c r="S188" s="80" t="s">
        <v>76</v>
      </c>
      <c r="T188" s="5">
        <v>109</v>
      </c>
      <c r="U188" s="9"/>
    </row>
    <row r="189" spans="1:21" s="37" customFormat="1" ht="12" x14ac:dyDescent="0.3">
      <c r="A189" s="75" t="s">
        <v>1465</v>
      </c>
      <c r="B189" s="76" t="s">
        <v>1467</v>
      </c>
      <c r="C189" s="86">
        <v>346</v>
      </c>
      <c r="D189" s="87">
        <v>55.1</v>
      </c>
      <c r="E189" s="88">
        <v>17</v>
      </c>
      <c r="F189" s="87">
        <v>40</v>
      </c>
      <c r="G189" s="17">
        <v>12</v>
      </c>
      <c r="H189" s="89">
        <v>334</v>
      </c>
      <c r="I189" s="90"/>
      <c r="J189" s="90"/>
      <c r="K189" s="90"/>
      <c r="L189" s="90"/>
      <c r="M189" s="91">
        <f>I189-K189</f>
        <v>0</v>
      </c>
      <c r="N189" s="4" t="str">
        <f>IF(ISERROR(K189/I189),"",K189/I189)</f>
        <v/>
      </c>
      <c r="O189" s="92">
        <f>I189/E189</f>
        <v>0</v>
      </c>
      <c r="P189" s="92">
        <f>K189/E189</f>
        <v>0</v>
      </c>
      <c r="Q189" s="80">
        <v>2</v>
      </c>
      <c r="R189" s="80">
        <v>1</v>
      </c>
      <c r="S189" s="80" t="s">
        <v>61</v>
      </c>
      <c r="T189" s="5">
        <v>55</v>
      </c>
      <c r="U189" s="9"/>
    </row>
    <row r="190" spans="1:21" s="37" customFormat="1" ht="12" x14ac:dyDescent="0.3">
      <c r="A190" s="75" t="s">
        <v>1469</v>
      </c>
      <c r="B190" s="76" t="s">
        <v>1468</v>
      </c>
      <c r="C190" s="86">
        <v>317</v>
      </c>
      <c r="D190" s="87">
        <v>115.9</v>
      </c>
      <c r="E190" s="88">
        <v>35</v>
      </c>
      <c r="F190" s="87">
        <v>84.9</v>
      </c>
      <c r="G190" s="17">
        <v>26</v>
      </c>
      <c r="H190" s="89">
        <v>233</v>
      </c>
      <c r="I190" s="90"/>
      <c r="J190" s="90"/>
      <c r="K190" s="90"/>
      <c r="L190" s="90"/>
      <c r="M190" s="91">
        <f>I190-K190</f>
        <v>0</v>
      </c>
      <c r="N190" s="4" t="str">
        <f>IF(ISERROR(K190/I190),"",K190/I190)</f>
        <v/>
      </c>
      <c r="O190" s="92">
        <f>I190/E190</f>
        <v>0</v>
      </c>
      <c r="P190" s="92">
        <f>K190/E190</f>
        <v>0</v>
      </c>
      <c r="Q190" s="80">
        <v>3</v>
      </c>
      <c r="R190" s="80">
        <v>2</v>
      </c>
      <c r="S190" s="80" t="s">
        <v>61</v>
      </c>
      <c r="T190" s="5">
        <v>115</v>
      </c>
      <c r="U190" s="9"/>
    </row>
    <row r="191" spans="1:21" s="37" customFormat="1" ht="12" x14ac:dyDescent="0.3">
      <c r="A191" s="75" t="s">
        <v>1471</v>
      </c>
      <c r="B191" s="76" t="s">
        <v>1603</v>
      </c>
      <c r="C191" s="86">
        <v>276</v>
      </c>
      <c r="D191" s="87">
        <v>69.3</v>
      </c>
      <c r="E191" s="88">
        <v>21</v>
      </c>
      <c r="F191" s="87">
        <v>49.1</v>
      </c>
      <c r="G191" s="17">
        <v>15</v>
      </c>
      <c r="H191" s="89">
        <v>198</v>
      </c>
      <c r="I191" s="90"/>
      <c r="J191" s="90"/>
      <c r="K191" s="90"/>
      <c r="L191" s="90"/>
      <c r="M191" s="91">
        <f>I191-K191</f>
        <v>0</v>
      </c>
      <c r="N191" s="4" t="str">
        <f>IF(ISERROR(K191/I191),"",K191/I191)</f>
        <v/>
      </c>
      <c r="O191" s="92">
        <f>I191/E191</f>
        <v>0</v>
      </c>
      <c r="P191" s="92">
        <f>K191/E191</f>
        <v>0</v>
      </c>
      <c r="Q191" s="80">
        <v>2</v>
      </c>
      <c r="R191" s="80">
        <v>1</v>
      </c>
      <c r="S191" s="80" t="s">
        <v>61</v>
      </c>
      <c r="T191" s="5" t="s">
        <v>144</v>
      </c>
      <c r="U191" s="9"/>
    </row>
    <row r="192" spans="1:21" s="37" customFormat="1" ht="12" x14ac:dyDescent="0.3">
      <c r="A192" s="75" t="s">
        <v>1475</v>
      </c>
      <c r="B192" s="76" t="s">
        <v>1476</v>
      </c>
      <c r="C192" s="86">
        <v>874</v>
      </c>
      <c r="D192" s="87">
        <v>114.6</v>
      </c>
      <c r="E192" s="88">
        <v>35</v>
      </c>
      <c r="F192" s="87">
        <v>84.3</v>
      </c>
      <c r="G192" s="17">
        <v>26</v>
      </c>
      <c r="H192" s="89">
        <v>224</v>
      </c>
      <c r="I192" s="90"/>
      <c r="J192" s="90"/>
      <c r="K192" s="90"/>
      <c r="L192" s="90"/>
      <c r="M192" s="91">
        <f>I192-K192</f>
        <v>0</v>
      </c>
      <c r="N192" s="4" t="str">
        <f>IF(ISERROR(K192/I192),"",K192/I192)</f>
        <v/>
      </c>
      <c r="O192" s="92">
        <f>I192/E192</f>
        <v>0</v>
      </c>
      <c r="P192" s="92">
        <f>K192/E192</f>
        <v>0</v>
      </c>
      <c r="Q192" s="80">
        <v>3</v>
      </c>
      <c r="R192" s="80">
        <v>1</v>
      </c>
      <c r="S192" s="80" t="s">
        <v>61</v>
      </c>
      <c r="T192" s="5">
        <v>114</v>
      </c>
      <c r="U192" s="9"/>
    </row>
    <row r="193" spans="1:21" s="37" customFormat="1" ht="12" x14ac:dyDescent="0.3">
      <c r="A193" s="75" t="s">
        <v>1477</v>
      </c>
      <c r="B193" s="76" t="s">
        <v>1478</v>
      </c>
      <c r="C193" s="86">
        <v>351</v>
      </c>
      <c r="D193" s="87">
        <v>80.599999999999994</v>
      </c>
      <c r="E193" s="88">
        <v>24</v>
      </c>
      <c r="F193" s="87">
        <v>59.9</v>
      </c>
      <c r="G193" s="17">
        <v>18</v>
      </c>
      <c r="H193" s="89">
        <v>149</v>
      </c>
      <c r="I193" s="90"/>
      <c r="J193" s="90"/>
      <c r="K193" s="90"/>
      <c r="L193" s="90"/>
      <c r="M193" s="91">
        <f>I193-K193</f>
        <v>0</v>
      </c>
      <c r="N193" s="4" t="str">
        <f>IF(ISERROR(K193/I193),"",K193/I193)</f>
        <v/>
      </c>
      <c r="O193" s="92">
        <f>I193/E193</f>
        <v>0</v>
      </c>
      <c r="P193" s="92">
        <f>K193/E193</f>
        <v>0</v>
      </c>
      <c r="Q193" s="80">
        <v>3</v>
      </c>
      <c r="R193" s="80">
        <v>2</v>
      </c>
      <c r="S193" s="80" t="s">
        <v>61</v>
      </c>
      <c r="T193" s="5">
        <v>80</v>
      </c>
      <c r="U193" s="9"/>
    </row>
    <row r="194" spans="1:21" s="37" customFormat="1" ht="12" x14ac:dyDescent="0.3">
      <c r="A194" s="75" t="s">
        <v>1479</v>
      </c>
      <c r="B194" s="76" t="s">
        <v>1481</v>
      </c>
      <c r="C194" s="86">
        <v>499</v>
      </c>
      <c r="D194" s="87">
        <v>110.9</v>
      </c>
      <c r="E194" s="88">
        <v>34</v>
      </c>
      <c r="F194" s="87">
        <v>85</v>
      </c>
      <c r="G194" s="17">
        <v>26</v>
      </c>
      <c r="H194" s="89">
        <v>360</v>
      </c>
      <c r="I194" s="90"/>
      <c r="J194" s="90"/>
      <c r="K194" s="90"/>
      <c r="L194" s="90"/>
      <c r="M194" s="91">
        <f>I194-K194</f>
        <v>0</v>
      </c>
      <c r="N194" s="4" t="str">
        <f>IF(ISERROR(K194/I194),"",K194/I194)</f>
        <v/>
      </c>
      <c r="O194" s="92">
        <f>I194/E194</f>
        <v>0</v>
      </c>
      <c r="P194" s="92">
        <f>K194/E194</f>
        <v>0</v>
      </c>
      <c r="Q194" s="80">
        <v>3</v>
      </c>
      <c r="R194" s="80">
        <v>2</v>
      </c>
      <c r="S194" s="80" t="s">
        <v>61</v>
      </c>
      <c r="T194" s="5">
        <v>110</v>
      </c>
      <c r="U194" s="9"/>
    </row>
    <row r="195" spans="1:21" s="37" customFormat="1" ht="12" x14ac:dyDescent="0.3">
      <c r="A195" s="75" t="s">
        <v>1782</v>
      </c>
      <c r="B195" s="76" t="s">
        <v>1781</v>
      </c>
      <c r="C195" s="86">
        <v>1078</v>
      </c>
      <c r="D195" s="87">
        <v>131.69999999999999</v>
      </c>
      <c r="E195" s="88">
        <v>40</v>
      </c>
      <c r="F195" s="87">
        <v>100.4</v>
      </c>
      <c r="G195" s="17">
        <v>30</v>
      </c>
      <c r="H195" s="89">
        <v>74</v>
      </c>
      <c r="I195" s="90"/>
      <c r="J195" s="90"/>
      <c r="K195" s="90">
        <v>35000</v>
      </c>
      <c r="L195" s="90" t="s">
        <v>72</v>
      </c>
      <c r="M195" s="91">
        <f>I195-K195</f>
        <v>-35000</v>
      </c>
      <c r="N195" s="4" t="str">
        <f>IF(ISERROR(K195/I195),"",K195/I195)</f>
        <v/>
      </c>
      <c r="O195" s="92">
        <f>I195/E195</f>
        <v>0</v>
      </c>
      <c r="P195" s="92">
        <f>K195/E195</f>
        <v>875</v>
      </c>
      <c r="Q195" s="80">
        <v>4</v>
      </c>
      <c r="R195" s="80">
        <v>2</v>
      </c>
      <c r="S195" s="80" t="s">
        <v>61</v>
      </c>
      <c r="T195" s="5">
        <v>131</v>
      </c>
      <c r="U195" s="9"/>
    </row>
    <row r="196" spans="1:21" s="37" customFormat="1" ht="12" x14ac:dyDescent="0.3">
      <c r="A196" s="75" t="s">
        <v>1789</v>
      </c>
      <c r="B196" s="76" t="s">
        <v>1790</v>
      </c>
      <c r="C196" s="86">
        <v>358</v>
      </c>
      <c r="D196" s="87">
        <v>76.2</v>
      </c>
      <c r="E196" s="88">
        <v>23</v>
      </c>
      <c r="F196" s="87">
        <v>59.6</v>
      </c>
      <c r="G196" s="17">
        <v>18</v>
      </c>
      <c r="H196" s="89">
        <v>150</v>
      </c>
      <c r="I196" s="90"/>
      <c r="J196" s="90"/>
      <c r="K196" s="90"/>
      <c r="L196" s="90"/>
      <c r="M196" s="91">
        <f>I196-K196</f>
        <v>0</v>
      </c>
      <c r="N196" s="4" t="str">
        <f>IF(ISERROR(K196/I196),"",K196/I196)</f>
        <v/>
      </c>
      <c r="O196" s="92">
        <f>I196/E196</f>
        <v>0</v>
      </c>
      <c r="P196" s="92">
        <f>K196/E196</f>
        <v>0</v>
      </c>
      <c r="Q196" s="80">
        <v>3</v>
      </c>
      <c r="R196" s="80">
        <v>1</v>
      </c>
      <c r="S196" s="80" t="s">
        <v>61</v>
      </c>
      <c r="T196" s="5">
        <v>76</v>
      </c>
      <c r="U196" s="9"/>
    </row>
    <row r="197" spans="1:21" s="37" customFormat="1" ht="12" x14ac:dyDescent="0.3">
      <c r="A197" s="75" t="s">
        <v>1789</v>
      </c>
      <c r="B197" s="76" t="s">
        <v>1610</v>
      </c>
      <c r="C197" s="86">
        <v>358</v>
      </c>
      <c r="D197" s="87">
        <v>103</v>
      </c>
      <c r="E197" s="88">
        <v>31</v>
      </c>
      <c r="F197" s="87">
        <v>84.6</v>
      </c>
      <c r="G197" s="17">
        <v>26</v>
      </c>
      <c r="H197" s="89">
        <v>208</v>
      </c>
      <c r="I197" s="90"/>
      <c r="J197" s="90"/>
      <c r="K197" s="90"/>
      <c r="L197" s="90"/>
      <c r="M197" s="91">
        <f>I197-K197</f>
        <v>0</v>
      </c>
      <c r="N197" s="4" t="str">
        <f>IF(ISERROR(K197/I197),"",K197/I197)</f>
        <v/>
      </c>
      <c r="O197" s="92">
        <f>I197/E197</f>
        <v>0</v>
      </c>
      <c r="P197" s="92">
        <f>K197/E197</f>
        <v>0</v>
      </c>
      <c r="Q197" s="80">
        <v>3</v>
      </c>
      <c r="R197" s="80">
        <v>2</v>
      </c>
      <c r="S197" s="80" t="s">
        <v>61</v>
      </c>
      <c r="T197" s="5">
        <v>102</v>
      </c>
      <c r="U197" s="9"/>
    </row>
    <row r="198" spans="1:21" s="37" customFormat="1" ht="12" x14ac:dyDescent="0.3">
      <c r="A198" s="75" t="s">
        <v>1494</v>
      </c>
      <c r="B198" s="76" t="s">
        <v>1495</v>
      </c>
      <c r="C198" s="86">
        <v>342</v>
      </c>
      <c r="D198" s="87">
        <v>89.4</v>
      </c>
      <c r="E198" s="88">
        <v>27</v>
      </c>
      <c r="F198" s="87">
        <v>73.099999999999994</v>
      </c>
      <c r="G198" s="17">
        <v>22</v>
      </c>
      <c r="H198" s="89">
        <v>138</v>
      </c>
      <c r="I198" s="90"/>
      <c r="J198" s="90"/>
      <c r="K198" s="90"/>
      <c r="L198" s="90"/>
      <c r="M198" s="91">
        <f>I198-K198</f>
        <v>0</v>
      </c>
      <c r="N198" s="4" t="str">
        <f>IF(ISERROR(K198/I198),"",K198/I198)</f>
        <v/>
      </c>
      <c r="O198" s="92">
        <f>I198/E198</f>
        <v>0</v>
      </c>
      <c r="P198" s="92">
        <f>K198/E198</f>
        <v>0</v>
      </c>
      <c r="Q198" s="80">
        <v>3</v>
      </c>
      <c r="R198" s="80">
        <v>2</v>
      </c>
      <c r="S198" s="80" t="s">
        <v>61</v>
      </c>
      <c r="T198" s="5">
        <v>89</v>
      </c>
      <c r="U198" s="9"/>
    </row>
    <row r="199" spans="1:21" s="37" customFormat="1" ht="12" x14ac:dyDescent="0.3">
      <c r="A199" s="75" t="s">
        <v>1791</v>
      </c>
      <c r="B199" s="76" t="s">
        <v>1792</v>
      </c>
      <c r="C199" s="86">
        <v>342</v>
      </c>
      <c r="D199" s="87">
        <v>102</v>
      </c>
      <c r="E199" s="88">
        <v>31</v>
      </c>
      <c r="F199" s="87">
        <v>84.8</v>
      </c>
      <c r="G199" s="17">
        <v>26</v>
      </c>
      <c r="H199" s="89">
        <v>204</v>
      </c>
      <c r="I199" s="90"/>
      <c r="J199" s="90"/>
      <c r="K199" s="90"/>
      <c r="L199" s="90"/>
      <c r="M199" s="91">
        <f>I199-K199</f>
        <v>0</v>
      </c>
      <c r="N199" s="4" t="str">
        <f>IF(ISERROR(K199/I199),"",K199/I199)</f>
        <v/>
      </c>
      <c r="O199" s="92">
        <f>I199/E199</f>
        <v>0</v>
      </c>
      <c r="P199" s="92">
        <f>K199/E199</f>
        <v>0</v>
      </c>
      <c r="Q199" s="80">
        <v>3</v>
      </c>
      <c r="R199" s="80">
        <v>2</v>
      </c>
      <c r="S199" s="80" t="s">
        <v>61</v>
      </c>
      <c r="T199" s="5">
        <v>102</v>
      </c>
      <c r="U199" s="9"/>
    </row>
    <row r="200" spans="1:21" s="37" customFormat="1" ht="12" x14ac:dyDescent="0.3">
      <c r="A200" s="75" t="s">
        <v>1611</v>
      </c>
      <c r="B200" s="76" t="s">
        <v>1794</v>
      </c>
      <c r="C200" s="86">
        <v>280</v>
      </c>
      <c r="D200" s="87">
        <v>44.1</v>
      </c>
      <c r="E200" s="88">
        <v>13</v>
      </c>
      <c r="F200" s="87">
        <v>34.700000000000003</v>
      </c>
      <c r="G200" s="17">
        <v>10</v>
      </c>
      <c r="H200" s="89">
        <v>40</v>
      </c>
      <c r="I200" s="90"/>
      <c r="J200" s="90"/>
      <c r="K200" s="90"/>
      <c r="L200" s="90"/>
      <c r="M200" s="91">
        <f>I200-K200</f>
        <v>0</v>
      </c>
      <c r="N200" s="4" t="str">
        <f>IF(ISERROR(K200/I200),"",K200/I200)</f>
        <v/>
      </c>
      <c r="O200" s="92">
        <f>I200/E200</f>
        <v>0</v>
      </c>
      <c r="P200" s="92">
        <f>K200/E200</f>
        <v>0</v>
      </c>
      <c r="Q200" s="80">
        <v>2</v>
      </c>
      <c r="R200" s="80">
        <v>1</v>
      </c>
      <c r="S200" s="80" t="s">
        <v>61</v>
      </c>
      <c r="T200" s="5" t="s">
        <v>145</v>
      </c>
      <c r="U200" s="9"/>
    </row>
    <row r="201" spans="1:21" s="37" customFormat="1" ht="12" x14ac:dyDescent="0.3">
      <c r="A201" s="75" t="s">
        <v>1611</v>
      </c>
      <c r="B201" s="76" t="s">
        <v>1793</v>
      </c>
      <c r="C201" s="86">
        <v>280</v>
      </c>
      <c r="D201" s="87">
        <v>53.4</v>
      </c>
      <c r="E201" s="88">
        <v>16</v>
      </c>
      <c r="F201" s="87">
        <v>43.5</v>
      </c>
      <c r="G201" s="17">
        <v>13</v>
      </c>
      <c r="H201" s="89">
        <v>150</v>
      </c>
      <c r="I201" s="90"/>
      <c r="J201" s="90"/>
      <c r="K201" s="90"/>
      <c r="L201" s="90"/>
      <c r="M201" s="91">
        <f>I201-K201</f>
        <v>0</v>
      </c>
      <c r="N201" s="4" t="str">
        <f>IF(ISERROR(K201/I201),"",K201/I201)</f>
        <v/>
      </c>
      <c r="O201" s="92">
        <f>I201/E201</f>
        <v>0</v>
      </c>
      <c r="P201" s="92">
        <f>K201/E201</f>
        <v>0</v>
      </c>
      <c r="Q201" s="80">
        <v>3</v>
      </c>
      <c r="R201" s="80">
        <v>1</v>
      </c>
      <c r="S201" s="80" t="s">
        <v>61</v>
      </c>
      <c r="T201" s="5" t="s">
        <v>129</v>
      </c>
      <c r="U201" s="9"/>
    </row>
    <row r="202" spans="1:21" s="37" customFormat="1" ht="12" x14ac:dyDescent="0.3">
      <c r="A202" s="75" t="s">
        <v>1795</v>
      </c>
      <c r="B202" s="76" t="s">
        <v>1796</v>
      </c>
      <c r="C202" s="86">
        <v>225</v>
      </c>
      <c r="D202" s="87">
        <v>56.1</v>
      </c>
      <c r="E202" s="88">
        <v>17</v>
      </c>
      <c r="F202" s="87">
        <v>40</v>
      </c>
      <c r="G202" s="17">
        <v>12</v>
      </c>
      <c r="H202" s="89">
        <v>225</v>
      </c>
      <c r="I202" s="90"/>
      <c r="J202" s="90"/>
      <c r="K202" s="90"/>
      <c r="L202" s="90"/>
      <c r="M202" s="91">
        <f>I202-K202</f>
        <v>0</v>
      </c>
      <c r="N202" s="4" t="str">
        <f>IF(ISERROR(K202/I202),"",K202/I202)</f>
        <v/>
      </c>
      <c r="O202" s="92">
        <f>I202/E202</f>
        <v>0</v>
      </c>
      <c r="P202" s="92">
        <f>K202/E202</f>
        <v>0</v>
      </c>
      <c r="Q202" s="80">
        <v>2</v>
      </c>
      <c r="R202" s="80">
        <v>1</v>
      </c>
      <c r="S202" s="80" t="s">
        <v>76</v>
      </c>
      <c r="T202" s="5">
        <v>56</v>
      </c>
      <c r="U202" s="9"/>
    </row>
    <row r="203" spans="1:21" s="37" customFormat="1" ht="12" x14ac:dyDescent="0.3">
      <c r="A203" s="75" t="s">
        <v>1797</v>
      </c>
      <c r="B203" s="76" t="s">
        <v>1798</v>
      </c>
      <c r="C203" s="86">
        <v>200</v>
      </c>
      <c r="D203" s="87">
        <v>44.5</v>
      </c>
      <c r="E203" s="88">
        <v>13</v>
      </c>
      <c r="F203" s="87">
        <v>35.4</v>
      </c>
      <c r="G203" s="17">
        <v>11</v>
      </c>
      <c r="H203" s="89">
        <v>100</v>
      </c>
      <c r="I203" s="90"/>
      <c r="J203" s="90"/>
      <c r="K203" s="90"/>
      <c r="L203" s="90"/>
      <c r="M203" s="91">
        <f>I203-K203</f>
        <v>0</v>
      </c>
      <c r="N203" s="4" t="str">
        <f>IF(ISERROR(K203/I203),"",K203/I203)</f>
        <v/>
      </c>
      <c r="O203" s="92">
        <f>I203/E203</f>
        <v>0</v>
      </c>
      <c r="P203" s="92">
        <f>K203/E203</f>
        <v>0</v>
      </c>
      <c r="Q203" s="80">
        <v>2</v>
      </c>
      <c r="R203" s="80">
        <v>1</v>
      </c>
      <c r="S203" s="80" t="s">
        <v>61</v>
      </c>
      <c r="T203" s="5">
        <v>44</v>
      </c>
      <c r="U203" s="9"/>
    </row>
    <row r="204" spans="1:21" s="37" customFormat="1" ht="12" x14ac:dyDescent="0.3">
      <c r="A204" s="75" t="s">
        <v>1797</v>
      </c>
      <c r="B204" s="76" t="s">
        <v>1799</v>
      </c>
      <c r="C204" s="86">
        <v>200</v>
      </c>
      <c r="D204" s="87">
        <v>59.9</v>
      </c>
      <c r="E204" s="88">
        <v>18</v>
      </c>
      <c r="F204" s="87">
        <v>48.5</v>
      </c>
      <c r="G204" s="17">
        <v>15</v>
      </c>
      <c r="H204" s="89">
        <v>100</v>
      </c>
      <c r="I204" s="90"/>
      <c r="J204" s="90"/>
      <c r="K204" s="90"/>
      <c r="L204" s="90"/>
      <c r="M204" s="91">
        <f>I204-K204</f>
        <v>0</v>
      </c>
      <c r="N204" s="4" t="str">
        <f>IF(ISERROR(K204/I204),"",K204/I204)</f>
        <v/>
      </c>
      <c r="O204" s="92">
        <f>I204/E204</f>
        <v>0</v>
      </c>
      <c r="P204" s="92">
        <f>K204/E204</f>
        <v>0</v>
      </c>
      <c r="Q204" s="80">
        <v>3</v>
      </c>
      <c r="R204" s="80">
        <v>1</v>
      </c>
      <c r="S204" s="80" t="s">
        <v>61</v>
      </c>
      <c r="T204" s="5">
        <v>59</v>
      </c>
      <c r="U204" s="9"/>
    </row>
    <row r="205" spans="1:21" s="37" customFormat="1" ht="12" x14ac:dyDescent="0.3">
      <c r="A205" s="75" t="s">
        <v>1800</v>
      </c>
      <c r="B205" s="76" t="s">
        <v>1583</v>
      </c>
      <c r="C205" s="86">
        <v>380</v>
      </c>
      <c r="D205" s="87">
        <v>102.9</v>
      </c>
      <c r="E205" s="88">
        <v>31</v>
      </c>
      <c r="F205" s="87">
        <v>84.5</v>
      </c>
      <c r="G205" s="17">
        <v>26</v>
      </c>
      <c r="H205" s="89">
        <v>126</v>
      </c>
      <c r="I205" s="90"/>
      <c r="J205" s="90"/>
      <c r="K205" s="90"/>
      <c r="L205" s="90"/>
      <c r="M205" s="91">
        <f>I205-K205</f>
        <v>0</v>
      </c>
      <c r="N205" s="4" t="str">
        <f>IF(ISERROR(K205/I205),"",K205/I205)</f>
        <v/>
      </c>
      <c r="O205" s="92">
        <f>I205/E205</f>
        <v>0</v>
      </c>
      <c r="P205" s="92">
        <f>K205/E205</f>
        <v>0</v>
      </c>
      <c r="Q205" s="80">
        <v>3</v>
      </c>
      <c r="R205" s="80">
        <v>2</v>
      </c>
      <c r="S205" s="80" t="s">
        <v>61</v>
      </c>
      <c r="T205" s="5">
        <v>102</v>
      </c>
      <c r="U205" s="9"/>
    </row>
    <row r="206" spans="1:21" s="37" customFormat="1" ht="12" x14ac:dyDescent="0.3">
      <c r="A206" s="75" t="s">
        <v>1802</v>
      </c>
      <c r="B206" s="76" t="s">
        <v>1801</v>
      </c>
      <c r="C206" s="86">
        <v>750</v>
      </c>
      <c r="D206" s="87">
        <v>49.5</v>
      </c>
      <c r="E206" s="88">
        <v>15</v>
      </c>
      <c r="F206" s="87">
        <v>39.299999999999997</v>
      </c>
      <c r="G206" s="17">
        <v>12</v>
      </c>
      <c r="H206" s="89">
        <v>110</v>
      </c>
      <c r="I206" s="90"/>
      <c r="J206" s="90"/>
      <c r="K206" s="90"/>
      <c r="L206" s="90"/>
      <c r="M206" s="91">
        <f>I206-K206</f>
        <v>0</v>
      </c>
      <c r="N206" s="4" t="str">
        <f>IF(ISERROR(K206/I206),"",K206/I206)</f>
        <v/>
      </c>
      <c r="O206" s="92">
        <f>I206/E206</f>
        <v>0</v>
      </c>
      <c r="P206" s="92">
        <f>K206/E206</f>
        <v>0</v>
      </c>
      <c r="Q206" s="80">
        <v>2</v>
      </c>
      <c r="R206" s="80">
        <v>1</v>
      </c>
      <c r="S206" s="80" t="s">
        <v>61</v>
      </c>
      <c r="T206" s="5" t="s">
        <v>146</v>
      </c>
      <c r="U206" s="9"/>
    </row>
    <row r="207" spans="1:21" s="37" customFormat="1" ht="12" x14ac:dyDescent="0.3">
      <c r="A207" s="75" t="s">
        <v>1804</v>
      </c>
      <c r="B207" s="76" t="s">
        <v>1468</v>
      </c>
      <c r="C207" s="86">
        <v>220</v>
      </c>
      <c r="D207" s="87">
        <v>49</v>
      </c>
      <c r="E207" s="88">
        <v>15</v>
      </c>
      <c r="F207" s="87">
        <v>35.9</v>
      </c>
      <c r="G207" s="17">
        <v>11</v>
      </c>
      <c r="H207" s="89">
        <v>220</v>
      </c>
      <c r="I207" s="90"/>
      <c r="J207" s="90"/>
      <c r="K207" s="90"/>
      <c r="L207" s="90"/>
      <c r="M207" s="91">
        <f>I207-K207</f>
        <v>0</v>
      </c>
      <c r="N207" s="4" t="str">
        <f>IF(ISERROR(K207/I207),"",K207/I207)</f>
        <v/>
      </c>
      <c r="O207" s="92">
        <f>I207/E207</f>
        <v>0</v>
      </c>
      <c r="P207" s="92">
        <f>K207/E207</f>
        <v>0</v>
      </c>
      <c r="Q207" s="80">
        <v>1</v>
      </c>
      <c r="R207" s="80">
        <v>1</v>
      </c>
      <c r="S207" s="80" t="s">
        <v>61</v>
      </c>
      <c r="T207" s="5">
        <v>48</v>
      </c>
      <c r="U207" s="9"/>
    </row>
    <row r="208" spans="1:21" s="37" customFormat="1" ht="12" x14ac:dyDescent="0.3">
      <c r="A208" s="75" t="s">
        <v>1805</v>
      </c>
      <c r="B208" s="76" t="s">
        <v>1506</v>
      </c>
      <c r="C208" s="86">
        <v>221</v>
      </c>
      <c r="D208" s="87">
        <v>52</v>
      </c>
      <c r="E208" s="88">
        <v>16</v>
      </c>
      <c r="F208" s="87">
        <v>40</v>
      </c>
      <c r="G208" s="17">
        <v>12</v>
      </c>
      <c r="H208" s="89">
        <v>221</v>
      </c>
      <c r="I208" s="90"/>
      <c r="J208" s="90"/>
      <c r="K208" s="90"/>
      <c r="L208" s="90"/>
      <c r="M208" s="91">
        <f>I208-K208</f>
        <v>0</v>
      </c>
      <c r="N208" s="4" t="str">
        <f>IF(ISERROR(K208/I208),"",K208/I208)</f>
        <v/>
      </c>
      <c r="O208" s="92">
        <f>I208/E208</f>
        <v>0</v>
      </c>
      <c r="P208" s="92">
        <f>K208/E208</f>
        <v>0</v>
      </c>
      <c r="Q208" s="80">
        <v>2</v>
      </c>
      <c r="R208" s="80">
        <v>1</v>
      </c>
      <c r="S208" s="80" t="s">
        <v>76</v>
      </c>
      <c r="T208" s="5">
        <v>52</v>
      </c>
      <c r="U208" s="9"/>
    </row>
    <row r="209" spans="1:21" s="37" customFormat="1" ht="12" x14ac:dyDescent="0.3">
      <c r="A209" s="75" t="s">
        <v>1807</v>
      </c>
      <c r="B209" s="76" t="s">
        <v>1808</v>
      </c>
      <c r="C209" s="86">
        <v>349</v>
      </c>
      <c r="D209" s="87">
        <v>35.6</v>
      </c>
      <c r="E209" s="88">
        <v>11</v>
      </c>
      <c r="F209" s="87">
        <v>27</v>
      </c>
      <c r="G209" s="17">
        <v>8</v>
      </c>
      <c r="H209" s="89">
        <v>54</v>
      </c>
      <c r="I209" s="90"/>
      <c r="J209" s="90"/>
      <c r="K209" s="90"/>
      <c r="L209" s="90"/>
      <c r="M209" s="91">
        <f>I209-K209</f>
        <v>0</v>
      </c>
      <c r="N209" s="4" t="str">
        <f>IF(ISERROR(K209/I209),"",K209/I209)</f>
        <v/>
      </c>
      <c r="O209" s="92">
        <f>I209/E209</f>
        <v>0</v>
      </c>
      <c r="P209" s="92">
        <f>K209/E209</f>
        <v>0</v>
      </c>
      <c r="Q209" s="80">
        <v>1</v>
      </c>
      <c r="R209" s="80">
        <v>1</v>
      </c>
      <c r="S209" s="80" t="s">
        <v>76</v>
      </c>
      <c r="T209" s="5">
        <v>35</v>
      </c>
      <c r="U209" s="9"/>
    </row>
    <row r="210" spans="1:21" s="37" customFormat="1" ht="12" x14ac:dyDescent="0.3">
      <c r="A210" s="75" t="s">
        <v>1814</v>
      </c>
      <c r="B210" s="76" t="s">
        <v>1513</v>
      </c>
      <c r="C210" s="86">
        <v>226</v>
      </c>
      <c r="D210" s="87">
        <v>77.5</v>
      </c>
      <c r="E210" s="88">
        <v>23</v>
      </c>
      <c r="F210" s="87">
        <v>59.7</v>
      </c>
      <c r="G210" s="17">
        <v>18</v>
      </c>
      <c r="H210" s="89">
        <v>60</v>
      </c>
      <c r="I210" s="90"/>
      <c r="J210" s="90"/>
      <c r="K210" s="90"/>
      <c r="L210" s="90"/>
      <c r="M210" s="91">
        <f>I210-K210</f>
        <v>0</v>
      </c>
      <c r="N210" s="4" t="str">
        <f>IF(ISERROR(K210/I210),"",K210/I210)</f>
        <v/>
      </c>
      <c r="O210" s="92">
        <f>I210/E210</f>
        <v>0</v>
      </c>
      <c r="P210" s="92">
        <f>K210/E210</f>
        <v>0</v>
      </c>
      <c r="Q210" s="80">
        <v>3</v>
      </c>
      <c r="R210" s="80">
        <v>2</v>
      </c>
      <c r="S210" s="80" t="s">
        <v>61</v>
      </c>
      <c r="T210" s="5" t="s">
        <v>147</v>
      </c>
      <c r="U210" s="9"/>
    </row>
    <row r="211" spans="1:21" s="37" customFormat="1" ht="12" x14ac:dyDescent="0.3">
      <c r="A211" s="75" t="s">
        <v>1818</v>
      </c>
      <c r="B211" s="76" t="s">
        <v>1819</v>
      </c>
      <c r="C211" s="86">
        <v>294</v>
      </c>
      <c r="D211" s="87">
        <v>113.6</v>
      </c>
      <c r="E211" s="88">
        <v>34</v>
      </c>
      <c r="F211" s="87">
        <v>84.7</v>
      </c>
      <c r="G211" s="17">
        <v>26</v>
      </c>
      <c r="H211" s="89">
        <v>294</v>
      </c>
      <c r="I211" s="90"/>
      <c r="J211" s="90"/>
      <c r="K211" s="90"/>
      <c r="L211" s="90"/>
      <c r="M211" s="91">
        <f>I211-K211</f>
        <v>0</v>
      </c>
      <c r="N211" s="4" t="str">
        <f>IF(ISERROR(K211/I211),"",K211/I211)</f>
        <v/>
      </c>
      <c r="O211" s="92">
        <f>I211/E211</f>
        <v>0</v>
      </c>
      <c r="P211" s="92">
        <f>K211/E211</f>
        <v>0</v>
      </c>
      <c r="Q211" s="80">
        <v>3</v>
      </c>
      <c r="R211" s="80">
        <v>2</v>
      </c>
      <c r="S211" s="80" t="s">
        <v>61</v>
      </c>
      <c r="T211" s="5">
        <v>113</v>
      </c>
      <c r="U211" s="9"/>
    </row>
    <row r="212" spans="1:21" s="37" customFormat="1" ht="12" x14ac:dyDescent="0.3">
      <c r="A212" s="75" t="s">
        <v>1518</v>
      </c>
      <c r="B212" s="76" t="s">
        <v>1427</v>
      </c>
      <c r="C212" s="86">
        <v>350</v>
      </c>
      <c r="D212" s="87">
        <v>77.8</v>
      </c>
      <c r="E212" s="88">
        <v>24</v>
      </c>
      <c r="F212" s="87">
        <v>59.4</v>
      </c>
      <c r="G212" s="17">
        <v>18</v>
      </c>
      <c r="H212" s="89">
        <v>174</v>
      </c>
      <c r="I212" s="90"/>
      <c r="J212" s="90"/>
      <c r="K212" s="90"/>
      <c r="L212" s="90"/>
      <c r="M212" s="91">
        <f>I212-K212</f>
        <v>0</v>
      </c>
      <c r="N212" s="4" t="str">
        <f>IF(ISERROR(K212/I212),"",K212/I212)</f>
        <v/>
      </c>
      <c r="O212" s="92">
        <f>I212/E212</f>
        <v>0</v>
      </c>
      <c r="P212" s="92">
        <f>K212/E212</f>
        <v>0</v>
      </c>
      <c r="Q212" s="80">
        <v>3</v>
      </c>
      <c r="R212" s="80">
        <v>1</v>
      </c>
      <c r="S212" s="80" t="s">
        <v>76</v>
      </c>
      <c r="T212" s="5" t="s">
        <v>83</v>
      </c>
      <c r="U212" s="9"/>
    </row>
    <row r="213" spans="1:21" s="37" customFormat="1" ht="12" x14ac:dyDescent="0.3">
      <c r="A213" s="75" t="s">
        <v>1822</v>
      </c>
      <c r="B213" s="76" t="s">
        <v>1823</v>
      </c>
      <c r="C213" s="86">
        <v>702</v>
      </c>
      <c r="D213" s="87">
        <v>93.6</v>
      </c>
      <c r="E213" s="88">
        <v>28</v>
      </c>
      <c r="F213" s="87">
        <v>75.599999999999994</v>
      </c>
      <c r="G213" s="17">
        <v>23</v>
      </c>
      <c r="H213" s="89">
        <v>240</v>
      </c>
      <c r="I213" s="90"/>
      <c r="J213" s="90"/>
      <c r="K213" s="90"/>
      <c r="L213" s="90"/>
      <c r="M213" s="91">
        <f>I213-K213</f>
        <v>0</v>
      </c>
      <c r="N213" s="4" t="str">
        <f>IF(ISERROR(K213/I213),"",K213/I213)</f>
        <v/>
      </c>
      <c r="O213" s="92">
        <f>I213/E213</f>
        <v>0</v>
      </c>
      <c r="P213" s="92">
        <f>K213/E213</f>
        <v>0</v>
      </c>
      <c r="Q213" s="80">
        <v>3</v>
      </c>
      <c r="R213" s="80">
        <v>1</v>
      </c>
      <c r="S213" s="80" t="s">
        <v>61</v>
      </c>
      <c r="T213" s="5">
        <v>93</v>
      </c>
      <c r="U213" s="9"/>
    </row>
    <row r="214" spans="1:21" s="37" customFormat="1" ht="12" x14ac:dyDescent="0.3">
      <c r="A214" s="75" t="s">
        <v>1825</v>
      </c>
      <c r="B214" s="76" t="s">
        <v>1522</v>
      </c>
      <c r="C214" s="86">
        <v>499</v>
      </c>
      <c r="D214" s="87">
        <v>57.5</v>
      </c>
      <c r="E214" s="88">
        <v>17</v>
      </c>
      <c r="F214" s="87">
        <v>43.7</v>
      </c>
      <c r="G214" s="17">
        <v>13</v>
      </c>
      <c r="H214" s="89">
        <v>123</v>
      </c>
      <c r="I214" s="90"/>
      <c r="J214" s="90"/>
      <c r="K214" s="90"/>
      <c r="L214" s="90"/>
      <c r="M214" s="91">
        <f>I214-K214</f>
        <v>0</v>
      </c>
      <c r="N214" s="4" t="str">
        <f>IF(ISERROR(K214/I214),"",K214/I214)</f>
        <v/>
      </c>
      <c r="O214" s="92">
        <f>I214/E214</f>
        <v>0</v>
      </c>
      <c r="P214" s="92">
        <f>K214/E214</f>
        <v>0</v>
      </c>
      <c r="Q214" s="80">
        <v>2</v>
      </c>
      <c r="R214" s="80">
        <v>1</v>
      </c>
      <c r="S214" s="80" t="s">
        <v>61</v>
      </c>
      <c r="T214" s="5">
        <v>57</v>
      </c>
      <c r="U214" s="9"/>
    </row>
    <row r="215" spans="1:21" s="37" customFormat="1" ht="12" x14ac:dyDescent="0.3">
      <c r="A215" s="75" t="s">
        <v>1825</v>
      </c>
      <c r="B215" s="76" t="s">
        <v>1827</v>
      </c>
      <c r="C215" s="86">
        <v>499</v>
      </c>
      <c r="D215" s="87">
        <v>102.8</v>
      </c>
      <c r="E215" s="88">
        <v>31</v>
      </c>
      <c r="F215" s="87">
        <v>85</v>
      </c>
      <c r="G215" s="17">
        <v>26</v>
      </c>
      <c r="H215" s="89">
        <v>100</v>
      </c>
      <c r="I215" s="90"/>
      <c r="J215" s="90"/>
      <c r="K215" s="90"/>
      <c r="L215" s="90"/>
      <c r="M215" s="91">
        <f>I215-K215</f>
        <v>0</v>
      </c>
      <c r="N215" s="4" t="str">
        <f>IF(ISERROR(K215/I215),"",K215/I215)</f>
        <v/>
      </c>
      <c r="O215" s="92">
        <f>I215/E215</f>
        <v>0</v>
      </c>
      <c r="P215" s="92">
        <f>K215/E215</f>
        <v>0</v>
      </c>
      <c r="Q215" s="80">
        <v>3</v>
      </c>
      <c r="R215" s="80">
        <v>2</v>
      </c>
      <c r="S215" s="80" t="s">
        <v>61</v>
      </c>
      <c r="T215" s="5">
        <v>102</v>
      </c>
      <c r="U215" s="9"/>
    </row>
    <row r="216" spans="1:21" s="37" customFormat="1" ht="12" x14ac:dyDescent="0.3">
      <c r="A216" s="75" t="s">
        <v>1830</v>
      </c>
      <c r="B216" s="76" t="s">
        <v>1831</v>
      </c>
      <c r="C216" s="86">
        <v>972</v>
      </c>
      <c r="D216" s="87">
        <v>106.3</v>
      </c>
      <c r="E216" s="88">
        <v>32</v>
      </c>
      <c r="F216" s="87">
        <v>84.5</v>
      </c>
      <c r="G216" s="17">
        <v>26</v>
      </c>
      <c r="H216" s="89">
        <v>576</v>
      </c>
      <c r="I216" s="90"/>
      <c r="J216" s="90"/>
      <c r="K216" s="90"/>
      <c r="L216" s="90"/>
      <c r="M216" s="91">
        <f>I216-K216</f>
        <v>0</v>
      </c>
      <c r="N216" s="4" t="str">
        <f>IF(ISERROR(K216/I216),"",K216/I216)</f>
        <v/>
      </c>
      <c r="O216" s="92">
        <f>I216/E216</f>
        <v>0</v>
      </c>
      <c r="P216" s="92">
        <f>K216/E216</f>
        <v>0</v>
      </c>
      <c r="Q216" s="80">
        <v>3</v>
      </c>
      <c r="R216" s="80">
        <v>2</v>
      </c>
      <c r="S216" s="80" t="s">
        <v>61</v>
      </c>
      <c r="T216" s="5">
        <v>106</v>
      </c>
      <c r="U216" s="9"/>
    </row>
    <row r="217" spans="1:21" s="37" customFormat="1" ht="12" x14ac:dyDescent="0.3">
      <c r="A217" s="75" t="s">
        <v>1834</v>
      </c>
      <c r="B217" s="76" t="s">
        <v>1835</v>
      </c>
      <c r="C217" s="86">
        <v>204</v>
      </c>
      <c r="D217" s="87">
        <v>58.6</v>
      </c>
      <c r="E217" s="88">
        <v>18</v>
      </c>
      <c r="F217" s="87">
        <v>44.8</v>
      </c>
      <c r="G217" s="17">
        <v>14</v>
      </c>
      <c r="H217" s="89">
        <v>60</v>
      </c>
      <c r="I217" s="90"/>
      <c r="J217" s="90"/>
      <c r="K217" s="90"/>
      <c r="L217" s="90"/>
      <c r="M217" s="91">
        <f>I217-K217</f>
        <v>0</v>
      </c>
      <c r="N217" s="4" t="str">
        <f>IF(ISERROR(K217/I217),"",K217/I217)</f>
        <v/>
      </c>
      <c r="O217" s="92">
        <f>I217/E217</f>
        <v>0</v>
      </c>
      <c r="P217" s="92">
        <f>K217/E217</f>
        <v>0</v>
      </c>
      <c r="Q217" s="80">
        <v>2</v>
      </c>
      <c r="R217" s="80">
        <v>1</v>
      </c>
      <c r="S217" s="80" t="s">
        <v>61</v>
      </c>
      <c r="T217" s="5">
        <v>58</v>
      </c>
      <c r="U217" s="9"/>
    </row>
    <row r="218" spans="1:21" s="37" customFormat="1" ht="12" x14ac:dyDescent="0.3">
      <c r="A218" s="75" t="s">
        <v>1834</v>
      </c>
      <c r="B218" s="76" t="s">
        <v>1835</v>
      </c>
      <c r="C218" s="86">
        <v>204</v>
      </c>
      <c r="D218" s="87">
        <v>69.3</v>
      </c>
      <c r="E218" s="88">
        <v>21</v>
      </c>
      <c r="F218" s="87">
        <v>53.9</v>
      </c>
      <c r="G218" s="17">
        <v>16</v>
      </c>
      <c r="H218" s="89">
        <v>132</v>
      </c>
      <c r="I218" s="90"/>
      <c r="J218" s="90"/>
      <c r="K218" s="90"/>
      <c r="L218" s="90"/>
      <c r="M218" s="91">
        <f>I218-K218</f>
        <v>0</v>
      </c>
      <c r="N218" s="4" t="str">
        <f>IF(ISERROR(K218/I218),"",K218/I218)</f>
        <v/>
      </c>
      <c r="O218" s="92">
        <f>I218/E218</f>
        <v>0</v>
      </c>
      <c r="P218" s="92">
        <f>K218/E218</f>
        <v>0</v>
      </c>
      <c r="Q218" s="80">
        <v>3</v>
      </c>
      <c r="R218" s="80">
        <v>1</v>
      </c>
      <c r="S218" s="80" t="s">
        <v>61</v>
      </c>
      <c r="T218" s="5">
        <v>69</v>
      </c>
      <c r="U218" s="9"/>
    </row>
    <row r="219" spans="1:21" s="37" customFormat="1" ht="12" x14ac:dyDescent="0.3">
      <c r="A219" s="75" t="s">
        <v>1838</v>
      </c>
      <c r="B219" s="76" t="s">
        <v>1839</v>
      </c>
      <c r="C219" s="86">
        <v>332</v>
      </c>
      <c r="D219" s="87">
        <v>133</v>
      </c>
      <c r="E219" s="88">
        <v>40</v>
      </c>
      <c r="F219" s="87">
        <v>100.4</v>
      </c>
      <c r="G219" s="17">
        <v>30</v>
      </c>
      <c r="H219" s="89">
        <v>59</v>
      </c>
      <c r="I219" s="90"/>
      <c r="J219" s="90"/>
      <c r="K219" s="90"/>
      <c r="L219" s="90"/>
      <c r="M219" s="91">
        <f>I219-K219</f>
        <v>0</v>
      </c>
      <c r="N219" s="4" t="str">
        <f>IF(ISERROR(K219/I219),"",K219/I219)</f>
        <v/>
      </c>
      <c r="O219" s="92">
        <f>I219/E219</f>
        <v>0</v>
      </c>
      <c r="P219" s="92">
        <f>K219/E219</f>
        <v>0</v>
      </c>
      <c r="Q219" s="80">
        <v>3</v>
      </c>
      <c r="R219" s="80">
        <v>2</v>
      </c>
      <c r="S219" s="80" t="s">
        <v>61</v>
      </c>
      <c r="T219" s="5" t="s">
        <v>148</v>
      </c>
      <c r="U219" s="9"/>
    </row>
    <row r="220" spans="1:21" s="37" customFormat="1" ht="12" x14ac:dyDescent="0.3">
      <c r="A220" s="75" t="s">
        <v>1838</v>
      </c>
      <c r="B220" s="76" t="s">
        <v>1585</v>
      </c>
      <c r="C220" s="86">
        <v>332</v>
      </c>
      <c r="D220" s="87">
        <v>159.19999999999999</v>
      </c>
      <c r="E220" s="88">
        <v>48</v>
      </c>
      <c r="F220" s="87">
        <v>123.1</v>
      </c>
      <c r="G220" s="17">
        <v>37</v>
      </c>
      <c r="H220" s="89">
        <v>80</v>
      </c>
      <c r="I220" s="90"/>
      <c r="J220" s="90"/>
      <c r="K220" s="90"/>
      <c r="L220" s="90"/>
      <c r="M220" s="91">
        <f>I220-K220</f>
        <v>0</v>
      </c>
      <c r="N220" s="4" t="str">
        <f>IF(ISERROR(K220/I220),"",K220/I220)</f>
        <v/>
      </c>
      <c r="O220" s="92">
        <f>I220/E220</f>
        <v>0</v>
      </c>
      <c r="P220" s="92">
        <f>K220/E220</f>
        <v>0</v>
      </c>
      <c r="Q220" s="80">
        <v>4</v>
      </c>
      <c r="R220" s="80">
        <v>2</v>
      </c>
      <c r="S220" s="80" t="s">
        <v>61</v>
      </c>
      <c r="T220" s="5" t="s">
        <v>149</v>
      </c>
      <c r="U220" s="9"/>
    </row>
    <row r="221" spans="1:21" s="37" customFormat="1" ht="12" x14ac:dyDescent="0.3">
      <c r="A221" s="75" t="s">
        <v>1838</v>
      </c>
      <c r="B221" s="76" t="s">
        <v>1585</v>
      </c>
      <c r="C221" s="86">
        <v>332</v>
      </c>
      <c r="D221" s="87">
        <v>161.5</v>
      </c>
      <c r="E221" s="88">
        <v>49</v>
      </c>
      <c r="F221" s="87">
        <v>132.30000000000001</v>
      </c>
      <c r="G221" s="17">
        <v>40</v>
      </c>
      <c r="H221" s="89">
        <v>79</v>
      </c>
      <c r="I221" s="90"/>
      <c r="J221" s="90"/>
      <c r="K221" s="90"/>
      <c r="L221" s="90"/>
      <c r="M221" s="91">
        <f>I221-K221</f>
        <v>0</v>
      </c>
      <c r="N221" s="4" t="str">
        <f>IF(ISERROR(K221/I221),"",K221/I221)</f>
        <v/>
      </c>
      <c r="O221" s="92">
        <f>I221/E221</f>
        <v>0</v>
      </c>
      <c r="P221" s="92">
        <f>K221/E221</f>
        <v>0</v>
      </c>
      <c r="Q221" s="80">
        <v>4</v>
      </c>
      <c r="R221" s="80">
        <v>2</v>
      </c>
      <c r="S221" s="80" t="s">
        <v>61</v>
      </c>
      <c r="T221" s="5" t="s">
        <v>150</v>
      </c>
      <c r="U221" s="9"/>
    </row>
    <row r="222" spans="1:21" s="37" customFormat="1" ht="12" x14ac:dyDescent="0.3">
      <c r="A222" s="75" t="s">
        <v>1840</v>
      </c>
      <c r="B222" s="76" t="s">
        <v>1403</v>
      </c>
      <c r="C222" s="86">
        <v>660</v>
      </c>
      <c r="D222" s="87">
        <v>73.599999999999994</v>
      </c>
      <c r="E222" s="88">
        <v>22</v>
      </c>
      <c r="F222" s="87">
        <v>59.5</v>
      </c>
      <c r="G222" s="17">
        <v>18</v>
      </c>
      <c r="H222" s="89">
        <v>120</v>
      </c>
      <c r="I222" s="90"/>
      <c r="J222" s="90"/>
      <c r="K222" s="90"/>
      <c r="L222" s="90"/>
      <c r="M222" s="91">
        <f>I222-K222</f>
        <v>0</v>
      </c>
      <c r="N222" s="4" t="str">
        <f>IF(ISERROR(K222/I222),"",K222/I222)</f>
        <v/>
      </c>
      <c r="O222" s="92">
        <f>I222/E222</f>
        <v>0</v>
      </c>
      <c r="P222" s="92">
        <f>K222/E222</f>
        <v>0</v>
      </c>
      <c r="Q222" s="80">
        <v>2</v>
      </c>
      <c r="R222" s="80">
        <v>1</v>
      </c>
      <c r="S222" s="80" t="s">
        <v>61</v>
      </c>
      <c r="T222" s="5">
        <v>73</v>
      </c>
      <c r="U222" s="9"/>
    </row>
    <row r="223" spans="1:21" s="37" customFormat="1" ht="12" x14ac:dyDescent="0.3">
      <c r="A223" s="75" t="s">
        <v>1846</v>
      </c>
      <c r="B223" s="76" t="s">
        <v>1847</v>
      </c>
      <c r="C223" s="86">
        <v>657</v>
      </c>
      <c r="D223" s="87">
        <v>78.3</v>
      </c>
      <c r="E223" s="88">
        <v>24</v>
      </c>
      <c r="F223" s="87">
        <v>60</v>
      </c>
      <c r="G223" s="17">
        <v>18</v>
      </c>
      <c r="H223" s="89">
        <v>272</v>
      </c>
      <c r="I223" s="90"/>
      <c r="J223" s="90"/>
      <c r="K223" s="90"/>
      <c r="L223" s="90"/>
      <c r="M223" s="91">
        <f>I223-K223</f>
        <v>0</v>
      </c>
      <c r="N223" s="4" t="str">
        <f>IF(ISERROR(K223/I223),"",K223/I223)</f>
        <v/>
      </c>
      <c r="O223" s="92">
        <f>I223/E223</f>
        <v>0</v>
      </c>
      <c r="P223" s="92">
        <f>K223/E223</f>
        <v>0</v>
      </c>
      <c r="Q223" s="80">
        <v>3</v>
      </c>
      <c r="R223" s="80">
        <v>1</v>
      </c>
      <c r="S223" s="80" t="s">
        <v>61</v>
      </c>
      <c r="T223" s="5">
        <v>78</v>
      </c>
      <c r="U223" s="9"/>
    </row>
    <row r="224" spans="1:21" s="37" customFormat="1" ht="12" x14ac:dyDescent="0.3">
      <c r="A224" s="75" t="s">
        <v>1544</v>
      </c>
      <c r="B224" s="76" t="s">
        <v>1436</v>
      </c>
      <c r="C224" s="86">
        <v>360</v>
      </c>
      <c r="D224" s="87">
        <v>76</v>
      </c>
      <c r="E224" s="88">
        <v>23</v>
      </c>
      <c r="F224" s="87">
        <v>59.9</v>
      </c>
      <c r="G224" s="17">
        <v>18</v>
      </c>
      <c r="H224" s="89">
        <v>135</v>
      </c>
      <c r="I224" s="90"/>
      <c r="J224" s="90"/>
      <c r="K224" s="90"/>
      <c r="L224" s="90"/>
      <c r="M224" s="91">
        <f>I224-K224</f>
        <v>0</v>
      </c>
      <c r="N224" s="4" t="str">
        <f>IF(ISERROR(K224/I224),"",K224/I224)</f>
        <v/>
      </c>
      <c r="O224" s="92">
        <f>I224/E224</f>
        <v>0</v>
      </c>
      <c r="P224" s="92">
        <f>K224/E224</f>
        <v>0</v>
      </c>
      <c r="Q224" s="80">
        <v>3</v>
      </c>
      <c r="R224" s="80">
        <v>1</v>
      </c>
      <c r="S224" s="80" t="s">
        <v>61</v>
      </c>
      <c r="T224" s="5" t="s">
        <v>151</v>
      </c>
      <c r="U224" s="9"/>
    </row>
    <row r="225" spans="1:21" s="37" customFormat="1" ht="12" x14ac:dyDescent="0.3">
      <c r="A225" s="75" t="s">
        <v>1850</v>
      </c>
      <c r="B225" s="76" t="s">
        <v>1549</v>
      </c>
      <c r="C225" s="86">
        <v>240</v>
      </c>
      <c r="D225" s="87">
        <v>62</v>
      </c>
      <c r="E225" s="88">
        <v>19</v>
      </c>
      <c r="F225" s="87">
        <v>62</v>
      </c>
      <c r="G225" s="17">
        <v>19</v>
      </c>
      <c r="H225" s="89">
        <v>30</v>
      </c>
      <c r="I225" s="90"/>
      <c r="J225" s="90"/>
      <c r="K225" s="90"/>
      <c r="L225" s="90"/>
      <c r="M225" s="91">
        <f>I225-K225</f>
        <v>0</v>
      </c>
      <c r="N225" s="4" t="str">
        <f>IF(ISERROR(K225/I225),"",K225/I225)</f>
        <v/>
      </c>
      <c r="O225" s="92">
        <f>I225/E225</f>
        <v>0</v>
      </c>
      <c r="P225" s="92">
        <f>K225/E225</f>
        <v>0</v>
      </c>
      <c r="Q225" s="80">
        <v>2</v>
      </c>
      <c r="R225" s="80">
        <v>1</v>
      </c>
      <c r="S225" s="80" t="s">
        <v>61</v>
      </c>
      <c r="T225" s="5">
        <v>61</v>
      </c>
      <c r="U225" s="9"/>
    </row>
    <row r="226" spans="1:21" s="37" customFormat="1" ht="12" x14ac:dyDescent="0.3">
      <c r="A226" s="75" t="s">
        <v>1850</v>
      </c>
      <c r="B226" s="76" t="s">
        <v>1549</v>
      </c>
      <c r="C226" s="86">
        <v>240</v>
      </c>
      <c r="D226" s="87">
        <v>70.7</v>
      </c>
      <c r="E226" s="88">
        <v>21</v>
      </c>
      <c r="F226" s="87">
        <v>70.7</v>
      </c>
      <c r="G226" s="17">
        <v>21</v>
      </c>
      <c r="H226" s="89">
        <v>30</v>
      </c>
      <c r="I226" s="90"/>
      <c r="J226" s="90"/>
      <c r="K226" s="90"/>
      <c r="L226" s="90"/>
      <c r="M226" s="91">
        <f>I226-K226</f>
        <v>0</v>
      </c>
      <c r="N226" s="4" t="str">
        <f>IF(ISERROR(K226/I226),"",K226/I226)</f>
        <v/>
      </c>
      <c r="O226" s="92">
        <f>I226/E226</f>
        <v>0</v>
      </c>
      <c r="P226" s="92">
        <f>K226/E226</f>
        <v>0</v>
      </c>
      <c r="Q226" s="80">
        <v>2</v>
      </c>
      <c r="R226" s="80">
        <v>1</v>
      </c>
      <c r="S226" s="80" t="s">
        <v>61</v>
      </c>
      <c r="T226" s="5">
        <v>70</v>
      </c>
      <c r="U226" s="9"/>
    </row>
    <row r="227" spans="1:21" s="37" customFormat="1" ht="12" x14ac:dyDescent="0.3">
      <c r="A227" s="75" t="s">
        <v>1850</v>
      </c>
      <c r="B227" s="76" t="s">
        <v>1851</v>
      </c>
      <c r="C227" s="86">
        <v>240</v>
      </c>
      <c r="D227" s="87">
        <v>78.5</v>
      </c>
      <c r="E227" s="88">
        <v>24</v>
      </c>
      <c r="F227" s="87">
        <v>78.5</v>
      </c>
      <c r="G227" s="17">
        <v>24</v>
      </c>
      <c r="H227" s="89">
        <v>60</v>
      </c>
      <c r="I227" s="90"/>
      <c r="J227" s="90"/>
      <c r="K227" s="90"/>
      <c r="L227" s="90"/>
      <c r="M227" s="91">
        <f>I227-K227</f>
        <v>0</v>
      </c>
      <c r="N227" s="4" t="str">
        <f>IF(ISERROR(K227/I227),"",K227/I227)</f>
        <v/>
      </c>
      <c r="O227" s="92">
        <f>I227/E227</f>
        <v>0</v>
      </c>
      <c r="P227" s="92">
        <f>K227/E227</f>
        <v>0</v>
      </c>
      <c r="Q227" s="80">
        <v>2</v>
      </c>
      <c r="R227" s="80">
        <v>1</v>
      </c>
      <c r="S227" s="80" t="s">
        <v>61</v>
      </c>
      <c r="T227" s="5">
        <v>78</v>
      </c>
      <c r="U227" s="9"/>
    </row>
    <row r="228" spans="1:21" s="37" customFormat="1" ht="12" x14ac:dyDescent="0.3">
      <c r="A228" s="75" t="s">
        <v>1857</v>
      </c>
      <c r="B228" s="76" t="s">
        <v>1557</v>
      </c>
      <c r="C228" s="86">
        <v>210</v>
      </c>
      <c r="D228" s="87">
        <v>126.8</v>
      </c>
      <c r="E228" s="88">
        <v>38</v>
      </c>
      <c r="F228" s="87">
        <v>101.7</v>
      </c>
      <c r="G228" s="17">
        <v>31</v>
      </c>
      <c r="H228" s="89">
        <v>120</v>
      </c>
      <c r="I228" s="90"/>
      <c r="J228" s="90"/>
      <c r="K228" s="90"/>
      <c r="L228" s="90"/>
      <c r="M228" s="91">
        <f>I228-K228</f>
        <v>0</v>
      </c>
      <c r="N228" s="4" t="str">
        <f>IF(ISERROR(K228/I228),"",K228/I228)</f>
        <v/>
      </c>
      <c r="O228" s="92">
        <f>I228/E228</f>
        <v>0</v>
      </c>
      <c r="P228" s="92">
        <f>K228/E228</f>
        <v>0</v>
      </c>
      <c r="Q228" s="80">
        <v>3</v>
      </c>
      <c r="R228" s="80">
        <v>2</v>
      </c>
      <c r="S228" s="80" t="s">
        <v>61</v>
      </c>
      <c r="T228" s="5">
        <v>126</v>
      </c>
      <c r="U228" s="9"/>
    </row>
    <row r="229" spans="1:21" s="37" customFormat="1" ht="12" x14ac:dyDescent="0.3">
      <c r="A229" s="75" t="s">
        <v>1556</v>
      </c>
      <c r="B229" s="76" t="s">
        <v>1557</v>
      </c>
      <c r="C229" s="86">
        <v>210</v>
      </c>
      <c r="D229" s="87">
        <v>165</v>
      </c>
      <c r="E229" s="88">
        <v>50</v>
      </c>
      <c r="F229" s="87">
        <v>142.1</v>
      </c>
      <c r="G229" s="17">
        <v>43</v>
      </c>
      <c r="H229" s="89">
        <v>30</v>
      </c>
      <c r="I229" s="90"/>
      <c r="J229" s="90"/>
      <c r="K229" s="90"/>
      <c r="L229" s="90"/>
      <c r="M229" s="91">
        <f>I229-K229</f>
        <v>0</v>
      </c>
      <c r="N229" s="4" t="str">
        <f>IF(ISERROR(K229/I229),"",K229/I229)</f>
        <v/>
      </c>
      <c r="O229" s="92">
        <f>I229/E229</f>
        <v>0</v>
      </c>
      <c r="P229" s="92">
        <f>K229/E229</f>
        <v>0</v>
      </c>
      <c r="Q229" s="80">
        <v>4</v>
      </c>
      <c r="R229" s="80">
        <v>2</v>
      </c>
      <c r="S229" s="80" t="s">
        <v>61</v>
      </c>
      <c r="T229" s="5">
        <v>164</v>
      </c>
      <c r="U229" s="9"/>
    </row>
    <row r="230" spans="1:21" s="37" customFormat="1" ht="12" x14ac:dyDescent="0.3">
      <c r="A230" s="75" t="s">
        <v>1556</v>
      </c>
      <c r="B230" s="76" t="s">
        <v>1557</v>
      </c>
      <c r="C230" s="86">
        <v>210</v>
      </c>
      <c r="D230" s="87">
        <v>189.9</v>
      </c>
      <c r="E230" s="88">
        <v>57</v>
      </c>
      <c r="F230" s="87">
        <v>166.5</v>
      </c>
      <c r="G230" s="17">
        <v>50</v>
      </c>
      <c r="H230" s="89">
        <v>45</v>
      </c>
      <c r="I230" s="90"/>
      <c r="J230" s="90"/>
      <c r="K230" s="90"/>
      <c r="L230" s="90"/>
      <c r="M230" s="91">
        <f>I230-K230</f>
        <v>0</v>
      </c>
      <c r="N230" s="4" t="str">
        <f>IF(ISERROR(K230/I230),"",K230/I230)</f>
        <v/>
      </c>
      <c r="O230" s="92">
        <f>I230/E230</f>
        <v>0</v>
      </c>
      <c r="P230" s="92">
        <f>K230/E230</f>
        <v>0</v>
      </c>
      <c r="Q230" s="80">
        <v>4</v>
      </c>
      <c r="R230" s="80">
        <v>2</v>
      </c>
      <c r="S230" s="80" t="s">
        <v>61</v>
      </c>
      <c r="T230" s="5">
        <v>189</v>
      </c>
      <c r="U230" s="9"/>
    </row>
    <row r="231" spans="1:21" s="37" customFormat="1" ht="12" x14ac:dyDescent="0.3">
      <c r="A231" s="75" t="s">
        <v>1858</v>
      </c>
      <c r="B231" s="76" t="s">
        <v>1589</v>
      </c>
      <c r="C231" s="86">
        <v>547</v>
      </c>
      <c r="D231" s="87">
        <v>82.5</v>
      </c>
      <c r="E231" s="88">
        <v>25</v>
      </c>
      <c r="F231" s="87">
        <v>60</v>
      </c>
      <c r="G231" s="17">
        <v>18</v>
      </c>
      <c r="H231" s="89">
        <v>259</v>
      </c>
      <c r="I231" s="90"/>
      <c r="J231" s="90"/>
      <c r="K231" s="90"/>
      <c r="L231" s="90"/>
      <c r="M231" s="91">
        <f>I231-K231</f>
        <v>0</v>
      </c>
      <c r="N231" s="4" t="str">
        <f>IF(ISERROR(K231/I231),"",K231/I231)</f>
        <v/>
      </c>
      <c r="O231" s="92">
        <f>I231/E231</f>
        <v>0</v>
      </c>
      <c r="P231" s="92">
        <f>K231/E231</f>
        <v>0</v>
      </c>
      <c r="Q231" s="80">
        <v>2</v>
      </c>
      <c r="R231" s="80">
        <v>1</v>
      </c>
      <c r="S231" s="80" t="s">
        <v>61</v>
      </c>
      <c r="T231" s="5">
        <v>82</v>
      </c>
      <c r="U231" s="9"/>
    </row>
    <row r="232" spans="1:21" s="37" customFormat="1" ht="12" x14ac:dyDescent="0.3">
      <c r="A232" s="75" t="s">
        <v>1858</v>
      </c>
      <c r="B232" s="76" t="s">
        <v>1543</v>
      </c>
      <c r="C232" s="86">
        <v>547</v>
      </c>
      <c r="D232" s="87">
        <v>103.1</v>
      </c>
      <c r="E232" s="88">
        <v>31</v>
      </c>
      <c r="F232" s="87">
        <v>85</v>
      </c>
      <c r="G232" s="17">
        <v>26</v>
      </c>
      <c r="H232" s="89">
        <v>210</v>
      </c>
      <c r="I232" s="90"/>
      <c r="J232" s="90"/>
      <c r="K232" s="90"/>
      <c r="L232" s="90"/>
      <c r="M232" s="91">
        <f>I232-K232</f>
        <v>0</v>
      </c>
      <c r="N232" s="4" t="str">
        <f>IF(ISERROR(K232/I232),"",K232/I232)</f>
        <v/>
      </c>
      <c r="O232" s="92">
        <f>I232/E232</f>
        <v>0</v>
      </c>
      <c r="P232" s="92">
        <f>K232/E232</f>
        <v>0</v>
      </c>
      <c r="Q232" s="80">
        <v>3</v>
      </c>
      <c r="R232" s="80">
        <v>2</v>
      </c>
      <c r="S232" s="80" t="s">
        <v>76</v>
      </c>
      <c r="T232" s="5" t="s">
        <v>152</v>
      </c>
      <c r="U232" s="9"/>
    </row>
    <row r="233" spans="1:21" s="37" customFormat="1" ht="12" x14ac:dyDescent="0.3">
      <c r="A233" s="75" t="s">
        <v>1862</v>
      </c>
      <c r="B233" s="76" t="s">
        <v>1564</v>
      </c>
      <c r="C233" s="86">
        <v>306</v>
      </c>
      <c r="D233" s="87">
        <v>92.2</v>
      </c>
      <c r="E233" s="88">
        <v>28</v>
      </c>
      <c r="F233" s="87">
        <v>73.5</v>
      </c>
      <c r="G233" s="17">
        <v>22</v>
      </c>
      <c r="H233" s="89">
        <v>72</v>
      </c>
      <c r="I233" s="90"/>
      <c r="J233" s="90"/>
      <c r="K233" s="90"/>
      <c r="L233" s="90"/>
      <c r="M233" s="91">
        <f>I233-K233</f>
        <v>0</v>
      </c>
      <c r="N233" s="4" t="str">
        <f>IF(ISERROR(K233/I233),"",K233/I233)</f>
        <v/>
      </c>
      <c r="O233" s="92">
        <f>I233/E233</f>
        <v>0</v>
      </c>
      <c r="P233" s="92">
        <f>K233/E233</f>
        <v>0</v>
      </c>
      <c r="Q233" s="80">
        <v>3</v>
      </c>
      <c r="R233" s="80">
        <v>1</v>
      </c>
      <c r="S233" s="80" t="s">
        <v>61</v>
      </c>
      <c r="T233" s="5" t="s">
        <v>153</v>
      </c>
      <c r="U233" s="9"/>
    </row>
    <row r="234" spans="1:21" s="37" customFormat="1" ht="12" x14ac:dyDescent="0.3">
      <c r="A234" s="75" t="s">
        <v>1864</v>
      </c>
      <c r="B234" s="76" t="s">
        <v>1865</v>
      </c>
      <c r="C234" s="86">
        <v>402</v>
      </c>
      <c r="D234" s="87">
        <v>53.7</v>
      </c>
      <c r="E234" s="88">
        <v>16</v>
      </c>
      <c r="F234" s="87">
        <v>40</v>
      </c>
      <c r="G234" s="17">
        <v>12</v>
      </c>
      <c r="H234" s="89">
        <v>402</v>
      </c>
      <c r="I234" s="90"/>
      <c r="J234" s="90"/>
      <c r="K234" s="90"/>
      <c r="L234" s="90"/>
      <c r="M234" s="91">
        <f>I234-K234</f>
        <v>0</v>
      </c>
      <c r="N234" s="4" t="str">
        <f>IF(ISERROR(K234/I234),"",K234/I234)</f>
        <v/>
      </c>
      <c r="O234" s="92">
        <f>I234/E234</f>
        <v>0</v>
      </c>
      <c r="P234" s="92">
        <f>K234/E234</f>
        <v>0</v>
      </c>
      <c r="Q234" s="80">
        <v>2</v>
      </c>
      <c r="R234" s="80">
        <v>1</v>
      </c>
      <c r="S234" s="80" t="s">
        <v>61</v>
      </c>
      <c r="T234" s="5">
        <v>53</v>
      </c>
      <c r="U234" s="9"/>
    </row>
    <row r="235" spans="1:21" s="37" customFormat="1" ht="12" x14ac:dyDescent="0.3">
      <c r="A235" s="75" t="s">
        <v>1866</v>
      </c>
      <c r="B235" s="76" t="s">
        <v>1867</v>
      </c>
      <c r="C235" s="86">
        <v>854</v>
      </c>
      <c r="D235" s="87">
        <v>140.30000000000001</v>
      </c>
      <c r="E235" s="88">
        <v>42</v>
      </c>
      <c r="F235" s="87">
        <v>106.4</v>
      </c>
      <c r="G235" s="17">
        <v>32</v>
      </c>
      <c r="H235" s="89">
        <v>87</v>
      </c>
      <c r="I235" s="90"/>
      <c r="J235" s="90"/>
      <c r="K235" s="90"/>
      <c r="L235" s="90"/>
      <c r="M235" s="91">
        <f>I235-K235</f>
        <v>0</v>
      </c>
      <c r="N235" s="4" t="str">
        <f>IF(ISERROR(K235/I235),"",K235/I235)</f>
        <v/>
      </c>
      <c r="O235" s="92">
        <f>I235/E235</f>
        <v>0</v>
      </c>
      <c r="P235" s="92">
        <f>K235/E235</f>
        <v>0</v>
      </c>
      <c r="Q235" s="80">
        <v>4</v>
      </c>
      <c r="R235" s="80">
        <v>2</v>
      </c>
      <c r="S235" s="80" t="s">
        <v>61</v>
      </c>
      <c r="T235" s="5">
        <v>140</v>
      </c>
      <c r="U235" s="9"/>
    </row>
    <row r="236" spans="1:21" s="37" customFormat="1" ht="12" x14ac:dyDescent="0.3">
      <c r="A236" s="75" t="s">
        <v>1868</v>
      </c>
      <c r="B236" s="76" t="s">
        <v>1426</v>
      </c>
      <c r="C236" s="86">
        <v>270</v>
      </c>
      <c r="D236" s="87">
        <v>66.599999999999994</v>
      </c>
      <c r="E236" s="88">
        <v>20</v>
      </c>
      <c r="F236" s="87">
        <v>49.1</v>
      </c>
      <c r="G236" s="17">
        <v>15</v>
      </c>
      <c r="H236" s="89">
        <v>150</v>
      </c>
      <c r="I236" s="90"/>
      <c r="J236" s="90"/>
      <c r="K236" s="90"/>
      <c r="L236" s="90"/>
      <c r="M236" s="91">
        <f>I236-K236</f>
        <v>0</v>
      </c>
      <c r="N236" s="4" t="str">
        <f>IF(ISERROR(K236/I236),"",K236/I236)</f>
        <v/>
      </c>
      <c r="O236" s="92">
        <f>I236/E236</f>
        <v>0</v>
      </c>
      <c r="P236" s="92">
        <f>K236/E236</f>
        <v>0</v>
      </c>
      <c r="Q236" s="80">
        <v>2</v>
      </c>
      <c r="R236" s="80">
        <v>1</v>
      </c>
      <c r="S236" s="80" t="s">
        <v>76</v>
      </c>
      <c r="T236" s="5">
        <v>66</v>
      </c>
      <c r="U236" s="9"/>
    </row>
    <row r="237" spans="1:21" s="37" customFormat="1" ht="12" x14ac:dyDescent="0.3">
      <c r="A237" s="75" t="s">
        <v>1868</v>
      </c>
      <c r="B237" s="76" t="s">
        <v>1427</v>
      </c>
      <c r="C237" s="86">
        <v>270</v>
      </c>
      <c r="D237" s="87">
        <v>79.400000000000006</v>
      </c>
      <c r="E237" s="88">
        <v>24</v>
      </c>
      <c r="F237" s="87">
        <v>59.4</v>
      </c>
      <c r="G237" s="17">
        <v>18</v>
      </c>
      <c r="H237" s="89">
        <v>120</v>
      </c>
      <c r="I237" s="90"/>
      <c r="J237" s="90"/>
      <c r="K237" s="90"/>
      <c r="L237" s="90"/>
      <c r="M237" s="91">
        <f>I237-K237</f>
        <v>0</v>
      </c>
      <c r="N237" s="4" t="str">
        <f>IF(ISERROR(K237/I237),"",K237/I237)</f>
        <v/>
      </c>
      <c r="O237" s="92">
        <f>I237/E237</f>
        <v>0</v>
      </c>
      <c r="P237" s="92">
        <f>K237/E237</f>
        <v>0</v>
      </c>
      <c r="Q237" s="80">
        <v>3</v>
      </c>
      <c r="R237" s="80">
        <v>1</v>
      </c>
      <c r="S237" s="80" t="s">
        <v>76</v>
      </c>
      <c r="T237" s="5">
        <v>79</v>
      </c>
      <c r="U237" s="9"/>
    </row>
    <row r="238" spans="1:21" s="37" customFormat="1" ht="12" x14ac:dyDescent="0.3">
      <c r="A238" s="75" t="s">
        <v>1570</v>
      </c>
      <c r="B238" s="76" t="s">
        <v>1869</v>
      </c>
      <c r="C238" s="86">
        <v>771</v>
      </c>
      <c r="D238" s="87">
        <v>109.6</v>
      </c>
      <c r="E238" s="88">
        <v>33</v>
      </c>
      <c r="F238" s="87">
        <v>85</v>
      </c>
      <c r="G238" s="17">
        <v>26</v>
      </c>
      <c r="H238" s="89">
        <v>442</v>
      </c>
      <c r="I238" s="90"/>
      <c r="J238" s="90"/>
      <c r="K238" s="90"/>
      <c r="L238" s="90"/>
      <c r="M238" s="91">
        <f>I238-K238</f>
        <v>0</v>
      </c>
      <c r="N238" s="4" t="str">
        <f>IF(ISERROR(K238/I238),"",K238/I238)</f>
        <v/>
      </c>
      <c r="O238" s="92">
        <f>I238/E238</f>
        <v>0</v>
      </c>
      <c r="P238" s="92">
        <f>K238/E238</f>
        <v>0</v>
      </c>
      <c r="Q238" s="80">
        <v>3</v>
      </c>
      <c r="R238" s="80">
        <v>2</v>
      </c>
      <c r="S238" s="80" t="s">
        <v>61</v>
      </c>
      <c r="T238" s="5" t="s">
        <v>123</v>
      </c>
      <c r="U238" s="9"/>
    </row>
    <row r="239" spans="1:21" s="37" customFormat="1" ht="12" x14ac:dyDescent="0.3">
      <c r="A239" s="75" t="s">
        <v>1870</v>
      </c>
      <c r="B239" s="76" t="s">
        <v>1869</v>
      </c>
      <c r="C239" s="86">
        <v>771</v>
      </c>
      <c r="D239" s="87">
        <v>135.4</v>
      </c>
      <c r="E239" s="88">
        <v>41</v>
      </c>
      <c r="F239" s="87">
        <v>107</v>
      </c>
      <c r="G239" s="17">
        <v>32</v>
      </c>
      <c r="H239" s="89">
        <v>125</v>
      </c>
      <c r="I239" s="90"/>
      <c r="J239" s="90"/>
      <c r="K239" s="90"/>
      <c r="L239" s="90"/>
      <c r="M239" s="91">
        <f>I239-K239</f>
        <v>0</v>
      </c>
      <c r="N239" s="4" t="str">
        <f>IF(ISERROR(K239/I239),"",K239/I239)</f>
        <v/>
      </c>
      <c r="O239" s="92">
        <f>I239/E239</f>
        <v>0</v>
      </c>
      <c r="P239" s="92">
        <f>K239/E239</f>
        <v>0</v>
      </c>
      <c r="Q239" s="80">
        <v>4</v>
      </c>
      <c r="R239" s="80">
        <v>2</v>
      </c>
      <c r="S239" s="80" t="s">
        <v>61</v>
      </c>
      <c r="T239" s="5">
        <v>135</v>
      </c>
      <c r="U239" s="9"/>
    </row>
    <row r="240" spans="1:21" s="37" customFormat="1" ht="12" x14ac:dyDescent="0.3">
      <c r="A240" s="75" t="s">
        <v>1870</v>
      </c>
      <c r="B240" s="76" t="s">
        <v>1869</v>
      </c>
      <c r="C240" s="86">
        <v>771</v>
      </c>
      <c r="D240" s="87">
        <v>158</v>
      </c>
      <c r="E240" s="88">
        <v>48</v>
      </c>
      <c r="F240" s="87">
        <v>124.9</v>
      </c>
      <c r="G240" s="17">
        <v>38</v>
      </c>
      <c r="H240" s="89">
        <v>54</v>
      </c>
      <c r="I240" s="90"/>
      <c r="J240" s="90"/>
      <c r="K240" s="90"/>
      <c r="L240" s="90"/>
      <c r="M240" s="91">
        <f>I240-K240</f>
        <v>0</v>
      </c>
      <c r="N240" s="4" t="str">
        <f>IF(ISERROR(K240/I240),"",K240/I240)</f>
        <v/>
      </c>
      <c r="O240" s="92">
        <f>I240/E240</f>
        <v>0</v>
      </c>
      <c r="P240" s="92">
        <f>K240/E240</f>
        <v>0</v>
      </c>
      <c r="Q240" s="80">
        <v>4</v>
      </c>
      <c r="R240" s="80">
        <v>2</v>
      </c>
      <c r="S240" s="80" t="s">
        <v>61</v>
      </c>
      <c r="T240" s="5">
        <v>158</v>
      </c>
      <c r="U240" s="9"/>
    </row>
    <row r="241" spans="1:22" s="37" customFormat="1" ht="12" x14ac:dyDescent="0.3">
      <c r="A241" s="75" t="s">
        <v>1578</v>
      </c>
      <c r="B241" s="76" t="s">
        <v>1878</v>
      </c>
      <c r="C241" s="86">
        <v>973</v>
      </c>
      <c r="D241" s="87">
        <v>79.5</v>
      </c>
      <c r="E241" s="88">
        <v>24</v>
      </c>
      <c r="F241" s="87">
        <v>60</v>
      </c>
      <c r="G241" s="17">
        <v>18</v>
      </c>
      <c r="H241" s="89">
        <v>171</v>
      </c>
      <c r="I241" s="90"/>
      <c r="J241" s="90"/>
      <c r="K241" s="90">
        <v>27000</v>
      </c>
      <c r="L241" s="90" t="s">
        <v>65</v>
      </c>
      <c r="M241" s="91">
        <f>I241-K241</f>
        <v>-27000</v>
      </c>
      <c r="N241" s="4" t="str">
        <f>IF(ISERROR(K241/I241),"",K241/I241)</f>
        <v/>
      </c>
      <c r="O241" s="92">
        <f>I241/E241</f>
        <v>0</v>
      </c>
      <c r="P241" s="92">
        <f>K241/E241</f>
        <v>1125</v>
      </c>
      <c r="Q241" s="80">
        <v>3</v>
      </c>
      <c r="R241" s="80">
        <v>2</v>
      </c>
      <c r="S241" s="80" t="s">
        <v>61</v>
      </c>
      <c r="T241" s="5" t="s">
        <v>136</v>
      </c>
      <c r="U241" s="9"/>
    </row>
    <row r="242" spans="1:22" s="37" customFormat="1" ht="12" x14ac:dyDescent="0.3">
      <c r="A242" s="75" t="s">
        <v>1879</v>
      </c>
      <c r="B242" s="76" t="s">
        <v>1579</v>
      </c>
      <c r="C242" s="86">
        <v>973</v>
      </c>
      <c r="D242" s="87">
        <v>110.7</v>
      </c>
      <c r="E242" s="88">
        <v>33</v>
      </c>
      <c r="F242" s="87">
        <v>85</v>
      </c>
      <c r="G242" s="17">
        <v>26</v>
      </c>
      <c r="H242" s="89">
        <v>492</v>
      </c>
      <c r="I242" s="90"/>
      <c r="J242" s="90"/>
      <c r="K242" s="90">
        <v>37000</v>
      </c>
      <c r="L242" s="90" t="s">
        <v>88</v>
      </c>
      <c r="M242" s="91">
        <f>I242-K242</f>
        <v>-37000</v>
      </c>
      <c r="N242" s="4" t="str">
        <f>IF(ISERROR(K242/I242),"",K242/I242)</f>
        <v/>
      </c>
      <c r="O242" s="92">
        <f>I242/E242</f>
        <v>0</v>
      </c>
      <c r="P242" s="92">
        <f>K242/E242</f>
        <v>1121.2121212121212</v>
      </c>
      <c r="Q242" s="80">
        <v>3</v>
      </c>
      <c r="R242" s="80">
        <v>2</v>
      </c>
      <c r="S242" s="80" t="s">
        <v>61</v>
      </c>
      <c r="T242" s="5" t="s">
        <v>62</v>
      </c>
      <c r="U242" s="9"/>
    </row>
    <row r="243" spans="1:22" s="37" customFormat="1" ht="12" x14ac:dyDescent="0.3">
      <c r="A243" s="75" t="s">
        <v>1880</v>
      </c>
      <c r="B243" s="76" t="s">
        <v>1881</v>
      </c>
      <c r="C243" s="86">
        <v>973</v>
      </c>
      <c r="D243" s="87">
        <v>134.19999999999999</v>
      </c>
      <c r="E243" s="88">
        <v>41</v>
      </c>
      <c r="F243" s="87">
        <v>104</v>
      </c>
      <c r="G243" s="17">
        <v>31</v>
      </c>
      <c r="H243" s="89">
        <v>112</v>
      </c>
      <c r="I243" s="90"/>
      <c r="J243" s="90"/>
      <c r="K243" s="90">
        <v>43000</v>
      </c>
      <c r="L243" s="90" t="s">
        <v>67</v>
      </c>
      <c r="M243" s="91">
        <f>I243-K243</f>
        <v>-43000</v>
      </c>
      <c r="N243" s="4" t="str">
        <f>IF(ISERROR(K243/I243),"",K243/I243)</f>
        <v/>
      </c>
      <c r="O243" s="92">
        <f>I243/E243</f>
        <v>0</v>
      </c>
      <c r="P243" s="92">
        <f>K243/E243</f>
        <v>1048.780487804878</v>
      </c>
      <c r="Q243" s="80">
        <v>4</v>
      </c>
      <c r="R243" s="80">
        <v>2</v>
      </c>
      <c r="S243" s="80" t="s">
        <v>61</v>
      </c>
      <c r="T243" s="5">
        <v>134</v>
      </c>
      <c r="U243" s="9"/>
    </row>
    <row r="244" spans="1:22" s="37" customFormat="1" ht="12" x14ac:dyDescent="0.3">
      <c r="A244" s="75" t="s">
        <v>1879</v>
      </c>
      <c r="B244" s="76" t="s">
        <v>1878</v>
      </c>
      <c r="C244" s="86">
        <v>973</v>
      </c>
      <c r="D244" s="87">
        <v>153.19999999999999</v>
      </c>
      <c r="E244" s="88">
        <v>46</v>
      </c>
      <c r="F244" s="87">
        <v>119</v>
      </c>
      <c r="G244" s="17">
        <v>36</v>
      </c>
      <c r="H244" s="89">
        <v>56</v>
      </c>
      <c r="I244" s="90"/>
      <c r="J244" s="90"/>
      <c r="K244" s="90">
        <v>50000</v>
      </c>
      <c r="L244" s="90" t="s">
        <v>68</v>
      </c>
      <c r="M244" s="91">
        <f>I244-K244</f>
        <v>-50000</v>
      </c>
      <c r="N244" s="4" t="str">
        <f>IF(ISERROR(K244/I244),"",K244/I244)</f>
        <v/>
      </c>
      <c r="O244" s="92">
        <f>I244/E244</f>
        <v>0</v>
      </c>
      <c r="P244" s="92">
        <f>K244/E244</f>
        <v>1086.9565217391305</v>
      </c>
      <c r="Q244" s="80">
        <v>4</v>
      </c>
      <c r="R244" s="80">
        <v>2</v>
      </c>
      <c r="S244" s="80" t="s">
        <v>61</v>
      </c>
      <c r="T244" s="5">
        <v>153</v>
      </c>
      <c r="U244" s="9"/>
    </row>
    <row r="245" spans="1:22" s="37" customFormat="1" ht="12" x14ac:dyDescent="0.3">
      <c r="A245" s="75" t="s">
        <v>1882</v>
      </c>
      <c r="B245" s="76" t="s">
        <v>1883</v>
      </c>
      <c r="C245" s="86">
        <v>1400</v>
      </c>
      <c r="D245" s="87">
        <v>82</v>
      </c>
      <c r="E245" s="88">
        <v>25</v>
      </c>
      <c r="F245" s="87">
        <v>60</v>
      </c>
      <c r="G245" s="17">
        <v>18</v>
      </c>
      <c r="H245" s="89">
        <v>189</v>
      </c>
      <c r="I245" s="90"/>
      <c r="J245" s="90"/>
      <c r="K245" s="90"/>
      <c r="L245" s="90"/>
      <c r="M245" s="91">
        <f>I245-K245</f>
        <v>0</v>
      </c>
      <c r="N245" s="4" t="str">
        <f>IF(ISERROR(K245/I245),"",K245/I245)</f>
        <v/>
      </c>
      <c r="O245" s="92">
        <f>I245/E245</f>
        <v>0</v>
      </c>
      <c r="P245" s="92">
        <f>K245/E245</f>
        <v>0</v>
      </c>
      <c r="Q245" s="80">
        <v>3</v>
      </c>
      <c r="R245" s="80">
        <v>2</v>
      </c>
      <c r="S245" s="80" t="s">
        <v>61</v>
      </c>
      <c r="T245" s="5" t="s">
        <v>121</v>
      </c>
      <c r="U245" s="9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789" priority="48482" operator="greaterThan">
      <formula>0.9</formula>
    </cfRule>
    <cfRule type="cellIs" dxfId="7788" priority="48483" operator="greaterThan">
      <formula>0.85</formula>
    </cfRule>
  </conditionalFormatting>
  <conditionalFormatting sqref="N4">
    <cfRule type="cellIs" dxfId="7787" priority="4711" operator="greaterThan">
      <formula>0.9</formula>
    </cfRule>
    <cfRule type="cellIs" dxfId="7786" priority="4712" operator="greaterThan">
      <formula>0.85</formula>
    </cfRule>
  </conditionalFormatting>
  <conditionalFormatting sqref="N5">
    <cfRule type="cellIs" dxfId="7785" priority="4693" operator="greaterThan">
      <formula>0.9</formula>
    </cfRule>
    <cfRule type="cellIs" dxfId="7784" priority="4694" operator="greaterThan">
      <formula>0.85</formula>
    </cfRule>
  </conditionalFormatting>
  <conditionalFormatting sqref="N6">
    <cfRule type="cellIs" dxfId="7783" priority="4675" operator="greaterThan">
      <formula>0.9</formula>
    </cfRule>
    <cfRule type="cellIs" dxfId="7782" priority="4676" operator="greaterThan">
      <formula>0.85</formula>
    </cfRule>
  </conditionalFormatting>
  <conditionalFormatting sqref="N245">
    <cfRule type="cellIs" dxfId="7781" priority="13" operator="greaterThan">
      <formula>0.9</formula>
    </cfRule>
    <cfRule type="cellIs" dxfId="7780" priority="14" operator="greaterThan">
      <formula>0.85</formula>
    </cfRule>
  </conditionalFormatting>
  <conditionalFormatting sqref="N7">
    <cfRule type="cellIs" dxfId="7779" priority="4639" operator="greaterThan">
      <formula>0.9</formula>
    </cfRule>
    <cfRule type="cellIs" dxfId="7778" priority="4640" operator="greaterThan">
      <formula>0.85</formula>
    </cfRule>
  </conditionalFormatting>
  <conditionalFormatting sqref="N8">
    <cfRule type="cellIs" dxfId="7777" priority="4621" operator="greaterThan">
      <formula>0.9</formula>
    </cfRule>
    <cfRule type="cellIs" dxfId="7776" priority="4622" operator="greaterThan">
      <formula>0.85</formula>
    </cfRule>
  </conditionalFormatting>
  <conditionalFormatting sqref="N9">
    <cfRule type="cellIs" dxfId="7775" priority="4603" operator="greaterThan">
      <formula>0.9</formula>
    </cfRule>
    <cfRule type="cellIs" dxfId="7774" priority="4604" operator="greaterThan">
      <formula>0.85</formula>
    </cfRule>
  </conditionalFormatting>
  <conditionalFormatting sqref="N10">
    <cfRule type="cellIs" dxfId="7773" priority="4585" operator="greaterThan">
      <formula>0.9</formula>
    </cfRule>
    <cfRule type="cellIs" dxfId="7772" priority="4586" operator="greaterThan">
      <formula>0.85</formula>
    </cfRule>
  </conditionalFormatting>
  <conditionalFormatting sqref="N11">
    <cfRule type="cellIs" dxfId="7771" priority="4567" operator="greaterThan">
      <formula>0.9</formula>
    </cfRule>
    <cfRule type="cellIs" dxfId="7770" priority="4568" operator="greaterThan">
      <formula>0.85</formula>
    </cfRule>
  </conditionalFormatting>
  <conditionalFormatting sqref="N12">
    <cfRule type="cellIs" dxfId="7769" priority="4549" operator="greaterThan">
      <formula>0.9</formula>
    </cfRule>
    <cfRule type="cellIs" dxfId="7768" priority="4550" operator="greaterThan">
      <formula>0.85</formula>
    </cfRule>
  </conditionalFormatting>
  <conditionalFormatting sqref="N13">
    <cfRule type="cellIs" dxfId="7767" priority="4531" operator="greaterThan">
      <formula>0.9</formula>
    </cfRule>
    <cfRule type="cellIs" dxfId="7766" priority="4532" operator="greaterThan">
      <formula>0.85</formula>
    </cfRule>
  </conditionalFormatting>
  <conditionalFormatting sqref="N14">
    <cfRule type="cellIs" dxfId="7765" priority="4513" operator="greaterThan">
      <formula>0.9</formula>
    </cfRule>
    <cfRule type="cellIs" dxfId="7764" priority="4514" operator="greaterThan">
      <formula>0.85</formula>
    </cfRule>
  </conditionalFormatting>
  <conditionalFormatting sqref="N15">
    <cfRule type="cellIs" dxfId="7763" priority="4477" operator="greaterThan">
      <formula>0.9</formula>
    </cfRule>
    <cfRule type="cellIs" dxfId="7762" priority="4478" operator="greaterThan">
      <formula>0.85</formula>
    </cfRule>
  </conditionalFormatting>
  <conditionalFormatting sqref="N16">
    <cfRule type="cellIs" dxfId="7761" priority="4459" operator="greaterThan">
      <formula>0.9</formula>
    </cfRule>
    <cfRule type="cellIs" dxfId="7760" priority="4460" operator="greaterThan">
      <formula>0.85</formula>
    </cfRule>
  </conditionalFormatting>
  <conditionalFormatting sqref="N17">
    <cfRule type="cellIs" dxfId="7759" priority="4441" operator="greaterThan">
      <formula>0.9</formula>
    </cfRule>
    <cfRule type="cellIs" dxfId="7758" priority="4442" operator="greaterThan">
      <formula>0.85</formula>
    </cfRule>
  </conditionalFormatting>
  <conditionalFormatting sqref="N18">
    <cfRule type="cellIs" dxfId="7757" priority="4423" operator="greaterThan">
      <formula>0.9</formula>
    </cfRule>
    <cfRule type="cellIs" dxfId="7756" priority="4424" operator="greaterThan">
      <formula>0.85</formula>
    </cfRule>
  </conditionalFormatting>
  <conditionalFormatting sqref="N19">
    <cfRule type="cellIs" dxfId="7755" priority="4405" operator="greaterThan">
      <formula>0.9</formula>
    </cfRule>
    <cfRule type="cellIs" dxfId="7754" priority="4406" operator="greaterThan">
      <formula>0.85</formula>
    </cfRule>
  </conditionalFormatting>
  <conditionalFormatting sqref="N20">
    <cfRule type="cellIs" dxfId="7753" priority="4387" operator="greaterThan">
      <formula>0.9</formula>
    </cfRule>
    <cfRule type="cellIs" dxfId="7752" priority="4388" operator="greaterThan">
      <formula>0.85</formula>
    </cfRule>
  </conditionalFormatting>
  <conditionalFormatting sqref="N21">
    <cfRule type="cellIs" dxfId="7751" priority="4369" operator="greaterThan">
      <formula>0.9</formula>
    </cfRule>
    <cfRule type="cellIs" dxfId="7750" priority="4370" operator="greaterThan">
      <formula>0.85</formula>
    </cfRule>
  </conditionalFormatting>
  <conditionalFormatting sqref="N22">
    <cfRule type="cellIs" dxfId="7749" priority="4351" operator="greaterThan">
      <formula>0.9</formula>
    </cfRule>
    <cfRule type="cellIs" dxfId="7748" priority="4352" operator="greaterThan">
      <formula>0.85</formula>
    </cfRule>
  </conditionalFormatting>
  <conditionalFormatting sqref="N23">
    <cfRule type="cellIs" dxfId="7747" priority="4333" operator="greaterThan">
      <formula>0.9</formula>
    </cfRule>
    <cfRule type="cellIs" dxfId="7746" priority="4334" operator="greaterThan">
      <formula>0.85</formula>
    </cfRule>
  </conditionalFormatting>
  <conditionalFormatting sqref="N24">
    <cfRule type="cellIs" dxfId="7745" priority="4315" operator="greaterThan">
      <formula>0.9</formula>
    </cfRule>
    <cfRule type="cellIs" dxfId="7744" priority="4316" operator="greaterThan">
      <formula>0.85</formula>
    </cfRule>
  </conditionalFormatting>
  <conditionalFormatting sqref="N25">
    <cfRule type="cellIs" dxfId="7743" priority="4297" operator="greaterThan">
      <formula>0.9</formula>
    </cfRule>
    <cfRule type="cellIs" dxfId="7742" priority="4298" operator="greaterThan">
      <formula>0.85</formula>
    </cfRule>
  </conditionalFormatting>
  <conditionalFormatting sqref="N26">
    <cfRule type="cellIs" dxfId="7741" priority="4279" operator="greaterThan">
      <formula>0.9</formula>
    </cfRule>
    <cfRule type="cellIs" dxfId="7740" priority="4280" operator="greaterThan">
      <formula>0.85</formula>
    </cfRule>
  </conditionalFormatting>
  <conditionalFormatting sqref="N27">
    <cfRule type="cellIs" dxfId="7739" priority="4261" operator="greaterThan">
      <formula>0.9</formula>
    </cfRule>
    <cfRule type="cellIs" dxfId="7738" priority="4262" operator="greaterThan">
      <formula>0.85</formula>
    </cfRule>
  </conditionalFormatting>
  <conditionalFormatting sqref="N28">
    <cfRule type="cellIs" dxfId="7737" priority="4243" operator="greaterThan">
      <formula>0.9</formula>
    </cfRule>
    <cfRule type="cellIs" dxfId="7736" priority="4244" operator="greaterThan">
      <formula>0.85</formula>
    </cfRule>
  </conditionalFormatting>
  <conditionalFormatting sqref="N29">
    <cfRule type="cellIs" dxfId="7735" priority="4225" operator="greaterThan">
      <formula>0.9</formula>
    </cfRule>
    <cfRule type="cellIs" dxfId="7734" priority="4226" operator="greaterThan">
      <formula>0.85</formula>
    </cfRule>
  </conditionalFormatting>
  <conditionalFormatting sqref="N30">
    <cfRule type="cellIs" dxfId="7733" priority="4207" operator="greaterThan">
      <formula>0.9</formula>
    </cfRule>
    <cfRule type="cellIs" dxfId="7732" priority="4208" operator="greaterThan">
      <formula>0.85</formula>
    </cfRule>
  </conditionalFormatting>
  <conditionalFormatting sqref="N31">
    <cfRule type="cellIs" dxfId="7731" priority="4189" operator="greaterThan">
      <formula>0.9</formula>
    </cfRule>
    <cfRule type="cellIs" dxfId="7730" priority="4190" operator="greaterThan">
      <formula>0.85</formula>
    </cfRule>
  </conditionalFormatting>
  <conditionalFormatting sqref="N32">
    <cfRule type="cellIs" dxfId="7729" priority="4171" operator="greaterThan">
      <formula>0.9</formula>
    </cfRule>
    <cfRule type="cellIs" dxfId="7728" priority="4172" operator="greaterThan">
      <formula>0.85</formula>
    </cfRule>
  </conditionalFormatting>
  <conditionalFormatting sqref="N33">
    <cfRule type="cellIs" dxfId="7727" priority="4153" operator="greaterThan">
      <formula>0.9</formula>
    </cfRule>
    <cfRule type="cellIs" dxfId="7726" priority="4154" operator="greaterThan">
      <formula>0.85</formula>
    </cfRule>
  </conditionalFormatting>
  <conditionalFormatting sqref="N34">
    <cfRule type="cellIs" dxfId="7725" priority="4135" operator="greaterThan">
      <formula>0.9</formula>
    </cfRule>
    <cfRule type="cellIs" dxfId="7724" priority="4136" operator="greaterThan">
      <formula>0.85</formula>
    </cfRule>
  </conditionalFormatting>
  <conditionalFormatting sqref="N35">
    <cfRule type="cellIs" dxfId="7723" priority="4117" operator="greaterThan">
      <formula>0.9</formula>
    </cfRule>
    <cfRule type="cellIs" dxfId="7722" priority="4118" operator="greaterThan">
      <formula>0.85</formula>
    </cfRule>
  </conditionalFormatting>
  <conditionalFormatting sqref="N36">
    <cfRule type="cellIs" dxfId="7721" priority="4099" operator="greaterThan">
      <formula>0.9</formula>
    </cfRule>
    <cfRule type="cellIs" dxfId="7720" priority="4100" operator="greaterThan">
      <formula>0.85</formula>
    </cfRule>
  </conditionalFormatting>
  <conditionalFormatting sqref="N37">
    <cfRule type="cellIs" dxfId="7719" priority="4081" operator="greaterThan">
      <formula>0.9</formula>
    </cfRule>
    <cfRule type="cellIs" dxfId="7718" priority="4082" operator="greaterThan">
      <formula>0.85</formula>
    </cfRule>
  </conditionalFormatting>
  <conditionalFormatting sqref="N38">
    <cfRule type="cellIs" dxfId="7717" priority="4063" operator="greaterThan">
      <formula>0.9</formula>
    </cfRule>
    <cfRule type="cellIs" dxfId="7716" priority="4064" operator="greaterThan">
      <formula>0.85</formula>
    </cfRule>
  </conditionalFormatting>
  <conditionalFormatting sqref="N39">
    <cfRule type="cellIs" dxfId="7715" priority="4045" operator="greaterThan">
      <formula>0.9</formula>
    </cfRule>
    <cfRule type="cellIs" dxfId="7714" priority="4046" operator="greaterThan">
      <formula>0.85</formula>
    </cfRule>
  </conditionalFormatting>
  <conditionalFormatting sqref="N40">
    <cfRule type="cellIs" dxfId="7713" priority="4027" operator="greaterThan">
      <formula>0.9</formula>
    </cfRule>
    <cfRule type="cellIs" dxfId="7712" priority="4028" operator="greaterThan">
      <formula>0.85</formula>
    </cfRule>
  </conditionalFormatting>
  <conditionalFormatting sqref="N41">
    <cfRule type="cellIs" dxfId="7711" priority="4009" operator="greaterThan">
      <formula>0.9</formula>
    </cfRule>
    <cfRule type="cellIs" dxfId="7710" priority="4010" operator="greaterThan">
      <formula>0.85</formula>
    </cfRule>
  </conditionalFormatting>
  <conditionalFormatting sqref="N42">
    <cfRule type="cellIs" dxfId="7709" priority="3991" operator="greaterThan">
      <formula>0.9</formula>
    </cfRule>
    <cfRule type="cellIs" dxfId="7708" priority="3992" operator="greaterThan">
      <formula>0.85</formula>
    </cfRule>
  </conditionalFormatting>
  <conditionalFormatting sqref="N43">
    <cfRule type="cellIs" dxfId="7707" priority="3973" operator="greaterThan">
      <formula>0.9</formula>
    </cfRule>
    <cfRule type="cellIs" dxfId="7706" priority="3974" operator="greaterThan">
      <formula>0.85</formula>
    </cfRule>
  </conditionalFormatting>
  <conditionalFormatting sqref="N44">
    <cfRule type="cellIs" dxfId="7705" priority="3955" operator="greaterThan">
      <formula>0.9</formula>
    </cfRule>
    <cfRule type="cellIs" dxfId="7704" priority="3956" operator="greaterThan">
      <formula>0.85</formula>
    </cfRule>
  </conditionalFormatting>
  <conditionalFormatting sqref="N45">
    <cfRule type="cellIs" dxfId="7703" priority="3937" operator="greaterThan">
      <formula>0.9</formula>
    </cfRule>
    <cfRule type="cellIs" dxfId="7702" priority="3938" operator="greaterThan">
      <formula>0.85</formula>
    </cfRule>
  </conditionalFormatting>
  <conditionalFormatting sqref="N46">
    <cfRule type="cellIs" dxfId="7701" priority="3919" operator="greaterThan">
      <formula>0.9</formula>
    </cfRule>
    <cfRule type="cellIs" dxfId="7700" priority="3920" operator="greaterThan">
      <formula>0.85</formula>
    </cfRule>
  </conditionalFormatting>
  <conditionalFormatting sqref="N47">
    <cfRule type="cellIs" dxfId="7699" priority="3901" operator="greaterThan">
      <formula>0.9</formula>
    </cfRule>
    <cfRule type="cellIs" dxfId="7698" priority="3902" operator="greaterThan">
      <formula>0.85</formula>
    </cfRule>
  </conditionalFormatting>
  <conditionalFormatting sqref="N48">
    <cfRule type="cellIs" dxfId="7697" priority="3883" operator="greaterThan">
      <formula>0.9</formula>
    </cfRule>
    <cfRule type="cellIs" dxfId="7696" priority="3884" operator="greaterThan">
      <formula>0.85</formula>
    </cfRule>
  </conditionalFormatting>
  <conditionalFormatting sqref="N49">
    <cfRule type="cellIs" dxfId="7695" priority="3865" operator="greaterThan">
      <formula>0.9</formula>
    </cfRule>
    <cfRule type="cellIs" dxfId="7694" priority="3866" operator="greaterThan">
      <formula>0.85</formula>
    </cfRule>
  </conditionalFormatting>
  <conditionalFormatting sqref="N50">
    <cfRule type="cellIs" dxfId="7693" priority="3847" operator="greaterThan">
      <formula>0.9</formula>
    </cfRule>
    <cfRule type="cellIs" dxfId="7692" priority="3848" operator="greaterThan">
      <formula>0.85</formula>
    </cfRule>
  </conditionalFormatting>
  <conditionalFormatting sqref="N51">
    <cfRule type="cellIs" dxfId="7691" priority="3829" operator="greaterThan">
      <formula>0.9</formula>
    </cfRule>
    <cfRule type="cellIs" dxfId="7690" priority="3830" operator="greaterThan">
      <formula>0.85</formula>
    </cfRule>
  </conditionalFormatting>
  <conditionalFormatting sqref="N52">
    <cfRule type="cellIs" dxfId="7689" priority="3811" operator="greaterThan">
      <formula>0.9</formula>
    </cfRule>
    <cfRule type="cellIs" dxfId="7688" priority="3812" operator="greaterThan">
      <formula>0.85</formula>
    </cfRule>
  </conditionalFormatting>
  <conditionalFormatting sqref="N53">
    <cfRule type="cellIs" dxfId="7687" priority="3793" operator="greaterThan">
      <formula>0.9</formula>
    </cfRule>
    <cfRule type="cellIs" dxfId="7686" priority="3794" operator="greaterThan">
      <formula>0.85</formula>
    </cfRule>
  </conditionalFormatting>
  <conditionalFormatting sqref="N54">
    <cfRule type="cellIs" dxfId="7685" priority="3775" operator="greaterThan">
      <formula>0.9</formula>
    </cfRule>
    <cfRule type="cellIs" dxfId="7684" priority="3776" operator="greaterThan">
      <formula>0.85</formula>
    </cfRule>
  </conditionalFormatting>
  <conditionalFormatting sqref="N55">
    <cfRule type="cellIs" dxfId="7683" priority="3757" operator="greaterThan">
      <formula>0.9</formula>
    </cfRule>
    <cfRule type="cellIs" dxfId="7682" priority="3758" operator="greaterThan">
      <formula>0.85</formula>
    </cfRule>
  </conditionalFormatting>
  <conditionalFormatting sqref="N56">
    <cfRule type="cellIs" dxfId="7681" priority="3739" operator="greaterThan">
      <formula>0.9</formula>
    </cfRule>
    <cfRule type="cellIs" dxfId="7680" priority="3740" operator="greaterThan">
      <formula>0.85</formula>
    </cfRule>
  </conditionalFormatting>
  <conditionalFormatting sqref="N57">
    <cfRule type="cellIs" dxfId="7679" priority="3721" operator="greaterThan">
      <formula>0.9</formula>
    </cfRule>
    <cfRule type="cellIs" dxfId="7678" priority="3722" operator="greaterThan">
      <formula>0.85</formula>
    </cfRule>
  </conditionalFormatting>
  <conditionalFormatting sqref="N58">
    <cfRule type="cellIs" dxfId="7677" priority="3703" operator="greaterThan">
      <formula>0.9</formula>
    </cfRule>
    <cfRule type="cellIs" dxfId="7676" priority="3704" operator="greaterThan">
      <formula>0.85</formula>
    </cfRule>
  </conditionalFormatting>
  <conditionalFormatting sqref="N59">
    <cfRule type="cellIs" dxfId="7675" priority="3685" operator="greaterThan">
      <formula>0.9</formula>
    </cfRule>
    <cfRule type="cellIs" dxfId="7674" priority="3686" operator="greaterThan">
      <formula>0.85</formula>
    </cfRule>
  </conditionalFormatting>
  <conditionalFormatting sqref="N60">
    <cfRule type="cellIs" dxfId="7673" priority="3667" operator="greaterThan">
      <formula>0.9</formula>
    </cfRule>
    <cfRule type="cellIs" dxfId="7672" priority="3668" operator="greaterThan">
      <formula>0.85</formula>
    </cfRule>
  </conditionalFormatting>
  <conditionalFormatting sqref="N61">
    <cfRule type="cellIs" dxfId="7671" priority="3649" operator="greaterThan">
      <formula>0.9</formula>
    </cfRule>
    <cfRule type="cellIs" dxfId="7670" priority="3650" operator="greaterThan">
      <formula>0.85</formula>
    </cfRule>
  </conditionalFormatting>
  <conditionalFormatting sqref="N62">
    <cfRule type="cellIs" dxfId="7669" priority="3631" operator="greaterThan">
      <formula>0.9</formula>
    </cfRule>
    <cfRule type="cellIs" dxfId="7668" priority="3632" operator="greaterThan">
      <formula>0.85</formula>
    </cfRule>
  </conditionalFormatting>
  <conditionalFormatting sqref="N63">
    <cfRule type="cellIs" dxfId="7667" priority="3613" operator="greaterThan">
      <formula>0.9</formula>
    </cfRule>
    <cfRule type="cellIs" dxfId="7666" priority="3614" operator="greaterThan">
      <formula>0.85</formula>
    </cfRule>
  </conditionalFormatting>
  <conditionalFormatting sqref="N64">
    <cfRule type="cellIs" dxfId="7665" priority="3595" operator="greaterThan">
      <formula>0.9</formula>
    </cfRule>
    <cfRule type="cellIs" dxfId="7664" priority="3596" operator="greaterThan">
      <formula>0.85</formula>
    </cfRule>
  </conditionalFormatting>
  <conditionalFormatting sqref="N65">
    <cfRule type="cellIs" dxfId="7663" priority="3577" operator="greaterThan">
      <formula>0.9</formula>
    </cfRule>
    <cfRule type="cellIs" dxfId="7662" priority="3578" operator="greaterThan">
      <formula>0.85</formula>
    </cfRule>
  </conditionalFormatting>
  <conditionalFormatting sqref="N66">
    <cfRule type="cellIs" dxfId="7661" priority="3559" operator="greaterThan">
      <formula>0.9</formula>
    </cfRule>
    <cfRule type="cellIs" dxfId="7660" priority="3560" operator="greaterThan">
      <formula>0.85</formula>
    </cfRule>
  </conditionalFormatting>
  <conditionalFormatting sqref="N67">
    <cfRule type="cellIs" dxfId="7659" priority="3541" operator="greaterThan">
      <formula>0.9</formula>
    </cfRule>
    <cfRule type="cellIs" dxfId="7658" priority="3542" operator="greaterThan">
      <formula>0.85</formula>
    </cfRule>
  </conditionalFormatting>
  <conditionalFormatting sqref="N68">
    <cfRule type="cellIs" dxfId="7657" priority="3523" operator="greaterThan">
      <formula>0.9</formula>
    </cfRule>
    <cfRule type="cellIs" dxfId="7656" priority="3524" operator="greaterThan">
      <formula>0.85</formula>
    </cfRule>
  </conditionalFormatting>
  <conditionalFormatting sqref="N69">
    <cfRule type="cellIs" dxfId="7655" priority="3505" operator="greaterThan">
      <formula>0.9</formula>
    </cfRule>
    <cfRule type="cellIs" dxfId="7654" priority="3506" operator="greaterThan">
      <formula>0.85</formula>
    </cfRule>
  </conditionalFormatting>
  <conditionalFormatting sqref="N70">
    <cfRule type="cellIs" dxfId="7653" priority="3487" operator="greaterThan">
      <formula>0.9</formula>
    </cfRule>
    <cfRule type="cellIs" dxfId="7652" priority="3488" operator="greaterThan">
      <formula>0.85</formula>
    </cfRule>
  </conditionalFormatting>
  <conditionalFormatting sqref="N71">
    <cfRule type="cellIs" dxfId="7651" priority="3469" operator="greaterThan">
      <formula>0.9</formula>
    </cfRule>
    <cfRule type="cellIs" dxfId="7650" priority="3470" operator="greaterThan">
      <formula>0.85</formula>
    </cfRule>
  </conditionalFormatting>
  <conditionalFormatting sqref="N72">
    <cfRule type="cellIs" dxfId="7649" priority="3451" operator="greaterThan">
      <formula>0.9</formula>
    </cfRule>
    <cfRule type="cellIs" dxfId="7648" priority="3452" operator="greaterThan">
      <formula>0.85</formula>
    </cfRule>
  </conditionalFormatting>
  <conditionalFormatting sqref="N73">
    <cfRule type="cellIs" dxfId="7647" priority="3433" operator="greaterThan">
      <formula>0.9</formula>
    </cfRule>
    <cfRule type="cellIs" dxfId="7646" priority="3434" operator="greaterThan">
      <formula>0.85</formula>
    </cfRule>
  </conditionalFormatting>
  <conditionalFormatting sqref="N74">
    <cfRule type="cellIs" dxfId="7645" priority="3415" operator="greaterThan">
      <formula>0.9</formula>
    </cfRule>
    <cfRule type="cellIs" dxfId="7644" priority="3416" operator="greaterThan">
      <formula>0.85</formula>
    </cfRule>
  </conditionalFormatting>
  <conditionalFormatting sqref="N75">
    <cfRule type="cellIs" dxfId="7643" priority="3397" operator="greaterThan">
      <formula>0.9</formula>
    </cfRule>
    <cfRule type="cellIs" dxfId="7642" priority="3398" operator="greaterThan">
      <formula>0.85</formula>
    </cfRule>
  </conditionalFormatting>
  <conditionalFormatting sqref="N76">
    <cfRule type="cellIs" dxfId="7641" priority="3379" operator="greaterThan">
      <formula>0.9</formula>
    </cfRule>
    <cfRule type="cellIs" dxfId="7640" priority="3380" operator="greaterThan">
      <formula>0.85</formula>
    </cfRule>
  </conditionalFormatting>
  <conditionalFormatting sqref="N77">
    <cfRule type="cellIs" dxfId="7639" priority="3361" operator="greaterThan">
      <formula>0.9</formula>
    </cfRule>
    <cfRule type="cellIs" dxfId="7638" priority="3362" operator="greaterThan">
      <formula>0.85</formula>
    </cfRule>
  </conditionalFormatting>
  <conditionalFormatting sqref="N78">
    <cfRule type="cellIs" dxfId="7637" priority="3343" operator="greaterThan">
      <formula>0.9</formula>
    </cfRule>
    <cfRule type="cellIs" dxfId="7636" priority="3344" operator="greaterThan">
      <formula>0.85</formula>
    </cfRule>
  </conditionalFormatting>
  <conditionalFormatting sqref="N79">
    <cfRule type="cellIs" dxfId="7635" priority="3325" operator="greaterThan">
      <formula>0.9</formula>
    </cfRule>
    <cfRule type="cellIs" dxfId="7634" priority="3326" operator="greaterThan">
      <formula>0.85</formula>
    </cfRule>
  </conditionalFormatting>
  <conditionalFormatting sqref="N80">
    <cfRule type="cellIs" dxfId="7633" priority="3307" operator="greaterThan">
      <formula>0.9</formula>
    </cfRule>
    <cfRule type="cellIs" dxfId="7632" priority="3308" operator="greaterThan">
      <formula>0.85</formula>
    </cfRule>
  </conditionalFormatting>
  <conditionalFormatting sqref="N81">
    <cfRule type="cellIs" dxfId="7631" priority="3289" operator="greaterThan">
      <formula>0.9</formula>
    </cfRule>
    <cfRule type="cellIs" dxfId="7630" priority="3290" operator="greaterThan">
      <formula>0.85</formula>
    </cfRule>
  </conditionalFormatting>
  <conditionalFormatting sqref="N82">
    <cfRule type="cellIs" dxfId="7629" priority="3271" operator="greaterThan">
      <formula>0.9</formula>
    </cfRule>
    <cfRule type="cellIs" dxfId="7628" priority="3272" operator="greaterThan">
      <formula>0.85</formula>
    </cfRule>
  </conditionalFormatting>
  <conditionalFormatting sqref="N83">
    <cfRule type="cellIs" dxfId="7627" priority="3253" operator="greaterThan">
      <formula>0.9</formula>
    </cfRule>
    <cfRule type="cellIs" dxfId="7626" priority="3254" operator="greaterThan">
      <formula>0.85</formula>
    </cfRule>
  </conditionalFormatting>
  <conditionalFormatting sqref="N84">
    <cfRule type="cellIs" dxfId="7625" priority="3235" operator="greaterThan">
      <formula>0.9</formula>
    </cfRule>
    <cfRule type="cellIs" dxfId="7624" priority="3236" operator="greaterThan">
      <formula>0.85</formula>
    </cfRule>
  </conditionalFormatting>
  <conditionalFormatting sqref="N85">
    <cfRule type="cellIs" dxfId="7623" priority="3217" operator="greaterThan">
      <formula>0.9</formula>
    </cfRule>
    <cfRule type="cellIs" dxfId="7622" priority="3218" operator="greaterThan">
      <formula>0.85</formula>
    </cfRule>
  </conditionalFormatting>
  <conditionalFormatting sqref="N86">
    <cfRule type="cellIs" dxfId="7621" priority="3199" operator="greaterThan">
      <formula>0.9</formula>
    </cfRule>
    <cfRule type="cellIs" dxfId="7620" priority="3200" operator="greaterThan">
      <formula>0.85</formula>
    </cfRule>
  </conditionalFormatting>
  <conditionalFormatting sqref="N87">
    <cfRule type="cellIs" dxfId="7619" priority="3181" operator="greaterThan">
      <formula>0.9</formula>
    </cfRule>
    <cfRule type="cellIs" dxfId="7618" priority="3182" operator="greaterThan">
      <formula>0.85</formula>
    </cfRule>
  </conditionalFormatting>
  <conditionalFormatting sqref="N88">
    <cfRule type="cellIs" dxfId="7617" priority="3163" operator="greaterThan">
      <formula>0.9</formula>
    </cfRule>
    <cfRule type="cellIs" dxfId="7616" priority="3164" operator="greaterThan">
      <formula>0.85</formula>
    </cfRule>
  </conditionalFormatting>
  <conditionalFormatting sqref="N89">
    <cfRule type="cellIs" dxfId="7615" priority="3145" operator="greaterThan">
      <formula>0.9</formula>
    </cfRule>
    <cfRule type="cellIs" dxfId="7614" priority="3146" operator="greaterThan">
      <formula>0.85</formula>
    </cfRule>
  </conditionalFormatting>
  <conditionalFormatting sqref="N90">
    <cfRule type="cellIs" dxfId="7613" priority="3127" operator="greaterThan">
      <formula>0.9</formula>
    </cfRule>
    <cfRule type="cellIs" dxfId="7612" priority="3128" operator="greaterThan">
      <formula>0.85</formula>
    </cfRule>
  </conditionalFormatting>
  <conditionalFormatting sqref="N91">
    <cfRule type="cellIs" dxfId="7611" priority="3091" operator="greaterThan">
      <formula>0.9</formula>
    </cfRule>
    <cfRule type="cellIs" dxfId="7610" priority="3092" operator="greaterThan">
      <formula>0.85</formula>
    </cfRule>
  </conditionalFormatting>
  <conditionalFormatting sqref="N92">
    <cfRule type="cellIs" dxfId="7609" priority="3073" operator="greaterThan">
      <formula>0.9</formula>
    </cfRule>
    <cfRule type="cellIs" dxfId="7608" priority="3074" operator="greaterThan">
      <formula>0.85</formula>
    </cfRule>
  </conditionalFormatting>
  <conditionalFormatting sqref="N93">
    <cfRule type="cellIs" dxfId="7607" priority="3055" operator="greaterThan">
      <formula>0.9</formula>
    </cfRule>
    <cfRule type="cellIs" dxfId="7606" priority="3056" operator="greaterThan">
      <formula>0.85</formula>
    </cfRule>
  </conditionalFormatting>
  <conditionalFormatting sqref="N94">
    <cfRule type="cellIs" dxfId="7605" priority="3037" operator="greaterThan">
      <formula>0.9</formula>
    </cfRule>
    <cfRule type="cellIs" dxfId="7604" priority="3038" operator="greaterThan">
      <formula>0.85</formula>
    </cfRule>
  </conditionalFormatting>
  <conditionalFormatting sqref="N95">
    <cfRule type="cellIs" dxfId="7603" priority="3019" operator="greaterThan">
      <formula>0.9</formula>
    </cfRule>
    <cfRule type="cellIs" dxfId="7602" priority="3020" operator="greaterThan">
      <formula>0.85</formula>
    </cfRule>
  </conditionalFormatting>
  <conditionalFormatting sqref="N96">
    <cfRule type="cellIs" dxfId="7601" priority="3001" operator="greaterThan">
      <formula>0.9</formula>
    </cfRule>
    <cfRule type="cellIs" dxfId="7600" priority="3002" operator="greaterThan">
      <formula>0.85</formula>
    </cfRule>
  </conditionalFormatting>
  <conditionalFormatting sqref="N97">
    <cfRule type="cellIs" dxfId="7599" priority="2965" operator="greaterThan">
      <formula>0.9</formula>
    </cfRule>
    <cfRule type="cellIs" dxfId="7598" priority="2966" operator="greaterThan">
      <formula>0.85</formula>
    </cfRule>
  </conditionalFormatting>
  <conditionalFormatting sqref="N98">
    <cfRule type="cellIs" dxfId="7597" priority="2947" operator="greaterThan">
      <formula>0.9</formula>
    </cfRule>
    <cfRule type="cellIs" dxfId="7596" priority="2948" operator="greaterThan">
      <formula>0.85</formula>
    </cfRule>
  </conditionalFormatting>
  <conditionalFormatting sqref="N99">
    <cfRule type="cellIs" dxfId="7595" priority="2929" operator="greaterThan">
      <formula>0.9</formula>
    </cfRule>
    <cfRule type="cellIs" dxfId="7594" priority="2930" operator="greaterThan">
      <formula>0.85</formula>
    </cfRule>
  </conditionalFormatting>
  <conditionalFormatting sqref="N100">
    <cfRule type="cellIs" dxfId="7593" priority="2911" operator="greaterThan">
      <formula>0.9</formula>
    </cfRule>
    <cfRule type="cellIs" dxfId="7592" priority="2912" operator="greaterThan">
      <formula>0.85</formula>
    </cfRule>
  </conditionalFormatting>
  <conditionalFormatting sqref="N101">
    <cfRule type="cellIs" dxfId="7591" priority="2893" operator="greaterThan">
      <formula>0.9</formula>
    </cfRule>
    <cfRule type="cellIs" dxfId="7590" priority="2894" operator="greaterThan">
      <formula>0.85</formula>
    </cfRule>
  </conditionalFormatting>
  <conditionalFormatting sqref="N102">
    <cfRule type="cellIs" dxfId="7589" priority="2875" operator="greaterThan">
      <formula>0.9</formula>
    </cfRule>
    <cfRule type="cellIs" dxfId="7588" priority="2876" operator="greaterThan">
      <formula>0.85</formula>
    </cfRule>
  </conditionalFormatting>
  <conditionalFormatting sqref="N103">
    <cfRule type="cellIs" dxfId="7587" priority="2857" operator="greaterThan">
      <formula>0.9</formula>
    </cfRule>
    <cfRule type="cellIs" dxfId="7586" priority="2858" operator="greaterThan">
      <formula>0.85</formula>
    </cfRule>
  </conditionalFormatting>
  <conditionalFormatting sqref="N104">
    <cfRule type="cellIs" dxfId="7585" priority="2839" operator="greaterThan">
      <formula>0.9</formula>
    </cfRule>
    <cfRule type="cellIs" dxfId="7584" priority="2840" operator="greaterThan">
      <formula>0.85</formula>
    </cfRule>
  </conditionalFormatting>
  <conditionalFormatting sqref="N105">
    <cfRule type="cellIs" dxfId="7583" priority="2821" operator="greaterThan">
      <formula>0.9</formula>
    </cfRule>
    <cfRule type="cellIs" dxfId="7582" priority="2822" operator="greaterThan">
      <formula>0.85</formula>
    </cfRule>
  </conditionalFormatting>
  <conditionalFormatting sqref="N106">
    <cfRule type="cellIs" dxfId="7581" priority="2803" operator="greaterThan">
      <formula>0.9</formula>
    </cfRule>
    <cfRule type="cellIs" dxfId="7580" priority="2804" operator="greaterThan">
      <formula>0.85</formula>
    </cfRule>
  </conditionalFormatting>
  <conditionalFormatting sqref="N107">
    <cfRule type="cellIs" dxfId="7579" priority="2785" operator="greaterThan">
      <formula>0.9</formula>
    </cfRule>
    <cfRule type="cellIs" dxfId="7578" priority="2786" operator="greaterThan">
      <formula>0.85</formula>
    </cfRule>
  </conditionalFormatting>
  <conditionalFormatting sqref="N108">
    <cfRule type="cellIs" dxfId="7577" priority="2749" operator="greaterThan">
      <formula>0.9</formula>
    </cfRule>
    <cfRule type="cellIs" dxfId="7576" priority="2750" operator="greaterThan">
      <formula>0.85</formula>
    </cfRule>
  </conditionalFormatting>
  <conditionalFormatting sqref="N109">
    <cfRule type="cellIs" dxfId="7575" priority="2731" operator="greaterThan">
      <formula>0.9</formula>
    </cfRule>
    <cfRule type="cellIs" dxfId="7574" priority="2732" operator="greaterThan">
      <formula>0.85</formula>
    </cfRule>
  </conditionalFormatting>
  <conditionalFormatting sqref="N110">
    <cfRule type="cellIs" dxfId="7573" priority="2695" operator="greaterThan">
      <formula>0.9</formula>
    </cfRule>
    <cfRule type="cellIs" dxfId="7572" priority="2696" operator="greaterThan">
      <formula>0.85</formula>
    </cfRule>
  </conditionalFormatting>
  <conditionalFormatting sqref="N111">
    <cfRule type="cellIs" dxfId="7571" priority="2677" operator="greaterThan">
      <formula>0.9</formula>
    </cfRule>
    <cfRule type="cellIs" dxfId="7570" priority="2678" operator="greaterThan">
      <formula>0.85</formula>
    </cfRule>
  </conditionalFormatting>
  <conditionalFormatting sqref="N112">
    <cfRule type="cellIs" dxfId="7569" priority="2659" operator="greaterThan">
      <formula>0.9</formula>
    </cfRule>
    <cfRule type="cellIs" dxfId="7568" priority="2660" operator="greaterThan">
      <formula>0.85</formula>
    </cfRule>
  </conditionalFormatting>
  <conditionalFormatting sqref="N113">
    <cfRule type="cellIs" dxfId="7567" priority="2641" operator="greaterThan">
      <formula>0.9</formula>
    </cfRule>
    <cfRule type="cellIs" dxfId="7566" priority="2642" operator="greaterThan">
      <formula>0.85</formula>
    </cfRule>
  </conditionalFormatting>
  <conditionalFormatting sqref="N114">
    <cfRule type="cellIs" dxfId="7565" priority="2623" operator="greaterThan">
      <formula>0.9</formula>
    </cfRule>
    <cfRule type="cellIs" dxfId="7564" priority="2624" operator="greaterThan">
      <formula>0.85</formula>
    </cfRule>
  </conditionalFormatting>
  <conditionalFormatting sqref="N115">
    <cfRule type="cellIs" dxfId="7563" priority="2587" operator="greaterThan">
      <formula>0.9</formula>
    </cfRule>
    <cfRule type="cellIs" dxfId="7562" priority="2588" operator="greaterThan">
      <formula>0.85</formula>
    </cfRule>
  </conditionalFormatting>
  <conditionalFormatting sqref="N116">
    <cfRule type="cellIs" dxfId="7561" priority="2569" operator="greaterThan">
      <formula>0.9</formula>
    </cfRule>
    <cfRule type="cellIs" dxfId="7560" priority="2570" operator="greaterThan">
      <formula>0.85</formula>
    </cfRule>
  </conditionalFormatting>
  <conditionalFormatting sqref="N117">
    <cfRule type="cellIs" dxfId="7559" priority="2551" operator="greaterThan">
      <formula>0.9</formula>
    </cfRule>
    <cfRule type="cellIs" dxfId="7558" priority="2552" operator="greaterThan">
      <formula>0.85</formula>
    </cfRule>
  </conditionalFormatting>
  <conditionalFormatting sqref="N118">
    <cfRule type="cellIs" dxfId="7557" priority="2533" operator="greaterThan">
      <formula>0.9</formula>
    </cfRule>
    <cfRule type="cellIs" dxfId="7556" priority="2534" operator="greaterThan">
      <formula>0.85</formula>
    </cfRule>
  </conditionalFormatting>
  <conditionalFormatting sqref="N119">
    <cfRule type="cellIs" dxfId="7555" priority="2515" operator="greaterThan">
      <formula>0.9</formula>
    </cfRule>
    <cfRule type="cellIs" dxfId="7554" priority="2516" operator="greaterThan">
      <formula>0.85</formula>
    </cfRule>
  </conditionalFormatting>
  <conditionalFormatting sqref="N120">
    <cfRule type="cellIs" dxfId="7553" priority="2497" operator="greaterThan">
      <formula>0.9</formula>
    </cfRule>
    <cfRule type="cellIs" dxfId="7552" priority="2498" operator="greaterThan">
      <formula>0.85</formula>
    </cfRule>
  </conditionalFormatting>
  <conditionalFormatting sqref="N121">
    <cfRule type="cellIs" dxfId="7551" priority="2479" operator="greaterThan">
      <formula>0.9</formula>
    </cfRule>
    <cfRule type="cellIs" dxfId="7550" priority="2480" operator="greaterThan">
      <formula>0.85</formula>
    </cfRule>
  </conditionalFormatting>
  <conditionalFormatting sqref="N122">
    <cfRule type="cellIs" dxfId="7549" priority="2461" operator="greaterThan">
      <formula>0.9</formula>
    </cfRule>
    <cfRule type="cellIs" dxfId="7548" priority="2462" operator="greaterThan">
      <formula>0.85</formula>
    </cfRule>
  </conditionalFormatting>
  <conditionalFormatting sqref="N123">
    <cfRule type="cellIs" dxfId="7547" priority="2425" operator="greaterThan">
      <formula>0.9</formula>
    </cfRule>
    <cfRule type="cellIs" dxfId="7546" priority="2426" operator="greaterThan">
      <formula>0.85</formula>
    </cfRule>
  </conditionalFormatting>
  <conditionalFormatting sqref="N124">
    <cfRule type="cellIs" dxfId="7545" priority="2407" operator="greaterThan">
      <formula>0.9</formula>
    </cfRule>
    <cfRule type="cellIs" dxfId="7544" priority="2408" operator="greaterThan">
      <formula>0.85</formula>
    </cfRule>
  </conditionalFormatting>
  <conditionalFormatting sqref="N125">
    <cfRule type="cellIs" dxfId="7543" priority="2389" operator="greaterThan">
      <formula>0.9</formula>
    </cfRule>
    <cfRule type="cellIs" dxfId="7542" priority="2390" operator="greaterThan">
      <formula>0.85</formula>
    </cfRule>
  </conditionalFormatting>
  <conditionalFormatting sqref="N126">
    <cfRule type="cellIs" dxfId="7541" priority="2371" operator="greaterThan">
      <formula>0.9</formula>
    </cfRule>
    <cfRule type="cellIs" dxfId="7540" priority="2372" operator="greaterThan">
      <formula>0.85</formula>
    </cfRule>
  </conditionalFormatting>
  <conditionalFormatting sqref="N127">
    <cfRule type="cellIs" dxfId="7539" priority="2353" operator="greaterThan">
      <formula>0.9</formula>
    </cfRule>
    <cfRule type="cellIs" dxfId="7538" priority="2354" operator="greaterThan">
      <formula>0.85</formula>
    </cfRule>
  </conditionalFormatting>
  <conditionalFormatting sqref="N128">
    <cfRule type="cellIs" dxfId="7537" priority="2335" operator="greaterThan">
      <formula>0.9</formula>
    </cfRule>
    <cfRule type="cellIs" dxfId="7536" priority="2336" operator="greaterThan">
      <formula>0.85</formula>
    </cfRule>
  </conditionalFormatting>
  <conditionalFormatting sqref="N129">
    <cfRule type="cellIs" dxfId="7535" priority="2317" operator="greaterThan">
      <formula>0.9</formula>
    </cfRule>
    <cfRule type="cellIs" dxfId="7534" priority="2318" operator="greaterThan">
      <formula>0.85</formula>
    </cfRule>
  </conditionalFormatting>
  <conditionalFormatting sqref="N130">
    <cfRule type="cellIs" dxfId="7533" priority="2299" operator="greaterThan">
      <formula>0.9</formula>
    </cfRule>
    <cfRule type="cellIs" dxfId="7532" priority="2300" operator="greaterThan">
      <formula>0.85</formula>
    </cfRule>
  </conditionalFormatting>
  <conditionalFormatting sqref="N131">
    <cfRule type="cellIs" dxfId="7531" priority="2281" operator="greaterThan">
      <formula>0.9</formula>
    </cfRule>
    <cfRule type="cellIs" dxfId="7530" priority="2282" operator="greaterThan">
      <formula>0.85</formula>
    </cfRule>
  </conditionalFormatting>
  <conditionalFormatting sqref="N132">
    <cfRule type="cellIs" dxfId="7529" priority="2263" operator="greaterThan">
      <formula>0.9</formula>
    </cfRule>
    <cfRule type="cellIs" dxfId="7528" priority="2264" operator="greaterThan">
      <formula>0.85</formula>
    </cfRule>
  </conditionalFormatting>
  <conditionalFormatting sqref="N133">
    <cfRule type="cellIs" dxfId="7527" priority="2245" operator="greaterThan">
      <formula>0.9</formula>
    </cfRule>
    <cfRule type="cellIs" dxfId="7526" priority="2246" operator="greaterThan">
      <formula>0.85</formula>
    </cfRule>
  </conditionalFormatting>
  <conditionalFormatting sqref="N134">
    <cfRule type="cellIs" dxfId="7525" priority="2227" operator="greaterThan">
      <formula>0.9</formula>
    </cfRule>
    <cfRule type="cellIs" dxfId="7524" priority="2228" operator="greaterThan">
      <formula>0.85</formula>
    </cfRule>
  </conditionalFormatting>
  <conditionalFormatting sqref="N135">
    <cfRule type="cellIs" dxfId="7523" priority="2209" operator="greaterThan">
      <formula>0.9</formula>
    </cfRule>
    <cfRule type="cellIs" dxfId="7522" priority="2210" operator="greaterThan">
      <formula>0.85</formula>
    </cfRule>
  </conditionalFormatting>
  <conditionalFormatting sqref="N136">
    <cfRule type="cellIs" dxfId="7521" priority="2191" operator="greaterThan">
      <formula>0.9</formula>
    </cfRule>
    <cfRule type="cellIs" dxfId="7520" priority="2192" operator="greaterThan">
      <formula>0.85</formula>
    </cfRule>
  </conditionalFormatting>
  <conditionalFormatting sqref="N137">
    <cfRule type="cellIs" dxfId="7519" priority="2173" operator="greaterThan">
      <formula>0.9</formula>
    </cfRule>
    <cfRule type="cellIs" dxfId="7518" priority="2174" operator="greaterThan">
      <formula>0.85</formula>
    </cfRule>
  </conditionalFormatting>
  <conditionalFormatting sqref="N138">
    <cfRule type="cellIs" dxfId="7517" priority="2155" operator="greaterThan">
      <formula>0.9</formula>
    </cfRule>
    <cfRule type="cellIs" dxfId="7516" priority="2156" operator="greaterThan">
      <formula>0.85</formula>
    </cfRule>
  </conditionalFormatting>
  <conditionalFormatting sqref="N139">
    <cfRule type="cellIs" dxfId="7515" priority="2137" operator="greaterThan">
      <formula>0.9</formula>
    </cfRule>
    <cfRule type="cellIs" dxfId="7514" priority="2138" operator="greaterThan">
      <formula>0.85</formula>
    </cfRule>
  </conditionalFormatting>
  <conditionalFormatting sqref="N140">
    <cfRule type="cellIs" dxfId="7513" priority="2119" operator="greaterThan">
      <formula>0.9</formula>
    </cfRule>
    <cfRule type="cellIs" dxfId="7512" priority="2120" operator="greaterThan">
      <formula>0.85</formula>
    </cfRule>
  </conditionalFormatting>
  <conditionalFormatting sqref="N141">
    <cfRule type="cellIs" dxfId="7511" priority="2101" operator="greaterThan">
      <formula>0.9</formula>
    </cfRule>
    <cfRule type="cellIs" dxfId="7510" priority="2102" operator="greaterThan">
      <formula>0.85</formula>
    </cfRule>
  </conditionalFormatting>
  <conditionalFormatting sqref="N142">
    <cfRule type="cellIs" dxfId="7509" priority="2083" operator="greaterThan">
      <formula>0.9</formula>
    </cfRule>
    <cfRule type="cellIs" dxfId="7508" priority="2084" operator="greaterThan">
      <formula>0.85</formula>
    </cfRule>
  </conditionalFormatting>
  <conditionalFormatting sqref="N143">
    <cfRule type="cellIs" dxfId="7507" priority="2065" operator="greaterThan">
      <formula>0.9</formula>
    </cfRule>
    <cfRule type="cellIs" dxfId="7506" priority="2066" operator="greaterThan">
      <formula>0.85</formula>
    </cfRule>
  </conditionalFormatting>
  <conditionalFormatting sqref="N144">
    <cfRule type="cellIs" dxfId="7505" priority="2029" operator="greaterThan">
      <formula>0.9</formula>
    </cfRule>
    <cfRule type="cellIs" dxfId="7504" priority="2030" operator="greaterThan">
      <formula>0.85</formula>
    </cfRule>
  </conditionalFormatting>
  <conditionalFormatting sqref="N145">
    <cfRule type="cellIs" dxfId="7503" priority="2011" operator="greaterThan">
      <formula>0.9</formula>
    </cfRule>
    <cfRule type="cellIs" dxfId="7502" priority="2012" operator="greaterThan">
      <formula>0.85</formula>
    </cfRule>
  </conditionalFormatting>
  <conditionalFormatting sqref="N146">
    <cfRule type="cellIs" dxfId="7501" priority="1993" operator="greaterThan">
      <formula>0.9</formula>
    </cfRule>
    <cfRule type="cellIs" dxfId="7500" priority="1994" operator="greaterThan">
      <formula>0.85</formula>
    </cfRule>
  </conditionalFormatting>
  <conditionalFormatting sqref="N147">
    <cfRule type="cellIs" dxfId="7499" priority="1975" operator="greaterThan">
      <formula>0.9</formula>
    </cfRule>
    <cfRule type="cellIs" dxfId="7498" priority="1976" operator="greaterThan">
      <formula>0.85</formula>
    </cfRule>
  </conditionalFormatting>
  <conditionalFormatting sqref="N148">
    <cfRule type="cellIs" dxfId="7497" priority="1957" operator="greaterThan">
      <formula>0.9</formula>
    </cfRule>
    <cfRule type="cellIs" dxfId="7496" priority="1958" operator="greaterThan">
      <formula>0.85</formula>
    </cfRule>
  </conditionalFormatting>
  <conditionalFormatting sqref="N149">
    <cfRule type="cellIs" dxfId="7495" priority="1939" operator="greaterThan">
      <formula>0.9</formula>
    </cfRule>
    <cfRule type="cellIs" dxfId="7494" priority="1940" operator="greaterThan">
      <formula>0.85</formula>
    </cfRule>
  </conditionalFormatting>
  <conditionalFormatting sqref="N150">
    <cfRule type="cellIs" dxfId="7493" priority="1921" operator="greaterThan">
      <formula>0.9</formula>
    </cfRule>
    <cfRule type="cellIs" dxfId="7492" priority="1922" operator="greaterThan">
      <formula>0.85</formula>
    </cfRule>
  </conditionalFormatting>
  <conditionalFormatting sqref="N151">
    <cfRule type="cellIs" dxfId="7491" priority="1885" operator="greaterThan">
      <formula>0.9</formula>
    </cfRule>
    <cfRule type="cellIs" dxfId="7490" priority="1886" operator="greaterThan">
      <formula>0.85</formula>
    </cfRule>
  </conditionalFormatting>
  <conditionalFormatting sqref="N152">
    <cfRule type="cellIs" dxfId="7489" priority="1867" operator="greaterThan">
      <formula>0.9</formula>
    </cfRule>
    <cfRule type="cellIs" dxfId="7488" priority="1868" operator="greaterThan">
      <formula>0.85</formula>
    </cfRule>
  </conditionalFormatting>
  <conditionalFormatting sqref="N153">
    <cfRule type="cellIs" dxfId="7487" priority="1849" operator="greaterThan">
      <formula>0.9</formula>
    </cfRule>
    <cfRule type="cellIs" dxfId="7486" priority="1850" operator="greaterThan">
      <formula>0.85</formula>
    </cfRule>
  </conditionalFormatting>
  <conditionalFormatting sqref="N154">
    <cfRule type="cellIs" dxfId="7485" priority="1831" operator="greaterThan">
      <formula>0.9</formula>
    </cfRule>
    <cfRule type="cellIs" dxfId="7484" priority="1832" operator="greaterThan">
      <formula>0.85</formula>
    </cfRule>
  </conditionalFormatting>
  <conditionalFormatting sqref="N155">
    <cfRule type="cellIs" dxfId="7483" priority="1813" operator="greaterThan">
      <formula>0.9</formula>
    </cfRule>
    <cfRule type="cellIs" dxfId="7482" priority="1814" operator="greaterThan">
      <formula>0.85</formula>
    </cfRule>
  </conditionalFormatting>
  <conditionalFormatting sqref="N156">
    <cfRule type="cellIs" dxfId="7481" priority="1795" operator="greaterThan">
      <formula>0.9</formula>
    </cfRule>
    <cfRule type="cellIs" dxfId="7480" priority="1796" operator="greaterThan">
      <formula>0.85</formula>
    </cfRule>
  </conditionalFormatting>
  <conditionalFormatting sqref="N157">
    <cfRule type="cellIs" dxfId="7479" priority="1777" operator="greaterThan">
      <formula>0.9</formula>
    </cfRule>
    <cfRule type="cellIs" dxfId="7478" priority="1778" operator="greaterThan">
      <formula>0.85</formula>
    </cfRule>
  </conditionalFormatting>
  <conditionalFormatting sqref="N158">
    <cfRule type="cellIs" dxfId="7477" priority="1759" operator="greaterThan">
      <formula>0.9</formula>
    </cfRule>
    <cfRule type="cellIs" dxfId="7476" priority="1760" operator="greaterThan">
      <formula>0.85</formula>
    </cfRule>
  </conditionalFormatting>
  <conditionalFormatting sqref="N159">
    <cfRule type="cellIs" dxfId="7475" priority="1741" operator="greaterThan">
      <formula>0.9</formula>
    </cfRule>
    <cfRule type="cellIs" dxfId="7474" priority="1742" operator="greaterThan">
      <formula>0.85</formula>
    </cfRule>
  </conditionalFormatting>
  <conditionalFormatting sqref="N160">
    <cfRule type="cellIs" dxfId="7473" priority="1723" operator="greaterThan">
      <formula>0.9</formula>
    </cfRule>
    <cfRule type="cellIs" dxfId="7472" priority="1724" operator="greaterThan">
      <formula>0.85</formula>
    </cfRule>
  </conditionalFormatting>
  <conditionalFormatting sqref="N161">
    <cfRule type="cellIs" dxfId="7471" priority="1687" operator="greaterThan">
      <formula>0.9</formula>
    </cfRule>
    <cfRule type="cellIs" dxfId="7470" priority="1688" operator="greaterThan">
      <formula>0.85</formula>
    </cfRule>
  </conditionalFormatting>
  <conditionalFormatting sqref="N162">
    <cfRule type="cellIs" dxfId="7469" priority="1669" operator="greaterThan">
      <formula>0.9</formula>
    </cfRule>
    <cfRule type="cellIs" dxfId="7468" priority="1670" operator="greaterThan">
      <formula>0.85</formula>
    </cfRule>
  </conditionalFormatting>
  <conditionalFormatting sqref="N163">
    <cfRule type="cellIs" dxfId="7467" priority="1651" operator="greaterThan">
      <formula>0.9</formula>
    </cfRule>
    <cfRule type="cellIs" dxfId="7466" priority="1652" operator="greaterThan">
      <formula>0.85</formula>
    </cfRule>
  </conditionalFormatting>
  <conditionalFormatting sqref="N164">
    <cfRule type="cellIs" dxfId="7465" priority="1633" operator="greaterThan">
      <formula>0.9</formula>
    </cfRule>
    <cfRule type="cellIs" dxfId="7464" priority="1634" operator="greaterThan">
      <formula>0.85</formula>
    </cfRule>
  </conditionalFormatting>
  <conditionalFormatting sqref="N165">
    <cfRule type="cellIs" dxfId="7463" priority="1615" operator="greaterThan">
      <formula>0.9</formula>
    </cfRule>
    <cfRule type="cellIs" dxfId="7462" priority="1616" operator="greaterThan">
      <formula>0.85</formula>
    </cfRule>
  </conditionalFormatting>
  <conditionalFormatting sqref="N166">
    <cfRule type="cellIs" dxfId="7461" priority="1597" operator="greaterThan">
      <formula>0.9</formula>
    </cfRule>
    <cfRule type="cellIs" dxfId="7460" priority="1598" operator="greaterThan">
      <formula>0.85</formula>
    </cfRule>
  </conditionalFormatting>
  <conditionalFormatting sqref="N167">
    <cfRule type="cellIs" dxfId="7459" priority="1579" operator="greaterThan">
      <formula>0.9</formula>
    </cfRule>
    <cfRule type="cellIs" dxfId="7458" priority="1580" operator="greaterThan">
      <formula>0.85</formula>
    </cfRule>
  </conditionalFormatting>
  <conditionalFormatting sqref="N168">
    <cfRule type="cellIs" dxfId="7457" priority="1561" operator="greaterThan">
      <formula>0.9</formula>
    </cfRule>
    <cfRule type="cellIs" dxfId="7456" priority="1562" operator="greaterThan">
      <formula>0.85</formula>
    </cfRule>
  </conditionalFormatting>
  <conditionalFormatting sqref="N169">
    <cfRule type="cellIs" dxfId="7455" priority="1543" operator="greaterThan">
      <formula>0.9</formula>
    </cfRule>
    <cfRule type="cellIs" dxfId="7454" priority="1544" operator="greaterThan">
      <formula>0.85</formula>
    </cfRule>
  </conditionalFormatting>
  <conditionalFormatting sqref="N170">
    <cfRule type="cellIs" dxfId="7453" priority="1525" operator="greaterThan">
      <formula>0.9</formula>
    </cfRule>
    <cfRule type="cellIs" dxfId="7452" priority="1526" operator="greaterThan">
      <formula>0.85</formula>
    </cfRule>
  </conditionalFormatting>
  <conditionalFormatting sqref="N171">
    <cfRule type="cellIs" dxfId="7451" priority="1507" operator="greaterThan">
      <formula>0.9</formula>
    </cfRule>
    <cfRule type="cellIs" dxfId="7450" priority="1508" operator="greaterThan">
      <formula>0.85</formula>
    </cfRule>
  </conditionalFormatting>
  <conditionalFormatting sqref="N172">
    <cfRule type="cellIs" dxfId="7449" priority="1489" operator="greaterThan">
      <formula>0.9</formula>
    </cfRule>
    <cfRule type="cellIs" dxfId="7448" priority="1490" operator="greaterThan">
      <formula>0.85</formula>
    </cfRule>
  </conditionalFormatting>
  <conditionalFormatting sqref="N173">
    <cfRule type="cellIs" dxfId="7447" priority="1471" operator="greaterThan">
      <formula>0.9</formula>
    </cfRule>
    <cfRule type="cellIs" dxfId="7446" priority="1472" operator="greaterThan">
      <formula>0.85</formula>
    </cfRule>
  </conditionalFormatting>
  <conditionalFormatting sqref="N174">
    <cfRule type="cellIs" dxfId="7445" priority="1453" operator="greaterThan">
      <formula>0.9</formula>
    </cfRule>
    <cfRule type="cellIs" dxfId="7444" priority="1454" operator="greaterThan">
      <formula>0.85</formula>
    </cfRule>
  </conditionalFormatting>
  <conditionalFormatting sqref="N175">
    <cfRule type="cellIs" dxfId="7443" priority="1435" operator="greaterThan">
      <formula>0.9</formula>
    </cfRule>
    <cfRule type="cellIs" dxfId="7442" priority="1436" operator="greaterThan">
      <formula>0.85</formula>
    </cfRule>
  </conditionalFormatting>
  <conditionalFormatting sqref="N176">
    <cfRule type="cellIs" dxfId="7441" priority="1417" operator="greaterThan">
      <formula>0.9</formula>
    </cfRule>
    <cfRule type="cellIs" dxfId="7440" priority="1418" operator="greaterThan">
      <formula>0.85</formula>
    </cfRule>
  </conditionalFormatting>
  <conditionalFormatting sqref="N177">
    <cfRule type="cellIs" dxfId="7439" priority="1381" operator="greaterThan">
      <formula>0.9</formula>
    </cfRule>
    <cfRule type="cellIs" dxfId="7438" priority="1382" operator="greaterThan">
      <formula>0.85</formula>
    </cfRule>
  </conditionalFormatting>
  <conditionalFormatting sqref="N178">
    <cfRule type="cellIs" dxfId="7437" priority="1363" operator="greaterThan">
      <formula>0.9</formula>
    </cfRule>
    <cfRule type="cellIs" dxfId="7436" priority="1364" operator="greaterThan">
      <formula>0.85</formula>
    </cfRule>
  </conditionalFormatting>
  <conditionalFormatting sqref="N179">
    <cfRule type="cellIs" dxfId="7435" priority="1345" operator="greaterThan">
      <formula>0.9</formula>
    </cfRule>
    <cfRule type="cellIs" dxfId="7434" priority="1346" operator="greaterThan">
      <formula>0.85</formula>
    </cfRule>
  </conditionalFormatting>
  <conditionalFormatting sqref="N180">
    <cfRule type="cellIs" dxfId="7433" priority="1327" operator="greaterThan">
      <formula>0.9</formula>
    </cfRule>
    <cfRule type="cellIs" dxfId="7432" priority="1328" operator="greaterThan">
      <formula>0.85</formula>
    </cfRule>
  </conditionalFormatting>
  <conditionalFormatting sqref="N181">
    <cfRule type="cellIs" dxfId="7431" priority="1309" operator="greaterThan">
      <formula>0.9</formula>
    </cfRule>
    <cfRule type="cellIs" dxfId="7430" priority="1310" operator="greaterThan">
      <formula>0.85</formula>
    </cfRule>
  </conditionalFormatting>
  <conditionalFormatting sqref="N182">
    <cfRule type="cellIs" dxfId="7429" priority="1291" operator="greaterThan">
      <formula>0.9</formula>
    </cfRule>
    <cfRule type="cellIs" dxfId="7428" priority="1292" operator="greaterThan">
      <formula>0.85</formula>
    </cfRule>
  </conditionalFormatting>
  <conditionalFormatting sqref="N183">
    <cfRule type="cellIs" dxfId="7427" priority="1273" operator="greaterThan">
      <formula>0.9</formula>
    </cfRule>
    <cfRule type="cellIs" dxfId="7426" priority="1274" operator="greaterThan">
      <formula>0.85</formula>
    </cfRule>
  </conditionalFormatting>
  <conditionalFormatting sqref="N184">
    <cfRule type="cellIs" dxfId="7425" priority="1255" operator="greaterThan">
      <formula>0.9</formula>
    </cfRule>
    <cfRule type="cellIs" dxfId="7424" priority="1256" operator="greaterThan">
      <formula>0.85</formula>
    </cfRule>
  </conditionalFormatting>
  <conditionalFormatting sqref="N185">
    <cfRule type="cellIs" dxfId="7423" priority="1237" operator="greaterThan">
      <formula>0.9</formula>
    </cfRule>
    <cfRule type="cellIs" dxfId="7422" priority="1238" operator="greaterThan">
      <formula>0.85</formula>
    </cfRule>
  </conditionalFormatting>
  <conditionalFormatting sqref="N186">
    <cfRule type="cellIs" dxfId="7421" priority="1219" operator="greaterThan">
      <formula>0.9</formula>
    </cfRule>
    <cfRule type="cellIs" dxfId="7420" priority="1220" operator="greaterThan">
      <formula>0.85</formula>
    </cfRule>
  </conditionalFormatting>
  <conditionalFormatting sqref="N187">
    <cfRule type="cellIs" dxfId="7419" priority="1201" operator="greaterThan">
      <formula>0.9</formula>
    </cfRule>
    <cfRule type="cellIs" dxfId="7418" priority="1202" operator="greaterThan">
      <formula>0.85</formula>
    </cfRule>
  </conditionalFormatting>
  <conditionalFormatting sqref="N188">
    <cfRule type="cellIs" dxfId="7417" priority="1183" operator="greaterThan">
      <formula>0.9</formula>
    </cfRule>
    <cfRule type="cellIs" dxfId="7416" priority="1184" operator="greaterThan">
      <formula>0.85</formula>
    </cfRule>
  </conditionalFormatting>
  <conditionalFormatting sqref="N189">
    <cfRule type="cellIs" dxfId="7415" priority="1147" operator="greaterThan">
      <formula>0.9</formula>
    </cfRule>
    <cfRule type="cellIs" dxfId="7414" priority="1148" operator="greaterThan">
      <formula>0.85</formula>
    </cfRule>
  </conditionalFormatting>
  <conditionalFormatting sqref="N190">
    <cfRule type="cellIs" dxfId="7413" priority="1129" operator="greaterThan">
      <formula>0.9</formula>
    </cfRule>
    <cfRule type="cellIs" dxfId="7412" priority="1130" operator="greaterThan">
      <formula>0.85</formula>
    </cfRule>
  </conditionalFormatting>
  <conditionalFormatting sqref="N191">
    <cfRule type="cellIs" dxfId="7411" priority="1111" operator="greaterThan">
      <formula>0.9</formula>
    </cfRule>
    <cfRule type="cellIs" dxfId="7410" priority="1112" operator="greaterThan">
      <formula>0.85</formula>
    </cfRule>
  </conditionalFormatting>
  <conditionalFormatting sqref="N192">
    <cfRule type="cellIs" dxfId="7409" priority="1093" operator="greaterThan">
      <formula>0.9</formula>
    </cfRule>
    <cfRule type="cellIs" dxfId="7408" priority="1094" operator="greaterThan">
      <formula>0.85</formula>
    </cfRule>
  </conditionalFormatting>
  <conditionalFormatting sqref="N193">
    <cfRule type="cellIs" dxfId="7407" priority="1075" operator="greaterThan">
      <formula>0.9</formula>
    </cfRule>
    <cfRule type="cellIs" dxfId="7406" priority="1076" operator="greaterThan">
      <formula>0.85</formula>
    </cfRule>
  </conditionalFormatting>
  <conditionalFormatting sqref="N194">
    <cfRule type="cellIs" dxfId="7405" priority="1039" operator="greaterThan">
      <formula>0.9</formula>
    </cfRule>
    <cfRule type="cellIs" dxfId="7404" priority="1040" operator="greaterThan">
      <formula>0.85</formula>
    </cfRule>
  </conditionalFormatting>
  <conditionalFormatting sqref="N195">
    <cfRule type="cellIs" dxfId="7403" priority="1021" operator="greaterThan">
      <formula>0.9</formula>
    </cfRule>
    <cfRule type="cellIs" dxfId="7402" priority="1022" operator="greaterThan">
      <formula>0.85</formula>
    </cfRule>
  </conditionalFormatting>
  <conditionalFormatting sqref="N196">
    <cfRule type="cellIs" dxfId="7401" priority="1003" operator="greaterThan">
      <formula>0.9</formula>
    </cfRule>
    <cfRule type="cellIs" dxfId="7400" priority="1004" operator="greaterThan">
      <formula>0.85</formula>
    </cfRule>
  </conditionalFormatting>
  <conditionalFormatting sqref="N197">
    <cfRule type="cellIs" dxfId="7399" priority="985" operator="greaterThan">
      <formula>0.9</formula>
    </cfRule>
    <cfRule type="cellIs" dxfId="7398" priority="986" operator="greaterThan">
      <formula>0.85</formula>
    </cfRule>
  </conditionalFormatting>
  <conditionalFormatting sqref="N198">
    <cfRule type="cellIs" dxfId="7397" priority="967" operator="greaterThan">
      <formula>0.9</formula>
    </cfRule>
    <cfRule type="cellIs" dxfId="7396" priority="968" operator="greaterThan">
      <formula>0.85</formula>
    </cfRule>
  </conditionalFormatting>
  <conditionalFormatting sqref="N199">
    <cfRule type="cellIs" dxfId="7395" priority="949" operator="greaterThan">
      <formula>0.9</formula>
    </cfRule>
    <cfRule type="cellIs" dxfId="7394" priority="950" operator="greaterThan">
      <formula>0.85</formula>
    </cfRule>
  </conditionalFormatting>
  <conditionalFormatting sqref="N200">
    <cfRule type="cellIs" dxfId="7393" priority="931" operator="greaterThan">
      <formula>0.9</formula>
    </cfRule>
    <cfRule type="cellIs" dxfId="7392" priority="932" operator="greaterThan">
      <formula>0.85</formula>
    </cfRule>
  </conditionalFormatting>
  <conditionalFormatting sqref="N201">
    <cfRule type="cellIs" dxfId="7391" priority="913" operator="greaterThan">
      <formula>0.9</formula>
    </cfRule>
    <cfRule type="cellIs" dxfId="7390" priority="914" operator="greaterThan">
      <formula>0.85</formula>
    </cfRule>
  </conditionalFormatting>
  <conditionalFormatting sqref="N202">
    <cfRule type="cellIs" dxfId="7389" priority="895" operator="greaterThan">
      <formula>0.9</formula>
    </cfRule>
    <cfRule type="cellIs" dxfId="7388" priority="896" operator="greaterThan">
      <formula>0.85</formula>
    </cfRule>
  </conditionalFormatting>
  <conditionalFormatting sqref="N203">
    <cfRule type="cellIs" dxfId="7387" priority="841" operator="greaterThan">
      <formula>0.9</formula>
    </cfRule>
    <cfRule type="cellIs" dxfId="7386" priority="842" operator="greaterThan">
      <formula>0.85</formula>
    </cfRule>
  </conditionalFormatting>
  <conditionalFormatting sqref="N204">
    <cfRule type="cellIs" dxfId="7385" priority="823" operator="greaterThan">
      <formula>0.9</formula>
    </cfRule>
    <cfRule type="cellIs" dxfId="7384" priority="824" operator="greaterThan">
      <formula>0.85</formula>
    </cfRule>
  </conditionalFormatting>
  <conditionalFormatting sqref="N205">
    <cfRule type="cellIs" dxfId="7383" priority="805" operator="greaterThan">
      <formula>0.9</formula>
    </cfRule>
    <cfRule type="cellIs" dxfId="7382" priority="806" operator="greaterThan">
      <formula>0.85</formula>
    </cfRule>
  </conditionalFormatting>
  <conditionalFormatting sqref="N206">
    <cfRule type="cellIs" dxfId="7381" priority="787" operator="greaterThan">
      <formula>0.9</formula>
    </cfRule>
    <cfRule type="cellIs" dxfId="7380" priority="788" operator="greaterThan">
      <formula>0.85</formula>
    </cfRule>
  </conditionalFormatting>
  <conditionalFormatting sqref="N207">
    <cfRule type="cellIs" dxfId="7379" priority="769" operator="greaterThan">
      <formula>0.9</formula>
    </cfRule>
    <cfRule type="cellIs" dxfId="7378" priority="770" operator="greaterThan">
      <formula>0.85</formula>
    </cfRule>
  </conditionalFormatting>
  <conditionalFormatting sqref="N208">
    <cfRule type="cellIs" dxfId="7377" priority="751" operator="greaterThan">
      <formula>0.9</formula>
    </cfRule>
    <cfRule type="cellIs" dxfId="7376" priority="752" operator="greaterThan">
      <formula>0.85</formula>
    </cfRule>
  </conditionalFormatting>
  <conditionalFormatting sqref="N209">
    <cfRule type="cellIs" dxfId="7375" priority="715" operator="greaterThan">
      <formula>0.9</formula>
    </cfRule>
    <cfRule type="cellIs" dxfId="7374" priority="716" operator="greaterThan">
      <formula>0.85</formula>
    </cfRule>
  </conditionalFormatting>
  <conditionalFormatting sqref="N210">
    <cfRule type="cellIs" dxfId="7373" priority="679" operator="greaterThan">
      <formula>0.9</formula>
    </cfRule>
    <cfRule type="cellIs" dxfId="7372" priority="680" operator="greaterThan">
      <formula>0.85</formula>
    </cfRule>
  </conditionalFormatting>
  <conditionalFormatting sqref="N211">
    <cfRule type="cellIs" dxfId="7371" priority="661" operator="greaterThan">
      <formula>0.9</formula>
    </cfRule>
    <cfRule type="cellIs" dxfId="7370" priority="662" operator="greaterThan">
      <formula>0.85</formula>
    </cfRule>
  </conditionalFormatting>
  <conditionalFormatting sqref="N212">
    <cfRule type="cellIs" dxfId="7369" priority="643" operator="greaterThan">
      <formula>0.9</formula>
    </cfRule>
    <cfRule type="cellIs" dxfId="7368" priority="644" operator="greaterThan">
      <formula>0.85</formula>
    </cfRule>
  </conditionalFormatting>
  <conditionalFormatting sqref="N213">
    <cfRule type="cellIs" dxfId="7367" priority="625" operator="greaterThan">
      <formula>0.9</formula>
    </cfRule>
    <cfRule type="cellIs" dxfId="7366" priority="626" operator="greaterThan">
      <formula>0.85</formula>
    </cfRule>
  </conditionalFormatting>
  <conditionalFormatting sqref="N214">
    <cfRule type="cellIs" dxfId="7365" priority="607" operator="greaterThan">
      <formula>0.9</formula>
    </cfRule>
    <cfRule type="cellIs" dxfId="7364" priority="608" operator="greaterThan">
      <formula>0.85</formula>
    </cfRule>
  </conditionalFormatting>
  <conditionalFormatting sqref="N215">
    <cfRule type="cellIs" dxfId="7363" priority="589" operator="greaterThan">
      <formula>0.9</formula>
    </cfRule>
    <cfRule type="cellIs" dxfId="7362" priority="590" operator="greaterThan">
      <formula>0.85</formula>
    </cfRule>
  </conditionalFormatting>
  <conditionalFormatting sqref="N216">
    <cfRule type="cellIs" dxfId="7361" priority="553" operator="greaterThan">
      <formula>0.9</formula>
    </cfRule>
    <cfRule type="cellIs" dxfId="7360" priority="554" operator="greaterThan">
      <formula>0.85</formula>
    </cfRule>
  </conditionalFormatting>
  <conditionalFormatting sqref="N217">
    <cfRule type="cellIs" dxfId="7359" priority="535" operator="greaterThan">
      <formula>0.9</formula>
    </cfRule>
    <cfRule type="cellIs" dxfId="7358" priority="536" operator="greaterThan">
      <formula>0.85</formula>
    </cfRule>
  </conditionalFormatting>
  <conditionalFormatting sqref="N218">
    <cfRule type="cellIs" dxfId="7357" priority="517" operator="greaterThan">
      <formula>0.9</formula>
    </cfRule>
    <cfRule type="cellIs" dxfId="7356" priority="518" operator="greaterThan">
      <formula>0.85</formula>
    </cfRule>
  </conditionalFormatting>
  <conditionalFormatting sqref="N219">
    <cfRule type="cellIs" dxfId="7355" priority="499" operator="greaterThan">
      <formula>0.9</formula>
    </cfRule>
    <cfRule type="cellIs" dxfId="7354" priority="500" operator="greaterThan">
      <formula>0.85</formula>
    </cfRule>
  </conditionalFormatting>
  <conditionalFormatting sqref="N220">
    <cfRule type="cellIs" dxfId="7353" priority="481" operator="greaterThan">
      <formula>0.9</formula>
    </cfRule>
    <cfRule type="cellIs" dxfId="7352" priority="482" operator="greaterThan">
      <formula>0.85</formula>
    </cfRule>
  </conditionalFormatting>
  <conditionalFormatting sqref="N221">
    <cfRule type="cellIs" dxfId="7351" priority="463" operator="greaterThan">
      <formula>0.9</formula>
    </cfRule>
    <cfRule type="cellIs" dxfId="7350" priority="464" operator="greaterThan">
      <formula>0.85</formula>
    </cfRule>
  </conditionalFormatting>
  <conditionalFormatting sqref="N222">
    <cfRule type="cellIs" dxfId="7349" priority="445" operator="greaterThan">
      <formula>0.9</formula>
    </cfRule>
    <cfRule type="cellIs" dxfId="7348" priority="446" operator="greaterThan">
      <formula>0.85</formula>
    </cfRule>
  </conditionalFormatting>
  <conditionalFormatting sqref="N223">
    <cfRule type="cellIs" dxfId="7347" priority="427" operator="greaterThan">
      <formula>0.9</formula>
    </cfRule>
    <cfRule type="cellIs" dxfId="7346" priority="428" operator="greaterThan">
      <formula>0.85</formula>
    </cfRule>
  </conditionalFormatting>
  <conditionalFormatting sqref="N224">
    <cfRule type="cellIs" dxfId="7345" priority="391" operator="greaterThan">
      <formula>0.9</formula>
    </cfRule>
    <cfRule type="cellIs" dxfId="7344" priority="392" operator="greaterThan">
      <formula>0.85</formula>
    </cfRule>
  </conditionalFormatting>
  <conditionalFormatting sqref="N225">
    <cfRule type="cellIs" dxfId="7343" priority="373" operator="greaterThan">
      <formula>0.9</formula>
    </cfRule>
    <cfRule type="cellIs" dxfId="7342" priority="374" operator="greaterThan">
      <formula>0.85</formula>
    </cfRule>
  </conditionalFormatting>
  <conditionalFormatting sqref="N226">
    <cfRule type="cellIs" dxfId="7341" priority="355" operator="greaterThan">
      <formula>0.9</formula>
    </cfRule>
    <cfRule type="cellIs" dxfId="7340" priority="356" operator="greaterThan">
      <formula>0.85</formula>
    </cfRule>
  </conditionalFormatting>
  <conditionalFormatting sqref="N227">
    <cfRule type="cellIs" dxfId="7339" priority="337" operator="greaterThan">
      <formula>0.9</formula>
    </cfRule>
    <cfRule type="cellIs" dxfId="7338" priority="338" operator="greaterThan">
      <formula>0.85</formula>
    </cfRule>
  </conditionalFormatting>
  <conditionalFormatting sqref="N228">
    <cfRule type="cellIs" dxfId="7337" priority="319" operator="greaterThan">
      <formula>0.9</formula>
    </cfRule>
    <cfRule type="cellIs" dxfId="7336" priority="320" operator="greaterThan">
      <formula>0.85</formula>
    </cfRule>
  </conditionalFormatting>
  <conditionalFormatting sqref="N229">
    <cfRule type="cellIs" dxfId="7335" priority="301" operator="greaterThan">
      <formula>0.9</formula>
    </cfRule>
    <cfRule type="cellIs" dxfId="7334" priority="302" operator="greaterThan">
      <formula>0.85</formula>
    </cfRule>
  </conditionalFormatting>
  <conditionalFormatting sqref="N230">
    <cfRule type="cellIs" dxfId="7333" priority="283" operator="greaterThan">
      <formula>0.9</formula>
    </cfRule>
    <cfRule type="cellIs" dxfId="7332" priority="284" operator="greaterThan">
      <formula>0.85</formula>
    </cfRule>
  </conditionalFormatting>
  <conditionalFormatting sqref="N231">
    <cfRule type="cellIs" dxfId="7331" priority="265" operator="greaterThan">
      <formula>0.9</formula>
    </cfRule>
    <cfRule type="cellIs" dxfId="7330" priority="266" operator="greaterThan">
      <formula>0.85</formula>
    </cfRule>
  </conditionalFormatting>
  <conditionalFormatting sqref="N232">
    <cfRule type="cellIs" dxfId="7329" priority="247" operator="greaterThan">
      <formula>0.9</formula>
    </cfRule>
    <cfRule type="cellIs" dxfId="7328" priority="248" operator="greaterThan">
      <formula>0.85</formula>
    </cfRule>
  </conditionalFormatting>
  <conditionalFormatting sqref="N233">
    <cfRule type="cellIs" dxfId="7327" priority="229" operator="greaterThan">
      <formula>0.9</formula>
    </cfRule>
    <cfRule type="cellIs" dxfId="7326" priority="230" operator="greaterThan">
      <formula>0.85</formula>
    </cfRule>
  </conditionalFormatting>
  <conditionalFormatting sqref="N234">
    <cfRule type="cellIs" dxfId="7325" priority="211" operator="greaterThan">
      <formula>0.9</formula>
    </cfRule>
    <cfRule type="cellIs" dxfId="7324" priority="212" operator="greaterThan">
      <formula>0.85</formula>
    </cfRule>
  </conditionalFormatting>
  <conditionalFormatting sqref="N235">
    <cfRule type="cellIs" dxfId="7323" priority="193" operator="greaterThan">
      <formula>0.9</formula>
    </cfRule>
    <cfRule type="cellIs" dxfId="7322" priority="194" operator="greaterThan">
      <formula>0.85</formula>
    </cfRule>
  </conditionalFormatting>
  <conditionalFormatting sqref="N236">
    <cfRule type="cellIs" dxfId="7321" priority="175" operator="greaterThan">
      <formula>0.9</formula>
    </cfRule>
    <cfRule type="cellIs" dxfId="7320" priority="176" operator="greaterThan">
      <formula>0.85</formula>
    </cfRule>
  </conditionalFormatting>
  <conditionalFormatting sqref="N237">
    <cfRule type="cellIs" dxfId="7319" priority="157" operator="greaterThan">
      <formula>0.9</formula>
    </cfRule>
    <cfRule type="cellIs" dxfId="7318" priority="158" operator="greaterThan">
      <formula>0.85</formula>
    </cfRule>
  </conditionalFormatting>
  <conditionalFormatting sqref="N238">
    <cfRule type="cellIs" dxfId="7317" priority="139" operator="greaterThan">
      <formula>0.9</formula>
    </cfRule>
    <cfRule type="cellIs" dxfId="7316" priority="140" operator="greaterThan">
      <formula>0.85</formula>
    </cfRule>
  </conditionalFormatting>
  <conditionalFormatting sqref="N239">
    <cfRule type="cellIs" dxfId="7315" priority="121" operator="greaterThan">
      <formula>0.9</formula>
    </cfRule>
    <cfRule type="cellIs" dxfId="7314" priority="122" operator="greaterThan">
      <formula>0.85</formula>
    </cfRule>
  </conditionalFormatting>
  <conditionalFormatting sqref="N240">
    <cfRule type="cellIs" dxfId="7313" priority="103" operator="greaterThan">
      <formula>0.9</formula>
    </cfRule>
    <cfRule type="cellIs" dxfId="7312" priority="104" operator="greaterThan">
      <formula>0.85</formula>
    </cfRule>
  </conditionalFormatting>
  <conditionalFormatting sqref="N241">
    <cfRule type="cellIs" dxfId="7311" priority="85" operator="greaterThan">
      <formula>0.9</formula>
    </cfRule>
    <cfRule type="cellIs" dxfId="7310" priority="86" operator="greaterThan">
      <formula>0.85</formula>
    </cfRule>
  </conditionalFormatting>
  <conditionalFormatting sqref="N242">
    <cfRule type="cellIs" dxfId="7309" priority="67" operator="greaterThan">
      <formula>0.9</formula>
    </cfRule>
    <cfRule type="cellIs" dxfId="7308" priority="68" operator="greaterThan">
      <formula>0.85</formula>
    </cfRule>
  </conditionalFormatting>
  <conditionalFormatting sqref="N243">
    <cfRule type="cellIs" dxfId="7307" priority="49" operator="greaterThan">
      <formula>0.9</formula>
    </cfRule>
    <cfRule type="cellIs" dxfId="7306" priority="50" operator="greaterThan">
      <formula>0.85</formula>
    </cfRule>
  </conditionalFormatting>
  <conditionalFormatting sqref="N244">
    <cfRule type="cellIs" dxfId="7305" priority="31" operator="greaterThan">
      <formula>0.9</formula>
    </cfRule>
    <cfRule type="cellIs" dxfId="7304" priority="32" operator="greaterThan">
      <formula>0.85</formula>
    </cfRule>
  </conditionalFormatting>
  <conditionalFormatting sqref="E4:E245">
    <cfRule type="expression" dxfId="7303" priority="107800">
      <formula>AND(IF(OR($Q4=1,$Q4=2),1,0),IF(#REF!&lt;=20,1,0))</formula>
    </cfRule>
    <cfRule type="expression" dxfId="7302" priority="107801">
      <formula>AND(IF($Q4=2,1,0),IF(#REF!&lt;30,1,0))</formula>
    </cfRule>
    <cfRule type="expression" dxfId="7301" priority="107802">
      <formula>AND(IF($Q4=3,1,0),IF(#REF!&lt;30,1,0))</formula>
    </cfRule>
    <cfRule type="expression" dxfId="7300" priority="10780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7" sqref="H17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9" customWidth="1"/>
    <col min="52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155</v>
      </c>
      <c r="B4" s="120"/>
      <c r="C4" s="120"/>
      <c r="D4" s="79" t="s">
        <v>156</v>
      </c>
      <c r="E4" s="79" t="s">
        <v>157</v>
      </c>
      <c r="F4" s="79" t="s">
        <v>158</v>
      </c>
      <c r="G4" s="79" t="s">
        <v>159</v>
      </c>
      <c r="H4" s="79" t="s">
        <v>1643</v>
      </c>
      <c r="I4" s="79" t="s">
        <v>1644</v>
      </c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160</v>
      </c>
      <c r="B5" s="120"/>
      <c r="C5" s="120"/>
    </row>
    <row r="6" spans="1:48" x14ac:dyDescent="0.3">
      <c r="A6" s="119" t="s">
        <v>161</v>
      </c>
      <c r="B6" s="120"/>
      <c r="C6" s="120"/>
    </row>
    <row r="7" spans="1:48" x14ac:dyDescent="0.3">
      <c r="A7" s="51" t="s">
        <v>162</v>
      </c>
      <c r="B7" s="52"/>
      <c r="C7" s="53"/>
      <c r="D7" s="54" t="str">
        <f t="shared" ref="D7:W7" si="0">D4&amp;IF(D5="","",","&amp;D5)&amp;IF(D6="","",","&amp;D6)</f>
        <v>미장동</v>
      </c>
      <c r="E7" s="54" t="str">
        <f t="shared" si="0"/>
        <v>수송동</v>
      </c>
      <c r="F7" s="54" t="str">
        <f t="shared" si="0"/>
        <v>나운동</v>
      </c>
      <c r="G7" s="54" t="str">
        <f t="shared" si="0"/>
        <v>조촌동</v>
      </c>
      <c r="H7" s="54" t="str">
        <f t="shared" si="0"/>
        <v>지곡동</v>
      </c>
      <c r="I7" s="54" t="str">
        <f t="shared" si="0"/>
        <v>나운동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163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163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163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3">
        <v>5</v>
      </c>
      <c r="B11" s="55" t="s">
        <v>163</v>
      </c>
      <c r="C11" s="104">
        <v>6</v>
      </c>
      <c r="D11" s="56"/>
      <c r="E11" s="56"/>
      <c r="F11" s="56"/>
      <c r="G11" s="56" t="s">
        <v>164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103">
        <v>4</v>
      </c>
      <c r="B12" s="55" t="s">
        <v>163</v>
      </c>
      <c r="C12" s="104">
        <v>5</v>
      </c>
      <c r="D12" s="56"/>
      <c r="E12" s="56"/>
      <c r="F12" s="56"/>
      <c r="G12" s="56" t="s">
        <v>1645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48" customHeight="1" x14ac:dyDescent="0.3">
      <c r="A13" s="105">
        <v>3</v>
      </c>
      <c r="B13" s="60" t="s">
        <v>163</v>
      </c>
      <c r="C13" s="106">
        <v>4</v>
      </c>
      <c r="D13" s="61" t="s">
        <v>1885</v>
      </c>
      <c r="E13" s="61" t="s">
        <v>1613</v>
      </c>
      <c r="F13" s="61"/>
      <c r="G13" s="61" t="s">
        <v>1647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5">
        <v>2.5</v>
      </c>
      <c r="B14" s="60" t="s">
        <v>163</v>
      </c>
      <c r="C14" s="106">
        <v>3</v>
      </c>
      <c r="D14" s="61" t="s">
        <v>1617</v>
      </c>
      <c r="E14" s="61" t="s">
        <v>165</v>
      </c>
      <c r="F14" s="61"/>
      <c r="G14" s="61" t="s">
        <v>1615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5">
        <v>2</v>
      </c>
      <c r="B15" s="60" t="s">
        <v>163</v>
      </c>
      <c r="C15" s="106">
        <v>2.5</v>
      </c>
      <c r="D15" s="61" t="s">
        <v>1619</v>
      </c>
      <c r="E15" s="61" t="s">
        <v>1623</v>
      </c>
      <c r="F15" s="61" t="s">
        <v>1886</v>
      </c>
      <c r="G15" s="61" t="s">
        <v>1625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96" customHeight="1" x14ac:dyDescent="0.3">
      <c r="A16" s="107">
        <v>1.5</v>
      </c>
      <c r="B16" s="62" t="s">
        <v>163</v>
      </c>
      <c r="C16" s="108">
        <v>2</v>
      </c>
      <c r="D16" s="63" t="s">
        <v>1633</v>
      </c>
      <c r="E16" s="63" t="s">
        <v>1648</v>
      </c>
      <c r="F16" s="63" t="s">
        <v>1631</v>
      </c>
      <c r="G16" s="63" t="s">
        <v>1629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180" customHeight="1" x14ac:dyDescent="0.3">
      <c r="A17" s="107">
        <v>1</v>
      </c>
      <c r="B17" s="62" t="s">
        <v>163</v>
      </c>
      <c r="C17" s="108">
        <v>1.5</v>
      </c>
      <c r="D17" s="63"/>
      <c r="E17" s="63" t="s">
        <v>1639</v>
      </c>
      <c r="F17" s="63" t="s">
        <v>1641</v>
      </c>
      <c r="G17" s="63" t="s">
        <v>1635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99</v>
      </c>
      <c r="B20" s="52"/>
      <c r="C20" s="53"/>
      <c r="D20" s="54" t="str">
        <f t="shared" ref="D20:W20" si="1">D7</f>
        <v>미장동</v>
      </c>
      <c r="E20" s="54" t="str">
        <f t="shared" si="1"/>
        <v>수송동</v>
      </c>
      <c r="F20" s="54" t="str">
        <f t="shared" si="1"/>
        <v>나운동</v>
      </c>
      <c r="G20" s="54" t="str">
        <f t="shared" si="1"/>
        <v>조촌동</v>
      </c>
      <c r="H20" s="54" t="str">
        <f t="shared" si="1"/>
        <v>지곡동</v>
      </c>
      <c r="I20" s="54" t="str">
        <f t="shared" si="1"/>
        <v>나운동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/>
      <c r="E24" s="56"/>
      <c r="F24" s="56"/>
      <c r="G24" s="56" t="s">
        <v>166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/>
      <c r="E25" s="56"/>
      <c r="F25" s="56"/>
      <c r="G25" s="56" t="s">
        <v>1646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 t="s">
        <v>1614</v>
      </c>
      <c r="E26" s="61" t="s">
        <v>1884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 t="s">
        <v>167</v>
      </c>
      <c r="F27" s="61"/>
      <c r="G27" s="61" t="s">
        <v>1616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 t="s">
        <v>1620</v>
      </c>
      <c r="E28" s="61" t="s">
        <v>1624</v>
      </c>
      <c r="F28" s="61" t="s">
        <v>1621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60" customHeight="1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 t="s">
        <v>1627</v>
      </c>
      <c r="F29" s="63" t="s">
        <v>1632</v>
      </c>
      <c r="G29" s="63" t="s">
        <v>1630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60" customHeight="1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 t="s">
        <v>1638</v>
      </c>
      <c r="F30" s="63" t="s">
        <v>1637</v>
      </c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168</v>
      </c>
      <c r="B33" s="52"/>
      <c r="C33" s="53"/>
      <c r="D33" s="54" t="str">
        <f t="shared" ref="D33:W33" si="3">D20</f>
        <v>미장동</v>
      </c>
      <c r="E33" s="54" t="str">
        <f t="shared" si="3"/>
        <v>수송동</v>
      </c>
      <c r="F33" s="54" t="str">
        <f t="shared" si="3"/>
        <v>나운동</v>
      </c>
      <c r="G33" s="54" t="str">
        <f t="shared" si="3"/>
        <v>조촌동</v>
      </c>
      <c r="H33" s="54" t="str">
        <f t="shared" si="3"/>
        <v>지곡동</v>
      </c>
      <c r="I33" s="54" t="str">
        <f t="shared" si="3"/>
        <v>나운동</v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/>
      <c r="E39" s="61"/>
      <c r="F39" s="61"/>
      <c r="G39" s="61" t="s">
        <v>1612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 t="s">
        <v>1618</v>
      </c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 t="s">
        <v>1622</v>
      </c>
      <c r="F41" s="61" t="s">
        <v>169</v>
      </c>
      <c r="G41" s="61" t="s">
        <v>1626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 t="s">
        <v>1634</v>
      </c>
      <c r="E42" s="63" t="s">
        <v>170</v>
      </c>
      <c r="F42" s="63" t="s">
        <v>171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120" customHeight="1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 t="s">
        <v>1640</v>
      </c>
      <c r="F43" s="63" t="s">
        <v>1642</v>
      </c>
      <c r="G43" s="63" t="s">
        <v>1636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172</v>
      </c>
      <c r="B46" s="52"/>
      <c r="C46" s="53"/>
      <c r="D46" s="54" t="str">
        <f t="shared" ref="D46:W46" si="5">D33</f>
        <v>미장동</v>
      </c>
      <c r="E46" s="54" t="str">
        <f t="shared" si="5"/>
        <v>수송동</v>
      </c>
      <c r="F46" s="54" t="str">
        <f t="shared" si="5"/>
        <v>나운동</v>
      </c>
      <c r="G46" s="54" t="str">
        <f t="shared" si="5"/>
        <v>조촌동</v>
      </c>
      <c r="H46" s="54" t="str">
        <f t="shared" si="5"/>
        <v>지곡동</v>
      </c>
      <c r="I46" s="54" t="str">
        <f t="shared" si="5"/>
        <v>나운동</v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 t="s">
        <v>173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106</v>
      </c>
      <c r="B59" s="52"/>
      <c r="C59" s="53"/>
      <c r="D59" s="54" t="str">
        <f t="shared" ref="D59:W59" si="7">D46</f>
        <v>미장동</v>
      </c>
      <c r="E59" s="54" t="str">
        <f t="shared" si="7"/>
        <v>수송동</v>
      </c>
      <c r="F59" s="54" t="str">
        <f t="shared" si="7"/>
        <v>나운동</v>
      </c>
      <c r="G59" s="54" t="str">
        <f t="shared" si="7"/>
        <v>조촌동</v>
      </c>
      <c r="H59" s="54" t="str">
        <f t="shared" si="7"/>
        <v>지곡동</v>
      </c>
      <c r="I59" s="54" t="str">
        <f t="shared" si="7"/>
        <v>나운동</v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customHeight="1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 t="s">
        <v>1628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174</v>
      </c>
      <c r="B1" s="71"/>
    </row>
    <row r="2" spans="1:2" x14ac:dyDescent="0.3">
      <c r="A2" s="74" t="s">
        <v>175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78"/>
  <sheetViews>
    <sheetView zoomScaleNormal="100" workbookViewId="0">
      <selection activeCell="M8" sqref="M8"/>
    </sheetView>
  </sheetViews>
  <sheetFormatPr defaultRowHeight="16.5" x14ac:dyDescent="0.3"/>
  <cols>
    <col min="1" max="38" width="9" style="74" customWidth="1"/>
  </cols>
  <sheetData>
    <row r="1" spans="1:38" x14ac:dyDescent="0.3">
      <c r="A1" s="74" t="s">
        <v>176</v>
      </c>
      <c r="B1" s="74">
        <v>4952</v>
      </c>
      <c r="C1" s="74">
        <v>1</v>
      </c>
      <c r="D1" s="74" t="s">
        <v>177</v>
      </c>
      <c r="E1" s="74" t="s">
        <v>178</v>
      </c>
      <c r="F1" s="74">
        <v>304</v>
      </c>
      <c r="G1" s="74">
        <v>23.24</v>
      </c>
      <c r="H1" s="74">
        <v>76.83</v>
      </c>
      <c r="I1" s="74">
        <v>17.920000000000002</v>
      </c>
      <c r="J1" s="74">
        <v>59.25</v>
      </c>
      <c r="K1" s="74">
        <v>138</v>
      </c>
      <c r="T1" s="74">
        <v>3</v>
      </c>
      <c r="U1" s="74">
        <v>1</v>
      </c>
      <c r="V1" s="74" t="s">
        <v>179</v>
      </c>
      <c r="W1" s="74">
        <v>76</v>
      </c>
      <c r="X1" s="74">
        <v>15</v>
      </c>
      <c r="Y1" s="74">
        <v>7</v>
      </c>
      <c r="Z1" s="74" t="s">
        <v>180</v>
      </c>
      <c r="AA1" s="74" t="s">
        <v>181</v>
      </c>
      <c r="AB1" s="74" t="s">
        <v>182</v>
      </c>
      <c r="AC1" s="74" t="s">
        <v>183</v>
      </c>
      <c r="AD1" s="74" t="s">
        <v>184</v>
      </c>
      <c r="AG1" s="74" t="s">
        <v>185</v>
      </c>
      <c r="AH1" s="74">
        <v>0</v>
      </c>
      <c r="AI1" s="74">
        <v>0</v>
      </c>
      <c r="AJ1" s="74">
        <v>0</v>
      </c>
      <c r="AK1" s="74">
        <v>0</v>
      </c>
      <c r="AL1" s="74">
        <v>0</v>
      </c>
    </row>
    <row r="2" spans="1:38" x14ac:dyDescent="0.3">
      <c r="A2" s="74" t="s">
        <v>176</v>
      </c>
      <c r="B2" s="74">
        <v>4952</v>
      </c>
      <c r="C2" s="74">
        <v>2</v>
      </c>
      <c r="D2" s="74" t="s">
        <v>177</v>
      </c>
      <c r="E2" s="74" t="s">
        <v>178</v>
      </c>
      <c r="F2" s="74">
        <v>304</v>
      </c>
      <c r="G2" s="74">
        <v>27.55</v>
      </c>
      <c r="H2" s="74">
        <v>91.1</v>
      </c>
      <c r="I2" s="74">
        <v>22.42</v>
      </c>
      <c r="J2" s="74">
        <v>74.14</v>
      </c>
      <c r="K2" s="74">
        <v>87</v>
      </c>
      <c r="T2" s="74">
        <v>3</v>
      </c>
      <c r="U2" s="74">
        <v>2</v>
      </c>
      <c r="V2" s="74" t="s">
        <v>186</v>
      </c>
      <c r="W2" s="74">
        <v>91</v>
      </c>
      <c r="X2" s="74">
        <v>15</v>
      </c>
      <c r="Y2" s="74">
        <v>7</v>
      </c>
      <c r="Z2" s="74" t="s">
        <v>180</v>
      </c>
      <c r="AA2" s="74" t="s">
        <v>181</v>
      </c>
      <c r="AB2" s="74" t="s">
        <v>182</v>
      </c>
      <c r="AC2" s="74" t="s">
        <v>183</v>
      </c>
      <c r="AD2" s="74" t="s">
        <v>184</v>
      </c>
      <c r="AG2" s="74" t="s">
        <v>185</v>
      </c>
      <c r="AH2" s="74">
        <v>0</v>
      </c>
      <c r="AI2" s="74">
        <v>0</v>
      </c>
      <c r="AJ2" s="74">
        <v>0</v>
      </c>
      <c r="AK2" s="74">
        <v>0</v>
      </c>
      <c r="AL2" s="74">
        <v>0</v>
      </c>
    </row>
    <row r="3" spans="1:38" x14ac:dyDescent="0.3">
      <c r="A3" s="74" t="s">
        <v>176</v>
      </c>
      <c r="B3" s="74">
        <v>4952</v>
      </c>
      <c r="C3" s="74">
        <v>3</v>
      </c>
      <c r="D3" s="74" t="s">
        <v>177</v>
      </c>
      <c r="E3" s="74" t="s">
        <v>178</v>
      </c>
      <c r="F3" s="74">
        <v>304</v>
      </c>
      <c r="G3" s="74">
        <v>31.9</v>
      </c>
      <c r="H3" s="74">
        <v>105.47</v>
      </c>
      <c r="I3" s="74">
        <v>25.71</v>
      </c>
      <c r="J3" s="74">
        <v>85</v>
      </c>
      <c r="K3" s="74">
        <v>79</v>
      </c>
      <c r="T3" s="74">
        <v>3</v>
      </c>
      <c r="U3" s="74">
        <v>2</v>
      </c>
      <c r="V3" s="74" t="s">
        <v>186</v>
      </c>
      <c r="W3" s="74">
        <v>105</v>
      </c>
      <c r="X3" s="74">
        <v>15</v>
      </c>
      <c r="Y3" s="74">
        <v>7</v>
      </c>
      <c r="Z3" s="74" t="s">
        <v>180</v>
      </c>
      <c r="AA3" s="74" t="s">
        <v>181</v>
      </c>
      <c r="AB3" s="74" t="s">
        <v>182</v>
      </c>
      <c r="AC3" s="74" t="s">
        <v>183</v>
      </c>
      <c r="AD3" s="74" t="s">
        <v>184</v>
      </c>
      <c r="AG3" s="74" t="s">
        <v>185</v>
      </c>
      <c r="AH3" s="74">
        <v>0</v>
      </c>
      <c r="AI3" s="74">
        <v>0</v>
      </c>
      <c r="AJ3" s="74">
        <v>0</v>
      </c>
      <c r="AK3" s="74">
        <v>0</v>
      </c>
      <c r="AL3" s="74">
        <v>0</v>
      </c>
    </row>
    <row r="4" spans="1:38" x14ac:dyDescent="0.3">
      <c r="A4" s="74" t="s">
        <v>176</v>
      </c>
      <c r="B4" s="74">
        <v>16980</v>
      </c>
      <c r="C4" s="74">
        <v>1</v>
      </c>
      <c r="D4" s="74" t="s">
        <v>187</v>
      </c>
      <c r="E4" s="74" t="s">
        <v>188</v>
      </c>
      <c r="F4" s="74">
        <v>72</v>
      </c>
      <c r="G4" s="74">
        <v>22.84</v>
      </c>
      <c r="H4" s="74">
        <v>75.52</v>
      </c>
      <c r="I4" s="74">
        <v>18.14</v>
      </c>
      <c r="J4" s="74">
        <v>59.97</v>
      </c>
      <c r="K4" s="74">
        <v>36</v>
      </c>
      <c r="T4" s="74">
        <v>3</v>
      </c>
      <c r="U4" s="74">
        <v>1</v>
      </c>
      <c r="V4" s="74" t="s">
        <v>186</v>
      </c>
      <c r="W4" s="74">
        <v>75</v>
      </c>
      <c r="X4" s="74">
        <v>6</v>
      </c>
      <c r="Y4" s="74">
        <v>6</v>
      </c>
      <c r="Z4" s="74" t="s">
        <v>189</v>
      </c>
      <c r="AA4" s="74" t="s">
        <v>190</v>
      </c>
      <c r="AB4" s="74" t="s">
        <v>182</v>
      </c>
      <c r="AC4" s="74" t="s">
        <v>183</v>
      </c>
      <c r="AD4" s="74" t="s">
        <v>184</v>
      </c>
      <c r="AG4" s="74" t="s">
        <v>191</v>
      </c>
      <c r="AH4" s="74">
        <v>0</v>
      </c>
      <c r="AI4" s="74">
        <v>0</v>
      </c>
      <c r="AJ4" s="74">
        <v>0</v>
      </c>
      <c r="AK4" s="74">
        <v>0</v>
      </c>
      <c r="AL4" s="74">
        <v>0</v>
      </c>
    </row>
    <row r="5" spans="1:38" x14ac:dyDescent="0.3">
      <c r="A5" s="74" t="s">
        <v>176</v>
      </c>
      <c r="B5" s="74">
        <v>16980</v>
      </c>
      <c r="C5" s="74">
        <v>2</v>
      </c>
      <c r="D5" s="74" t="s">
        <v>187</v>
      </c>
      <c r="E5" s="74" t="s">
        <v>188</v>
      </c>
      <c r="F5" s="74">
        <v>72</v>
      </c>
      <c r="G5" s="74">
        <v>31.1</v>
      </c>
      <c r="H5" s="74">
        <v>102.82</v>
      </c>
      <c r="I5" s="74">
        <v>25.31</v>
      </c>
      <c r="J5" s="74">
        <v>83.7</v>
      </c>
      <c r="K5" s="74">
        <v>36</v>
      </c>
      <c r="T5" s="74">
        <v>3</v>
      </c>
      <c r="U5" s="74">
        <v>2</v>
      </c>
      <c r="V5" s="74" t="s">
        <v>186</v>
      </c>
      <c r="W5" s="74">
        <v>102</v>
      </c>
      <c r="X5" s="74">
        <v>6</v>
      </c>
      <c r="Y5" s="74">
        <v>6</v>
      </c>
      <c r="Z5" s="74" t="s">
        <v>189</v>
      </c>
      <c r="AA5" s="74" t="s">
        <v>190</v>
      </c>
      <c r="AB5" s="74" t="s">
        <v>182</v>
      </c>
      <c r="AC5" s="74" t="s">
        <v>183</v>
      </c>
      <c r="AD5" s="74" t="s">
        <v>184</v>
      </c>
      <c r="AG5" s="74" t="s">
        <v>191</v>
      </c>
      <c r="AH5" s="74">
        <v>0</v>
      </c>
      <c r="AI5" s="74">
        <v>0</v>
      </c>
      <c r="AJ5" s="74">
        <v>0</v>
      </c>
      <c r="AK5" s="74">
        <v>0</v>
      </c>
      <c r="AL5" s="74">
        <v>0</v>
      </c>
    </row>
    <row r="6" spans="1:38" x14ac:dyDescent="0.3">
      <c r="A6" s="74" t="s">
        <v>176</v>
      </c>
      <c r="B6" s="74">
        <v>107110</v>
      </c>
      <c r="C6" s="74">
        <v>1</v>
      </c>
      <c r="D6" s="74" t="s">
        <v>192</v>
      </c>
      <c r="E6" s="74" t="s">
        <v>193</v>
      </c>
      <c r="F6" s="74">
        <v>352</v>
      </c>
      <c r="G6" s="74">
        <v>32.96</v>
      </c>
      <c r="H6" s="74">
        <v>108.97</v>
      </c>
      <c r="I6" s="74">
        <v>25.36</v>
      </c>
      <c r="J6" s="74">
        <v>83.86</v>
      </c>
      <c r="K6" s="74">
        <v>20</v>
      </c>
      <c r="T6" s="74">
        <v>3</v>
      </c>
      <c r="U6" s="74">
        <v>2</v>
      </c>
      <c r="V6" s="74" t="s">
        <v>186</v>
      </c>
      <c r="W6" s="74" t="s">
        <v>194</v>
      </c>
      <c r="X6" s="74">
        <v>29</v>
      </c>
      <c r="Y6" s="74">
        <v>10</v>
      </c>
      <c r="Z6" s="74" t="s">
        <v>195</v>
      </c>
      <c r="AA6" s="74" t="s">
        <v>196</v>
      </c>
      <c r="AB6" s="74" t="s">
        <v>182</v>
      </c>
      <c r="AC6" s="74" t="s">
        <v>183</v>
      </c>
      <c r="AD6" s="74" t="s">
        <v>184</v>
      </c>
      <c r="AG6" s="74" t="s">
        <v>197</v>
      </c>
      <c r="AH6" s="74">
        <v>0</v>
      </c>
      <c r="AI6" s="74">
        <v>219</v>
      </c>
      <c r="AJ6" s="74">
        <v>58</v>
      </c>
      <c r="AK6" s="74">
        <v>423</v>
      </c>
      <c r="AL6" s="74">
        <v>1.2</v>
      </c>
    </row>
    <row r="7" spans="1:38" x14ac:dyDescent="0.3">
      <c r="A7" s="74" t="s">
        <v>176</v>
      </c>
      <c r="B7" s="74">
        <v>107110</v>
      </c>
      <c r="C7" s="74">
        <v>2</v>
      </c>
      <c r="D7" s="74" t="s">
        <v>192</v>
      </c>
      <c r="E7" s="74" t="s">
        <v>193</v>
      </c>
      <c r="F7" s="74">
        <v>352</v>
      </c>
      <c r="G7" s="74">
        <v>33.119999999999997</v>
      </c>
      <c r="H7" s="74">
        <v>109.49</v>
      </c>
      <c r="I7" s="74">
        <v>25.7</v>
      </c>
      <c r="J7" s="74">
        <v>84.97</v>
      </c>
      <c r="K7" s="74">
        <v>104</v>
      </c>
      <c r="T7" s="74">
        <v>3</v>
      </c>
      <c r="U7" s="74">
        <v>2</v>
      </c>
      <c r="V7" s="74" t="s">
        <v>186</v>
      </c>
      <c r="W7" s="74" t="s">
        <v>198</v>
      </c>
      <c r="X7" s="74">
        <v>29</v>
      </c>
      <c r="Y7" s="74">
        <v>10</v>
      </c>
      <c r="Z7" s="74" t="s">
        <v>195</v>
      </c>
      <c r="AA7" s="74" t="s">
        <v>196</v>
      </c>
      <c r="AB7" s="74" t="s">
        <v>182</v>
      </c>
      <c r="AC7" s="74" t="s">
        <v>183</v>
      </c>
      <c r="AD7" s="74" t="s">
        <v>184</v>
      </c>
      <c r="AG7" s="74" t="s">
        <v>197</v>
      </c>
      <c r="AH7" s="74">
        <v>0</v>
      </c>
      <c r="AI7" s="74">
        <v>219</v>
      </c>
      <c r="AJ7" s="74">
        <v>58</v>
      </c>
      <c r="AK7" s="74">
        <v>423</v>
      </c>
      <c r="AL7" s="74">
        <v>1.2</v>
      </c>
    </row>
    <row r="8" spans="1:38" x14ac:dyDescent="0.3">
      <c r="A8" s="74" t="s">
        <v>176</v>
      </c>
      <c r="B8" s="74">
        <v>107110</v>
      </c>
      <c r="C8" s="74">
        <v>3</v>
      </c>
      <c r="D8" s="74" t="s">
        <v>192</v>
      </c>
      <c r="E8" s="74" t="s">
        <v>193</v>
      </c>
      <c r="F8" s="74">
        <v>352</v>
      </c>
      <c r="G8" s="74">
        <v>33.46</v>
      </c>
      <c r="H8" s="74">
        <v>110.64</v>
      </c>
      <c r="I8" s="74">
        <v>25.55</v>
      </c>
      <c r="J8" s="74">
        <v>84.49</v>
      </c>
      <c r="K8" s="74">
        <v>131</v>
      </c>
      <c r="T8" s="74">
        <v>3</v>
      </c>
      <c r="U8" s="74">
        <v>2</v>
      </c>
      <c r="V8" s="74" t="s">
        <v>186</v>
      </c>
      <c r="W8" s="74" t="s">
        <v>97</v>
      </c>
      <c r="X8" s="74">
        <v>29</v>
      </c>
      <c r="Y8" s="74">
        <v>10</v>
      </c>
      <c r="Z8" s="74" t="s">
        <v>195</v>
      </c>
      <c r="AA8" s="74" t="s">
        <v>196</v>
      </c>
      <c r="AB8" s="74" t="s">
        <v>182</v>
      </c>
      <c r="AC8" s="74" t="s">
        <v>183</v>
      </c>
      <c r="AD8" s="74" t="s">
        <v>184</v>
      </c>
      <c r="AG8" s="74" t="s">
        <v>197</v>
      </c>
      <c r="AH8" s="74">
        <v>0</v>
      </c>
      <c r="AI8" s="74">
        <v>219</v>
      </c>
      <c r="AJ8" s="74">
        <v>58</v>
      </c>
      <c r="AK8" s="74">
        <v>423</v>
      </c>
      <c r="AL8" s="74">
        <v>1.2</v>
      </c>
    </row>
    <row r="9" spans="1:38" x14ac:dyDescent="0.3">
      <c r="A9" s="74" t="s">
        <v>176</v>
      </c>
      <c r="B9" s="74">
        <v>107110</v>
      </c>
      <c r="C9" s="74">
        <v>4</v>
      </c>
      <c r="D9" s="74" t="s">
        <v>192</v>
      </c>
      <c r="E9" s="74" t="s">
        <v>193</v>
      </c>
      <c r="F9" s="74">
        <v>352</v>
      </c>
      <c r="G9" s="74">
        <v>33.31</v>
      </c>
      <c r="H9" s="74">
        <v>110.14</v>
      </c>
      <c r="I9" s="74">
        <v>25.69</v>
      </c>
      <c r="J9" s="74">
        <v>84.94</v>
      </c>
      <c r="K9" s="74">
        <v>97</v>
      </c>
      <c r="T9" s="74">
        <v>3</v>
      </c>
      <c r="U9" s="74">
        <v>2</v>
      </c>
      <c r="V9" s="74" t="s">
        <v>186</v>
      </c>
      <c r="W9" s="74" t="s">
        <v>62</v>
      </c>
      <c r="X9" s="74">
        <v>29</v>
      </c>
      <c r="Y9" s="74">
        <v>10</v>
      </c>
      <c r="Z9" s="74" t="s">
        <v>195</v>
      </c>
      <c r="AA9" s="74" t="s">
        <v>196</v>
      </c>
      <c r="AB9" s="74" t="s">
        <v>182</v>
      </c>
      <c r="AC9" s="74" t="s">
        <v>183</v>
      </c>
      <c r="AD9" s="74" t="s">
        <v>184</v>
      </c>
      <c r="AG9" s="74" t="s">
        <v>197</v>
      </c>
      <c r="AH9" s="74">
        <v>0</v>
      </c>
      <c r="AI9" s="74">
        <v>219</v>
      </c>
      <c r="AJ9" s="74">
        <v>58</v>
      </c>
      <c r="AK9" s="74">
        <v>423</v>
      </c>
      <c r="AL9" s="74">
        <v>1.2</v>
      </c>
    </row>
    <row r="10" spans="1:38" x14ac:dyDescent="0.3">
      <c r="A10" s="74" t="s">
        <v>176</v>
      </c>
      <c r="B10" s="74">
        <v>14952</v>
      </c>
      <c r="C10" s="74">
        <v>1</v>
      </c>
      <c r="D10" s="74" t="s">
        <v>199</v>
      </c>
      <c r="E10" s="74" t="s">
        <v>200</v>
      </c>
      <c r="F10" s="74">
        <v>84</v>
      </c>
      <c r="G10" s="74">
        <v>24.51</v>
      </c>
      <c r="H10" s="74">
        <v>81.05</v>
      </c>
      <c r="I10" s="74">
        <v>18.059999999999999</v>
      </c>
      <c r="J10" s="74">
        <v>59.73</v>
      </c>
      <c r="K10" s="74">
        <v>67</v>
      </c>
      <c r="T10" s="74">
        <v>3</v>
      </c>
      <c r="U10" s="74">
        <v>1</v>
      </c>
      <c r="V10" s="74" t="s">
        <v>186</v>
      </c>
      <c r="W10" s="74">
        <v>81</v>
      </c>
      <c r="X10" s="74">
        <v>10</v>
      </c>
      <c r="Y10" s="74">
        <v>7</v>
      </c>
      <c r="Z10" s="74" t="s">
        <v>201</v>
      </c>
      <c r="AA10" s="74" t="s">
        <v>202</v>
      </c>
      <c r="AB10" s="74" t="s">
        <v>182</v>
      </c>
      <c r="AC10" s="74" t="s">
        <v>183</v>
      </c>
      <c r="AD10" s="74" t="s">
        <v>184</v>
      </c>
      <c r="AG10" s="74" t="s">
        <v>203</v>
      </c>
      <c r="AH10" s="74">
        <v>0</v>
      </c>
      <c r="AI10" s="74">
        <v>256</v>
      </c>
      <c r="AJ10" s="74">
        <v>33</v>
      </c>
      <c r="AK10" s="74">
        <v>37</v>
      </c>
      <c r="AL10" s="74">
        <v>0.44</v>
      </c>
    </row>
    <row r="11" spans="1:38" x14ac:dyDescent="0.3">
      <c r="A11" s="74" t="s">
        <v>176</v>
      </c>
      <c r="B11" s="74">
        <v>14952</v>
      </c>
      <c r="C11" s="74">
        <v>2</v>
      </c>
      <c r="D11" s="74" t="s">
        <v>199</v>
      </c>
      <c r="E11" s="74" t="s">
        <v>200</v>
      </c>
      <c r="F11" s="74">
        <v>84</v>
      </c>
      <c r="G11" s="74">
        <v>34.17</v>
      </c>
      <c r="H11" s="74">
        <v>112.97</v>
      </c>
      <c r="I11" s="74">
        <v>25.18</v>
      </c>
      <c r="J11" s="74">
        <v>83.25</v>
      </c>
      <c r="K11" s="74">
        <v>10</v>
      </c>
      <c r="T11" s="74">
        <v>3</v>
      </c>
      <c r="U11" s="74">
        <v>2</v>
      </c>
      <c r="V11" s="74" t="s">
        <v>186</v>
      </c>
      <c r="W11" s="74">
        <v>112</v>
      </c>
      <c r="X11" s="74">
        <v>10</v>
      </c>
      <c r="Y11" s="74">
        <v>7</v>
      </c>
      <c r="Z11" s="74" t="s">
        <v>201</v>
      </c>
      <c r="AA11" s="74" t="s">
        <v>202</v>
      </c>
      <c r="AB11" s="74" t="s">
        <v>182</v>
      </c>
      <c r="AC11" s="74" t="s">
        <v>183</v>
      </c>
      <c r="AD11" s="74" t="s">
        <v>184</v>
      </c>
      <c r="AG11" s="74" t="s">
        <v>203</v>
      </c>
      <c r="AH11" s="74">
        <v>0</v>
      </c>
      <c r="AI11" s="74">
        <v>256</v>
      </c>
      <c r="AJ11" s="74">
        <v>33</v>
      </c>
      <c r="AK11" s="74">
        <v>37</v>
      </c>
      <c r="AL11" s="74">
        <v>0.44</v>
      </c>
    </row>
    <row r="12" spans="1:38" x14ac:dyDescent="0.3">
      <c r="A12" s="74" t="s">
        <v>176</v>
      </c>
      <c r="B12" s="74">
        <v>14952</v>
      </c>
      <c r="C12" s="74">
        <v>3</v>
      </c>
      <c r="D12" s="74" t="s">
        <v>199</v>
      </c>
      <c r="E12" s="74" t="s">
        <v>200</v>
      </c>
      <c r="F12" s="74">
        <v>84</v>
      </c>
      <c r="G12" s="74">
        <v>34.869999999999997</v>
      </c>
      <c r="H12" s="74">
        <v>115.29</v>
      </c>
      <c r="I12" s="74">
        <v>25.7</v>
      </c>
      <c r="J12" s="74">
        <v>84.96</v>
      </c>
      <c r="K12" s="74">
        <v>7</v>
      </c>
      <c r="T12" s="74">
        <v>3</v>
      </c>
      <c r="U12" s="74">
        <v>2</v>
      </c>
      <c r="V12" s="74" t="s">
        <v>186</v>
      </c>
      <c r="W12" s="74">
        <v>115</v>
      </c>
      <c r="X12" s="74">
        <v>10</v>
      </c>
      <c r="Y12" s="74">
        <v>7</v>
      </c>
      <c r="Z12" s="74" t="s">
        <v>201</v>
      </c>
      <c r="AA12" s="74" t="s">
        <v>202</v>
      </c>
      <c r="AB12" s="74" t="s">
        <v>182</v>
      </c>
      <c r="AC12" s="74" t="s">
        <v>183</v>
      </c>
      <c r="AD12" s="74" t="s">
        <v>184</v>
      </c>
      <c r="AG12" s="74" t="s">
        <v>203</v>
      </c>
      <c r="AH12" s="74">
        <v>0</v>
      </c>
      <c r="AI12" s="74">
        <v>256</v>
      </c>
      <c r="AJ12" s="74">
        <v>33</v>
      </c>
      <c r="AK12" s="74">
        <v>37</v>
      </c>
      <c r="AL12" s="74">
        <v>0.44</v>
      </c>
    </row>
    <row r="13" spans="1:38" x14ac:dyDescent="0.3">
      <c r="A13" s="74" t="s">
        <v>176</v>
      </c>
      <c r="B13" s="74">
        <v>117452</v>
      </c>
      <c r="C13" s="74">
        <v>1</v>
      </c>
      <c r="D13" s="74" t="s">
        <v>204</v>
      </c>
      <c r="E13" s="74" t="s">
        <v>205</v>
      </c>
      <c r="F13" s="74">
        <v>880</v>
      </c>
      <c r="G13" s="74">
        <v>16.62</v>
      </c>
      <c r="H13" s="74">
        <v>54.95</v>
      </c>
      <c r="I13" s="74">
        <v>12.08</v>
      </c>
      <c r="J13" s="74">
        <v>39.950000000000003</v>
      </c>
      <c r="K13" s="74">
        <v>163</v>
      </c>
      <c r="T13" s="74">
        <v>3</v>
      </c>
      <c r="U13" s="74">
        <v>1</v>
      </c>
      <c r="V13" s="74" t="s">
        <v>186</v>
      </c>
      <c r="W13" s="74">
        <v>54</v>
      </c>
      <c r="X13" s="74">
        <v>17</v>
      </c>
      <c r="Y13" s="74">
        <v>13</v>
      </c>
      <c r="Z13" s="74" t="s">
        <v>206</v>
      </c>
      <c r="AA13" s="74" t="s">
        <v>207</v>
      </c>
      <c r="AB13" s="74" t="s">
        <v>182</v>
      </c>
      <c r="AC13" s="74" t="s">
        <v>183</v>
      </c>
      <c r="AD13" s="74" t="s">
        <v>184</v>
      </c>
      <c r="AG13" s="74" t="s">
        <v>208</v>
      </c>
      <c r="AH13" s="74">
        <v>717</v>
      </c>
      <c r="AI13" s="74">
        <v>317</v>
      </c>
      <c r="AJ13" s="74">
        <v>29</v>
      </c>
      <c r="AK13" s="74">
        <v>539</v>
      </c>
      <c r="AL13" s="74">
        <v>0.61</v>
      </c>
    </row>
    <row r="14" spans="1:38" x14ac:dyDescent="0.3">
      <c r="A14" s="74" t="s">
        <v>209</v>
      </c>
      <c r="B14" s="74">
        <v>100924</v>
      </c>
      <c r="C14" s="74">
        <v>1</v>
      </c>
      <c r="D14" s="74" t="s">
        <v>210</v>
      </c>
      <c r="E14" s="74" t="s">
        <v>211</v>
      </c>
      <c r="F14" s="74">
        <v>173</v>
      </c>
      <c r="G14" s="74">
        <v>27.32</v>
      </c>
      <c r="H14" s="74">
        <v>90.34</v>
      </c>
      <c r="I14" s="74">
        <v>18.14</v>
      </c>
      <c r="J14" s="74">
        <v>59.98</v>
      </c>
      <c r="K14" s="74">
        <v>89</v>
      </c>
      <c r="T14" s="74">
        <v>3</v>
      </c>
      <c r="U14" s="74">
        <v>1</v>
      </c>
      <c r="V14" s="74" t="s">
        <v>179</v>
      </c>
      <c r="W14" s="74">
        <v>90</v>
      </c>
      <c r="X14" s="74">
        <v>15</v>
      </c>
      <c r="Y14" s="74">
        <v>15</v>
      </c>
      <c r="Z14" s="74" t="s">
        <v>212</v>
      </c>
      <c r="AA14" s="74" t="s">
        <v>213</v>
      </c>
      <c r="AB14" s="74" t="s">
        <v>182</v>
      </c>
      <c r="AC14" s="74" t="s">
        <v>183</v>
      </c>
      <c r="AD14" s="74" t="s">
        <v>214</v>
      </c>
      <c r="AG14" s="74" t="s">
        <v>215</v>
      </c>
      <c r="AH14" s="74">
        <v>0</v>
      </c>
      <c r="AI14" s="74">
        <v>433</v>
      </c>
      <c r="AJ14" s="74">
        <v>31</v>
      </c>
      <c r="AK14" s="74">
        <v>148</v>
      </c>
      <c r="AL14" s="74">
        <v>0.86</v>
      </c>
    </row>
    <row r="15" spans="1:38" x14ac:dyDescent="0.3">
      <c r="A15" s="74" t="s">
        <v>209</v>
      </c>
      <c r="B15" s="74">
        <v>100924</v>
      </c>
      <c r="C15" s="74">
        <v>2</v>
      </c>
      <c r="D15" s="74" t="s">
        <v>210</v>
      </c>
      <c r="E15" s="74" t="s">
        <v>211</v>
      </c>
      <c r="F15" s="74">
        <v>173</v>
      </c>
      <c r="G15" s="74">
        <v>28.21</v>
      </c>
      <c r="H15" s="74">
        <v>93.27</v>
      </c>
      <c r="I15" s="74">
        <v>18.14</v>
      </c>
      <c r="J15" s="74">
        <v>59.98</v>
      </c>
      <c r="K15" s="74">
        <v>84</v>
      </c>
      <c r="T15" s="74">
        <v>3</v>
      </c>
      <c r="U15" s="74">
        <v>1</v>
      </c>
      <c r="V15" s="74" t="s">
        <v>179</v>
      </c>
      <c r="W15" s="74">
        <v>93</v>
      </c>
      <c r="X15" s="74">
        <v>15</v>
      </c>
      <c r="Y15" s="74">
        <v>15</v>
      </c>
      <c r="Z15" s="74" t="s">
        <v>212</v>
      </c>
      <c r="AA15" s="74" t="s">
        <v>213</v>
      </c>
      <c r="AB15" s="74" t="s">
        <v>182</v>
      </c>
      <c r="AC15" s="74" t="s">
        <v>183</v>
      </c>
      <c r="AD15" s="74" t="s">
        <v>214</v>
      </c>
      <c r="AG15" s="74" t="s">
        <v>215</v>
      </c>
      <c r="AH15" s="74">
        <v>0</v>
      </c>
      <c r="AI15" s="74">
        <v>433</v>
      </c>
      <c r="AJ15" s="74">
        <v>31</v>
      </c>
      <c r="AK15" s="74">
        <v>148</v>
      </c>
      <c r="AL15" s="74">
        <v>0.86</v>
      </c>
    </row>
    <row r="16" spans="1:38" x14ac:dyDescent="0.3">
      <c r="A16" s="74" t="s">
        <v>216</v>
      </c>
      <c r="B16" s="74">
        <v>4953</v>
      </c>
      <c r="C16" s="74">
        <v>1</v>
      </c>
      <c r="D16" s="74" t="s">
        <v>217</v>
      </c>
      <c r="E16" s="74" t="s">
        <v>218</v>
      </c>
      <c r="F16" s="74">
        <v>1084</v>
      </c>
      <c r="G16" s="74">
        <v>24.22</v>
      </c>
      <c r="H16" s="74">
        <v>80.069999999999993</v>
      </c>
      <c r="I16" s="74">
        <v>18.11</v>
      </c>
      <c r="J16" s="74">
        <v>59.9</v>
      </c>
      <c r="K16" s="74">
        <v>427</v>
      </c>
      <c r="T16" s="74">
        <v>3</v>
      </c>
      <c r="U16" s="74">
        <v>1</v>
      </c>
      <c r="V16" s="74" t="s">
        <v>186</v>
      </c>
      <c r="W16" s="74">
        <v>80</v>
      </c>
      <c r="X16" s="74">
        <v>15</v>
      </c>
      <c r="Y16" s="74">
        <v>15</v>
      </c>
      <c r="Z16" s="74" t="s">
        <v>219</v>
      </c>
      <c r="AA16" s="74" t="s">
        <v>220</v>
      </c>
      <c r="AB16" s="74" t="s">
        <v>182</v>
      </c>
      <c r="AC16" s="74" t="s">
        <v>183</v>
      </c>
      <c r="AD16" s="74" t="s">
        <v>221</v>
      </c>
      <c r="AG16" s="74" t="s">
        <v>222</v>
      </c>
      <c r="AH16" s="74">
        <v>0</v>
      </c>
      <c r="AI16" s="74">
        <v>0</v>
      </c>
      <c r="AJ16" s="74">
        <v>0</v>
      </c>
      <c r="AK16" s="74">
        <v>654</v>
      </c>
      <c r="AL16" s="74">
        <v>0.6</v>
      </c>
    </row>
    <row r="17" spans="1:38" x14ac:dyDescent="0.3">
      <c r="A17" s="74" t="s">
        <v>216</v>
      </c>
      <c r="B17" s="74">
        <v>4953</v>
      </c>
      <c r="C17" s="74">
        <v>2</v>
      </c>
      <c r="D17" s="74" t="s">
        <v>217</v>
      </c>
      <c r="E17" s="74" t="s">
        <v>218</v>
      </c>
      <c r="F17" s="74">
        <v>1084</v>
      </c>
      <c r="G17" s="74">
        <v>31</v>
      </c>
      <c r="H17" s="74">
        <v>102.5</v>
      </c>
      <c r="I17" s="74">
        <v>25.68</v>
      </c>
      <c r="J17" s="74">
        <v>84.9</v>
      </c>
      <c r="K17" s="74">
        <v>537</v>
      </c>
      <c r="T17" s="74">
        <v>3</v>
      </c>
      <c r="U17" s="74">
        <v>2</v>
      </c>
      <c r="V17" s="74" t="s">
        <v>186</v>
      </c>
      <c r="W17" s="74">
        <v>102</v>
      </c>
      <c r="X17" s="74">
        <v>15</v>
      </c>
      <c r="Y17" s="74">
        <v>15</v>
      </c>
      <c r="Z17" s="74" t="s">
        <v>219</v>
      </c>
      <c r="AA17" s="74" t="s">
        <v>220</v>
      </c>
      <c r="AB17" s="74" t="s">
        <v>182</v>
      </c>
      <c r="AC17" s="74" t="s">
        <v>183</v>
      </c>
      <c r="AD17" s="74" t="s">
        <v>221</v>
      </c>
      <c r="AG17" s="74" t="s">
        <v>222</v>
      </c>
      <c r="AH17" s="74">
        <v>0</v>
      </c>
      <c r="AI17" s="74">
        <v>0</v>
      </c>
      <c r="AJ17" s="74">
        <v>0</v>
      </c>
      <c r="AK17" s="74">
        <v>654</v>
      </c>
      <c r="AL17" s="74">
        <v>0.6</v>
      </c>
    </row>
    <row r="18" spans="1:38" x14ac:dyDescent="0.3">
      <c r="A18" s="74" t="s">
        <v>216</v>
      </c>
      <c r="B18" s="74">
        <v>4953</v>
      </c>
      <c r="C18" s="74">
        <v>3</v>
      </c>
      <c r="D18" s="74" t="s">
        <v>217</v>
      </c>
      <c r="E18" s="74" t="s">
        <v>218</v>
      </c>
      <c r="F18" s="74">
        <v>1084</v>
      </c>
      <c r="G18" s="74">
        <v>44.25</v>
      </c>
      <c r="H18" s="74">
        <v>146.29</v>
      </c>
      <c r="I18" s="74">
        <v>38.08</v>
      </c>
      <c r="J18" s="74">
        <v>125.89</v>
      </c>
      <c r="K18" s="74">
        <v>120</v>
      </c>
      <c r="T18" s="74">
        <v>4</v>
      </c>
      <c r="U18" s="74">
        <v>2</v>
      </c>
      <c r="V18" s="74" t="s">
        <v>186</v>
      </c>
      <c r="W18" s="74">
        <v>146</v>
      </c>
      <c r="X18" s="74">
        <v>15</v>
      </c>
      <c r="Y18" s="74">
        <v>15</v>
      </c>
      <c r="Z18" s="74" t="s">
        <v>219</v>
      </c>
      <c r="AA18" s="74" t="s">
        <v>220</v>
      </c>
      <c r="AB18" s="74" t="s">
        <v>182</v>
      </c>
      <c r="AC18" s="74" t="s">
        <v>183</v>
      </c>
      <c r="AD18" s="74" t="s">
        <v>221</v>
      </c>
      <c r="AG18" s="74" t="s">
        <v>222</v>
      </c>
      <c r="AH18" s="74">
        <v>0</v>
      </c>
      <c r="AI18" s="74">
        <v>0</v>
      </c>
      <c r="AJ18" s="74">
        <v>0</v>
      </c>
      <c r="AK18" s="74">
        <v>654</v>
      </c>
      <c r="AL18" s="74">
        <v>0.6</v>
      </c>
    </row>
    <row r="19" spans="1:38" x14ac:dyDescent="0.3">
      <c r="A19" s="74" t="s">
        <v>216</v>
      </c>
      <c r="B19" s="74">
        <v>14954</v>
      </c>
      <c r="C19" s="74">
        <v>1</v>
      </c>
      <c r="D19" s="74" t="s">
        <v>223</v>
      </c>
      <c r="E19" s="74" t="s">
        <v>224</v>
      </c>
      <c r="F19" s="74">
        <v>437</v>
      </c>
      <c r="G19" s="74">
        <v>22.6</v>
      </c>
      <c r="H19" s="74">
        <v>74.72</v>
      </c>
      <c r="I19" s="74">
        <v>18.11</v>
      </c>
      <c r="J19" s="74">
        <v>59.88</v>
      </c>
      <c r="K19" s="74">
        <v>164</v>
      </c>
      <c r="T19" s="74">
        <v>3</v>
      </c>
      <c r="U19" s="74">
        <v>1</v>
      </c>
      <c r="V19" s="74" t="s">
        <v>186</v>
      </c>
      <c r="W19" s="74" t="s">
        <v>139</v>
      </c>
      <c r="X19" s="74">
        <v>15</v>
      </c>
      <c r="Y19" s="74">
        <v>7</v>
      </c>
      <c r="Z19" s="74" t="s">
        <v>225</v>
      </c>
      <c r="AA19" s="74" t="s">
        <v>226</v>
      </c>
      <c r="AB19" s="74" t="s">
        <v>182</v>
      </c>
      <c r="AC19" s="74" t="s">
        <v>183</v>
      </c>
      <c r="AD19" s="74" t="s">
        <v>221</v>
      </c>
      <c r="AG19" s="74" t="s">
        <v>227</v>
      </c>
      <c r="AH19" s="74">
        <v>0</v>
      </c>
      <c r="AI19" s="74">
        <v>0</v>
      </c>
      <c r="AJ19" s="74">
        <v>0</v>
      </c>
      <c r="AK19" s="74">
        <v>0</v>
      </c>
      <c r="AL19" s="74">
        <v>0</v>
      </c>
    </row>
    <row r="20" spans="1:38" x14ac:dyDescent="0.3">
      <c r="A20" s="74" t="s">
        <v>216</v>
      </c>
      <c r="B20" s="74">
        <v>14954</v>
      </c>
      <c r="C20" s="74">
        <v>2</v>
      </c>
      <c r="D20" s="74" t="s">
        <v>223</v>
      </c>
      <c r="E20" s="74" t="s">
        <v>224</v>
      </c>
      <c r="F20" s="74">
        <v>437</v>
      </c>
      <c r="G20" s="74">
        <v>22.45</v>
      </c>
      <c r="H20" s="74">
        <v>74.22</v>
      </c>
      <c r="I20" s="74">
        <v>17.989999999999998</v>
      </c>
      <c r="J20" s="74">
        <v>59.48</v>
      </c>
      <c r="K20" s="74">
        <v>11</v>
      </c>
      <c r="T20" s="74">
        <v>3</v>
      </c>
      <c r="U20" s="74">
        <v>1</v>
      </c>
      <c r="V20" s="74" t="s">
        <v>186</v>
      </c>
      <c r="W20" s="74" t="s">
        <v>228</v>
      </c>
      <c r="X20" s="74">
        <v>15</v>
      </c>
      <c r="Y20" s="74">
        <v>7</v>
      </c>
      <c r="Z20" s="74" t="s">
        <v>225</v>
      </c>
      <c r="AA20" s="74" t="s">
        <v>226</v>
      </c>
      <c r="AB20" s="74" t="s">
        <v>182</v>
      </c>
      <c r="AC20" s="74" t="s">
        <v>183</v>
      </c>
      <c r="AD20" s="74" t="s">
        <v>221</v>
      </c>
      <c r="AG20" s="74" t="s">
        <v>227</v>
      </c>
      <c r="AH20" s="74">
        <v>0</v>
      </c>
      <c r="AI20" s="74">
        <v>0</v>
      </c>
      <c r="AJ20" s="74">
        <v>0</v>
      </c>
      <c r="AK20" s="74">
        <v>0</v>
      </c>
      <c r="AL20" s="74">
        <v>0</v>
      </c>
    </row>
    <row r="21" spans="1:38" x14ac:dyDescent="0.3">
      <c r="A21" s="74" t="s">
        <v>216</v>
      </c>
      <c r="B21" s="74">
        <v>14954</v>
      </c>
      <c r="C21" s="74">
        <v>3</v>
      </c>
      <c r="D21" s="74" t="s">
        <v>223</v>
      </c>
      <c r="E21" s="74" t="s">
        <v>224</v>
      </c>
      <c r="F21" s="74">
        <v>437</v>
      </c>
      <c r="G21" s="74">
        <v>32.07</v>
      </c>
      <c r="H21" s="74">
        <v>106.03</v>
      </c>
      <c r="I21" s="74">
        <v>25.7</v>
      </c>
      <c r="J21" s="74">
        <v>84.98</v>
      </c>
      <c r="K21" s="74">
        <v>208</v>
      </c>
      <c r="T21" s="74">
        <v>3</v>
      </c>
      <c r="U21" s="74">
        <v>2</v>
      </c>
      <c r="V21" s="74" t="s">
        <v>186</v>
      </c>
      <c r="W21" s="74" t="s">
        <v>130</v>
      </c>
      <c r="X21" s="74">
        <v>15</v>
      </c>
      <c r="Y21" s="74">
        <v>7</v>
      </c>
      <c r="Z21" s="74" t="s">
        <v>225</v>
      </c>
      <c r="AA21" s="74" t="s">
        <v>226</v>
      </c>
      <c r="AB21" s="74" t="s">
        <v>182</v>
      </c>
      <c r="AC21" s="74" t="s">
        <v>183</v>
      </c>
      <c r="AD21" s="74" t="s">
        <v>221</v>
      </c>
      <c r="AG21" s="74" t="s">
        <v>227</v>
      </c>
      <c r="AH21" s="74">
        <v>0</v>
      </c>
      <c r="AI21" s="74">
        <v>0</v>
      </c>
      <c r="AJ21" s="74">
        <v>0</v>
      </c>
      <c r="AK21" s="74">
        <v>0</v>
      </c>
      <c r="AL21" s="74">
        <v>0</v>
      </c>
    </row>
    <row r="22" spans="1:38" x14ac:dyDescent="0.3">
      <c r="A22" s="74" t="s">
        <v>216</v>
      </c>
      <c r="B22" s="74">
        <v>14954</v>
      </c>
      <c r="C22" s="74">
        <v>4</v>
      </c>
      <c r="D22" s="74" t="s">
        <v>223</v>
      </c>
      <c r="E22" s="74" t="s">
        <v>224</v>
      </c>
      <c r="F22" s="74">
        <v>437</v>
      </c>
      <c r="G22" s="74">
        <v>32.07</v>
      </c>
      <c r="H22" s="74">
        <v>106.02</v>
      </c>
      <c r="I22" s="74">
        <v>25.7</v>
      </c>
      <c r="J22" s="74">
        <v>84.96</v>
      </c>
      <c r="K22" s="74">
        <v>32</v>
      </c>
      <c r="T22" s="74">
        <v>3</v>
      </c>
      <c r="U22" s="74">
        <v>2</v>
      </c>
      <c r="V22" s="74" t="s">
        <v>186</v>
      </c>
      <c r="W22" s="74" t="s">
        <v>229</v>
      </c>
      <c r="X22" s="74">
        <v>15</v>
      </c>
      <c r="Y22" s="74">
        <v>7</v>
      </c>
      <c r="Z22" s="74" t="s">
        <v>225</v>
      </c>
      <c r="AA22" s="74" t="s">
        <v>226</v>
      </c>
      <c r="AB22" s="74" t="s">
        <v>182</v>
      </c>
      <c r="AC22" s="74" t="s">
        <v>183</v>
      </c>
      <c r="AD22" s="74" t="s">
        <v>221</v>
      </c>
      <c r="AG22" s="74" t="s">
        <v>227</v>
      </c>
      <c r="AH22" s="74">
        <v>0</v>
      </c>
      <c r="AI22" s="74">
        <v>0</v>
      </c>
      <c r="AJ22" s="74">
        <v>0</v>
      </c>
      <c r="AK22" s="74">
        <v>0</v>
      </c>
      <c r="AL22" s="74">
        <v>0</v>
      </c>
    </row>
    <row r="23" spans="1:38" x14ac:dyDescent="0.3">
      <c r="A23" s="74" t="s">
        <v>216</v>
      </c>
      <c r="B23" s="74">
        <v>14954</v>
      </c>
      <c r="C23" s="74">
        <v>5</v>
      </c>
      <c r="D23" s="74" t="s">
        <v>223</v>
      </c>
      <c r="E23" s="74" t="s">
        <v>224</v>
      </c>
      <c r="F23" s="74">
        <v>437</v>
      </c>
      <c r="G23" s="74">
        <v>37.76</v>
      </c>
      <c r="H23" s="74">
        <v>124.84</v>
      </c>
      <c r="I23" s="74">
        <v>30.26</v>
      </c>
      <c r="J23" s="74">
        <v>100.05</v>
      </c>
      <c r="K23" s="74">
        <v>22</v>
      </c>
      <c r="T23" s="74">
        <v>3</v>
      </c>
      <c r="U23" s="74">
        <v>2</v>
      </c>
      <c r="V23" s="74" t="s">
        <v>186</v>
      </c>
      <c r="W23" s="74">
        <v>124</v>
      </c>
      <c r="X23" s="74">
        <v>15</v>
      </c>
      <c r="Y23" s="74">
        <v>7</v>
      </c>
      <c r="Z23" s="74" t="s">
        <v>225</v>
      </c>
      <c r="AA23" s="74" t="s">
        <v>226</v>
      </c>
      <c r="AB23" s="74" t="s">
        <v>182</v>
      </c>
      <c r="AC23" s="74" t="s">
        <v>183</v>
      </c>
      <c r="AD23" s="74" t="s">
        <v>221</v>
      </c>
      <c r="AG23" s="74" t="s">
        <v>227</v>
      </c>
      <c r="AH23" s="74">
        <v>0</v>
      </c>
      <c r="AI23" s="74">
        <v>0</v>
      </c>
      <c r="AJ23" s="74">
        <v>0</v>
      </c>
      <c r="AK23" s="74">
        <v>0</v>
      </c>
      <c r="AL23" s="74">
        <v>0</v>
      </c>
    </row>
    <row r="24" spans="1:38" x14ac:dyDescent="0.3">
      <c r="A24" s="74" t="s">
        <v>216</v>
      </c>
      <c r="B24" s="74">
        <v>140320</v>
      </c>
      <c r="C24" s="74">
        <v>1</v>
      </c>
      <c r="D24" s="74" t="s">
        <v>230</v>
      </c>
      <c r="E24" s="74" t="s">
        <v>231</v>
      </c>
      <c r="F24" s="74">
        <v>29</v>
      </c>
      <c r="G24" s="74">
        <v>20</v>
      </c>
      <c r="H24" s="74">
        <v>66.12</v>
      </c>
      <c r="I24" s="74">
        <v>16.89</v>
      </c>
      <c r="J24" s="74">
        <v>55.84</v>
      </c>
      <c r="K24" s="74">
        <v>3</v>
      </c>
      <c r="T24" s="74">
        <v>3</v>
      </c>
      <c r="U24" s="74">
        <v>1</v>
      </c>
      <c r="V24" s="74" t="s">
        <v>186</v>
      </c>
      <c r="W24" s="74" t="s">
        <v>232</v>
      </c>
      <c r="X24" s="74">
        <v>5</v>
      </c>
      <c r="Y24" s="74">
        <v>3</v>
      </c>
      <c r="Z24" s="74" t="s">
        <v>233</v>
      </c>
      <c r="AA24" s="74" t="s">
        <v>234</v>
      </c>
      <c r="AB24" s="74" t="s">
        <v>182</v>
      </c>
      <c r="AC24" s="74" t="s">
        <v>183</v>
      </c>
      <c r="AD24" s="74" t="s">
        <v>221</v>
      </c>
      <c r="AG24" s="74" t="s">
        <v>235</v>
      </c>
      <c r="AH24" s="74">
        <v>0</v>
      </c>
      <c r="AI24" s="74">
        <v>98</v>
      </c>
      <c r="AJ24" s="74">
        <v>34</v>
      </c>
      <c r="AK24" s="74">
        <v>33</v>
      </c>
      <c r="AL24" s="74">
        <v>1.1399999999999999</v>
      </c>
    </row>
    <row r="25" spans="1:38" x14ac:dyDescent="0.3">
      <c r="A25" s="74" t="s">
        <v>216</v>
      </c>
      <c r="B25" s="74">
        <v>140320</v>
      </c>
      <c r="C25" s="74">
        <v>2</v>
      </c>
      <c r="D25" s="74" t="s">
        <v>230</v>
      </c>
      <c r="E25" s="74" t="s">
        <v>231</v>
      </c>
      <c r="F25" s="74">
        <v>29</v>
      </c>
      <c r="G25" s="74">
        <v>20.399999999999999</v>
      </c>
      <c r="H25" s="74">
        <v>67.45</v>
      </c>
      <c r="I25" s="74">
        <v>17.23</v>
      </c>
      <c r="J25" s="74">
        <v>56.96</v>
      </c>
      <c r="K25" s="74">
        <v>2</v>
      </c>
      <c r="T25" s="74">
        <v>3</v>
      </c>
      <c r="U25" s="74">
        <v>1</v>
      </c>
      <c r="V25" s="74" t="s">
        <v>186</v>
      </c>
      <c r="W25" s="74" t="s">
        <v>236</v>
      </c>
      <c r="X25" s="74">
        <v>5</v>
      </c>
      <c r="Y25" s="74">
        <v>3</v>
      </c>
      <c r="Z25" s="74" t="s">
        <v>233</v>
      </c>
      <c r="AA25" s="74" t="s">
        <v>234</v>
      </c>
      <c r="AB25" s="74" t="s">
        <v>182</v>
      </c>
      <c r="AC25" s="74" t="s">
        <v>183</v>
      </c>
      <c r="AD25" s="74" t="s">
        <v>221</v>
      </c>
      <c r="AG25" s="74" t="s">
        <v>235</v>
      </c>
      <c r="AH25" s="74">
        <v>0</v>
      </c>
      <c r="AI25" s="74">
        <v>98</v>
      </c>
      <c r="AJ25" s="74">
        <v>34</v>
      </c>
      <c r="AK25" s="74">
        <v>33</v>
      </c>
      <c r="AL25" s="74">
        <v>1.1399999999999999</v>
      </c>
    </row>
    <row r="26" spans="1:38" x14ac:dyDescent="0.3">
      <c r="A26" s="74" t="s">
        <v>216</v>
      </c>
      <c r="B26" s="74">
        <v>140320</v>
      </c>
      <c r="C26" s="74">
        <v>3</v>
      </c>
      <c r="D26" s="74" t="s">
        <v>230</v>
      </c>
      <c r="E26" s="74" t="s">
        <v>231</v>
      </c>
      <c r="F26" s="74">
        <v>29</v>
      </c>
      <c r="G26" s="74">
        <v>24.03</v>
      </c>
      <c r="H26" s="74">
        <v>79.45</v>
      </c>
      <c r="I26" s="74">
        <v>20.53</v>
      </c>
      <c r="J26" s="74">
        <v>67.87</v>
      </c>
      <c r="K26" s="74">
        <v>2</v>
      </c>
      <c r="T26" s="74">
        <v>2</v>
      </c>
      <c r="U26" s="74">
        <v>2</v>
      </c>
      <c r="V26" s="74" t="s">
        <v>186</v>
      </c>
      <c r="W26" s="74">
        <v>79</v>
      </c>
      <c r="X26" s="74">
        <v>5</v>
      </c>
      <c r="Y26" s="74">
        <v>3</v>
      </c>
      <c r="Z26" s="74" t="s">
        <v>233</v>
      </c>
      <c r="AA26" s="74" t="s">
        <v>234</v>
      </c>
      <c r="AB26" s="74" t="s">
        <v>182</v>
      </c>
      <c r="AC26" s="74" t="s">
        <v>183</v>
      </c>
      <c r="AD26" s="74" t="s">
        <v>221</v>
      </c>
      <c r="AG26" s="74" t="s">
        <v>235</v>
      </c>
      <c r="AH26" s="74">
        <v>0</v>
      </c>
      <c r="AI26" s="74">
        <v>98</v>
      </c>
      <c r="AJ26" s="74">
        <v>34</v>
      </c>
      <c r="AK26" s="74">
        <v>33</v>
      </c>
      <c r="AL26" s="74">
        <v>1.1399999999999999</v>
      </c>
    </row>
    <row r="27" spans="1:38" x14ac:dyDescent="0.3">
      <c r="A27" s="74" t="s">
        <v>216</v>
      </c>
      <c r="B27" s="74">
        <v>140320</v>
      </c>
      <c r="C27" s="74">
        <v>4</v>
      </c>
      <c r="D27" s="74" t="s">
        <v>230</v>
      </c>
      <c r="E27" s="74" t="s">
        <v>231</v>
      </c>
      <c r="F27" s="74">
        <v>29</v>
      </c>
      <c r="G27" s="74">
        <v>29.6</v>
      </c>
      <c r="H27" s="74">
        <v>97.86</v>
      </c>
      <c r="I27" s="74">
        <v>25.19</v>
      </c>
      <c r="J27" s="74">
        <v>83.28</v>
      </c>
      <c r="K27" s="74">
        <v>4</v>
      </c>
      <c r="T27" s="74">
        <v>3</v>
      </c>
      <c r="U27" s="74">
        <v>2</v>
      </c>
      <c r="V27" s="74" t="s">
        <v>186</v>
      </c>
      <c r="W27" s="74" t="s">
        <v>237</v>
      </c>
      <c r="X27" s="74">
        <v>5</v>
      </c>
      <c r="Y27" s="74">
        <v>3</v>
      </c>
      <c r="Z27" s="74" t="s">
        <v>233</v>
      </c>
      <c r="AA27" s="74" t="s">
        <v>234</v>
      </c>
      <c r="AB27" s="74" t="s">
        <v>182</v>
      </c>
      <c r="AC27" s="74" t="s">
        <v>183</v>
      </c>
      <c r="AD27" s="74" t="s">
        <v>221</v>
      </c>
      <c r="AG27" s="74" t="s">
        <v>235</v>
      </c>
      <c r="AH27" s="74">
        <v>0</v>
      </c>
      <c r="AI27" s="74">
        <v>98</v>
      </c>
      <c r="AJ27" s="74">
        <v>34</v>
      </c>
      <c r="AK27" s="74">
        <v>33</v>
      </c>
      <c r="AL27" s="74">
        <v>1.1399999999999999</v>
      </c>
    </row>
    <row r="28" spans="1:38" x14ac:dyDescent="0.3">
      <c r="A28" s="74" t="s">
        <v>216</v>
      </c>
      <c r="B28" s="74">
        <v>140320</v>
      </c>
      <c r="C28" s="74">
        <v>5</v>
      </c>
      <c r="D28" s="74" t="s">
        <v>230</v>
      </c>
      <c r="E28" s="74" t="s">
        <v>231</v>
      </c>
      <c r="F28" s="74">
        <v>29</v>
      </c>
      <c r="G28" s="74">
        <v>29.65</v>
      </c>
      <c r="H28" s="74">
        <v>98.04</v>
      </c>
      <c r="I28" s="74">
        <v>25.23</v>
      </c>
      <c r="J28" s="74">
        <v>83.43</v>
      </c>
      <c r="K28" s="74">
        <v>8</v>
      </c>
      <c r="T28" s="74">
        <v>3</v>
      </c>
      <c r="U28" s="74">
        <v>2</v>
      </c>
      <c r="V28" s="74" t="s">
        <v>186</v>
      </c>
      <c r="W28" s="74" t="s">
        <v>238</v>
      </c>
      <c r="X28" s="74">
        <v>5</v>
      </c>
      <c r="Y28" s="74">
        <v>3</v>
      </c>
      <c r="Z28" s="74" t="s">
        <v>233</v>
      </c>
      <c r="AA28" s="74" t="s">
        <v>234</v>
      </c>
      <c r="AB28" s="74" t="s">
        <v>182</v>
      </c>
      <c r="AC28" s="74" t="s">
        <v>183</v>
      </c>
      <c r="AD28" s="74" t="s">
        <v>221</v>
      </c>
      <c r="AG28" s="74" t="s">
        <v>235</v>
      </c>
      <c r="AH28" s="74">
        <v>0</v>
      </c>
      <c r="AI28" s="74">
        <v>98</v>
      </c>
      <c r="AJ28" s="74">
        <v>34</v>
      </c>
      <c r="AK28" s="74">
        <v>33</v>
      </c>
      <c r="AL28" s="74">
        <v>1.1399999999999999</v>
      </c>
    </row>
    <row r="29" spans="1:38" x14ac:dyDescent="0.3">
      <c r="A29" s="74" t="s">
        <v>216</v>
      </c>
      <c r="B29" s="74">
        <v>140320</v>
      </c>
      <c r="C29" s="74">
        <v>6</v>
      </c>
      <c r="D29" s="74" t="s">
        <v>230</v>
      </c>
      <c r="E29" s="74" t="s">
        <v>231</v>
      </c>
      <c r="F29" s="74">
        <v>29</v>
      </c>
      <c r="G29" s="74">
        <v>37.71</v>
      </c>
      <c r="H29" s="74">
        <v>124.68</v>
      </c>
      <c r="I29" s="74">
        <v>32.090000000000003</v>
      </c>
      <c r="J29" s="74">
        <v>106.11</v>
      </c>
      <c r="K29" s="74">
        <v>4</v>
      </c>
      <c r="T29" s="74">
        <v>3</v>
      </c>
      <c r="U29" s="74">
        <v>2</v>
      </c>
      <c r="V29" s="74" t="s">
        <v>186</v>
      </c>
      <c r="W29" s="74">
        <v>124</v>
      </c>
      <c r="X29" s="74">
        <v>5</v>
      </c>
      <c r="Y29" s="74">
        <v>3</v>
      </c>
      <c r="Z29" s="74" t="s">
        <v>233</v>
      </c>
      <c r="AA29" s="74" t="s">
        <v>234</v>
      </c>
      <c r="AB29" s="74" t="s">
        <v>182</v>
      </c>
      <c r="AC29" s="74" t="s">
        <v>183</v>
      </c>
      <c r="AD29" s="74" t="s">
        <v>221</v>
      </c>
      <c r="AG29" s="74" t="s">
        <v>235</v>
      </c>
      <c r="AH29" s="74">
        <v>0</v>
      </c>
      <c r="AI29" s="74">
        <v>98</v>
      </c>
      <c r="AJ29" s="74">
        <v>34</v>
      </c>
      <c r="AK29" s="74">
        <v>33</v>
      </c>
      <c r="AL29" s="74">
        <v>1.1399999999999999</v>
      </c>
    </row>
    <row r="30" spans="1:38" x14ac:dyDescent="0.3">
      <c r="A30" s="74" t="s">
        <v>216</v>
      </c>
      <c r="B30" s="74">
        <v>140320</v>
      </c>
      <c r="C30" s="74">
        <v>7</v>
      </c>
      <c r="D30" s="74" t="s">
        <v>230</v>
      </c>
      <c r="E30" s="74" t="s">
        <v>231</v>
      </c>
      <c r="F30" s="74">
        <v>29</v>
      </c>
      <c r="G30" s="74">
        <v>42.92</v>
      </c>
      <c r="H30" s="74">
        <v>141.91</v>
      </c>
      <c r="I30" s="74">
        <v>36.25</v>
      </c>
      <c r="J30" s="74">
        <v>119.84</v>
      </c>
      <c r="K30" s="74">
        <v>1</v>
      </c>
      <c r="T30" s="74">
        <v>4</v>
      </c>
      <c r="U30" s="74">
        <v>2</v>
      </c>
      <c r="V30" s="74" t="s">
        <v>186</v>
      </c>
      <c r="W30" s="74" t="s">
        <v>239</v>
      </c>
      <c r="X30" s="74">
        <v>5</v>
      </c>
      <c r="Y30" s="74">
        <v>3</v>
      </c>
      <c r="Z30" s="74" t="s">
        <v>233</v>
      </c>
      <c r="AA30" s="74" t="s">
        <v>234</v>
      </c>
      <c r="AB30" s="74" t="s">
        <v>182</v>
      </c>
      <c r="AC30" s="74" t="s">
        <v>183</v>
      </c>
      <c r="AD30" s="74" t="s">
        <v>221</v>
      </c>
      <c r="AG30" s="74" t="s">
        <v>235</v>
      </c>
      <c r="AH30" s="74">
        <v>0</v>
      </c>
      <c r="AI30" s="74">
        <v>98</v>
      </c>
      <c r="AJ30" s="74">
        <v>34</v>
      </c>
      <c r="AK30" s="74">
        <v>33</v>
      </c>
      <c r="AL30" s="74">
        <v>1.1399999999999999</v>
      </c>
    </row>
    <row r="31" spans="1:38" x14ac:dyDescent="0.3">
      <c r="A31" s="74" t="s">
        <v>216</v>
      </c>
      <c r="B31" s="74">
        <v>140320</v>
      </c>
      <c r="C31" s="74">
        <v>8</v>
      </c>
      <c r="D31" s="74" t="s">
        <v>230</v>
      </c>
      <c r="E31" s="74" t="s">
        <v>231</v>
      </c>
      <c r="F31" s="74">
        <v>29</v>
      </c>
      <c r="G31" s="74">
        <v>43.22</v>
      </c>
      <c r="H31" s="74">
        <v>142.88999999999999</v>
      </c>
      <c r="I31" s="74">
        <v>36.5</v>
      </c>
      <c r="J31" s="74">
        <v>120.67</v>
      </c>
      <c r="K31" s="74">
        <v>3</v>
      </c>
      <c r="T31" s="74">
        <v>4</v>
      </c>
      <c r="U31" s="74">
        <v>2</v>
      </c>
      <c r="V31" s="74" t="s">
        <v>186</v>
      </c>
      <c r="W31" s="74" t="s">
        <v>240</v>
      </c>
      <c r="X31" s="74">
        <v>5</v>
      </c>
      <c r="Y31" s="74">
        <v>3</v>
      </c>
      <c r="Z31" s="74" t="s">
        <v>233</v>
      </c>
      <c r="AA31" s="74" t="s">
        <v>234</v>
      </c>
      <c r="AB31" s="74" t="s">
        <v>182</v>
      </c>
      <c r="AC31" s="74" t="s">
        <v>183</v>
      </c>
      <c r="AD31" s="74" t="s">
        <v>221</v>
      </c>
      <c r="AG31" s="74" t="s">
        <v>235</v>
      </c>
      <c r="AH31" s="74">
        <v>0</v>
      </c>
      <c r="AI31" s="74">
        <v>98</v>
      </c>
      <c r="AJ31" s="74">
        <v>34</v>
      </c>
      <c r="AK31" s="74">
        <v>33</v>
      </c>
      <c r="AL31" s="74">
        <v>1.1399999999999999</v>
      </c>
    </row>
    <row r="32" spans="1:38" x14ac:dyDescent="0.3">
      <c r="A32" s="74" t="s">
        <v>216</v>
      </c>
      <c r="B32" s="74">
        <v>140320</v>
      </c>
      <c r="C32" s="74">
        <v>9</v>
      </c>
      <c r="D32" s="74" t="s">
        <v>230</v>
      </c>
      <c r="E32" s="74" t="s">
        <v>231</v>
      </c>
      <c r="F32" s="74">
        <v>29</v>
      </c>
      <c r="G32" s="74">
        <v>58.78</v>
      </c>
      <c r="H32" s="74">
        <v>194.33</v>
      </c>
      <c r="I32" s="74">
        <v>49.64</v>
      </c>
      <c r="J32" s="74">
        <v>164.11</v>
      </c>
      <c r="K32" s="74">
        <v>2</v>
      </c>
      <c r="T32" s="74">
        <v>5</v>
      </c>
      <c r="U32" s="74">
        <v>3</v>
      </c>
      <c r="V32" s="74" t="s">
        <v>186</v>
      </c>
      <c r="W32" s="74">
        <v>194</v>
      </c>
      <c r="X32" s="74">
        <v>5</v>
      </c>
      <c r="Y32" s="74">
        <v>3</v>
      </c>
      <c r="Z32" s="74" t="s">
        <v>233</v>
      </c>
      <c r="AA32" s="74" t="s">
        <v>234</v>
      </c>
      <c r="AB32" s="74" t="s">
        <v>182</v>
      </c>
      <c r="AC32" s="74" t="s">
        <v>183</v>
      </c>
      <c r="AD32" s="74" t="s">
        <v>221</v>
      </c>
      <c r="AG32" s="74" t="s">
        <v>235</v>
      </c>
      <c r="AH32" s="74">
        <v>0</v>
      </c>
      <c r="AI32" s="74">
        <v>98</v>
      </c>
      <c r="AJ32" s="74">
        <v>34</v>
      </c>
      <c r="AK32" s="74">
        <v>33</v>
      </c>
      <c r="AL32" s="74">
        <v>1.1399999999999999</v>
      </c>
    </row>
    <row r="33" spans="1:38" x14ac:dyDescent="0.3">
      <c r="A33" s="74" t="s">
        <v>241</v>
      </c>
      <c r="B33" s="74">
        <v>4960</v>
      </c>
      <c r="C33" s="74">
        <v>1</v>
      </c>
      <c r="D33" s="74" t="s">
        <v>242</v>
      </c>
      <c r="E33" s="74" t="s">
        <v>243</v>
      </c>
      <c r="F33" s="74">
        <v>424</v>
      </c>
      <c r="G33" s="74">
        <v>32.270000000000003</v>
      </c>
      <c r="H33" s="74">
        <v>106.7</v>
      </c>
      <c r="I33" s="74">
        <v>25.68</v>
      </c>
      <c r="J33" s="74">
        <v>84.9</v>
      </c>
      <c r="K33" s="74">
        <v>192</v>
      </c>
      <c r="T33" s="74">
        <v>3</v>
      </c>
      <c r="U33" s="74">
        <v>2</v>
      </c>
      <c r="V33" s="74" t="s">
        <v>186</v>
      </c>
      <c r="W33" s="74" t="s">
        <v>130</v>
      </c>
      <c r="X33" s="74">
        <v>15</v>
      </c>
      <c r="Y33" s="74">
        <v>8</v>
      </c>
      <c r="Z33" s="74" t="s">
        <v>244</v>
      </c>
      <c r="AA33" s="74" t="s">
        <v>245</v>
      </c>
      <c r="AB33" s="74" t="s">
        <v>182</v>
      </c>
      <c r="AC33" s="74" t="s">
        <v>183</v>
      </c>
      <c r="AD33" s="74" t="s">
        <v>246</v>
      </c>
      <c r="AG33" s="74" t="s">
        <v>247</v>
      </c>
      <c r="AH33" s="74">
        <v>0</v>
      </c>
      <c r="AI33" s="74">
        <v>244</v>
      </c>
      <c r="AJ33" s="74">
        <v>22</v>
      </c>
      <c r="AK33" s="74">
        <v>0</v>
      </c>
      <c r="AL33" s="74">
        <v>0</v>
      </c>
    </row>
    <row r="34" spans="1:38" x14ac:dyDescent="0.3">
      <c r="A34" s="74" t="s">
        <v>241</v>
      </c>
      <c r="B34" s="74">
        <v>4960</v>
      </c>
      <c r="C34" s="74">
        <v>2</v>
      </c>
      <c r="D34" s="74" t="s">
        <v>242</v>
      </c>
      <c r="E34" s="74" t="s">
        <v>243</v>
      </c>
      <c r="F34" s="74">
        <v>424</v>
      </c>
      <c r="G34" s="74">
        <v>32.340000000000003</v>
      </c>
      <c r="H34" s="74">
        <v>106.94</v>
      </c>
      <c r="I34" s="74">
        <v>25.67</v>
      </c>
      <c r="J34" s="74">
        <v>84.87</v>
      </c>
      <c r="K34" s="74">
        <v>66</v>
      </c>
      <c r="T34" s="74">
        <v>3</v>
      </c>
      <c r="U34" s="74">
        <v>2</v>
      </c>
      <c r="V34" s="74" t="s">
        <v>186</v>
      </c>
      <c r="W34" s="74" t="s">
        <v>229</v>
      </c>
      <c r="X34" s="74">
        <v>15</v>
      </c>
      <c r="Y34" s="74">
        <v>8</v>
      </c>
      <c r="Z34" s="74" t="s">
        <v>244</v>
      </c>
      <c r="AA34" s="74" t="s">
        <v>245</v>
      </c>
      <c r="AB34" s="74" t="s">
        <v>182</v>
      </c>
      <c r="AC34" s="74" t="s">
        <v>183</v>
      </c>
      <c r="AD34" s="74" t="s">
        <v>246</v>
      </c>
      <c r="AG34" s="74" t="s">
        <v>247</v>
      </c>
      <c r="AH34" s="74">
        <v>0</v>
      </c>
      <c r="AI34" s="74">
        <v>244</v>
      </c>
      <c r="AJ34" s="74">
        <v>22</v>
      </c>
      <c r="AK34" s="74">
        <v>0</v>
      </c>
      <c r="AL34" s="74">
        <v>0</v>
      </c>
    </row>
    <row r="35" spans="1:38" x14ac:dyDescent="0.3">
      <c r="A35" s="74" t="s">
        <v>241</v>
      </c>
      <c r="B35" s="74">
        <v>4960</v>
      </c>
      <c r="C35" s="74">
        <v>3</v>
      </c>
      <c r="D35" s="74" t="s">
        <v>242</v>
      </c>
      <c r="E35" s="74" t="s">
        <v>243</v>
      </c>
      <c r="F35" s="74">
        <v>424</v>
      </c>
      <c r="G35" s="74">
        <v>46.86</v>
      </c>
      <c r="H35" s="74">
        <v>154.91</v>
      </c>
      <c r="I35" s="74">
        <v>38.619999999999997</v>
      </c>
      <c r="J35" s="74">
        <v>127.67</v>
      </c>
      <c r="K35" s="74">
        <v>78</v>
      </c>
      <c r="T35" s="74">
        <v>4</v>
      </c>
      <c r="U35" s="74">
        <v>2</v>
      </c>
      <c r="V35" s="74" t="s">
        <v>186</v>
      </c>
      <c r="W35" s="74">
        <v>154</v>
      </c>
      <c r="X35" s="74">
        <v>15</v>
      </c>
      <c r="Y35" s="74">
        <v>8</v>
      </c>
      <c r="Z35" s="74" t="s">
        <v>244</v>
      </c>
      <c r="AA35" s="74" t="s">
        <v>245</v>
      </c>
      <c r="AB35" s="74" t="s">
        <v>182</v>
      </c>
      <c r="AC35" s="74" t="s">
        <v>183</v>
      </c>
      <c r="AD35" s="74" t="s">
        <v>246</v>
      </c>
      <c r="AG35" s="74" t="s">
        <v>247</v>
      </c>
      <c r="AH35" s="74">
        <v>0</v>
      </c>
      <c r="AI35" s="74">
        <v>244</v>
      </c>
      <c r="AJ35" s="74">
        <v>22</v>
      </c>
      <c r="AK35" s="74">
        <v>0</v>
      </c>
      <c r="AL35" s="74">
        <v>0</v>
      </c>
    </row>
    <row r="36" spans="1:38" x14ac:dyDescent="0.3">
      <c r="A36" s="74" t="s">
        <v>241</v>
      </c>
      <c r="B36" s="74">
        <v>4960</v>
      </c>
      <c r="C36" s="74">
        <v>4</v>
      </c>
      <c r="D36" s="74" t="s">
        <v>242</v>
      </c>
      <c r="E36" s="74" t="s">
        <v>243</v>
      </c>
      <c r="F36" s="74">
        <v>424</v>
      </c>
      <c r="G36" s="74">
        <v>46.99</v>
      </c>
      <c r="H36" s="74">
        <v>155.35</v>
      </c>
      <c r="I36" s="74">
        <v>38.869999999999997</v>
      </c>
      <c r="J36" s="74">
        <v>128.51</v>
      </c>
      <c r="K36" s="74">
        <v>88</v>
      </c>
      <c r="T36" s="74">
        <v>4</v>
      </c>
      <c r="U36" s="74">
        <v>2</v>
      </c>
      <c r="V36" s="74" t="s">
        <v>179</v>
      </c>
      <c r="W36" s="74">
        <v>155</v>
      </c>
      <c r="X36" s="74">
        <v>15</v>
      </c>
      <c r="Y36" s="74">
        <v>8</v>
      </c>
      <c r="Z36" s="74" t="s">
        <v>244</v>
      </c>
      <c r="AA36" s="74" t="s">
        <v>245</v>
      </c>
      <c r="AB36" s="74" t="s">
        <v>182</v>
      </c>
      <c r="AC36" s="74" t="s">
        <v>183</v>
      </c>
      <c r="AD36" s="74" t="s">
        <v>246</v>
      </c>
      <c r="AG36" s="74" t="s">
        <v>247</v>
      </c>
      <c r="AH36" s="74">
        <v>0</v>
      </c>
      <c r="AI36" s="74">
        <v>244</v>
      </c>
      <c r="AJ36" s="74">
        <v>22</v>
      </c>
      <c r="AK36" s="74">
        <v>0</v>
      </c>
      <c r="AL36" s="74">
        <v>0</v>
      </c>
    </row>
    <row r="37" spans="1:38" x14ac:dyDescent="0.3">
      <c r="A37" s="74" t="s">
        <v>248</v>
      </c>
      <c r="B37" s="74">
        <v>14955</v>
      </c>
      <c r="C37" s="74">
        <v>1</v>
      </c>
      <c r="D37" s="74" t="s">
        <v>249</v>
      </c>
      <c r="E37" s="74" t="s">
        <v>250</v>
      </c>
      <c r="F37" s="74">
        <v>169</v>
      </c>
      <c r="G37" s="74">
        <v>22.14</v>
      </c>
      <c r="H37" s="74">
        <v>73.2</v>
      </c>
      <c r="I37" s="74">
        <v>18.13</v>
      </c>
      <c r="J37" s="74">
        <v>59.94</v>
      </c>
      <c r="K37" s="74">
        <v>44</v>
      </c>
      <c r="T37" s="74">
        <v>3</v>
      </c>
      <c r="U37" s="74">
        <v>1</v>
      </c>
      <c r="V37" s="74" t="s">
        <v>186</v>
      </c>
      <c r="W37" s="74">
        <v>73</v>
      </c>
      <c r="X37" s="74">
        <v>11</v>
      </c>
      <c r="Y37" s="74">
        <v>6</v>
      </c>
      <c r="Z37" s="74" t="s">
        <v>251</v>
      </c>
      <c r="AA37" s="74" t="s">
        <v>252</v>
      </c>
      <c r="AB37" s="74" t="s">
        <v>182</v>
      </c>
      <c r="AC37" s="74" t="s">
        <v>183</v>
      </c>
      <c r="AD37" s="74" t="s">
        <v>253</v>
      </c>
      <c r="AG37" s="74" t="s">
        <v>254</v>
      </c>
      <c r="AH37" s="74">
        <v>0</v>
      </c>
      <c r="AI37" s="74">
        <v>224</v>
      </c>
      <c r="AJ37" s="74">
        <v>23</v>
      </c>
      <c r="AK37" s="74">
        <v>0</v>
      </c>
      <c r="AL37" s="74">
        <v>0</v>
      </c>
    </row>
    <row r="38" spans="1:38" x14ac:dyDescent="0.3">
      <c r="A38" s="74" t="s">
        <v>248</v>
      </c>
      <c r="B38" s="74">
        <v>14955</v>
      </c>
      <c r="C38" s="74">
        <v>2</v>
      </c>
      <c r="D38" s="74" t="s">
        <v>249</v>
      </c>
      <c r="E38" s="74" t="s">
        <v>250</v>
      </c>
      <c r="F38" s="74">
        <v>169</v>
      </c>
      <c r="G38" s="74">
        <v>22.14</v>
      </c>
      <c r="H38" s="74">
        <v>73.2</v>
      </c>
      <c r="I38" s="74">
        <v>18.13</v>
      </c>
      <c r="J38" s="74">
        <v>59.94</v>
      </c>
      <c r="K38" s="74">
        <v>24</v>
      </c>
      <c r="T38" s="74">
        <v>3</v>
      </c>
      <c r="U38" s="74">
        <v>1</v>
      </c>
      <c r="V38" s="74" t="s">
        <v>186</v>
      </c>
      <c r="W38" s="74">
        <v>73</v>
      </c>
      <c r="X38" s="74">
        <v>11</v>
      </c>
      <c r="Y38" s="74">
        <v>6</v>
      </c>
      <c r="Z38" s="74" t="s">
        <v>251</v>
      </c>
      <c r="AA38" s="74" t="s">
        <v>252</v>
      </c>
      <c r="AB38" s="74" t="s">
        <v>182</v>
      </c>
      <c r="AC38" s="74" t="s">
        <v>183</v>
      </c>
      <c r="AD38" s="74" t="s">
        <v>253</v>
      </c>
      <c r="AG38" s="74" t="s">
        <v>254</v>
      </c>
      <c r="AH38" s="74">
        <v>0</v>
      </c>
      <c r="AI38" s="74">
        <v>224</v>
      </c>
      <c r="AJ38" s="74">
        <v>23</v>
      </c>
      <c r="AK38" s="74">
        <v>0</v>
      </c>
      <c r="AL38" s="74">
        <v>0</v>
      </c>
    </row>
    <row r="39" spans="1:38" x14ac:dyDescent="0.3">
      <c r="A39" s="74" t="s">
        <v>248</v>
      </c>
      <c r="B39" s="74">
        <v>14955</v>
      </c>
      <c r="C39" s="74">
        <v>3</v>
      </c>
      <c r="D39" s="74" t="s">
        <v>249</v>
      </c>
      <c r="E39" s="74" t="s">
        <v>250</v>
      </c>
      <c r="F39" s="74">
        <v>169</v>
      </c>
      <c r="G39" s="74">
        <v>24.76</v>
      </c>
      <c r="H39" s="74">
        <v>81.88</v>
      </c>
      <c r="I39" s="74">
        <v>20.23</v>
      </c>
      <c r="J39" s="74">
        <v>66.900000000000006</v>
      </c>
      <c r="K39" s="74">
        <v>23</v>
      </c>
      <c r="T39" s="74">
        <v>3</v>
      </c>
      <c r="U39" s="74">
        <v>2</v>
      </c>
      <c r="V39" s="74" t="s">
        <v>186</v>
      </c>
      <c r="W39" s="74" t="s">
        <v>255</v>
      </c>
      <c r="X39" s="74">
        <v>11</v>
      </c>
      <c r="Y39" s="74">
        <v>6</v>
      </c>
      <c r="Z39" s="74" t="s">
        <v>251</v>
      </c>
      <c r="AA39" s="74" t="s">
        <v>252</v>
      </c>
      <c r="AB39" s="74" t="s">
        <v>182</v>
      </c>
      <c r="AC39" s="74" t="s">
        <v>183</v>
      </c>
      <c r="AD39" s="74" t="s">
        <v>253</v>
      </c>
      <c r="AG39" s="74" t="s">
        <v>254</v>
      </c>
      <c r="AH39" s="74">
        <v>0</v>
      </c>
      <c r="AI39" s="74">
        <v>224</v>
      </c>
      <c r="AJ39" s="74">
        <v>23</v>
      </c>
      <c r="AK39" s="74">
        <v>0</v>
      </c>
      <c r="AL39" s="74">
        <v>0</v>
      </c>
    </row>
    <row r="40" spans="1:38" x14ac:dyDescent="0.3">
      <c r="A40" s="74" t="s">
        <v>248</v>
      </c>
      <c r="B40" s="74">
        <v>14955</v>
      </c>
      <c r="C40" s="74">
        <v>4</v>
      </c>
      <c r="D40" s="74" t="s">
        <v>249</v>
      </c>
      <c r="E40" s="74" t="s">
        <v>250</v>
      </c>
      <c r="F40" s="74">
        <v>169</v>
      </c>
      <c r="G40" s="74">
        <v>24.67</v>
      </c>
      <c r="H40" s="74">
        <v>81.58</v>
      </c>
      <c r="I40" s="74">
        <v>20.14</v>
      </c>
      <c r="J40" s="74">
        <v>66.599999999999994</v>
      </c>
      <c r="K40" s="74">
        <v>1</v>
      </c>
      <c r="T40" s="74">
        <v>3</v>
      </c>
      <c r="U40" s="74">
        <v>1</v>
      </c>
      <c r="V40" s="74" t="s">
        <v>186</v>
      </c>
      <c r="W40" s="74" t="s">
        <v>121</v>
      </c>
      <c r="X40" s="74">
        <v>11</v>
      </c>
      <c r="Y40" s="74">
        <v>6</v>
      </c>
      <c r="Z40" s="74" t="s">
        <v>251</v>
      </c>
      <c r="AA40" s="74" t="s">
        <v>252</v>
      </c>
      <c r="AB40" s="74" t="s">
        <v>182</v>
      </c>
      <c r="AC40" s="74" t="s">
        <v>183</v>
      </c>
      <c r="AD40" s="74" t="s">
        <v>253</v>
      </c>
      <c r="AG40" s="74" t="s">
        <v>254</v>
      </c>
      <c r="AH40" s="74">
        <v>0</v>
      </c>
      <c r="AI40" s="74">
        <v>224</v>
      </c>
      <c r="AJ40" s="74">
        <v>23</v>
      </c>
      <c r="AK40" s="74">
        <v>0</v>
      </c>
      <c r="AL40" s="74">
        <v>0</v>
      </c>
    </row>
    <row r="41" spans="1:38" x14ac:dyDescent="0.3">
      <c r="A41" s="74" t="s">
        <v>248</v>
      </c>
      <c r="B41" s="74">
        <v>14955</v>
      </c>
      <c r="C41" s="74">
        <v>5</v>
      </c>
      <c r="D41" s="74" t="s">
        <v>249</v>
      </c>
      <c r="E41" s="74" t="s">
        <v>250</v>
      </c>
      <c r="F41" s="74">
        <v>169</v>
      </c>
      <c r="G41" s="74">
        <v>27.97</v>
      </c>
      <c r="H41" s="74">
        <v>92.48</v>
      </c>
      <c r="I41" s="74">
        <v>22.64</v>
      </c>
      <c r="J41" s="74">
        <v>74.86</v>
      </c>
      <c r="K41" s="74">
        <v>44</v>
      </c>
      <c r="T41" s="74">
        <v>3</v>
      </c>
      <c r="U41" s="74">
        <v>1</v>
      </c>
      <c r="V41" s="74" t="s">
        <v>186</v>
      </c>
      <c r="W41" s="74">
        <v>92</v>
      </c>
      <c r="X41" s="74">
        <v>11</v>
      </c>
      <c r="Y41" s="74">
        <v>6</v>
      </c>
      <c r="Z41" s="74" t="s">
        <v>251</v>
      </c>
      <c r="AA41" s="74" t="s">
        <v>252</v>
      </c>
      <c r="AB41" s="74" t="s">
        <v>182</v>
      </c>
      <c r="AC41" s="74" t="s">
        <v>183</v>
      </c>
      <c r="AD41" s="74" t="s">
        <v>253</v>
      </c>
      <c r="AG41" s="74" t="s">
        <v>254</v>
      </c>
      <c r="AH41" s="74">
        <v>0</v>
      </c>
      <c r="AI41" s="74">
        <v>224</v>
      </c>
      <c r="AJ41" s="74">
        <v>23</v>
      </c>
      <c r="AK41" s="74">
        <v>0</v>
      </c>
      <c r="AL41" s="74">
        <v>0</v>
      </c>
    </row>
    <row r="42" spans="1:38" x14ac:dyDescent="0.3">
      <c r="A42" s="74" t="s">
        <v>248</v>
      </c>
      <c r="B42" s="74">
        <v>14955</v>
      </c>
      <c r="C42" s="74">
        <v>6</v>
      </c>
      <c r="D42" s="74" t="s">
        <v>249</v>
      </c>
      <c r="E42" s="74" t="s">
        <v>250</v>
      </c>
      <c r="F42" s="74">
        <v>169</v>
      </c>
      <c r="G42" s="74">
        <v>30.88</v>
      </c>
      <c r="H42" s="74">
        <v>102.11</v>
      </c>
      <c r="I42" s="74">
        <v>25.28</v>
      </c>
      <c r="J42" s="74">
        <v>83.59</v>
      </c>
      <c r="K42" s="74">
        <v>33</v>
      </c>
      <c r="T42" s="74">
        <v>3</v>
      </c>
      <c r="U42" s="74">
        <v>2</v>
      </c>
      <c r="V42" s="74" t="s">
        <v>186</v>
      </c>
      <c r="W42" s="74">
        <v>102</v>
      </c>
      <c r="X42" s="74">
        <v>11</v>
      </c>
      <c r="Y42" s="74">
        <v>6</v>
      </c>
      <c r="Z42" s="74" t="s">
        <v>251</v>
      </c>
      <c r="AA42" s="74" t="s">
        <v>252</v>
      </c>
      <c r="AB42" s="74" t="s">
        <v>182</v>
      </c>
      <c r="AC42" s="74" t="s">
        <v>183</v>
      </c>
      <c r="AD42" s="74" t="s">
        <v>253</v>
      </c>
      <c r="AG42" s="74" t="s">
        <v>254</v>
      </c>
      <c r="AH42" s="74">
        <v>0</v>
      </c>
      <c r="AI42" s="74">
        <v>224</v>
      </c>
      <c r="AJ42" s="74">
        <v>23</v>
      </c>
      <c r="AK42" s="74">
        <v>0</v>
      </c>
      <c r="AL42" s="74">
        <v>0</v>
      </c>
    </row>
    <row r="43" spans="1:38" x14ac:dyDescent="0.3">
      <c r="A43" s="74" t="s">
        <v>248</v>
      </c>
      <c r="B43" s="74">
        <v>14958</v>
      </c>
      <c r="C43" s="74">
        <v>1</v>
      </c>
      <c r="D43" s="74" t="s">
        <v>256</v>
      </c>
      <c r="E43" s="74" t="s">
        <v>257</v>
      </c>
      <c r="F43" s="74">
        <v>99</v>
      </c>
      <c r="G43" s="74">
        <v>24.5</v>
      </c>
      <c r="H43" s="74">
        <v>81</v>
      </c>
      <c r="I43" s="74">
        <v>19.920000000000002</v>
      </c>
      <c r="J43" s="74">
        <v>65.88</v>
      </c>
      <c r="K43" s="74">
        <v>9</v>
      </c>
      <c r="T43" s="74">
        <v>3</v>
      </c>
      <c r="U43" s="74">
        <v>1</v>
      </c>
      <c r="V43" s="74" t="s">
        <v>179</v>
      </c>
      <c r="W43" s="74">
        <v>81</v>
      </c>
      <c r="X43" s="74">
        <v>9</v>
      </c>
      <c r="Y43" s="74">
        <v>9</v>
      </c>
      <c r="Z43" s="74" t="s">
        <v>258</v>
      </c>
      <c r="AA43" s="74" t="s">
        <v>259</v>
      </c>
      <c r="AB43" s="74" t="s">
        <v>182</v>
      </c>
      <c r="AC43" s="74" t="s">
        <v>183</v>
      </c>
      <c r="AD43" s="74" t="s">
        <v>253</v>
      </c>
      <c r="AG43" s="74" t="s">
        <v>260</v>
      </c>
      <c r="AH43" s="74">
        <v>0</v>
      </c>
      <c r="AI43" s="74">
        <v>267</v>
      </c>
      <c r="AJ43" s="74">
        <v>31</v>
      </c>
      <c r="AK43" s="74">
        <v>0</v>
      </c>
      <c r="AL43" s="74">
        <v>0</v>
      </c>
    </row>
    <row r="44" spans="1:38" x14ac:dyDescent="0.3">
      <c r="A44" s="74" t="s">
        <v>248</v>
      </c>
      <c r="B44" s="74">
        <v>14958</v>
      </c>
      <c r="C44" s="74">
        <v>2</v>
      </c>
      <c r="D44" s="74" t="s">
        <v>256</v>
      </c>
      <c r="E44" s="74" t="s">
        <v>257</v>
      </c>
      <c r="F44" s="74">
        <v>99</v>
      </c>
      <c r="G44" s="74">
        <v>30.95</v>
      </c>
      <c r="H44" s="74">
        <v>102.32</v>
      </c>
      <c r="I44" s="74">
        <v>25.15</v>
      </c>
      <c r="J44" s="74">
        <v>83.16</v>
      </c>
      <c r="K44" s="74">
        <v>90</v>
      </c>
      <c r="T44" s="74">
        <v>3</v>
      </c>
      <c r="U44" s="74">
        <v>2</v>
      </c>
      <c r="V44" s="74" t="s">
        <v>179</v>
      </c>
      <c r="W44" s="74">
        <v>102</v>
      </c>
      <c r="X44" s="74">
        <v>9</v>
      </c>
      <c r="Y44" s="74">
        <v>9</v>
      </c>
      <c r="Z44" s="74" t="s">
        <v>258</v>
      </c>
      <c r="AA44" s="74" t="s">
        <v>259</v>
      </c>
      <c r="AB44" s="74" t="s">
        <v>182</v>
      </c>
      <c r="AC44" s="74" t="s">
        <v>183</v>
      </c>
      <c r="AD44" s="74" t="s">
        <v>253</v>
      </c>
      <c r="AG44" s="74" t="s">
        <v>260</v>
      </c>
      <c r="AH44" s="74">
        <v>0</v>
      </c>
      <c r="AI44" s="74">
        <v>267</v>
      </c>
      <c r="AJ44" s="74">
        <v>31</v>
      </c>
      <c r="AK44" s="74">
        <v>0</v>
      </c>
      <c r="AL44" s="74">
        <v>0</v>
      </c>
    </row>
    <row r="45" spans="1:38" x14ac:dyDescent="0.3">
      <c r="A45" s="74" t="s">
        <v>261</v>
      </c>
      <c r="B45" s="74">
        <v>132110</v>
      </c>
      <c r="C45" s="74">
        <v>1</v>
      </c>
      <c r="D45" s="74" t="s">
        <v>262</v>
      </c>
      <c r="E45" s="74" t="s">
        <v>263</v>
      </c>
      <c r="F45" s="74">
        <v>993</v>
      </c>
      <c r="G45" s="74">
        <v>24.35</v>
      </c>
      <c r="H45" s="74">
        <v>80.510000000000005</v>
      </c>
      <c r="I45" s="74">
        <v>18.079999999999998</v>
      </c>
      <c r="J45" s="74">
        <v>59.78</v>
      </c>
      <c r="K45" s="74">
        <v>178</v>
      </c>
      <c r="T45" s="74">
        <v>3</v>
      </c>
      <c r="U45" s="74">
        <v>2</v>
      </c>
      <c r="V45" s="74" t="s">
        <v>186</v>
      </c>
      <c r="W45" s="74" t="s">
        <v>87</v>
      </c>
      <c r="X45" s="74">
        <v>26</v>
      </c>
      <c r="Y45" s="74">
        <v>16</v>
      </c>
      <c r="Z45" s="74" t="s">
        <v>264</v>
      </c>
      <c r="AA45" s="74" t="s">
        <v>265</v>
      </c>
      <c r="AB45" s="74" t="s">
        <v>182</v>
      </c>
      <c r="AC45" s="74" t="s">
        <v>183</v>
      </c>
      <c r="AD45" s="74" t="s">
        <v>158</v>
      </c>
      <c r="AG45" s="74" t="s">
        <v>266</v>
      </c>
      <c r="AH45" s="74">
        <v>0</v>
      </c>
      <c r="AI45" s="74">
        <v>269</v>
      </c>
      <c r="AJ45" s="74">
        <v>21</v>
      </c>
      <c r="AK45" s="74">
        <v>1275</v>
      </c>
      <c r="AL45" s="74">
        <v>1.28</v>
      </c>
    </row>
    <row r="46" spans="1:38" x14ac:dyDescent="0.3">
      <c r="A46" s="74" t="s">
        <v>261</v>
      </c>
      <c r="B46" s="74">
        <v>132110</v>
      </c>
      <c r="C46" s="74">
        <v>2</v>
      </c>
      <c r="D46" s="74" t="s">
        <v>262</v>
      </c>
      <c r="E46" s="74" t="s">
        <v>263</v>
      </c>
      <c r="F46" s="74">
        <v>993</v>
      </c>
      <c r="G46" s="74">
        <v>24.38</v>
      </c>
      <c r="H46" s="74">
        <v>80.599999999999994</v>
      </c>
      <c r="I46" s="74">
        <v>18.13</v>
      </c>
      <c r="J46" s="74">
        <v>59.96</v>
      </c>
      <c r="K46" s="74">
        <v>82</v>
      </c>
      <c r="T46" s="74">
        <v>3</v>
      </c>
      <c r="U46" s="74">
        <v>2</v>
      </c>
      <c r="V46" s="74" t="s">
        <v>186</v>
      </c>
      <c r="W46" s="74" t="s">
        <v>85</v>
      </c>
      <c r="X46" s="74">
        <v>26</v>
      </c>
      <c r="Y46" s="74">
        <v>16</v>
      </c>
      <c r="Z46" s="74" t="s">
        <v>264</v>
      </c>
      <c r="AA46" s="74" t="s">
        <v>265</v>
      </c>
      <c r="AB46" s="74" t="s">
        <v>182</v>
      </c>
      <c r="AC46" s="74" t="s">
        <v>183</v>
      </c>
      <c r="AD46" s="74" t="s">
        <v>158</v>
      </c>
      <c r="AG46" s="74" t="s">
        <v>266</v>
      </c>
      <c r="AH46" s="74">
        <v>0</v>
      </c>
      <c r="AI46" s="74">
        <v>269</v>
      </c>
      <c r="AJ46" s="74">
        <v>21</v>
      </c>
      <c r="AK46" s="74">
        <v>1275</v>
      </c>
      <c r="AL46" s="74">
        <v>1.28</v>
      </c>
    </row>
    <row r="47" spans="1:38" x14ac:dyDescent="0.3">
      <c r="A47" s="74" t="s">
        <v>261</v>
      </c>
      <c r="B47" s="74">
        <v>132110</v>
      </c>
      <c r="C47" s="74">
        <v>3</v>
      </c>
      <c r="D47" s="74" t="s">
        <v>262</v>
      </c>
      <c r="E47" s="74" t="s">
        <v>263</v>
      </c>
      <c r="F47" s="74">
        <v>993</v>
      </c>
      <c r="G47" s="74">
        <v>29.74</v>
      </c>
      <c r="H47" s="74">
        <v>98.34</v>
      </c>
      <c r="I47" s="74">
        <v>22.2</v>
      </c>
      <c r="J47" s="74">
        <v>73.42</v>
      </c>
      <c r="K47" s="74">
        <v>86</v>
      </c>
      <c r="T47" s="74">
        <v>3</v>
      </c>
      <c r="U47" s="74">
        <v>2</v>
      </c>
      <c r="V47" s="74" t="s">
        <v>186</v>
      </c>
      <c r="W47" s="74">
        <v>98</v>
      </c>
      <c r="X47" s="74">
        <v>26</v>
      </c>
      <c r="Y47" s="74">
        <v>16</v>
      </c>
      <c r="Z47" s="74" t="s">
        <v>264</v>
      </c>
      <c r="AA47" s="74" t="s">
        <v>265</v>
      </c>
      <c r="AB47" s="74" t="s">
        <v>182</v>
      </c>
      <c r="AC47" s="74" t="s">
        <v>183</v>
      </c>
      <c r="AD47" s="74" t="s">
        <v>158</v>
      </c>
      <c r="AG47" s="74" t="s">
        <v>266</v>
      </c>
      <c r="AH47" s="74">
        <v>0</v>
      </c>
      <c r="AI47" s="74">
        <v>269</v>
      </c>
      <c r="AJ47" s="74">
        <v>21</v>
      </c>
      <c r="AK47" s="74">
        <v>1275</v>
      </c>
      <c r="AL47" s="74">
        <v>1.28</v>
      </c>
    </row>
    <row r="48" spans="1:38" x14ac:dyDescent="0.3">
      <c r="A48" s="74" t="s">
        <v>261</v>
      </c>
      <c r="B48" s="74">
        <v>132110</v>
      </c>
      <c r="C48" s="74">
        <v>4</v>
      </c>
      <c r="D48" s="74" t="s">
        <v>262</v>
      </c>
      <c r="E48" s="74" t="s">
        <v>263</v>
      </c>
      <c r="F48" s="74">
        <v>993</v>
      </c>
      <c r="G48" s="74">
        <v>33.99</v>
      </c>
      <c r="H48" s="74">
        <v>112.39</v>
      </c>
      <c r="I48" s="74">
        <v>25.7</v>
      </c>
      <c r="J48" s="74">
        <v>84.99</v>
      </c>
      <c r="K48" s="74">
        <v>36</v>
      </c>
      <c r="T48" s="74">
        <v>3</v>
      </c>
      <c r="U48" s="74">
        <v>2</v>
      </c>
      <c r="V48" s="74" t="s">
        <v>186</v>
      </c>
      <c r="W48" s="74" t="s">
        <v>140</v>
      </c>
      <c r="X48" s="74">
        <v>26</v>
      </c>
      <c r="Y48" s="74">
        <v>16</v>
      </c>
      <c r="Z48" s="74" t="s">
        <v>264</v>
      </c>
      <c r="AA48" s="74" t="s">
        <v>265</v>
      </c>
      <c r="AB48" s="74" t="s">
        <v>182</v>
      </c>
      <c r="AC48" s="74" t="s">
        <v>183</v>
      </c>
      <c r="AD48" s="74" t="s">
        <v>158</v>
      </c>
      <c r="AG48" s="74" t="s">
        <v>266</v>
      </c>
      <c r="AH48" s="74">
        <v>0</v>
      </c>
      <c r="AI48" s="74">
        <v>269</v>
      </c>
      <c r="AJ48" s="74">
        <v>21</v>
      </c>
      <c r="AK48" s="74">
        <v>1275</v>
      </c>
      <c r="AL48" s="74">
        <v>1.28</v>
      </c>
    </row>
    <row r="49" spans="1:38" x14ac:dyDescent="0.3">
      <c r="A49" s="74" t="s">
        <v>261</v>
      </c>
      <c r="B49" s="74">
        <v>132110</v>
      </c>
      <c r="C49" s="74">
        <v>5</v>
      </c>
      <c r="D49" s="74" t="s">
        <v>262</v>
      </c>
      <c r="E49" s="74" t="s">
        <v>263</v>
      </c>
      <c r="F49" s="74">
        <v>993</v>
      </c>
      <c r="G49" s="74">
        <v>34.299999999999997</v>
      </c>
      <c r="H49" s="74">
        <v>113.41</v>
      </c>
      <c r="I49" s="74">
        <v>25.68</v>
      </c>
      <c r="J49" s="74">
        <v>84.92</v>
      </c>
      <c r="K49" s="74">
        <v>4</v>
      </c>
      <c r="T49" s="74">
        <v>3</v>
      </c>
      <c r="U49" s="74">
        <v>2</v>
      </c>
      <c r="V49" s="74" t="s">
        <v>186</v>
      </c>
      <c r="W49" s="74" t="s">
        <v>267</v>
      </c>
      <c r="X49" s="74">
        <v>26</v>
      </c>
      <c r="Y49" s="74">
        <v>16</v>
      </c>
      <c r="Z49" s="74" t="s">
        <v>264</v>
      </c>
      <c r="AA49" s="74" t="s">
        <v>265</v>
      </c>
      <c r="AB49" s="74" t="s">
        <v>182</v>
      </c>
      <c r="AC49" s="74" t="s">
        <v>183</v>
      </c>
      <c r="AD49" s="74" t="s">
        <v>158</v>
      </c>
      <c r="AG49" s="74" t="s">
        <v>266</v>
      </c>
      <c r="AH49" s="74">
        <v>0</v>
      </c>
      <c r="AI49" s="74">
        <v>269</v>
      </c>
      <c r="AJ49" s="74">
        <v>21</v>
      </c>
      <c r="AK49" s="74">
        <v>1275</v>
      </c>
      <c r="AL49" s="74">
        <v>1.28</v>
      </c>
    </row>
    <row r="50" spans="1:38" x14ac:dyDescent="0.3">
      <c r="A50" s="74" t="s">
        <v>261</v>
      </c>
      <c r="B50" s="74">
        <v>132110</v>
      </c>
      <c r="C50" s="74">
        <v>6</v>
      </c>
      <c r="D50" s="74" t="s">
        <v>262</v>
      </c>
      <c r="E50" s="74" t="s">
        <v>263</v>
      </c>
      <c r="F50" s="74">
        <v>993</v>
      </c>
      <c r="G50" s="74">
        <v>34.869999999999997</v>
      </c>
      <c r="H50" s="74">
        <v>115.3</v>
      </c>
      <c r="I50" s="74">
        <v>25.68</v>
      </c>
      <c r="J50" s="74">
        <v>84.92</v>
      </c>
      <c r="K50" s="74">
        <v>6</v>
      </c>
      <c r="T50" s="74">
        <v>3</v>
      </c>
      <c r="U50" s="74">
        <v>2</v>
      </c>
      <c r="V50" s="74" t="s">
        <v>186</v>
      </c>
      <c r="W50" s="74" t="s">
        <v>141</v>
      </c>
      <c r="X50" s="74">
        <v>26</v>
      </c>
      <c r="Y50" s="74">
        <v>16</v>
      </c>
      <c r="Z50" s="74" t="s">
        <v>264</v>
      </c>
      <c r="AA50" s="74" t="s">
        <v>265</v>
      </c>
      <c r="AB50" s="74" t="s">
        <v>182</v>
      </c>
      <c r="AC50" s="74" t="s">
        <v>183</v>
      </c>
      <c r="AD50" s="74" t="s">
        <v>158</v>
      </c>
      <c r="AG50" s="74" t="s">
        <v>266</v>
      </c>
      <c r="AH50" s="74">
        <v>0</v>
      </c>
      <c r="AI50" s="74">
        <v>269</v>
      </c>
      <c r="AJ50" s="74">
        <v>21</v>
      </c>
      <c r="AK50" s="74">
        <v>1275</v>
      </c>
      <c r="AL50" s="74">
        <v>1.28</v>
      </c>
    </row>
    <row r="51" spans="1:38" x14ac:dyDescent="0.3">
      <c r="A51" s="74" t="s">
        <v>261</v>
      </c>
      <c r="B51" s="74">
        <v>14959</v>
      </c>
      <c r="C51" s="74">
        <v>1</v>
      </c>
      <c r="D51" s="74" t="s">
        <v>268</v>
      </c>
      <c r="E51" s="74" t="s">
        <v>269</v>
      </c>
      <c r="F51" s="74">
        <v>100</v>
      </c>
      <c r="G51" s="74">
        <v>21.56</v>
      </c>
      <c r="H51" s="74">
        <v>71.3</v>
      </c>
      <c r="I51" s="74">
        <v>18.13</v>
      </c>
      <c r="J51" s="74">
        <v>59.94</v>
      </c>
      <c r="K51" s="74">
        <v>70</v>
      </c>
      <c r="T51" s="74">
        <v>3</v>
      </c>
      <c r="U51" s="74">
        <v>1</v>
      </c>
      <c r="V51" s="74" t="s">
        <v>186</v>
      </c>
      <c r="W51" s="74" t="s">
        <v>270</v>
      </c>
      <c r="X51" s="74">
        <v>5</v>
      </c>
      <c r="Y51" s="74">
        <v>5</v>
      </c>
      <c r="Z51" s="74" t="s">
        <v>271</v>
      </c>
      <c r="AA51" s="74" t="s">
        <v>272</v>
      </c>
      <c r="AB51" s="74" t="s">
        <v>182</v>
      </c>
      <c r="AC51" s="74" t="s">
        <v>183</v>
      </c>
      <c r="AD51" s="74" t="s">
        <v>158</v>
      </c>
      <c r="AG51" s="74" t="s">
        <v>273</v>
      </c>
      <c r="AH51" s="74">
        <v>0</v>
      </c>
      <c r="AI51" s="74">
        <v>0</v>
      </c>
      <c r="AJ51" s="74">
        <v>0</v>
      </c>
      <c r="AK51" s="74">
        <v>0</v>
      </c>
      <c r="AL51" s="74">
        <v>0</v>
      </c>
    </row>
    <row r="52" spans="1:38" x14ac:dyDescent="0.3">
      <c r="A52" s="74" t="s">
        <v>261</v>
      </c>
      <c r="B52" s="74">
        <v>14959</v>
      </c>
      <c r="C52" s="74">
        <v>2</v>
      </c>
      <c r="D52" s="74" t="s">
        <v>268</v>
      </c>
      <c r="E52" s="74" t="s">
        <v>269</v>
      </c>
      <c r="F52" s="74">
        <v>100</v>
      </c>
      <c r="G52" s="74">
        <v>21.5</v>
      </c>
      <c r="H52" s="74">
        <v>71.08</v>
      </c>
      <c r="I52" s="74">
        <v>18.059999999999999</v>
      </c>
      <c r="J52" s="74">
        <v>59.72</v>
      </c>
      <c r="K52" s="74">
        <v>30</v>
      </c>
      <c r="T52" s="74">
        <v>3</v>
      </c>
      <c r="U52" s="74">
        <v>1</v>
      </c>
      <c r="V52" s="74" t="s">
        <v>186</v>
      </c>
      <c r="W52" s="74" t="s">
        <v>274</v>
      </c>
      <c r="X52" s="74">
        <v>5</v>
      </c>
      <c r="Y52" s="74">
        <v>5</v>
      </c>
      <c r="Z52" s="74" t="s">
        <v>271</v>
      </c>
      <c r="AA52" s="74" t="s">
        <v>272</v>
      </c>
      <c r="AB52" s="74" t="s">
        <v>182</v>
      </c>
      <c r="AC52" s="74" t="s">
        <v>183</v>
      </c>
      <c r="AD52" s="74" t="s">
        <v>158</v>
      </c>
      <c r="AG52" s="74" t="s">
        <v>273</v>
      </c>
      <c r="AH52" s="74">
        <v>0</v>
      </c>
      <c r="AI52" s="74">
        <v>0</v>
      </c>
      <c r="AJ52" s="74">
        <v>0</v>
      </c>
      <c r="AK52" s="74">
        <v>0</v>
      </c>
      <c r="AL52" s="74">
        <v>0</v>
      </c>
    </row>
    <row r="53" spans="1:38" x14ac:dyDescent="0.3">
      <c r="A53" s="74" t="s">
        <v>261</v>
      </c>
      <c r="B53" s="74">
        <v>117992</v>
      </c>
      <c r="C53" s="74">
        <v>1</v>
      </c>
      <c r="D53" s="74" t="s">
        <v>275</v>
      </c>
      <c r="E53" s="74" t="s">
        <v>276</v>
      </c>
      <c r="F53" s="74">
        <v>65</v>
      </c>
      <c r="G53" s="74">
        <v>16.66</v>
      </c>
      <c r="H53" s="74">
        <v>55.08</v>
      </c>
      <c r="I53" s="74">
        <v>15.02</v>
      </c>
      <c r="J53" s="74">
        <v>49.68</v>
      </c>
      <c r="K53" s="74">
        <v>40</v>
      </c>
      <c r="T53" s="74">
        <v>2</v>
      </c>
      <c r="U53" s="74">
        <v>1</v>
      </c>
      <c r="V53" s="74" t="s">
        <v>179</v>
      </c>
      <c r="W53" s="74">
        <v>55</v>
      </c>
      <c r="X53" s="74">
        <v>5</v>
      </c>
      <c r="Y53" s="74">
        <v>5</v>
      </c>
      <c r="Z53" s="74" t="s">
        <v>277</v>
      </c>
      <c r="AA53" s="74" t="s">
        <v>278</v>
      </c>
      <c r="AB53" s="74" t="s">
        <v>182</v>
      </c>
      <c r="AC53" s="74" t="s">
        <v>183</v>
      </c>
      <c r="AD53" s="74" t="s">
        <v>158</v>
      </c>
      <c r="AG53" s="74" t="s">
        <v>279</v>
      </c>
      <c r="AH53" s="74">
        <v>0</v>
      </c>
      <c r="AI53" s="74">
        <v>0</v>
      </c>
      <c r="AJ53" s="74">
        <v>0</v>
      </c>
      <c r="AK53" s="74">
        <v>0</v>
      </c>
      <c r="AL53" s="74">
        <v>0</v>
      </c>
    </row>
    <row r="54" spans="1:38" x14ac:dyDescent="0.3">
      <c r="A54" s="74" t="s">
        <v>261</v>
      </c>
      <c r="B54" s="74">
        <v>117992</v>
      </c>
      <c r="C54" s="74">
        <v>2</v>
      </c>
      <c r="D54" s="74" t="s">
        <v>275</v>
      </c>
      <c r="E54" s="74" t="s">
        <v>276</v>
      </c>
      <c r="F54" s="74">
        <v>65</v>
      </c>
      <c r="G54" s="74">
        <v>19.739999999999998</v>
      </c>
      <c r="H54" s="74">
        <v>65.28</v>
      </c>
      <c r="I54" s="74">
        <v>18.11</v>
      </c>
      <c r="J54" s="74">
        <v>59.88</v>
      </c>
      <c r="K54" s="74">
        <v>20</v>
      </c>
      <c r="T54" s="74">
        <v>3</v>
      </c>
      <c r="U54" s="74">
        <v>2</v>
      </c>
      <c r="V54" s="74" t="s">
        <v>179</v>
      </c>
      <c r="W54" s="74">
        <v>65</v>
      </c>
      <c r="X54" s="74">
        <v>5</v>
      </c>
      <c r="Y54" s="74">
        <v>5</v>
      </c>
      <c r="Z54" s="74" t="s">
        <v>277</v>
      </c>
      <c r="AA54" s="74" t="s">
        <v>278</v>
      </c>
      <c r="AB54" s="74" t="s">
        <v>182</v>
      </c>
      <c r="AC54" s="74" t="s">
        <v>183</v>
      </c>
      <c r="AD54" s="74" t="s">
        <v>158</v>
      </c>
      <c r="AG54" s="74" t="s">
        <v>279</v>
      </c>
      <c r="AH54" s="74">
        <v>0</v>
      </c>
      <c r="AI54" s="74">
        <v>0</v>
      </c>
      <c r="AJ54" s="74">
        <v>0</v>
      </c>
      <c r="AK54" s="74">
        <v>0</v>
      </c>
      <c r="AL54" s="74">
        <v>0</v>
      </c>
    </row>
    <row r="55" spans="1:38" x14ac:dyDescent="0.3">
      <c r="A55" s="74" t="s">
        <v>261</v>
      </c>
      <c r="B55" s="74">
        <v>117992</v>
      </c>
      <c r="C55" s="74">
        <v>3</v>
      </c>
      <c r="D55" s="74" t="s">
        <v>275</v>
      </c>
      <c r="E55" s="74" t="s">
        <v>276</v>
      </c>
      <c r="F55" s="74">
        <v>65</v>
      </c>
      <c r="G55" s="74">
        <v>21.38</v>
      </c>
      <c r="H55" s="74">
        <v>70.680000000000007</v>
      </c>
      <c r="I55" s="74">
        <v>18.11</v>
      </c>
      <c r="J55" s="74">
        <v>59.88</v>
      </c>
      <c r="K55" s="74">
        <v>5</v>
      </c>
      <c r="T55" s="74">
        <v>3</v>
      </c>
      <c r="U55" s="74">
        <v>2</v>
      </c>
      <c r="V55" s="74" t="s">
        <v>179</v>
      </c>
      <c r="W55" s="74">
        <v>70</v>
      </c>
      <c r="X55" s="74">
        <v>5</v>
      </c>
      <c r="Y55" s="74">
        <v>5</v>
      </c>
      <c r="Z55" s="74" t="s">
        <v>277</v>
      </c>
      <c r="AA55" s="74" t="s">
        <v>278</v>
      </c>
      <c r="AB55" s="74" t="s">
        <v>182</v>
      </c>
      <c r="AC55" s="74" t="s">
        <v>183</v>
      </c>
      <c r="AD55" s="74" t="s">
        <v>158</v>
      </c>
      <c r="AG55" s="74" t="s">
        <v>279</v>
      </c>
      <c r="AH55" s="74">
        <v>0</v>
      </c>
      <c r="AI55" s="74">
        <v>0</v>
      </c>
      <c r="AJ55" s="74">
        <v>0</v>
      </c>
      <c r="AK55" s="74">
        <v>0</v>
      </c>
      <c r="AL55" s="74">
        <v>0</v>
      </c>
    </row>
    <row r="56" spans="1:38" x14ac:dyDescent="0.3">
      <c r="A56" s="74" t="s">
        <v>261</v>
      </c>
      <c r="B56" s="74">
        <v>140899</v>
      </c>
      <c r="C56" s="74">
        <v>1</v>
      </c>
      <c r="D56" s="74" t="s">
        <v>280</v>
      </c>
      <c r="E56" s="74" t="s">
        <v>281</v>
      </c>
      <c r="F56" s="74">
        <v>38</v>
      </c>
      <c r="G56" s="74">
        <v>19.23</v>
      </c>
      <c r="H56" s="74">
        <v>63.58</v>
      </c>
      <c r="I56" s="74">
        <v>13.81</v>
      </c>
      <c r="J56" s="74">
        <v>45.68</v>
      </c>
      <c r="K56" s="74">
        <v>4</v>
      </c>
      <c r="T56" s="74">
        <v>2</v>
      </c>
      <c r="U56" s="74">
        <v>1</v>
      </c>
      <c r="V56" s="74" t="s">
        <v>186</v>
      </c>
      <c r="W56" s="74">
        <v>63</v>
      </c>
      <c r="X56" s="74">
        <v>6</v>
      </c>
      <c r="Y56" s="74">
        <v>5</v>
      </c>
      <c r="Z56" s="74" t="s">
        <v>282</v>
      </c>
      <c r="AA56" s="74" t="s">
        <v>283</v>
      </c>
      <c r="AB56" s="74" t="s">
        <v>182</v>
      </c>
      <c r="AC56" s="74" t="s">
        <v>183</v>
      </c>
      <c r="AD56" s="74" t="s">
        <v>158</v>
      </c>
      <c r="AG56" s="74" t="s">
        <v>284</v>
      </c>
      <c r="AH56" s="74">
        <v>0</v>
      </c>
      <c r="AI56" s="74">
        <v>231</v>
      </c>
      <c r="AJ56" s="74">
        <v>56</v>
      </c>
      <c r="AK56" s="74">
        <v>28</v>
      </c>
      <c r="AL56" s="74">
        <v>0.74</v>
      </c>
    </row>
    <row r="57" spans="1:38" x14ac:dyDescent="0.3">
      <c r="A57" s="74" t="s">
        <v>261</v>
      </c>
      <c r="B57" s="74">
        <v>140899</v>
      </c>
      <c r="C57" s="74">
        <v>2</v>
      </c>
      <c r="D57" s="74" t="s">
        <v>280</v>
      </c>
      <c r="E57" s="74" t="s">
        <v>281</v>
      </c>
      <c r="F57" s="74">
        <v>38</v>
      </c>
      <c r="G57" s="74">
        <v>21.09</v>
      </c>
      <c r="H57" s="74">
        <v>69.72</v>
      </c>
      <c r="I57" s="74">
        <v>15.18</v>
      </c>
      <c r="J57" s="74">
        <v>50.21</v>
      </c>
      <c r="K57" s="74">
        <v>32</v>
      </c>
      <c r="T57" s="74">
        <v>3</v>
      </c>
      <c r="U57" s="74">
        <v>1</v>
      </c>
      <c r="V57" s="74" t="s">
        <v>186</v>
      </c>
      <c r="W57" s="74">
        <v>69</v>
      </c>
      <c r="X57" s="74">
        <v>6</v>
      </c>
      <c r="Y57" s="74">
        <v>5</v>
      </c>
      <c r="Z57" s="74" t="s">
        <v>282</v>
      </c>
      <c r="AA57" s="74" t="s">
        <v>283</v>
      </c>
      <c r="AB57" s="74" t="s">
        <v>182</v>
      </c>
      <c r="AC57" s="74" t="s">
        <v>183</v>
      </c>
      <c r="AD57" s="74" t="s">
        <v>158</v>
      </c>
      <c r="AG57" s="74" t="s">
        <v>284</v>
      </c>
      <c r="AH57" s="74">
        <v>0</v>
      </c>
      <c r="AI57" s="74">
        <v>231</v>
      </c>
      <c r="AJ57" s="74">
        <v>56</v>
      </c>
      <c r="AK57" s="74">
        <v>28</v>
      </c>
      <c r="AL57" s="74">
        <v>0.74</v>
      </c>
    </row>
    <row r="58" spans="1:38" x14ac:dyDescent="0.3">
      <c r="A58" s="74" t="s">
        <v>261</v>
      </c>
      <c r="B58" s="74">
        <v>140899</v>
      </c>
      <c r="C58" s="74">
        <v>3</v>
      </c>
      <c r="D58" s="74" t="s">
        <v>280</v>
      </c>
      <c r="E58" s="74" t="s">
        <v>281</v>
      </c>
      <c r="F58" s="74">
        <v>38</v>
      </c>
      <c r="G58" s="74">
        <v>35.18</v>
      </c>
      <c r="H58" s="74">
        <v>116.33</v>
      </c>
      <c r="I58" s="74">
        <v>25.57</v>
      </c>
      <c r="J58" s="74">
        <v>84.54</v>
      </c>
      <c r="K58" s="74">
        <v>1</v>
      </c>
      <c r="T58" s="74">
        <v>3</v>
      </c>
      <c r="U58" s="74">
        <v>2</v>
      </c>
      <c r="V58" s="74" t="s">
        <v>186</v>
      </c>
      <c r="W58" s="74" t="s">
        <v>285</v>
      </c>
      <c r="X58" s="74">
        <v>6</v>
      </c>
      <c r="Y58" s="74">
        <v>5</v>
      </c>
      <c r="Z58" s="74" t="s">
        <v>282</v>
      </c>
      <c r="AA58" s="74" t="s">
        <v>283</v>
      </c>
      <c r="AB58" s="74" t="s">
        <v>182</v>
      </c>
      <c r="AC58" s="74" t="s">
        <v>183</v>
      </c>
      <c r="AD58" s="74" t="s">
        <v>158</v>
      </c>
      <c r="AG58" s="74" t="s">
        <v>284</v>
      </c>
      <c r="AH58" s="74">
        <v>0</v>
      </c>
      <c r="AI58" s="74">
        <v>231</v>
      </c>
      <c r="AJ58" s="74">
        <v>56</v>
      </c>
      <c r="AK58" s="74">
        <v>28</v>
      </c>
      <c r="AL58" s="74">
        <v>0.74</v>
      </c>
    </row>
    <row r="59" spans="1:38" x14ac:dyDescent="0.3">
      <c r="A59" s="74" t="s">
        <v>261</v>
      </c>
      <c r="B59" s="74">
        <v>140899</v>
      </c>
      <c r="C59" s="74">
        <v>4</v>
      </c>
      <c r="D59" s="74" t="s">
        <v>280</v>
      </c>
      <c r="E59" s="74" t="s">
        <v>281</v>
      </c>
      <c r="F59" s="74">
        <v>38</v>
      </c>
      <c r="G59" s="74">
        <v>35.369999999999997</v>
      </c>
      <c r="H59" s="74">
        <v>116.93</v>
      </c>
      <c r="I59" s="74">
        <v>25.7</v>
      </c>
      <c r="J59" s="74">
        <v>84.96</v>
      </c>
      <c r="K59" s="74">
        <v>1</v>
      </c>
      <c r="T59" s="74">
        <v>3</v>
      </c>
      <c r="U59" s="74">
        <v>2</v>
      </c>
      <c r="V59" s="74" t="s">
        <v>186</v>
      </c>
      <c r="W59" s="74" t="s">
        <v>286</v>
      </c>
      <c r="X59" s="74">
        <v>6</v>
      </c>
      <c r="Y59" s="74">
        <v>5</v>
      </c>
      <c r="Z59" s="74" t="s">
        <v>282</v>
      </c>
      <c r="AA59" s="74" t="s">
        <v>283</v>
      </c>
      <c r="AB59" s="74" t="s">
        <v>182</v>
      </c>
      <c r="AC59" s="74" t="s">
        <v>183</v>
      </c>
      <c r="AD59" s="74" t="s">
        <v>158</v>
      </c>
      <c r="AG59" s="74" t="s">
        <v>284</v>
      </c>
      <c r="AH59" s="74">
        <v>0</v>
      </c>
      <c r="AI59" s="74">
        <v>231</v>
      </c>
      <c r="AJ59" s="74">
        <v>56</v>
      </c>
      <c r="AK59" s="74">
        <v>28</v>
      </c>
      <c r="AL59" s="74">
        <v>0.74</v>
      </c>
    </row>
    <row r="60" spans="1:38" x14ac:dyDescent="0.3">
      <c r="A60" s="74" t="s">
        <v>261</v>
      </c>
      <c r="B60" s="74">
        <v>112786</v>
      </c>
      <c r="C60" s="74">
        <v>1</v>
      </c>
      <c r="D60" s="74" t="s">
        <v>217</v>
      </c>
      <c r="E60" s="74" t="s">
        <v>287</v>
      </c>
      <c r="F60" s="74">
        <v>70</v>
      </c>
      <c r="G60" s="74">
        <v>19.32</v>
      </c>
      <c r="H60" s="74">
        <v>63.9</v>
      </c>
      <c r="I60" s="74">
        <v>17.579999999999998</v>
      </c>
      <c r="J60" s="74">
        <v>58.14</v>
      </c>
      <c r="K60" s="74">
        <v>30</v>
      </c>
      <c r="T60" s="74">
        <v>2</v>
      </c>
      <c r="U60" s="74">
        <v>1</v>
      </c>
      <c r="V60" s="74" t="s">
        <v>186</v>
      </c>
      <c r="W60" s="74">
        <v>63</v>
      </c>
      <c r="X60" s="74">
        <v>5</v>
      </c>
      <c r="Y60" s="74">
        <v>5</v>
      </c>
      <c r="Z60" s="74" t="s">
        <v>288</v>
      </c>
      <c r="AA60" s="74" t="s">
        <v>289</v>
      </c>
      <c r="AB60" s="74" t="s">
        <v>182</v>
      </c>
      <c r="AC60" s="74" t="s">
        <v>183</v>
      </c>
      <c r="AD60" s="74" t="s">
        <v>158</v>
      </c>
      <c r="AG60" s="74" t="s">
        <v>290</v>
      </c>
      <c r="AH60" s="74">
        <v>0</v>
      </c>
      <c r="AI60" s="74">
        <v>0</v>
      </c>
      <c r="AJ60" s="74">
        <v>0</v>
      </c>
      <c r="AK60" s="74">
        <v>0</v>
      </c>
      <c r="AL60" s="74">
        <v>0</v>
      </c>
    </row>
    <row r="61" spans="1:38" x14ac:dyDescent="0.3">
      <c r="A61" s="74" t="s">
        <v>261</v>
      </c>
      <c r="B61" s="74">
        <v>112786</v>
      </c>
      <c r="C61" s="74">
        <v>2</v>
      </c>
      <c r="D61" s="74" t="s">
        <v>217</v>
      </c>
      <c r="E61" s="74" t="s">
        <v>287</v>
      </c>
      <c r="F61" s="74">
        <v>70</v>
      </c>
      <c r="G61" s="74">
        <v>19.600000000000001</v>
      </c>
      <c r="H61" s="74">
        <v>64.8</v>
      </c>
      <c r="I61" s="74">
        <v>17.850000000000001</v>
      </c>
      <c r="J61" s="74">
        <v>59.04</v>
      </c>
      <c r="K61" s="74">
        <v>40</v>
      </c>
      <c r="T61" s="74">
        <v>2</v>
      </c>
      <c r="U61" s="74">
        <v>1</v>
      </c>
      <c r="V61" s="74" t="s">
        <v>186</v>
      </c>
      <c r="W61" s="74">
        <v>64</v>
      </c>
      <c r="X61" s="74">
        <v>5</v>
      </c>
      <c r="Y61" s="74">
        <v>5</v>
      </c>
      <c r="Z61" s="74" t="s">
        <v>288</v>
      </c>
      <c r="AA61" s="74" t="s">
        <v>289</v>
      </c>
      <c r="AB61" s="74" t="s">
        <v>182</v>
      </c>
      <c r="AC61" s="74" t="s">
        <v>183</v>
      </c>
      <c r="AD61" s="74" t="s">
        <v>158</v>
      </c>
      <c r="AG61" s="74" t="s">
        <v>290</v>
      </c>
      <c r="AH61" s="74">
        <v>0</v>
      </c>
      <c r="AI61" s="74">
        <v>0</v>
      </c>
      <c r="AJ61" s="74">
        <v>0</v>
      </c>
      <c r="AK61" s="74">
        <v>0</v>
      </c>
      <c r="AL61" s="74">
        <v>0</v>
      </c>
    </row>
    <row r="62" spans="1:38" x14ac:dyDescent="0.3">
      <c r="A62" s="74" t="s">
        <v>261</v>
      </c>
      <c r="B62" s="74">
        <v>132778</v>
      </c>
      <c r="C62" s="74">
        <v>1</v>
      </c>
      <c r="D62" s="74" t="s">
        <v>291</v>
      </c>
      <c r="E62" s="74" t="s">
        <v>292</v>
      </c>
      <c r="F62" s="74">
        <v>19</v>
      </c>
      <c r="G62" s="74">
        <v>38.26</v>
      </c>
      <c r="H62" s="74">
        <v>126.48</v>
      </c>
      <c r="I62" s="74">
        <v>32.94</v>
      </c>
      <c r="J62" s="74">
        <v>108.9</v>
      </c>
      <c r="K62" s="74">
        <v>8</v>
      </c>
      <c r="T62" s="74">
        <v>4</v>
      </c>
      <c r="U62" s="74">
        <v>2</v>
      </c>
      <c r="V62" s="74" t="s">
        <v>186</v>
      </c>
      <c r="W62" s="74">
        <v>126</v>
      </c>
      <c r="X62" s="74">
        <v>5</v>
      </c>
      <c r="Y62" s="74">
        <v>5</v>
      </c>
      <c r="Z62" s="74" t="s">
        <v>293</v>
      </c>
      <c r="AA62" s="74" t="s">
        <v>294</v>
      </c>
      <c r="AB62" s="74" t="s">
        <v>182</v>
      </c>
      <c r="AC62" s="74" t="s">
        <v>183</v>
      </c>
      <c r="AD62" s="74" t="s">
        <v>158</v>
      </c>
      <c r="AG62" s="74" t="s">
        <v>295</v>
      </c>
      <c r="AH62" s="74">
        <v>0</v>
      </c>
      <c r="AI62" s="74">
        <v>210</v>
      </c>
      <c r="AJ62" s="74">
        <v>45</v>
      </c>
      <c r="AK62" s="74">
        <v>31</v>
      </c>
      <c r="AL62" s="74">
        <v>1.63</v>
      </c>
    </row>
    <row r="63" spans="1:38" x14ac:dyDescent="0.3">
      <c r="A63" s="74" t="s">
        <v>261</v>
      </c>
      <c r="B63" s="74">
        <v>132778</v>
      </c>
      <c r="C63" s="74">
        <v>2</v>
      </c>
      <c r="D63" s="74" t="s">
        <v>291</v>
      </c>
      <c r="E63" s="74" t="s">
        <v>292</v>
      </c>
      <c r="F63" s="74">
        <v>19</v>
      </c>
      <c r="G63" s="74">
        <v>39.07</v>
      </c>
      <c r="H63" s="74">
        <v>129.16999999999999</v>
      </c>
      <c r="I63" s="74">
        <v>33.64</v>
      </c>
      <c r="J63" s="74">
        <v>111.21</v>
      </c>
      <c r="K63" s="74">
        <v>4</v>
      </c>
      <c r="T63" s="74">
        <v>4</v>
      </c>
      <c r="U63" s="74">
        <v>2</v>
      </c>
      <c r="V63" s="74" t="s">
        <v>186</v>
      </c>
      <c r="W63" s="74" t="s">
        <v>296</v>
      </c>
      <c r="X63" s="74">
        <v>5</v>
      </c>
      <c r="Y63" s="74">
        <v>5</v>
      </c>
      <c r="Z63" s="74" t="s">
        <v>293</v>
      </c>
      <c r="AA63" s="74" t="s">
        <v>294</v>
      </c>
      <c r="AB63" s="74" t="s">
        <v>182</v>
      </c>
      <c r="AC63" s="74" t="s">
        <v>183</v>
      </c>
      <c r="AD63" s="74" t="s">
        <v>158</v>
      </c>
      <c r="AG63" s="74" t="s">
        <v>295</v>
      </c>
      <c r="AH63" s="74">
        <v>0</v>
      </c>
      <c r="AI63" s="74">
        <v>210</v>
      </c>
      <c r="AJ63" s="74">
        <v>45</v>
      </c>
      <c r="AK63" s="74">
        <v>31</v>
      </c>
      <c r="AL63" s="74">
        <v>1.63</v>
      </c>
    </row>
    <row r="64" spans="1:38" x14ac:dyDescent="0.3">
      <c r="A64" s="74" t="s">
        <v>261</v>
      </c>
      <c r="B64" s="74">
        <v>132778</v>
      </c>
      <c r="C64" s="74">
        <v>3</v>
      </c>
      <c r="D64" s="74" t="s">
        <v>291</v>
      </c>
      <c r="E64" s="74" t="s">
        <v>292</v>
      </c>
      <c r="F64" s="74">
        <v>19</v>
      </c>
      <c r="G64" s="74">
        <v>39.159999999999997</v>
      </c>
      <c r="H64" s="74">
        <v>129.47</v>
      </c>
      <c r="I64" s="74">
        <v>33.71</v>
      </c>
      <c r="J64" s="74">
        <v>111.47</v>
      </c>
      <c r="K64" s="74">
        <v>4</v>
      </c>
      <c r="T64" s="74">
        <v>4</v>
      </c>
      <c r="U64" s="74">
        <v>2</v>
      </c>
      <c r="V64" s="74" t="s">
        <v>186</v>
      </c>
      <c r="W64" s="74" t="s">
        <v>297</v>
      </c>
      <c r="X64" s="74">
        <v>5</v>
      </c>
      <c r="Y64" s="74">
        <v>5</v>
      </c>
      <c r="Z64" s="74" t="s">
        <v>293</v>
      </c>
      <c r="AA64" s="74" t="s">
        <v>294</v>
      </c>
      <c r="AB64" s="74" t="s">
        <v>182</v>
      </c>
      <c r="AC64" s="74" t="s">
        <v>183</v>
      </c>
      <c r="AD64" s="74" t="s">
        <v>158</v>
      </c>
      <c r="AG64" s="74" t="s">
        <v>295</v>
      </c>
      <c r="AH64" s="74">
        <v>0</v>
      </c>
      <c r="AI64" s="74">
        <v>210</v>
      </c>
      <c r="AJ64" s="74">
        <v>45</v>
      </c>
      <c r="AK64" s="74">
        <v>31</v>
      </c>
      <c r="AL64" s="74">
        <v>1.63</v>
      </c>
    </row>
    <row r="65" spans="1:38" x14ac:dyDescent="0.3">
      <c r="A65" s="74" t="s">
        <v>261</v>
      </c>
      <c r="B65" s="74">
        <v>132778</v>
      </c>
      <c r="C65" s="74">
        <v>4</v>
      </c>
      <c r="D65" s="74" t="s">
        <v>291</v>
      </c>
      <c r="E65" s="74" t="s">
        <v>292</v>
      </c>
      <c r="F65" s="74">
        <v>19</v>
      </c>
      <c r="G65" s="74">
        <v>40.04</v>
      </c>
      <c r="H65" s="74">
        <v>132.38</v>
      </c>
      <c r="I65" s="74">
        <v>32.94</v>
      </c>
      <c r="J65" s="74">
        <v>108.9</v>
      </c>
      <c r="K65" s="74">
        <v>2</v>
      </c>
      <c r="T65" s="74">
        <v>5</v>
      </c>
      <c r="U65" s="74">
        <v>3</v>
      </c>
      <c r="V65" s="74" t="s">
        <v>186</v>
      </c>
      <c r="W65" s="74">
        <v>132</v>
      </c>
      <c r="X65" s="74">
        <v>5</v>
      </c>
      <c r="Y65" s="74">
        <v>5</v>
      </c>
      <c r="Z65" s="74" t="s">
        <v>293</v>
      </c>
      <c r="AA65" s="74" t="s">
        <v>294</v>
      </c>
      <c r="AB65" s="74" t="s">
        <v>182</v>
      </c>
      <c r="AC65" s="74" t="s">
        <v>183</v>
      </c>
      <c r="AD65" s="74" t="s">
        <v>158</v>
      </c>
      <c r="AG65" s="74" t="s">
        <v>295</v>
      </c>
      <c r="AH65" s="74">
        <v>0</v>
      </c>
      <c r="AI65" s="74">
        <v>210</v>
      </c>
      <c r="AJ65" s="74">
        <v>45</v>
      </c>
      <c r="AK65" s="74">
        <v>31</v>
      </c>
      <c r="AL65" s="74">
        <v>1.63</v>
      </c>
    </row>
    <row r="66" spans="1:38" x14ac:dyDescent="0.3">
      <c r="A66" s="74" t="s">
        <v>261</v>
      </c>
      <c r="B66" s="74">
        <v>132778</v>
      </c>
      <c r="C66" s="74">
        <v>5</v>
      </c>
      <c r="D66" s="74" t="s">
        <v>291</v>
      </c>
      <c r="E66" s="74" t="s">
        <v>292</v>
      </c>
      <c r="F66" s="74">
        <v>19</v>
      </c>
      <c r="G66" s="74">
        <v>40.98</v>
      </c>
      <c r="H66" s="74">
        <v>135.5</v>
      </c>
      <c r="I66" s="74">
        <v>33.71</v>
      </c>
      <c r="J66" s="74">
        <v>111.47</v>
      </c>
      <c r="K66" s="74">
        <v>1</v>
      </c>
      <c r="T66" s="74">
        <v>5</v>
      </c>
      <c r="U66" s="74">
        <v>3</v>
      </c>
      <c r="V66" s="74" t="s">
        <v>186</v>
      </c>
      <c r="W66" s="74">
        <v>135</v>
      </c>
      <c r="X66" s="74">
        <v>5</v>
      </c>
      <c r="Y66" s="74">
        <v>5</v>
      </c>
      <c r="Z66" s="74" t="s">
        <v>293</v>
      </c>
      <c r="AA66" s="74" t="s">
        <v>294</v>
      </c>
      <c r="AB66" s="74" t="s">
        <v>182</v>
      </c>
      <c r="AC66" s="74" t="s">
        <v>183</v>
      </c>
      <c r="AD66" s="74" t="s">
        <v>158</v>
      </c>
      <c r="AG66" s="74" t="s">
        <v>295</v>
      </c>
      <c r="AH66" s="74">
        <v>0</v>
      </c>
      <c r="AI66" s="74">
        <v>210</v>
      </c>
      <c r="AJ66" s="74">
        <v>45</v>
      </c>
      <c r="AK66" s="74">
        <v>31</v>
      </c>
      <c r="AL66" s="74">
        <v>1.63</v>
      </c>
    </row>
    <row r="67" spans="1:38" x14ac:dyDescent="0.3">
      <c r="A67" s="74" t="s">
        <v>261</v>
      </c>
      <c r="B67" s="74">
        <v>110310</v>
      </c>
      <c r="C67" s="74">
        <v>1</v>
      </c>
      <c r="D67" s="74" t="s">
        <v>298</v>
      </c>
      <c r="E67" s="74" t="s">
        <v>299</v>
      </c>
      <c r="F67" s="74">
        <v>1186</v>
      </c>
      <c r="G67" s="74">
        <v>15.63</v>
      </c>
      <c r="H67" s="74">
        <v>51.68</v>
      </c>
      <c r="I67" s="74">
        <v>12.19</v>
      </c>
      <c r="J67" s="74">
        <v>40.32</v>
      </c>
      <c r="K67" s="74">
        <v>230</v>
      </c>
      <c r="T67" s="74">
        <v>1</v>
      </c>
      <c r="U67" s="74">
        <v>1</v>
      </c>
      <c r="V67" s="74" t="s">
        <v>179</v>
      </c>
      <c r="W67" s="74">
        <v>51</v>
      </c>
      <c r="X67" s="74">
        <v>15</v>
      </c>
      <c r="Y67" s="74">
        <v>10</v>
      </c>
      <c r="Z67" s="74" t="s">
        <v>300</v>
      </c>
      <c r="AA67" s="74" t="s">
        <v>301</v>
      </c>
      <c r="AB67" s="74" t="s">
        <v>182</v>
      </c>
      <c r="AC67" s="74" t="s">
        <v>183</v>
      </c>
      <c r="AD67" s="74" t="s">
        <v>158</v>
      </c>
      <c r="AG67" s="74" t="s">
        <v>302</v>
      </c>
      <c r="AH67" s="74">
        <v>15</v>
      </c>
      <c r="AI67" s="74">
        <v>208</v>
      </c>
      <c r="AJ67" s="74">
        <v>24</v>
      </c>
      <c r="AK67" s="74">
        <v>1062</v>
      </c>
      <c r="AL67" s="74">
        <v>0.9</v>
      </c>
    </row>
    <row r="68" spans="1:38" x14ac:dyDescent="0.3">
      <c r="A68" s="74" t="s">
        <v>261</v>
      </c>
      <c r="B68" s="74">
        <v>110310</v>
      </c>
      <c r="C68" s="74">
        <v>2</v>
      </c>
      <c r="D68" s="74" t="s">
        <v>298</v>
      </c>
      <c r="E68" s="74" t="s">
        <v>299</v>
      </c>
      <c r="F68" s="74">
        <v>1186</v>
      </c>
      <c r="G68" s="74">
        <v>20.86</v>
      </c>
      <c r="H68" s="74">
        <v>68.98</v>
      </c>
      <c r="I68" s="74">
        <v>16.28</v>
      </c>
      <c r="J68" s="74">
        <v>53.82</v>
      </c>
      <c r="K68" s="74">
        <v>941</v>
      </c>
      <c r="T68" s="74">
        <v>2</v>
      </c>
      <c r="U68" s="74">
        <v>1</v>
      </c>
      <c r="V68" s="74" t="s">
        <v>179</v>
      </c>
      <c r="W68" s="74">
        <v>68</v>
      </c>
      <c r="X68" s="74">
        <v>15</v>
      </c>
      <c r="Y68" s="74">
        <v>10</v>
      </c>
      <c r="Z68" s="74" t="s">
        <v>300</v>
      </c>
      <c r="AA68" s="74" t="s">
        <v>301</v>
      </c>
      <c r="AB68" s="74" t="s">
        <v>182</v>
      </c>
      <c r="AC68" s="74" t="s">
        <v>183</v>
      </c>
      <c r="AD68" s="74" t="s">
        <v>158</v>
      </c>
      <c r="AG68" s="74" t="s">
        <v>302</v>
      </c>
      <c r="AH68" s="74">
        <v>15</v>
      </c>
      <c r="AI68" s="74">
        <v>208</v>
      </c>
      <c r="AJ68" s="74">
        <v>24</v>
      </c>
      <c r="AK68" s="74">
        <v>1062</v>
      </c>
      <c r="AL68" s="74">
        <v>0.9</v>
      </c>
    </row>
    <row r="69" spans="1:38" x14ac:dyDescent="0.3">
      <c r="A69" s="74" t="s">
        <v>261</v>
      </c>
      <c r="B69" s="74">
        <v>105136</v>
      </c>
      <c r="C69" s="74">
        <v>1</v>
      </c>
      <c r="D69" s="74" t="s">
        <v>187</v>
      </c>
      <c r="E69" s="74" t="s">
        <v>303</v>
      </c>
      <c r="F69" s="74">
        <v>144</v>
      </c>
      <c r="G69" s="74">
        <v>19.420000000000002</v>
      </c>
      <c r="H69" s="74">
        <v>64.22</v>
      </c>
      <c r="I69" s="74">
        <v>15.76</v>
      </c>
      <c r="J69" s="74">
        <v>52.11</v>
      </c>
      <c r="K69" s="74">
        <v>72</v>
      </c>
      <c r="T69" s="74">
        <v>2</v>
      </c>
      <c r="U69" s="74">
        <v>1</v>
      </c>
      <c r="V69" s="74" t="s">
        <v>186</v>
      </c>
      <c r="W69" s="74">
        <v>64</v>
      </c>
      <c r="X69" s="74">
        <v>6</v>
      </c>
      <c r="Y69" s="74">
        <v>6</v>
      </c>
      <c r="Z69" s="74" t="s">
        <v>304</v>
      </c>
      <c r="AA69" s="74" t="s">
        <v>305</v>
      </c>
      <c r="AB69" s="74" t="s">
        <v>182</v>
      </c>
      <c r="AC69" s="74" t="s">
        <v>183</v>
      </c>
      <c r="AD69" s="74" t="s">
        <v>158</v>
      </c>
      <c r="AG69" s="74" t="s">
        <v>306</v>
      </c>
      <c r="AH69" s="74">
        <v>0</v>
      </c>
      <c r="AI69" s="74">
        <v>0</v>
      </c>
      <c r="AJ69" s="74">
        <v>0</v>
      </c>
      <c r="AK69" s="74">
        <v>0</v>
      </c>
      <c r="AL69" s="74">
        <v>0</v>
      </c>
    </row>
    <row r="70" spans="1:38" x14ac:dyDescent="0.3">
      <c r="A70" s="74" t="s">
        <v>261</v>
      </c>
      <c r="B70" s="74">
        <v>105136</v>
      </c>
      <c r="C70" s="74">
        <v>2</v>
      </c>
      <c r="D70" s="74" t="s">
        <v>187</v>
      </c>
      <c r="E70" s="74" t="s">
        <v>303</v>
      </c>
      <c r="F70" s="74">
        <v>144</v>
      </c>
      <c r="G70" s="74">
        <v>22.52</v>
      </c>
      <c r="H70" s="74">
        <v>74.459999999999994</v>
      </c>
      <c r="I70" s="74">
        <v>18.13</v>
      </c>
      <c r="J70" s="74">
        <v>59.94</v>
      </c>
      <c r="K70" s="74">
        <v>48</v>
      </c>
      <c r="T70" s="74">
        <v>2</v>
      </c>
      <c r="U70" s="74">
        <v>1</v>
      </c>
      <c r="V70" s="74" t="s">
        <v>186</v>
      </c>
      <c r="W70" s="74">
        <v>74</v>
      </c>
      <c r="X70" s="74">
        <v>6</v>
      </c>
      <c r="Y70" s="74">
        <v>6</v>
      </c>
      <c r="Z70" s="74" t="s">
        <v>304</v>
      </c>
      <c r="AA70" s="74" t="s">
        <v>305</v>
      </c>
      <c r="AB70" s="74" t="s">
        <v>182</v>
      </c>
      <c r="AC70" s="74" t="s">
        <v>183</v>
      </c>
      <c r="AD70" s="74" t="s">
        <v>158</v>
      </c>
      <c r="AG70" s="74" t="s">
        <v>306</v>
      </c>
      <c r="AH70" s="74">
        <v>0</v>
      </c>
      <c r="AI70" s="74">
        <v>0</v>
      </c>
      <c r="AJ70" s="74">
        <v>0</v>
      </c>
      <c r="AK70" s="74">
        <v>0</v>
      </c>
      <c r="AL70" s="74">
        <v>0</v>
      </c>
    </row>
    <row r="71" spans="1:38" x14ac:dyDescent="0.3">
      <c r="A71" s="74" t="s">
        <v>261</v>
      </c>
      <c r="B71" s="74">
        <v>105136</v>
      </c>
      <c r="C71" s="74">
        <v>3</v>
      </c>
      <c r="D71" s="74" t="s">
        <v>187</v>
      </c>
      <c r="E71" s="74" t="s">
        <v>303</v>
      </c>
      <c r="F71" s="74">
        <v>144</v>
      </c>
      <c r="G71" s="74">
        <v>24.36</v>
      </c>
      <c r="H71" s="74">
        <v>80.53</v>
      </c>
      <c r="I71" s="74">
        <v>20.22</v>
      </c>
      <c r="J71" s="74">
        <v>66.87</v>
      </c>
      <c r="K71" s="74">
        <v>24</v>
      </c>
      <c r="T71" s="74">
        <v>2</v>
      </c>
      <c r="U71" s="74">
        <v>1</v>
      </c>
      <c r="V71" s="74" t="s">
        <v>186</v>
      </c>
      <c r="W71" s="74">
        <v>80</v>
      </c>
      <c r="X71" s="74">
        <v>6</v>
      </c>
      <c r="Y71" s="74">
        <v>6</v>
      </c>
      <c r="Z71" s="74" t="s">
        <v>304</v>
      </c>
      <c r="AA71" s="74" t="s">
        <v>305</v>
      </c>
      <c r="AB71" s="74" t="s">
        <v>182</v>
      </c>
      <c r="AC71" s="74" t="s">
        <v>183</v>
      </c>
      <c r="AD71" s="74" t="s">
        <v>158</v>
      </c>
      <c r="AG71" s="74" t="s">
        <v>306</v>
      </c>
      <c r="AH71" s="74">
        <v>0</v>
      </c>
      <c r="AI71" s="74">
        <v>0</v>
      </c>
      <c r="AJ71" s="74">
        <v>0</v>
      </c>
      <c r="AK71" s="74">
        <v>0</v>
      </c>
      <c r="AL71" s="74">
        <v>0</v>
      </c>
    </row>
    <row r="72" spans="1:38" x14ac:dyDescent="0.3">
      <c r="A72" s="74" t="s">
        <v>261</v>
      </c>
      <c r="B72" s="74">
        <v>120933</v>
      </c>
      <c r="C72" s="74">
        <v>1</v>
      </c>
      <c r="D72" s="74" t="s">
        <v>307</v>
      </c>
      <c r="E72" s="74" t="s">
        <v>308</v>
      </c>
      <c r="F72" s="74">
        <v>48</v>
      </c>
      <c r="G72" s="74">
        <v>16.79</v>
      </c>
      <c r="H72" s="74">
        <v>55.51</v>
      </c>
      <c r="I72" s="74">
        <v>12.71</v>
      </c>
      <c r="J72" s="74">
        <v>42.04</v>
      </c>
      <c r="K72" s="74">
        <v>1</v>
      </c>
      <c r="T72" s="74">
        <v>1</v>
      </c>
      <c r="U72" s="74">
        <v>1</v>
      </c>
      <c r="V72" s="74" t="s">
        <v>186</v>
      </c>
      <c r="W72" s="74" t="s">
        <v>309</v>
      </c>
      <c r="X72" s="74">
        <v>9</v>
      </c>
      <c r="Y72" s="74">
        <v>9</v>
      </c>
      <c r="Z72" s="74" t="s">
        <v>310</v>
      </c>
      <c r="AA72" s="74" t="s">
        <v>311</v>
      </c>
      <c r="AB72" s="74" t="s">
        <v>182</v>
      </c>
      <c r="AC72" s="74" t="s">
        <v>183</v>
      </c>
      <c r="AD72" s="74" t="s">
        <v>158</v>
      </c>
      <c r="AG72" s="74" t="s">
        <v>312</v>
      </c>
      <c r="AH72" s="74">
        <v>0</v>
      </c>
      <c r="AI72" s="74">
        <v>0</v>
      </c>
      <c r="AJ72" s="74">
        <v>0</v>
      </c>
      <c r="AK72" s="74">
        <v>26</v>
      </c>
      <c r="AL72" s="74">
        <v>0.54</v>
      </c>
    </row>
    <row r="73" spans="1:38" x14ac:dyDescent="0.3">
      <c r="A73" s="74" t="s">
        <v>261</v>
      </c>
      <c r="B73" s="74">
        <v>120933</v>
      </c>
      <c r="C73" s="74">
        <v>2</v>
      </c>
      <c r="D73" s="74" t="s">
        <v>307</v>
      </c>
      <c r="E73" s="74" t="s">
        <v>308</v>
      </c>
      <c r="F73" s="74">
        <v>48</v>
      </c>
      <c r="G73" s="74">
        <v>16.989999999999998</v>
      </c>
      <c r="H73" s="74">
        <v>56.19</v>
      </c>
      <c r="I73" s="74">
        <v>12.71</v>
      </c>
      <c r="J73" s="74">
        <v>42.04</v>
      </c>
      <c r="K73" s="74">
        <v>1</v>
      </c>
      <c r="T73" s="74">
        <v>1</v>
      </c>
      <c r="U73" s="74">
        <v>1</v>
      </c>
      <c r="V73" s="74" t="s">
        <v>186</v>
      </c>
      <c r="W73" s="74" t="s">
        <v>313</v>
      </c>
      <c r="X73" s="74">
        <v>9</v>
      </c>
      <c r="Y73" s="74">
        <v>9</v>
      </c>
      <c r="Z73" s="74" t="s">
        <v>310</v>
      </c>
      <c r="AA73" s="74" t="s">
        <v>311</v>
      </c>
      <c r="AB73" s="74" t="s">
        <v>182</v>
      </c>
      <c r="AC73" s="74" t="s">
        <v>183</v>
      </c>
      <c r="AD73" s="74" t="s">
        <v>158</v>
      </c>
      <c r="AG73" s="74" t="s">
        <v>312</v>
      </c>
      <c r="AH73" s="74">
        <v>0</v>
      </c>
      <c r="AI73" s="74">
        <v>0</v>
      </c>
      <c r="AJ73" s="74">
        <v>0</v>
      </c>
      <c r="AK73" s="74">
        <v>26</v>
      </c>
      <c r="AL73" s="74">
        <v>0.54</v>
      </c>
    </row>
    <row r="74" spans="1:38" x14ac:dyDescent="0.3">
      <c r="A74" s="74" t="s">
        <v>261</v>
      </c>
      <c r="B74" s="74">
        <v>120933</v>
      </c>
      <c r="C74" s="74">
        <v>3</v>
      </c>
      <c r="D74" s="74" t="s">
        <v>307</v>
      </c>
      <c r="E74" s="74" t="s">
        <v>308</v>
      </c>
      <c r="F74" s="74">
        <v>48</v>
      </c>
      <c r="G74" s="74">
        <v>19.920000000000002</v>
      </c>
      <c r="H74" s="74">
        <v>65.88</v>
      </c>
      <c r="I74" s="74">
        <v>15.09</v>
      </c>
      <c r="J74" s="74">
        <v>49.9</v>
      </c>
      <c r="K74" s="74">
        <v>8</v>
      </c>
      <c r="T74" s="74">
        <v>1</v>
      </c>
      <c r="U74" s="74">
        <v>1</v>
      </c>
      <c r="V74" s="74" t="s">
        <v>186</v>
      </c>
      <c r="W74" s="74" t="s">
        <v>314</v>
      </c>
      <c r="X74" s="74">
        <v>9</v>
      </c>
      <c r="Y74" s="74">
        <v>9</v>
      </c>
      <c r="Z74" s="74" t="s">
        <v>310</v>
      </c>
      <c r="AA74" s="74" t="s">
        <v>311</v>
      </c>
      <c r="AB74" s="74" t="s">
        <v>182</v>
      </c>
      <c r="AC74" s="74" t="s">
        <v>183</v>
      </c>
      <c r="AD74" s="74" t="s">
        <v>158</v>
      </c>
      <c r="AG74" s="74" t="s">
        <v>312</v>
      </c>
      <c r="AH74" s="74">
        <v>0</v>
      </c>
      <c r="AI74" s="74">
        <v>0</v>
      </c>
      <c r="AJ74" s="74">
        <v>0</v>
      </c>
      <c r="AK74" s="74">
        <v>26</v>
      </c>
      <c r="AL74" s="74">
        <v>0.54</v>
      </c>
    </row>
    <row r="75" spans="1:38" x14ac:dyDescent="0.3">
      <c r="A75" s="74" t="s">
        <v>261</v>
      </c>
      <c r="B75" s="74">
        <v>120933</v>
      </c>
      <c r="C75" s="74">
        <v>4</v>
      </c>
      <c r="D75" s="74" t="s">
        <v>307</v>
      </c>
      <c r="E75" s="74" t="s">
        <v>308</v>
      </c>
      <c r="F75" s="74">
        <v>48</v>
      </c>
      <c r="G75" s="74">
        <v>19.940000000000001</v>
      </c>
      <c r="H75" s="74">
        <v>65.92</v>
      </c>
      <c r="I75" s="74">
        <v>15.1</v>
      </c>
      <c r="J75" s="74">
        <v>49.93</v>
      </c>
      <c r="K75" s="74">
        <v>8</v>
      </c>
      <c r="T75" s="74">
        <v>1</v>
      </c>
      <c r="U75" s="74">
        <v>1</v>
      </c>
      <c r="V75" s="74" t="s">
        <v>186</v>
      </c>
      <c r="W75" s="74" t="s">
        <v>315</v>
      </c>
      <c r="X75" s="74">
        <v>9</v>
      </c>
      <c r="Y75" s="74">
        <v>9</v>
      </c>
      <c r="Z75" s="74" t="s">
        <v>310</v>
      </c>
      <c r="AA75" s="74" t="s">
        <v>311</v>
      </c>
      <c r="AB75" s="74" t="s">
        <v>182</v>
      </c>
      <c r="AC75" s="74" t="s">
        <v>183</v>
      </c>
      <c r="AD75" s="74" t="s">
        <v>158</v>
      </c>
      <c r="AG75" s="74" t="s">
        <v>312</v>
      </c>
      <c r="AH75" s="74">
        <v>0</v>
      </c>
      <c r="AI75" s="74">
        <v>0</v>
      </c>
      <c r="AJ75" s="74">
        <v>0</v>
      </c>
      <c r="AK75" s="74">
        <v>26</v>
      </c>
      <c r="AL75" s="74">
        <v>0.54</v>
      </c>
    </row>
    <row r="76" spans="1:38" x14ac:dyDescent="0.3">
      <c r="A76" s="74" t="s">
        <v>261</v>
      </c>
      <c r="B76" s="74">
        <v>120933</v>
      </c>
      <c r="C76" s="74">
        <v>5</v>
      </c>
      <c r="D76" s="74" t="s">
        <v>307</v>
      </c>
      <c r="E76" s="74" t="s">
        <v>308</v>
      </c>
      <c r="F76" s="74">
        <v>48</v>
      </c>
      <c r="G76" s="74">
        <v>19.89</v>
      </c>
      <c r="H76" s="74">
        <v>65.78</v>
      </c>
      <c r="I76" s="74">
        <v>15.07</v>
      </c>
      <c r="J76" s="74">
        <v>49.82</v>
      </c>
      <c r="K76" s="74">
        <v>7</v>
      </c>
      <c r="T76" s="74">
        <v>1</v>
      </c>
      <c r="U76" s="74">
        <v>1</v>
      </c>
      <c r="V76" s="74" t="s">
        <v>186</v>
      </c>
      <c r="W76" s="74" t="s">
        <v>127</v>
      </c>
      <c r="X76" s="74">
        <v>9</v>
      </c>
      <c r="Y76" s="74">
        <v>9</v>
      </c>
      <c r="Z76" s="74" t="s">
        <v>310</v>
      </c>
      <c r="AA76" s="74" t="s">
        <v>311</v>
      </c>
      <c r="AB76" s="74" t="s">
        <v>182</v>
      </c>
      <c r="AC76" s="74" t="s">
        <v>183</v>
      </c>
      <c r="AD76" s="74" t="s">
        <v>158</v>
      </c>
      <c r="AG76" s="74" t="s">
        <v>312</v>
      </c>
      <c r="AH76" s="74">
        <v>0</v>
      </c>
      <c r="AI76" s="74">
        <v>0</v>
      </c>
      <c r="AJ76" s="74">
        <v>0</v>
      </c>
      <c r="AK76" s="74">
        <v>26</v>
      </c>
      <c r="AL76" s="74">
        <v>0.54</v>
      </c>
    </row>
    <row r="77" spans="1:38" x14ac:dyDescent="0.3">
      <c r="A77" s="74" t="s">
        <v>261</v>
      </c>
      <c r="B77" s="74">
        <v>120933</v>
      </c>
      <c r="C77" s="74">
        <v>6</v>
      </c>
      <c r="D77" s="74" t="s">
        <v>307</v>
      </c>
      <c r="E77" s="74" t="s">
        <v>308</v>
      </c>
      <c r="F77" s="74">
        <v>48</v>
      </c>
      <c r="G77" s="74">
        <v>20.14</v>
      </c>
      <c r="H77" s="74">
        <v>66.59</v>
      </c>
      <c r="I77" s="74">
        <v>15.07</v>
      </c>
      <c r="J77" s="74">
        <v>49.82</v>
      </c>
      <c r="K77" s="74">
        <v>15</v>
      </c>
      <c r="T77" s="74">
        <v>1</v>
      </c>
      <c r="U77" s="74">
        <v>1</v>
      </c>
      <c r="V77" s="74" t="s">
        <v>186</v>
      </c>
      <c r="W77" s="74" t="s">
        <v>316</v>
      </c>
      <c r="X77" s="74">
        <v>9</v>
      </c>
      <c r="Y77" s="74">
        <v>9</v>
      </c>
      <c r="Z77" s="74" t="s">
        <v>310</v>
      </c>
      <c r="AA77" s="74" t="s">
        <v>311</v>
      </c>
      <c r="AB77" s="74" t="s">
        <v>182</v>
      </c>
      <c r="AC77" s="74" t="s">
        <v>183</v>
      </c>
      <c r="AD77" s="74" t="s">
        <v>158</v>
      </c>
      <c r="AG77" s="74" t="s">
        <v>312</v>
      </c>
      <c r="AH77" s="74">
        <v>0</v>
      </c>
      <c r="AI77" s="74">
        <v>0</v>
      </c>
      <c r="AJ77" s="74">
        <v>0</v>
      </c>
      <c r="AK77" s="74">
        <v>26</v>
      </c>
      <c r="AL77" s="74">
        <v>0.54</v>
      </c>
    </row>
    <row r="78" spans="1:38" x14ac:dyDescent="0.3">
      <c r="A78" s="74" t="s">
        <v>261</v>
      </c>
      <c r="B78" s="74">
        <v>120933</v>
      </c>
      <c r="C78" s="74">
        <v>7</v>
      </c>
      <c r="D78" s="74" t="s">
        <v>307</v>
      </c>
      <c r="E78" s="74" t="s">
        <v>308</v>
      </c>
      <c r="F78" s="74">
        <v>48</v>
      </c>
      <c r="G78" s="74">
        <v>20.09</v>
      </c>
      <c r="H78" s="74">
        <v>66.44</v>
      </c>
      <c r="I78" s="74">
        <v>15.03</v>
      </c>
      <c r="J78" s="74">
        <v>49.71</v>
      </c>
      <c r="K78" s="74">
        <v>8</v>
      </c>
      <c r="T78" s="74">
        <v>1</v>
      </c>
      <c r="U78" s="74">
        <v>1</v>
      </c>
      <c r="V78" s="74" t="s">
        <v>186</v>
      </c>
      <c r="W78" s="74" t="s">
        <v>232</v>
      </c>
      <c r="X78" s="74">
        <v>9</v>
      </c>
      <c r="Y78" s="74">
        <v>9</v>
      </c>
      <c r="Z78" s="74" t="s">
        <v>310</v>
      </c>
      <c r="AA78" s="74" t="s">
        <v>311</v>
      </c>
      <c r="AB78" s="74" t="s">
        <v>182</v>
      </c>
      <c r="AC78" s="74" t="s">
        <v>183</v>
      </c>
      <c r="AD78" s="74" t="s">
        <v>158</v>
      </c>
      <c r="AG78" s="74" t="s">
        <v>312</v>
      </c>
      <c r="AH78" s="74">
        <v>0</v>
      </c>
      <c r="AI78" s="74">
        <v>0</v>
      </c>
      <c r="AJ78" s="74">
        <v>0</v>
      </c>
      <c r="AK78" s="74">
        <v>26</v>
      </c>
      <c r="AL78" s="74">
        <v>0.54</v>
      </c>
    </row>
    <row r="79" spans="1:38" x14ac:dyDescent="0.3">
      <c r="A79" s="74" t="s">
        <v>261</v>
      </c>
      <c r="B79" s="74">
        <v>27028</v>
      </c>
      <c r="C79" s="74">
        <v>1</v>
      </c>
      <c r="D79" s="74" t="s">
        <v>317</v>
      </c>
      <c r="E79" s="74" t="s">
        <v>318</v>
      </c>
      <c r="F79" s="74">
        <v>392</v>
      </c>
      <c r="G79" s="74">
        <v>26.35</v>
      </c>
      <c r="H79" s="74">
        <v>87.13</v>
      </c>
      <c r="I79" s="74">
        <v>18.03</v>
      </c>
      <c r="J79" s="74">
        <v>59.61</v>
      </c>
      <c r="K79" s="74">
        <v>392</v>
      </c>
      <c r="T79" s="74">
        <v>3</v>
      </c>
      <c r="U79" s="74">
        <v>2</v>
      </c>
      <c r="V79" s="74" t="s">
        <v>186</v>
      </c>
      <c r="W79" s="74">
        <v>87</v>
      </c>
      <c r="X79" s="74">
        <v>20</v>
      </c>
      <c r="Y79" s="74">
        <v>16</v>
      </c>
      <c r="Z79" s="74" t="s">
        <v>319</v>
      </c>
      <c r="AA79" s="74" t="s">
        <v>320</v>
      </c>
      <c r="AB79" s="74" t="s">
        <v>182</v>
      </c>
      <c r="AC79" s="74" t="s">
        <v>183</v>
      </c>
      <c r="AD79" s="74" t="s">
        <v>158</v>
      </c>
      <c r="AG79" s="74" t="s">
        <v>321</v>
      </c>
      <c r="AH79" s="74">
        <v>0</v>
      </c>
      <c r="AI79" s="74">
        <v>219</v>
      </c>
      <c r="AJ79" s="74">
        <v>18</v>
      </c>
      <c r="AK79" s="74">
        <v>434</v>
      </c>
      <c r="AL79" s="74">
        <v>1.1100000000000001</v>
      </c>
    </row>
    <row r="80" spans="1:38" x14ac:dyDescent="0.3">
      <c r="A80" s="74" t="s">
        <v>261</v>
      </c>
      <c r="B80" s="74">
        <v>140531</v>
      </c>
      <c r="C80" s="74">
        <v>1</v>
      </c>
      <c r="D80" s="74" t="s">
        <v>322</v>
      </c>
      <c r="E80" s="74" t="s">
        <v>323</v>
      </c>
      <c r="F80" s="74">
        <v>19</v>
      </c>
      <c r="G80" s="74">
        <v>28.63</v>
      </c>
      <c r="H80" s="74">
        <v>94.66</v>
      </c>
      <c r="I80" s="74">
        <v>25.67</v>
      </c>
      <c r="J80" s="74">
        <v>84.86</v>
      </c>
      <c r="K80" s="74">
        <v>6</v>
      </c>
      <c r="T80" s="74">
        <v>3</v>
      </c>
      <c r="U80" s="74">
        <v>2</v>
      </c>
      <c r="V80" s="74" t="s">
        <v>186</v>
      </c>
      <c r="W80" s="74" t="s">
        <v>324</v>
      </c>
      <c r="X80" s="74">
        <v>7</v>
      </c>
      <c r="Y80" s="74">
        <v>6</v>
      </c>
      <c r="Z80" s="74" t="s">
        <v>325</v>
      </c>
      <c r="AA80" s="74" t="s">
        <v>326</v>
      </c>
      <c r="AB80" s="74" t="s">
        <v>182</v>
      </c>
      <c r="AC80" s="74" t="s">
        <v>183</v>
      </c>
      <c r="AD80" s="74" t="s">
        <v>158</v>
      </c>
      <c r="AG80" s="74" t="s">
        <v>327</v>
      </c>
      <c r="AH80" s="74">
        <v>0</v>
      </c>
      <c r="AI80" s="74">
        <v>161</v>
      </c>
      <c r="AJ80" s="74">
        <v>26</v>
      </c>
      <c r="AK80" s="74">
        <v>24</v>
      </c>
      <c r="AL80" s="74">
        <v>1.26</v>
      </c>
    </row>
    <row r="81" spans="1:38" x14ac:dyDescent="0.3">
      <c r="A81" s="74" t="s">
        <v>261</v>
      </c>
      <c r="B81" s="74">
        <v>140531</v>
      </c>
      <c r="C81" s="74">
        <v>2</v>
      </c>
      <c r="D81" s="74" t="s">
        <v>322</v>
      </c>
      <c r="E81" s="74" t="s">
        <v>323</v>
      </c>
      <c r="F81" s="74">
        <v>19</v>
      </c>
      <c r="G81" s="74">
        <v>28.64</v>
      </c>
      <c r="H81" s="74">
        <v>94.69</v>
      </c>
      <c r="I81" s="74">
        <v>25.67</v>
      </c>
      <c r="J81" s="74">
        <v>84.88</v>
      </c>
      <c r="K81" s="74">
        <v>6</v>
      </c>
      <c r="T81" s="74">
        <v>3</v>
      </c>
      <c r="U81" s="74">
        <v>2</v>
      </c>
      <c r="V81" s="74" t="s">
        <v>186</v>
      </c>
      <c r="W81" s="74" t="s">
        <v>328</v>
      </c>
      <c r="X81" s="74">
        <v>7</v>
      </c>
      <c r="Y81" s="74">
        <v>6</v>
      </c>
      <c r="Z81" s="74" t="s">
        <v>325</v>
      </c>
      <c r="AA81" s="74" t="s">
        <v>326</v>
      </c>
      <c r="AB81" s="74" t="s">
        <v>182</v>
      </c>
      <c r="AC81" s="74" t="s">
        <v>183</v>
      </c>
      <c r="AD81" s="74" t="s">
        <v>158</v>
      </c>
      <c r="AG81" s="74" t="s">
        <v>327</v>
      </c>
      <c r="AH81" s="74">
        <v>0</v>
      </c>
      <c r="AI81" s="74">
        <v>161</v>
      </c>
      <c r="AJ81" s="74">
        <v>26</v>
      </c>
      <c r="AK81" s="74">
        <v>24</v>
      </c>
      <c r="AL81" s="74">
        <v>1.26</v>
      </c>
    </row>
    <row r="82" spans="1:38" x14ac:dyDescent="0.3">
      <c r="A82" s="74" t="s">
        <v>261</v>
      </c>
      <c r="B82" s="74">
        <v>140531</v>
      </c>
      <c r="C82" s="74">
        <v>3</v>
      </c>
      <c r="D82" s="74" t="s">
        <v>322</v>
      </c>
      <c r="E82" s="74" t="s">
        <v>323</v>
      </c>
      <c r="F82" s="74">
        <v>19</v>
      </c>
      <c r="G82" s="74">
        <v>30.87</v>
      </c>
      <c r="H82" s="74">
        <v>102.07</v>
      </c>
      <c r="I82" s="74">
        <v>27.67</v>
      </c>
      <c r="J82" s="74">
        <v>91.5</v>
      </c>
      <c r="K82" s="74">
        <v>6</v>
      </c>
      <c r="T82" s="74">
        <v>3</v>
      </c>
      <c r="U82" s="74">
        <v>2</v>
      </c>
      <c r="V82" s="74" t="s">
        <v>186</v>
      </c>
      <c r="W82" s="74">
        <v>102</v>
      </c>
      <c r="X82" s="74">
        <v>7</v>
      </c>
      <c r="Y82" s="74">
        <v>6</v>
      </c>
      <c r="Z82" s="74" t="s">
        <v>325</v>
      </c>
      <c r="AA82" s="74" t="s">
        <v>326</v>
      </c>
      <c r="AB82" s="74" t="s">
        <v>182</v>
      </c>
      <c r="AC82" s="74" t="s">
        <v>183</v>
      </c>
      <c r="AD82" s="74" t="s">
        <v>158</v>
      </c>
      <c r="AG82" s="74" t="s">
        <v>327</v>
      </c>
      <c r="AH82" s="74">
        <v>0</v>
      </c>
      <c r="AI82" s="74">
        <v>161</v>
      </c>
      <c r="AJ82" s="74">
        <v>26</v>
      </c>
      <c r="AK82" s="74">
        <v>24</v>
      </c>
      <c r="AL82" s="74">
        <v>1.26</v>
      </c>
    </row>
    <row r="83" spans="1:38" x14ac:dyDescent="0.3">
      <c r="A83" s="74" t="s">
        <v>261</v>
      </c>
      <c r="B83" s="74">
        <v>140531</v>
      </c>
      <c r="C83" s="74">
        <v>4</v>
      </c>
      <c r="D83" s="74" t="s">
        <v>322</v>
      </c>
      <c r="E83" s="74" t="s">
        <v>323</v>
      </c>
      <c r="F83" s="74">
        <v>19</v>
      </c>
      <c r="G83" s="74">
        <v>46.39</v>
      </c>
      <c r="H83" s="74">
        <v>153.38</v>
      </c>
      <c r="I83" s="74">
        <v>41.59</v>
      </c>
      <c r="J83" s="74">
        <v>137.5</v>
      </c>
      <c r="K83" s="74">
        <v>1</v>
      </c>
      <c r="T83" s="74">
        <v>4</v>
      </c>
      <c r="U83" s="74">
        <v>2</v>
      </c>
      <c r="V83" s="74" t="s">
        <v>186</v>
      </c>
      <c r="W83" s="74">
        <v>153</v>
      </c>
      <c r="X83" s="74">
        <v>7</v>
      </c>
      <c r="Y83" s="74">
        <v>6</v>
      </c>
      <c r="Z83" s="74" t="s">
        <v>325</v>
      </c>
      <c r="AA83" s="74" t="s">
        <v>326</v>
      </c>
      <c r="AB83" s="74" t="s">
        <v>182</v>
      </c>
      <c r="AC83" s="74" t="s">
        <v>183</v>
      </c>
      <c r="AD83" s="74" t="s">
        <v>158</v>
      </c>
      <c r="AG83" s="74" t="s">
        <v>327</v>
      </c>
      <c r="AH83" s="74">
        <v>0</v>
      </c>
      <c r="AI83" s="74">
        <v>161</v>
      </c>
      <c r="AJ83" s="74">
        <v>26</v>
      </c>
      <c r="AK83" s="74">
        <v>24</v>
      </c>
      <c r="AL83" s="74">
        <v>1.26</v>
      </c>
    </row>
    <row r="84" spans="1:38" x14ac:dyDescent="0.3">
      <c r="A84" s="74" t="s">
        <v>261</v>
      </c>
      <c r="B84" s="74">
        <v>4969</v>
      </c>
      <c r="C84" s="74">
        <v>1</v>
      </c>
      <c r="D84" s="74" t="s">
        <v>329</v>
      </c>
      <c r="E84" s="74" t="s">
        <v>330</v>
      </c>
      <c r="F84" s="74">
        <v>336</v>
      </c>
      <c r="G84" s="74">
        <v>25.34</v>
      </c>
      <c r="H84" s="74">
        <v>83.79</v>
      </c>
      <c r="I84" s="74">
        <v>18.11</v>
      </c>
      <c r="J84" s="74">
        <v>59.88</v>
      </c>
      <c r="K84" s="74">
        <v>120</v>
      </c>
      <c r="T84" s="74">
        <v>2</v>
      </c>
      <c r="U84" s="74">
        <v>1</v>
      </c>
      <c r="V84" s="74" t="s">
        <v>186</v>
      </c>
      <c r="W84" s="74">
        <v>83</v>
      </c>
      <c r="X84" s="74">
        <v>15</v>
      </c>
      <c r="Y84" s="74">
        <v>12</v>
      </c>
      <c r="Z84" s="74" t="s">
        <v>331</v>
      </c>
      <c r="AA84" s="74" t="s">
        <v>332</v>
      </c>
      <c r="AB84" s="74" t="s">
        <v>182</v>
      </c>
      <c r="AC84" s="74" t="s">
        <v>183</v>
      </c>
      <c r="AD84" s="74" t="s">
        <v>158</v>
      </c>
      <c r="AG84" s="74" t="s">
        <v>333</v>
      </c>
      <c r="AH84" s="74">
        <v>0</v>
      </c>
      <c r="AI84" s="74">
        <v>212</v>
      </c>
      <c r="AJ84" s="74">
        <v>21</v>
      </c>
      <c r="AK84" s="74">
        <v>241</v>
      </c>
      <c r="AL84" s="74">
        <v>0.72</v>
      </c>
    </row>
    <row r="85" spans="1:38" x14ac:dyDescent="0.3">
      <c r="A85" s="74" t="s">
        <v>261</v>
      </c>
      <c r="B85" s="74">
        <v>4969</v>
      </c>
      <c r="C85" s="74">
        <v>2</v>
      </c>
      <c r="D85" s="74" t="s">
        <v>329</v>
      </c>
      <c r="E85" s="74" t="s">
        <v>330</v>
      </c>
      <c r="F85" s="74">
        <v>336</v>
      </c>
      <c r="G85" s="74">
        <v>31.16</v>
      </c>
      <c r="H85" s="74">
        <v>103.01</v>
      </c>
      <c r="I85" s="74">
        <v>25.66</v>
      </c>
      <c r="J85" s="74">
        <v>84.84</v>
      </c>
      <c r="K85" s="74">
        <v>120</v>
      </c>
      <c r="T85" s="74">
        <v>3</v>
      </c>
      <c r="U85" s="74">
        <v>2</v>
      </c>
      <c r="V85" s="74" t="s">
        <v>186</v>
      </c>
      <c r="W85" s="74">
        <v>103</v>
      </c>
      <c r="X85" s="74">
        <v>15</v>
      </c>
      <c r="Y85" s="74">
        <v>12</v>
      </c>
      <c r="Z85" s="74" t="s">
        <v>331</v>
      </c>
      <c r="AA85" s="74" t="s">
        <v>332</v>
      </c>
      <c r="AB85" s="74" t="s">
        <v>182</v>
      </c>
      <c r="AC85" s="74" t="s">
        <v>183</v>
      </c>
      <c r="AD85" s="74" t="s">
        <v>158</v>
      </c>
      <c r="AG85" s="74" t="s">
        <v>333</v>
      </c>
      <c r="AH85" s="74">
        <v>0</v>
      </c>
      <c r="AI85" s="74">
        <v>212</v>
      </c>
      <c r="AJ85" s="74">
        <v>21</v>
      </c>
      <c r="AK85" s="74">
        <v>241</v>
      </c>
      <c r="AL85" s="74">
        <v>0.72</v>
      </c>
    </row>
    <row r="86" spans="1:38" x14ac:dyDescent="0.3">
      <c r="A86" s="74" t="s">
        <v>261</v>
      </c>
      <c r="B86" s="74">
        <v>4969</v>
      </c>
      <c r="C86" s="74">
        <v>3</v>
      </c>
      <c r="D86" s="74" t="s">
        <v>329</v>
      </c>
      <c r="E86" s="74" t="s">
        <v>330</v>
      </c>
      <c r="F86" s="74">
        <v>336</v>
      </c>
      <c r="G86" s="74">
        <v>45.01</v>
      </c>
      <c r="H86" s="74">
        <v>148.81</v>
      </c>
      <c r="I86" s="74">
        <v>38.299999999999997</v>
      </c>
      <c r="J86" s="74">
        <v>126.63</v>
      </c>
      <c r="K86" s="74">
        <v>96</v>
      </c>
      <c r="T86" s="74">
        <v>4</v>
      </c>
      <c r="U86" s="74">
        <v>2</v>
      </c>
      <c r="V86" s="74" t="s">
        <v>186</v>
      </c>
      <c r="W86" s="74">
        <v>148</v>
      </c>
      <c r="X86" s="74">
        <v>15</v>
      </c>
      <c r="Y86" s="74">
        <v>12</v>
      </c>
      <c r="Z86" s="74" t="s">
        <v>331</v>
      </c>
      <c r="AA86" s="74" t="s">
        <v>332</v>
      </c>
      <c r="AB86" s="74" t="s">
        <v>182</v>
      </c>
      <c r="AC86" s="74" t="s">
        <v>183</v>
      </c>
      <c r="AD86" s="74" t="s">
        <v>158</v>
      </c>
      <c r="AG86" s="74" t="s">
        <v>333</v>
      </c>
      <c r="AH86" s="74">
        <v>0</v>
      </c>
      <c r="AI86" s="74">
        <v>212</v>
      </c>
      <c r="AJ86" s="74">
        <v>21</v>
      </c>
      <c r="AK86" s="74">
        <v>241</v>
      </c>
      <c r="AL86" s="74">
        <v>0.72</v>
      </c>
    </row>
    <row r="87" spans="1:38" x14ac:dyDescent="0.3">
      <c r="A87" s="74" t="s">
        <v>261</v>
      </c>
      <c r="B87" s="74">
        <v>14960</v>
      </c>
      <c r="C87" s="74">
        <v>1</v>
      </c>
      <c r="D87" s="74" t="s">
        <v>334</v>
      </c>
      <c r="E87" s="74" t="s">
        <v>335</v>
      </c>
      <c r="F87" s="74">
        <v>175</v>
      </c>
      <c r="G87" s="74">
        <v>26.74</v>
      </c>
      <c r="H87" s="74">
        <v>88.4</v>
      </c>
      <c r="I87" s="74">
        <v>21.82</v>
      </c>
      <c r="J87" s="74">
        <v>72.150000000000006</v>
      </c>
      <c r="K87" s="74">
        <v>55</v>
      </c>
      <c r="T87" s="74">
        <v>3</v>
      </c>
      <c r="U87" s="74">
        <v>1</v>
      </c>
      <c r="V87" s="74" t="s">
        <v>186</v>
      </c>
      <c r="W87" s="74">
        <v>88</v>
      </c>
      <c r="X87" s="74">
        <v>15</v>
      </c>
      <c r="Y87" s="74">
        <v>15</v>
      </c>
      <c r="Z87" s="74" t="s">
        <v>336</v>
      </c>
      <c r="AA87" s="74" t="s">
        <v>337</v>
      </c>
      <c r="AB87" s="74" t="s">
        <v>182</v>
      </c>
      <c r="AC87" s="74" t="s">
        <v>183</v>
      </c>
      <c r="AD87" s="74" t="s">
        <v>158</v>
      </c>
      <c r="AG87" s="74" t="s">
        <v>338</v>
      </c>
      <c r="AH87" s="74">
        <v>0</v>
      </c>
      <c r="AI87" s="74">
        <v>0</v>
      </c>
      <c r="AJ87" s="74">
        <v>0</v>
      </c>
      <c r="AK87" s="74">
        <v>0</v>
      </c>
      <c r="AL87" s="74">
        <v>0</v>
      </c>
    </row>
    <row r="88" spans="1:38" x14ac:dyDescent="0.3">
      <c r="A88" s="74" t="s">
        <v>261</v>
      </c>
      <c r="B88" s="74">
        <v>14960</v>
      </c>
      <c r="C88" s="74">
        <v>2</v>
      </c>
      <c r="D88" s="74" t="s">
        <v>334</v>
      </c>
      <c r="E88" s="74" t="s">
        <v>335</v>
      </c>
      <c r="F88" s="74">
        <v>175</v>
      </c>
      <c r="G88" s="74">
        <v>31.47</v>
      </c>
      <c r="H88" s="74">
        <v>104.04</v>
      </c>
      <c r="I88" s="74">
        <v>25.68</v>
      </c>
      <c r="J88" s="74">
        <v>84.92</v>
      </c>
      <c r="K88" s="74">
        <v>120</v>
      </c>
      <c r="T88" s="74">
        <v>3</v>
      </c>
      <c r="U88" s="74">
        <v>2</v>
      </c>
      <c r="V88" s="74" t="s">
        <v>186</v>
      </c>
      <c r="W88" s="74">
        <v>104</v>
      </c>
      <c r="X88" s="74">
        <v>15</v>
      </c>
      <c r="Y88" s="74">
        <v>15</v>
      </c>
      <c r="Z88" s="74" t="s">
        <v>336</v>
      </c>
      <c r="AA88" s="74" t="s">
        <v>337</v>
      </c>
      <c r="AB88" s="74" t="s">
        <v>182</v>
      </c>
      <c r="AC88" s="74" t="s">
        <v>183</v>
      </c>
      <c r="AD88" s="74" t="s">
        <v>158</v>
      </c>
      <c r="AG88" s="74" t="s">
        <v>338</v>
      </c>
      <c r="AH88" s="74">
        <v>0</v>
      </c>
      <c r="AI88" s="74">
        <v>0</v>
      </c>
      <c r="AJ88" s="74">
        <v>0</v>
      </c>
      <c r="AK88" s="74">
        <v>0</v>
      </c>
      <c r="AL88" s="74">
        <v>0</v>
      </c>
    </row>
    <row r="89" spans="1:38" x14ac:dyDescent="0.3">
      <c r="A89" s="74" t="s">
        <v>261</v>
      </c>
      <c r="B89" s="74">
        <v>102461</v>
      </c>
      <c r="C89" s="74">
        <v>1</v>
      </c>
      <c r="D89" s="74" t="s">
        <v>339</v>
      </c>
      <c r="E89" s="74" t="s">
        <v>340</v>
      </c>
      <c r="F89" s="74">
        <v>899</v>
      </c>
      <c r="G89" s="74">
        <v>22.44</v>
      </c>
      <c r="H89" s="74">
        <v>74.209999999999994</v>
      </c>
      <c r="I89" s="74">
        <v>17.96</v>
      </c>
      <c r="J89" s="74">
        <v>59.4</v>
      </c>
      <c r="K89" s="74">
        <v>344</v>
      </c>
      <c r="T89" s="74">
        <v>3</v>
      </c>
      <c r="U89" s="74">
        <v>1</v>
      </c>
      <c r="V89" s="74" t="s">
        <v>186</v>
      </c>
      <c r="W89" s="74">
        <v>74</v>
      </c>
      <c r="X89" s="74">
        <v>15</v>
      </c>
      <c r="Y89" s="74">
        <v>12</v>
      </c>
      <c r="Z89" s="74" t="s">
        <v>341</v>
      </c>
      <c r="AA89" s="74" t="s">
        <v>342</v>
      </c>
      <c r="AB89" s="74" t="s">
        <v>182</v>
      </c>
      <c r="AC89" s="74" t="s">
        <v>183</v>
      </c>
      <c r="AD89" s="74" t="s">
        <v>158</v>
      </c>
      <c r="AG89" s="74" t="s">
        <v>343</v>
      </c>
      <c r="AH89" s="74">
        <v>0</v>
      </c>
      <c r="AI89" s="74">
        <v>222</v>
      </c>
      <c r="AJ89" s="74">
        <v>19</v>
      </c>
      <c r="AK89" s="74">
        <v>681</v>
      </c>
      <c r="AL89" s="74">
        <v>0.76</v>
      </c>
    </row>
    <row r="90" spans="1:38" x14ac:dyDescent="0.3">
      <c r="A90" s="74" t="s">
        <v>261</v>
      </c>
      <c r="B90" s="74">
        <v>102461</v>
      </c>
      <c r="C90" s="74">
        <v>2</v>
      </c>
      <c r="D90" s="74" t="s">
        <v>339</v>
      </c>
      <c r="E90" s="74" t="s">
        <v>340</v>
      </c>
      <c r="F90" s="74">
        <v>899</v>
      </c>
      <c r="G90" s="74">
        <v>28.45</v>
      </c>
      <c r="H90" s="74">
        <v>94.05</v>
      </c>
      <c r="I90" s="74">
        <v>22.76</v>
      </c>
      <c r="J90" s="74">
        <v>75.27</v>
      </c>
      <c r="K90" s="74">
        <v>119</v>
      </c>
      <c r="T90" s="74">
        <v>3</v>
      </c>
      <c r="U90" s="74">
        <v>1</v>
      </c>
      <c r="V90" s="74" t="s">
        <v>186</v>
      </c>
      <c r="W90" s="74">
        <v>94</v>
      </c>
      <c r="X90" s="74">
        <v>15</v>
      </c>
      <c r="Y90" s="74">
        <v>12</v>
      </c>
      <c r="Z90" s="74" t="s">
        <v>341</v>
      </c>
      <c r="AA90" s="74" t="s">
        <v>342</v>
      </c>
      <c r="AB90" s="74" t="s">
        <v>182</v>
      </c>
      <c r="AC90" s="74" t="s">
        <v>183</v>
      </c>
      <c r="AD90" s="74" t="s">
        <v>158</v>
      </c>
      <c r="AG90" s="74" t="s">
        <v>343</v>
      </c>
      <c r="AH90" s="74">
        <v>0</v>
      </c>
      <c r="AI90" s="74">
        <v>222</v>
      </c>
      <c r="AJ90" s="74">
        <v>19</v>
      </c>
      <c r="AK90" s="74">
        <v>681</v>
      </c>
      <c r="AL90" s="74">
        <v>0.76</v>
      </c>
    </row>
    <row r="91" spans="1:38" x14ac:dyDescent="0.3">
      <c r="A91" s="74" t="s">
        <v>261</v>
      </c>
      <c r="B91" s="74">
        <v>102461</v>
      </c>
      <c r="C91" s="74">
        <v>3</v>
      </c>
      <c r="D91" s="74" t="s">
        <v>339</v>
      </c>
      <c r="E91" s="74" t="s">
        <v>340</v>
      </c>
      <c r="F91" s="74">
        <v>899</v>
      </c>
      <c r="G91" s="74">
        <v>32.020000000000003</v>
      </c>
      <c r="H91" s="74">
        <v>105.87</v>
      </c>
      <c r="I91" s="74">
        <v>25.63</v>
      </c>
      <c r="J91" s="74">
        <v>84.73</v>
      </c>
      <c r="K91" s="74">
        <v>377</v>
      </c>
      <c r="T91" s="74">
        <v>3</v>
      </c>
      <c r="U91" s="74">
        <v>2</v>
      </c>
      <c r="V91" s="74" t="s">
        <v>186</v>
      </c>
      <c r="W91" s="74">
        <v>105</v>
      </c>
      <c r="X91" s="74">
        <v>15</v>
      </c>
      <c r="Y91" s="74">
        <v>12</v>
      </c>
      <c r="Z91" s="74" t="s">
        <v>341</v>
      </c>
      <c r="AA91" s="74" t="s">
        <v>342</v>
      </c>
      <c r="AB91" s="74" t="s">
        <v>182</v>
      </c>
      <c r="AC91" s="74" t="s">
        <v>183</v>
      </c>
      <c r="AD91" s="74" t="s">
        <v>158</v>
      </c>
      <c r="AG91" s="74" t="s">
        <v>343</v>
      </c>
      <c r="AH91" s="74">
        <v>0</v>
      </c>
      <c r="AI91" s="74">
        <v>222</v>
      </c>
      <c r="AJ91" s="74">
        <v>19</v>
      </c>
      <c r="AK91" s="74">
        <v>681</v>
      </c>
      <c r="AL91" s="74">
        <v>0.76</v>
      </c>
    </row>
    <row r="92" spans="1:38" x14ac:dyDescent="0.3">
      <c r="A92" s="74" t="s">
        <v>261</v>
      </c>
      <c r="B92" s="74">
        <v>102461</v>
      </c>
      <c r="C92" s="74">
        <v>4</v>
      </c>
      <c r="D92" s="74" t="s">
        <v>339</v>
      </c>
      <c r="E92" s="74" t="s">
        <v>340</v>
      </c>
      <c r="F92" s="74">
        <v>899</v>
      </c>
      <c r="G92" s="74">
        <v>50.86</v>
      </c>
      <c r="H92" s="74">
        <v>168.14</v>
      </c>
      <c r="I92" s="74">
        <v>40.700000000000003</v>
      </c>
      <c r="J92" s="74">
        <v>134.57</v>
      </c>
      <c r="K92" s="74">
        <v>59</v>
      </c>
      <c r="T92" s="74">
        <v>4</v>
      </c>
      <c r="U92" s="74">
        <v>2</v>
      </c>
      <c r="V92" s="74" t="s">
        <v>186</v>
      </c>
      <c r="W92" s="74">
        <v>168</v>
      </c>
      <c r="X92" s="74">
        <v>15</v>
      </c>
      <c r="Y92" s="74">
        <v>12</v>
      </c>
      <c r="Z92" s="74" t="s">
        <v>341</v>
      </c>
      <c r="AA92" s="74" t="s">
        <v>342</v>
      </c>
      <c r="AB92" s="74" t="s">
        <v>182</v>
      </c>
      <c r="AC92" s="74" t="s">
        <v>183</v>
      </c>
      <c r="AD92" s="74" t="s">
        <v>158</v>
      </c>
      <c r="AG92" s="74" t="s">
        <v>343</v>
      </c>
      <c r="AH92" s="74">
        <v>0</v>
      </c>
      <c r="AI92" s="74">
        <v>222</v>
      </c>
      <c r="AJ92" s="74">
        <v>19</v>
      </c>
      <c r="AK92" s="74">
        <v>681</v>
      </c>
      <c r="AL92" s="74">
        <v>0.76</v>
      </c>
    </row>
    <row r="93" spans="1:38" x14ac:dyDescent="0.3">
      <c r="A93" s="74" t="s">
        <v>261</v>
      </c>
      <c r="B93" s="74">
        <v>5014</v>
      </c>
      <c r="C93" s="74">
        <v>1</v>
      </c>
      <c r="D93" s="74" t="s">
        <v>344</v>
      </c>
      <c r="E93" s="74" t="s">
        <v>345</v>
      </c>
      <c r="F93" s="74">
        <v>498</v>
      </c>
      <c r="G93" s="74">
        <v>27.07</v>
      </c>
      <c r="H93" s="74">
        <v>89.51</v>
      </c>
      <c r="I93" s="74">
        <v>21.82</v>
      </c>
      <c r="J93" s="74">
        <v>72.150000000000006</v>
      </c>
      <c r="K93" s="74">
        <v>112</v>
      </c>
      <c r="T93" s="74">
        <v>3</v>
      </c>
      <c r="U93" s="74">
        <v>1</v>
      </c>
      <c r="V93" s="74" t="s">
        <v>186</v>
      </c>
      <c r="W93" s="74">
        <v>89</v>
      </c>
      <c r="X93" s="74">
        <v>14</v>
      </c>
      <c r="Y93" s="74">
        <v>12</v>
      </c>
      <c r="Z93" s="74" t="s">
        <v>346</v>
      </c>
      <c r="AA93" s="74" t="s">
        <v>347</v>
      </c>
      <c r="AB93" s="74" t="s">
        <v>182</v>
      </c>
      <c r="AC93" s="74" t="s">
        <v>183</v>
      </c>
      <c r="AD93" s="74" t="s">
        <v>158</v>
      </c>
      <c r="AG93" s="74" t="s">
        <v>348</v>
      </c>
      <c r="AH93" s="74">
        <v>0</v>
      </c>
      <c r="AI93" s="74">
        <v>0</v>
      </c>
      <c r="AJ93" s="74">
        <v>0</v>
      </c>
      <c r="AK93" s="74">
        <v>0</v>
      </c>
      <c r="AL93" s="74">
        <v>0</v>
      </c>
    </row>
    <row r="94" spans="1:38" x14ac:dyDescent="0.3">
      <c r="A94" s="74" t="s">
        <v>261</v>
      </c>
      <c r="B94" s="74">
        <v>5014</v>
      </c>
      <c r="C94" s="74">
        <v>2</v>
      </c>
      <c r="D94" s="74" t="s">
        <v>344</v>
      </c>
      <c r="E94" s="74" t="s">
        <v>345</v>
      </c>
      <c r="F94" s="74">
        <v>498</v>
      </c>
      <c r="G94" s="74">
        <v>31.49</v>
      </c>
      <c r="H94" s="74">
        <v>104.13</v>
      </c>
      <c r="I94" s="74">
        <v>25.6</v>
      </c>
      <c r="J94" s="74">
        <v>84.66</v>
      </c>
      <c r="K94" s="74">
        <v>330</v>
      </c>
      <c r="T94" s="74">
        <v>3</v>
      </c>
      <c r="U94" s="74">
        <v>1</v>
      </c>
      <c r="V94" s="74" t="s">
        <v>186</v>
      </c>
      <c r="W94" s="74">
        <v>104</v>
      </c>
      <c r="X94" s="74">
        <v>14</v>
      </c>
      <c r="Y94" s="74">
        <v>12</v>
      </c>
      <c r="Z94" s="74" t="s">
        <v>346</v>
      </c>
      <c r="AA94" s="74" t="s">
        <v>347</v>
      </c>
      <c r="AB94" s="74" t="s">
        <v>182</v>
      </c>
      <c r="AC94" s="74" t="s">
        <v>183</v>
      </c>
      <c r="AD94" s="74" t="s">
        <v>158</v>
      </c>
      <c r="AG94" s="74" t="s">
        <v>348</v>
      </c>
      <c r="AH94" s="74">
        <v>0</v>
      </c>
      <c r="AI94" s="74">
        <v>0</v>
      </c>
      <c r="AJ94" s="74">
        <v>0</v>
      </c>
      <c r="AK94" s="74">
        <v>0</v>
      </c>
      <c r="AL94" s="74">
        <v>0</v>
      </c>
    </row>
    <row r="95" spans="1:38" x14ac:dyDescent="0.3">
      <c r="A95" s="74" t="s">
        <v>261</v>
      </c>
      <c r="B95" s="74">
        <v>5014</v>
      </c>
      <c r="C95" s="74">
        <v>3</v>
      </c>
      <c r="D95" s="74" t="s">
        <v>344</v>
      </c>
      <c r="E95" s="74" t="s">
        <v>345</v>
      </c>
      <c r="F95" s="74">
        <v>498</v>
      </c>
      <c r="G95" s="74">
        <v>45.15</v>
      </c>
      <c r="H95" s="74">
        <v>149.26</v>
      </c>
      <c r="I95" s="74">
        <v>38.18</v>
      </c>
      <c r="J95" s="74">
        <v>126.24</v>
      </c>
      <c r="K95" s="74">
        <v>56</v>
      </c>
      <c r="T95" s="74">
        <v>4</v>
      </c>
      <c r="U95" s="74">
        <v>2</v>
      </c>
      <c r="V95" s="74" t="s">
        <v>186</v>
      </c>
      <c r="W95" s="74">
        <v>149</v>
      </c>
      <c r="X95" s="74">
        <v>14</v>
      </c>
      <c r="Y95" s="74">
        <v>12</v>
      </c>
      <c r="Z95" s="74" t="s">
        <v>346</v>
      </c>
      <c r="AA95" s="74" t="s">
        <v>347</v>
      </c>
      <c r="AB95" s="74" t="s">
        <v>182</v>
      </c>
      <c r="AC95" s="74" t="s">
        <v>183</v>
      </c>
      <c r="AD95" s="74" t="s">
        <v>158</v>
      </c>
      <c r="AG95" s="74" t="s">
        <v>348</v>
      </c>
      <c r="AH95" s="74">
        <v>0</v>
      </c>
      <c r="AI95" s="74">
        <v>0</v>
      </c>
      <c r="AJ95" s="74">
        <v>0</v>
      </c>
      <c r="AK95" s="74">
        <v>0</v>
      </c>
      <c r="AL95" s="74">
        <v>0</v>
      </c>
    </row>
    <row r="96" spans="1:38" x14ac:dyDescent="0.3">
      <c r="A96" s="74" t="s">
        <v>261</v>
      </c>
      <c r="B96" s="74">
        <v>14962</v>
      </c>
      <c r="C96" s="74">
        <v>1</v>
      </c>
      <c r="D96" s="74" t="s">
        <v>349</v>
      </c>
      <c r="E96" s="74" t="s">
        <v>340</v>
      </c>
      <c r="F96" s="74">
        <v>174</v>
      </c>
      <c r="G96" s="74">
        <v>23.53</v>
      </c>
      <c r="H96" s="74">
        <v>77.81</v>
      </c>
      <c r="I96" s="74">
        <v>17.739999999999998</v>
      </c>
      <c r="J96" s="74">
        <v>58.66</v>
      </c>
      <c r="K96" s="74">
        <v>174</v>
      </c>
      <c r="T96" s="74">
        <v>3</v>
      </c>
      <c r="U96" s="74">
        <v>1</v>
      </c>
      <c r="V96" s="74" t="s">
        <v>179</v>
      </c>
      <c r="W96" s="74">
        <v>77</v>
      </c>
      <c r="X96" s="74">
        <v>12</v>
      </c>
      <c r="Y96" s="74">
        <v>7</v>
      </c>
      <c r="Z96" s="74" t="s">
        <v>350</v>
      </c>
      <c r="AA96" s="74" t="s">
        <v>351</v>
      </c>
      <c r="AB96" s="74" t="s">
        <v>182</v>
      </c>
      <c r="AC96" s="74" t="s">
        <v>183</v>
      </c>
      <c r="AD96" s="74" t="s">
        <v>158</v>
      </c>
      <c r="AG96" s="74" t="s">
        <v>352</v>
      </c>
      <c r="AH96" s="74">
        <v>0</v>
      </c>
      <c r="AI96" s="74">
        <v>279</v>
      </c>
      <c r="AJ96" s="74">
        <v>25</v>
      </c>
      <c r="AK96" s="74">
        <v>71</v>
      </c>
      <c r="AL96" s="74">
        <v>0.41</v>
      </c>
    </row>
    <row r="97" spans="1:38" x14ac:dyDescent="0.3">
      <c r="A97" s="74" t="s">
        <v>261</v>
      </c>
      <c r="B97" s="74">
        <v>16984</v>
      </c>
      <c r="C97" s="74">
        <v>1</v>
      </c>
      <c r="D97" s="74" t="s">
        <v>353</v>
      </c>
      <c r="E97" s="74" t="s">
        <v>299</v>
      </c>
      <c r="F97" s="74">
        <v>495</v>
      </c>
      <c r="G97" s="74">
        <v>19.260000000000002</v>
      </c>
      <c r="H97" s="74">
        <v>63.69</v>
      </c>
      <c r="I97" s="74">
        <v>15.01</v>
      </c>
      <c r="J97" s="74">
        <v>49.65</v>
      </c>
      <c r="K97" s="74">
        <v>495</v>
      </c>
      <c r="T97" s="74">
        <v>2</v>
      </c>
      <c r="U97" s="74">
        <v>1</v>
      </c>
      <c r="V97" s="74" t="s">
        <v>186</v>
      </c>
      <c r="W97" s="74">
        <v>63</v>
      </c>
      <c r="X97" s="74">
        <v>15</v>
      </c>
      <c r="Y97" s="74">
        <v>12</v>
      </c>
      <c r="Z97" s="74" t="s">
        <v>354</v>
      </c>
      <c r="AA97" s="74" t="s">
        <v>355</v>
      </c>
      <c r="AB97" s="74" t="s">
        <v>182</v>
      </c>
      <c r="AC97" s="74" t="s">
        <v>183</v>
      </c>
      <c r="AD97" s="74" t="s">
        <v>158</v>
      </c>
      <c r="AG97" s="74" t="s">
        <v>356</v>
      </c>
      <c r="AH97" s="74">
        <v>0</v>
      </c>
      <c r="AI97" s="74">
        <v>200</v>
      </c>
      <c r="AJ97" s="74">
        <v>21</v>
      </c>
      <c r="AK97" s="74">
        <v>519</v>
      </c>
      <c r="AL97" s="74">
        <v>1.05</v>
      </c>
    </row>
    <row r="98" spans="1:38" x14ac:dyDescent="0.3">
      <c r="A98" s="74" t="s">
        <v>261</v>
      </c>
      <c r="B98" s="74">
        <v>4995</v>
      </c>
      <c r="C98" s="74">
        <v>1</v>
      </c>
      <c r="D98" s="74" t="s">
        <v>357</v>
      </c>
      <c r="E98" s="74" t="s">
        <v>358</v>
      </c>
      <c r="F98" s="74">
        <v>600</v>
      </c>
      <c r="G98" s="74">
        <v>22.7</v>
      </c>
      <c r="H98" s="74">
        <v>75.06</v>
      </c>
      <c r="I98" s="74">
        <v>18.100000000000001</v>
      </c>
      <c r="J98" s="74">
        <v>59.85</v>
      </c>
      <c r="K98" s="74">
        <v>600</v>
      </c>
      <c r="T98" s="74">
        <v>3</v>
      </c>
      <c r="U98" s="74">
        <v>1</v>
      </c>
      <c r="V98" s="74" t="s">
        <v>186</v>
      </c>
      <c r="W98" s="74">
        <v>75</v>
      </c>
      <c r="X98" s="74">
        <v>15</v>
      </c>
      <c r="Y98" s="74">
        <v>15</v>
      </c>
      <c r="Z98" s="74" t="s">
        <v>359</v>
      </c>
      <c r="AA98" s="74" t="s">
        <v>360</v>
      </c>
      <c r="AB98" s="74" t="s">
        <v>182</v>
      </c>
      <c r="AC98" s="74" t="s">
        <v>183</v>
      </c>
      <c r="AD98" s="74" t="s">
        <v>158</v>
      </c>
      <c r="AG98" s="74" t="s">
        <v>361</v>
      </c>
      <c r="AH98" s="74">
        <v>0</v>
      </c>
      <c r="AI98" s="74">
        <v>84</v>
      </c>
      <c r="AJ98" s="74">
        <v>23</v>
      </c>
      <c r="AK98" s="74">
        <v>542</v>
      </c>
      <c r="AL98" s="74">
        <v>0.9</v>
      </c>
    </row>
    <row r="99" spans="1:38" x14ac:dyDescent="0.3">
      <c r="A99" s="74" t="s">
        <v>261</v>
      </c>
      <c r="B99" s="74">
        <v>122926</v>
      </c>
      <c r="C99" s="74">
        <v>1</v>
      </c>
      <c r="D99" s="74" t="s">
        <v>362</v>
      </c>
      <c r="E99" s="74" t="s">
        <v>363</v>
      </c>
      <c r="F99" s="74">
        <v>48</v>
      </c>
      <c r="G99" s="74">
        <v>22.3</v>
      </c>
      <c r="H99" s="74">
        <v>73.739999999999995</v>
      </c>
      <c r="I99" s="74">
        <v>17.14</v>
      </c>
      <c r="J99" s="74">
        <v>56.68</v>
      </c>
      <c r="K99" s="74">
        <v>12</v>
      </c>
      <c r="T99" s="74">
        <v>3</v>
      </c>
      <c r="U99" s="74">
        <v>1</v>
      </c>
      <c r="V99" s="74" t="s">
        <v>186</v>
      </c>
      <c r="W99" s="74">
        <v>73</v>
      </c>
      <c r="X99" s="74">
        <v>7</v>
      </c>
      <c r="Y99" s="74">
        <v>7</v>
      </c>
      <c r="Z99" s="74" t="s">
        <v>364</v>
      </c>
      <c r="AA99" s="74" t="s">
        <v>365</v>
      </c>
      <c r="AB99" s="74" t="s">
        <v>182</v>
      </c>
      <c r="AC99" s="74" t="s">
        <v>183</v>
      </c>
      <c r="AD99" s="74" t="s">
        <v>158</v>
      </c>
      <c r="AG99" s="74" t="s">
        <v>366</v>
      </c>
      <c r="AH99" s="74">
        <v>0</v>
      </c>
      <c r="AI99" s="74">
        <v>197</v>
      </c>
      <c r="AJ99" s="74">
        <v>37</v>
      </c>
      <c r="AK99" s="74">
        <v>36</v>
      </c>
      <c r="AL99" s="74">
        <v>0.75</v>
      </c>
    </row>
    <row r="100" spans="1:38" x14ac:dyDescent="0.3">
      <c r="A100" s="74" t="s">
        <v>261</v>
      </c>
      <c r="B100" s="74">
        <v>122926</v>
      </c>
      <c r="C100" s="74">
        <v>2</v>
      </c>
      <c r="D100" s="74" t="s">
        <v>362</v>
      </c>
      <c r="E100" s="74" t="s">
        <v>363</v>
      </c>
      <c r="F100" s="74">
        <v>48</v>
      </c>
      <c r="G100" s="74">
        <v>23.29</v>
      </c>
      <c r="H100" s="74">
        <v>77.010000000000005</v>
      </c>
      <c r="I100" s="74">
        <v>17.96</v>
      </c>
      <c r="J100" s="74">
        <v>59.4</v>
      </c>
      <c r="K100" s="74">
        <v>24</v>
      </c>
      <c r="T100" s="74">
        <v>3</v>
      </c>
      <c r="U100" s="74">
        <v>1</v>
      </c>
      <c r="V100" s="74" t="s">
        <v>186</v>
      </c>
      <c r="W100" s="74">
        <v>77</v>
      </c>
      <c r="X100" s="74">
        <v>7</v>
      </c>
      <c r="Y100" s="74">
        <v>7</v>
      </c>
      <c r="Z100" s="74" t="s">
        <v>364</v>
      </c>
      <c r="AA100" s="74" t="s">
        <v>365</v>
      </c>
      <c r="AB100" s="74" t="s">
        <v>182</v>
      </c>
      <c r="AC100" s="74" t="s">
        <v>183</v>
      </c>
      <c r="AD100" s="74" t="s">
        <v>158</v>
      </c>
      <c r="AG100" s="74" t="s">
        <v>366</v>
      </c>
      <c r="AH100" s="74">
        <v>0</v>
      </c>
      <c r="AI100" s="74">
        <v>197</v>
      </c>
      <c r="AJ100" s="74">
        <v>37</v>
      </c>
      <c r="AK100" s="74">
        <v>36</v>
      </c>
      <c r="AL100" s="74">
        <v>0.75</v>
      </c>
    </row>
    <row r="101" spans="1:38" x14ac:dyDescent="0.3">
      <c r="A101" s="74" t="s">
        <v>261</v>
      </c>
      <c r="B101" s="74">
        <v>122926</v>
      </c>
      <c r="C101" s="74">
        <v>3</v>
      </c>
      <c r="D101" s="74" t="s">
        <v>362</v>
      </c>
      <c r="E101" s="74" t="s">
        <v>363</v>
      </c>
      <c r="F101" s="74">
        <v>48</v>
      </c>
      <c r="G101" s="74">
        <v>23.51</v>
      </c>
      <c r="H101" s="74">
        <v>77.72</v>
      </c>
      <c r="I101" s="74">
        <v>18.13</v>
      </c>
      <c r="J101" s="74">
        <v>59.94</v>
      </c>
      <c r="K101" s="74">
        <v>12</v>
      </c>
      <c r="T101" s="74">
        <v>3</v>
      </c>
      <c r="U101" s="74">
        <v>1</v>
      </c>
      <c r="V101" s="74" t="s">
        <v>186</v>
      </c>
      <c r="W101" s="74">
        <v>77</v>
      </c>
      <c r="X101" s="74">
        <v>7</v>
      </c>
      <c r="Y101" s="74">
        <v>7</v>
      </c>
      <c r="Z101" s="74" t="s">
        <v>364</v>
      </c>
      <c r="AA101" s="74" t="s">
        <v>365</v>
      </c>
      <c r="AB101" s="74" t="s">
        <v>182</v>
      </c>
      <c r="AC101" s="74" t="s">
        <v>183</v>
      </c>
      <c r="AD101" s="74" t="s">
        <v>158</v>
      </c>
      <c r="AG101" s="74" t="s">
        <v>366</v>
      </c>
      <c r="AH101" s="74">
        <v>0</v>
      </c>
      <c r="AI101" s="74">
        <v>197</v>
      </c>
      <c r="AJ101" s="74">
        <v>37</v>
      </c>
      <c r="AK101" s="74">
        <v>36</v>
      </c>
      <c r="AL101" s="74">
        <v>0.75</v>
      </c>
    </row>
    <row r="102" spans="1:38" x14ac:dyDescent="0.3">
      <c r="A102" s="74" t="s">
        <v>261</v>
      </c>
      <c r="B102" s="74">
        <v>132202</v>
      </c>
      <c r="C102" s="74">
        <v>1</v>
      </c>
      <c r="D102" s="74" t="s">
        <v>367</v>
      </c>
      <c r="E102" s="74" t="s">
        <v>368</v>
      </c>
      <c r="F102" s="74">
        <v>38</v>
      </c>
      <c r="G102" s="74">
        <v>24.17</v>
      </c>
      <c r="H102" s="74">
        <v>79.92</v>
      </c>
      <c r="I102" s="74">
        <v>17.57</v>
      </c>
      <c r="J102" s="74">
        <v>58.1</v>
      </c>
      <c r="K102" s="74">
        <v>6</v>
      </c>
      <c r="T102" s="74">
        <v>3</v>
      </c>
      <c r="U102" s="74">
        <v>2</v>
      </c>
      <c r="V102" s="74" t="s">
        <v>186</v>
      </c>
      <c r="W102" s="74" t="s">
        <v>136</v>
      </c>
      <c r="X102" s="74">
        <v>8</v>
      </c>
      <c r="Y102" s="74">
        <v>7</v>
      </c>
      <c r="Z102" s="74" t="s">
        <v>369</v>
      </c>
      <c r="AA102" s="74" t="s">
        <v>370</v>
      </c>
      <c r="AB102" s="74" t="s">
        <v>182</v>
      </c>
      <c r="AC102" s="74" t="s">
        <v>183</v>
      </c>
      <c r="AD102" s="74" t="s">
        <v>158</v>
      </c>
      <c r="AG102" s="74" t="s">
        <v>371</v>
      </c>
      <c r="AH102" s="74">
        <v>0</v>
      </c>
      <c r="AI102" s="74">
        <v>243</v>
      </c>
      <c r="AJ102" s="74">
        <v>47</v>
      </c>
      <c r="AK102" s="74">
        <v>40</v>
      </c>
      <c r="AL102" s="74">
        <v>1.05</v>
      </c>
    </row>
    <row r="103" spans="1:38" x14ac:dyDescent="0.3">
      <c r="A103" s="74" t="s">
        <v>261</v>
      </c>
      <c r="B103" s="74">
        <v>132202</v>
      </c>
      <c r="C103" s="74">
        <v>2</v>
      </c>
      <c r="D103" s="74" t="s">
        <v>367</v>
      </c>
      <c r="E103" s="74" t="s">
        <v>368</v>
      </c>
      <c r="F103" s="74">
        <v>38</v>
      </c>
      <c r="G103" s="74">
        <v>24.39</v>
      </c>
      <c r="H103" s="74">
        <v>80.63</v>
      </c>
      <c r="I103" s="74">
        <v>17.78</v>
      </c>
      <c r="J103" s="74">
        <v>58.78</v>
      </c>
      <c r="K103" s="74">
        <v>6</v>
      </c>
      <c r="T103" s="74">
        <v>3</v>
      </c>
      <c r="U103" s="74">
        <v>2</v>
      </c>
      <c r="V103" s="74" t="s">
        <v>186</v>
      </c>
      <c r="W103" s="74" t="s">
        <v>85</v>
      </c>
      <c r="X103" s="74">
        <v>8</v>
      </c>
      <c r="Y103" s="74">
        <v>7</v>
      </c>
      <c r="Z103" s="74" t="s">
        <v>369</v>
      </c>
      <c r="AA103" s="74" t="s">
        <v>370</v>
      </c>
      <c r="AB103" s="74" t="s">
        <v>182</v>
      </c>
      <c r="AC103" s="74" t="s">
        <v>183</v>
      </c>
      <c r="AD103" s="74" t="s">
        <v>158</v>
      </c>
      <c r="AG103" s="74" t="s">
        <v>371</v>
      </c>
      <c r="AH103" s="74">
        <v>0</v>
      </c>
      <c r="AI103" s="74">
        <v>243</v>
      </c>
      <c r="AJ103" s="74">
        <v>47</v>
      </c>
      <c r="AK103" s="74">
        <v>40</v>
      </c>
      <c r="AL103" s="74">
        <v>1.05</v>
      </c>
    </row>
    <row r="104" spans="1:38" x14ac:dyDescent="0.3">
      <c r="A104" s="74" t="s">
        <v>261</v>
      </c>
      <c r="B104" s="74">
        <v>132202</v>
      </c>
      <c r="C104" s="74">
        <v>3</v>
      </c>
      <c r="D104" s="74" t="s">
        <v>367</v>
      </c>
      <c r="E104" s="74" t="s">
        <v>368</v>
      </c>
      <c r="F104" s="74">
        <v>38</v>
      </c>
      <c r="G104" s="74">
        <v>24.7</v>
      </c>
      <c r="H104" s="74">
        <v>81.680000000000007</v>
      </c>
      <c r="I104" s="74">
        <v>18.059999999999999</v>
      </c>
      <c r="J104" s="74">
        <v>59.73</v>
      </c>
      <c r="K104" s="74">
        <v>24</v>
      </c>
      <c r="T104" s="74">
        <v>3</v>
      </c>
      <c r="U104" s="74">
        <v>2</v>
      </c>
      <c r="V104" s="74" t="s">
        <v>186</v>
      </c>
      <c r="W104" s="74">
        <v>81</v>
      </c>
      <c r="X104" s="74">
        <v>8</v>
      </c>
      <c r="Y104" s="74">
        <v>7</v>
      </c>
      <c r="Z104" s="74" t="s">
        <v>369</v>
      </c>
      <c r="AA104" s="74" t="s">
        <v>370</v>
      </c>
      <c r="AB104" s="74" t="s">
        <v>182</v>
      </c>
      <c r="AC104" s="74" t="s">
        <v>183</v>
      </c>
      <c r="AD104" s="74" t="s">
        <v>158</v>
      </c>
      <c r="AG104" s="74" t="s">
        <v>371</v>
      </c>
      <c r="AH104" s="74">
        <v>0</v>
      </c>
      <c r="AI104" s="74">
        <v>243</v>
      </c>
      <c r="AJ104" s="74">
        <v>47</v>
      </c>
      <c r="AK104" s="74">
        <v>40</v>
      </c>
      <c r="AL104" s="74">
        <v>1.05</v>
      </c>
    </row>
    <row r="105" spans="1:38" x14ac:dyDescent="0.3">
      <c r="A105" s="74" t="s">
        <v>261</v>
      </c>
      <c r="B105" s="74">
        <v>132202</v>
      </c>
      <c r="C105" s="74">
        <v>4</v>
      </c>
      <c r="D105" s="74" t="s">
        <v>367</v>
      </c>
      <c r="E105" s="74" t="s">
        <v>368</v>
      </c>
      <c r="F105" s="74">
        <v>38</v>
      </c>
      <c r="G105" s="74">
        <v>34.979999999999997</v>
      </c>
      <c r="H105" s="74">
        <v>115.65</v>
      </c>
      <c r="I105" s="74">
        <v>25.6</v>
      </c>
      <c r="J105" s="74">
        <v>84.66</v>
      </c>
      <c r="K105" s="74">
        <v>1</v>
      </c>
      <c r="T105" s="74">
        <v>4</v>
      </c>
      <c r="U105" s="74">
        <v>2</v>
      </c>
      <c r="V105" s="74" t="s">
        <v>186</v>
      </c>
      <c r="W105" s="74" t="s">
        <v>93</v>
      </c>
      <c r="X105" s="74">
        <v>8</v>
      </c>
      <c r="Y105" s="74">
        <v>7</v>
      </c>
      <c r="Z105" s="74" t="s">
        <v>369</v>
      </c>
      <c r="AA105" s="74" t="s">
        <v>370</v>
      </c>
      <c r="AB105" s="74" t="s">
        <v>182</v>
      </c>
      <c r="AC105" s="74" t="s">
        <v>183</v>
      </c>
      <c r="AD105" s="74" t="s">
        <v>158</v>
      </c>
      <c r="AG105" s="74" t="s">
        <v>371</v>
      </c>
      <c r="AH105" s="74">
        <v>0</v>
      </c>
      <c r="AI105" s="74">
        <v>243</v>
      </c>
      <c r="AJ105" s="74">
        <v>47</v>
      </c>
      <c r="AK105" s="74">
        <v>40</v>
      </c>
      <c r="AL105" s="74">
        <v>1.05</v>
      </c>
    </row>
    <row r="106" spans="1:38" x14ac:dyDescent="0.3">
      <c r="A106" s="74" t="s">
        <v>261</v>
      </c>
      <c r="B106" s="74">
        <v>132202</v>
      </c>
      <c r="C106" s="74">
        <v>5</v>
      </c>
      <c r="D106" s="74" t="s">
        <v>367</v>
      </c>
      <c r="E106" s="74" t="s">
        <v>368</v>
      </c>
      <c r="F106" s="74">
        <v>38</v>
      </c>
      <c r="G106" s="74">
        <v>35.090000000000003</v>
      </c>
      <c r="H106" s="74">
        <v>116.03</v>
      </c>
      <c r="I106" s="74">
        <v>25.66</v>
      </c>
      <c r="J106" s="74">
        <v>84.83</v>
      </c>
      <c r="K106" s="74">
        <v>1</v>
      </c>
      <c r="T106" s="74">
        <v>4</v>
      </c>
      <c r="U106" s="74">
        <v>2</v>
      </c>
      <c r="V106" s="74" t="s">
        <v>179</v>
      </c>
      <c r="W106" s="74" t="s">
        <v>286</v>
      </c>
      <c r="X106" s="74">
        <v>8</v>
      </c>
      <c r="Y106" s="74">
        <v>7</v>
      </c>
      <c r="Z106" s="74" t="s">
        <v>369</v>
      </c>
      <c r="AA106" s="74" t="s">
        <v>370</v>
      </c>
      <c r="AB106" s="74" t="s">
        <v>182</v>
      </c>
      <c r="AC106" s="74" t="s">
        <v>183</v>
      </c>
      <c r="AD106" s="74" t="s">
        <v>158</v>
      </c>
      <c r="AG106" s="74" t="s">
        <v>371</v>
      </c>
      <c r="AH106" s="74">
        <v>0</v>
      </c>
      <c r="AI106" s="74">
        <v>243</v>
      </c>
      <c r="AJ106" s="74">
        <v>47</v>
      </c>
      <c r="AK106" s="74">
        <v>40</v>
      </c>
      <c r="AL106" s="74">
        <v>1.05</v>
      </c>
    </row>
    <row r="107" spans="1:38" x14ac:dyDescent="0.3">
      <c r="A107" s="74" t="s">
        <v>261</v>
      </c>
      <c r="B107" s="74">
        <v>4987</v>
      </c>
      <c r="C107" s="74">
        <v>1</v>
      </c>
      <c r="D107" s="74" t="s">
        <v>372</v>
      </c>
      <c r="E107" s="74" t="s">
        <v>373</v>
      </c>
      <c r="F107" s="74">
        <v>210</v>
      </c>
      <c r="G107" s="74">
        <v>37.04</v>
      </c>
      <c r="H107" s="74">
        <v>122.46</v>
      </c>
      <c r="I107" s="74">
        <v>30.23</v>
      </c>
      <c r="J107" s="74">
        <v>99.94</v>
      </c>
      <c r="K107" s="74">
        <v>90</v>
      </c>
      <c r="T107" s="74">
        <v>4</v>
      </c>
      <c r="U107" s="74">
        <v>2</v>
      </c>
      <c r="V107" s="74" t="s">
        <v>186</v>
      </c>
      <c r="W107" s="74">
        <v>122</v>
      </c>
      <c r="X107" s="74">
        <v>15</v>
      </c>
      <c r="Y107" s="74">
        <v>15</v>
      </c>
      <c r="Z107" s="74" t="s">
        <v>374</v>
      </c>
      <c r="AA107" s="74" t="s">
        <v>375</v>
      </c>
      <c r="AB107" s="74" t="s">
        <v>182</v>
      </c>
      <c r="AC107" s="74" t="s">
        <v>183</v>
      </c>
      <c r="AD107" s="74" t="s">
        <v>158</v>
      </c>
      <c r="AG107" s="74" t="s">
        <v>376</v>
      </c>
      <c r="AH107" s="74">
        <v>0</v>
      </c>
      <c r="AI107" s="74">
        <v>207</v>
      </c>
      <c r="AJ107" s="74">
        <v>23</v>
      </c>
      <c r="AK107" s="74">
        <v>0</v>
      </c>
      <c r="AL107" s="74">
        <v>0</v>
      </c>
    </row>
    <row r="108" spans="1:38" x14ac:dyDescent="0.3">
      <c r="A108" s="74" t="s">
        <v>261</v>
      </c>
      <c r="B108" s="74">
        <v>4987</v>
      </c>
      <c r="C108" s="74">
        <v>2</v>
      </c>
      <c r="D108" s="74" t="s">
        <v>372</v>
      </c>
      <c r="E108" s="74" t="s">
        <v>373</v>
      </c>
      <c r="F108" s="74">
        <v>210</v>
      </c>
      <c r="G108" s="74">
        <v>48.4</v>
      </c>
      <c r="H108" s="74">
        <v>160.01</v>
      </c>
      <c r="I108" s="74">
        <v>40.79</v>
      </c>
      <c r="J108" s="74">
        <v>134.85</v>
      </c>
      <c r="K108" s="74">
        <v>90</v>
      </c>
      <c r="T108" s="74">
        <v>4</v>
      </c>
      <c r="U108" s="74">
        <v>2</v>
      </c>
      <c r="V108" s="74" t="s">
        <v>186</v>
      </c>
      <c r="W108" s="74">
        <v>160</v>
      </c>
      <c r="X108" s="74">
        <v>15</v>
      </c>
      <c r="Y108" s="74">
        <v>15</v>
      </c>
      <c r="Z108" s="74" t="s">
        <v>374</v>
      </c>
      <c r="AA108" s="74" t="s">
        <v>375</v>
      </c>
      <c r="AB108" s="74" t="s">
        <v>182</v>
      </c>
      <c r="AC108" s="74" t="s">
        <v>183</v>
      </c>
      <c r="AD108" s="74" t="s">
        <v>158</v>
      </c>
      <c r="AG108" s="74" t="s">
        <v>376</v>
      </c>
      <c r="AH108" s="74">
        <v>0</v>
      </c>
      <c r="AI108" s="74">
        <v>207</v>
      </c>
      <c r="AJ108" s="74">
        <v>23</v>
      </c>
      <c r="AK108" s="74">
        <v>0</v>
      </c>
      <c r="AL108" s="74">
        <v>0</v>
      </c>
    </row>
    <row r="109" spans="1:38" x14ac:dyDescent="0.3">
      <c r="A109" s="74" t="s">
        <v>261</v>
      </c>
      <c r="B109" s="74">
        <v>4987</v>
      </c>
      <c r="C109" s="74">
        <v>3</v>
      </c>
      <c r="D109" s="74" t="s">
        <v>372</v>
      </c>
      <c r="E109" s="74" t="s">
        <v>373</v>
      </c>
      <c r="F109" s="74">
        <v>210</v>
      </c>
      <c r="G109" s="74">
        <v>59.72</v>
      </c>
      <c r="H109" s="74">
        <v>197.44</v>
      </c>
      <c r="I109" s="74">
        <v>49.86</v>
      </c>
      <c r="J109" s="74">
        <v>164.85</v>
      </c>
      <c r="K109" s="74">
        <v>30</v>
      </c>
      <c r="T109" s="74">
        <v>4</v>
      </c>
      <c r="U109" s="74">
        <v>2</v>
      </c>
      <c r="V109" s="74" t="s">
        <v>186</v>
      </c>
      <c r="W109" s="74">
        <v>197</v>
      </c>
      <c r="X109" s="74">
        <v>15</v>
      </c>
      <c r="Y109" s="74">
        <v>15</v>
      </c>
      <c r="Z109" s="74" t="s">
        <v>374</v>
      </c>
      <c r="AA109" s="74" t="s">
        <v>375</v>
      </c>
      <c r="AB109" s="74" t="s">
        <v>182</v>
      </c>
      <c r="AC109" s="74" t="s">
        <v>183</v>
      </c>
      <c r="AD109" s="74" t="s">
        <v>158</v>
      </c>
      <c r="AG109" s="74" t="s">
        <v>376</v>
      </c>
      <c r="AH109" s="74">
        <v>0</v>
      </c>
      <c r="AI109" s="74">
        <v>207</v>
      </c>
      <c r="AJ109" s="74">
        <v>23</v>
      </c>
      <c r="AK109" s="74">
        <v>0</v>
      </c>
      <c r="AL109" s="74">
        <v>0</v>
      </c>
    </row>
    <row r="110" spans="1:38" x14ac:dyDescent="0.3">
      <c r="A110" s="74" t="s">
        <v>261</v>
      </c>
      <c r="B110" s="74">
        <v>106426</v>
      </c>
      <c r="C110" s="74">
        <v>1</v>
      </c>
      <c r="D110" s="74" t="s">
        <v>377</v>
      </c>
      <c r="E110" s="74" t="s">
        <v>378</v>
      </c>
      <c r="F110" s="74">
        <v>108</v>
      </c>
      <c r="G110" s="74">
        <v>13.27</v>
      </c>
      <c r="H110" s="74">
        <v>43.87</v>
      </c>
      <c r="I110" s="74">
        <v>11.89</v>
      </c>
      <c r="J110" s="74">
        <v>39.33</v>
      </c>
      <c r="K110" s="74">
        <v>54</v>
      </c>
      <c r="T110" s="74">
        <v>2</v>
      </c>
      <c r="U110" s="74">
        <v>1</v>
      </c>
      <c r="V110" s="74" t="s">
        <v>186</v>
      </c>
      <c r="W110" s="74">
        <v>43</v>
      </c>
      <c r="X110" s="74">
        <v>3</v>
      </c>
      <c r="Y110" s="74">
        <v>3</v>
      </c>
      <c r="Z110" s="74" t="s">
        <v>379</v>
      </c>
      <c r="AA110" s="74" t="s">
        <v>380</v>
      </c>
      <c r="AB110" s="74" t="s">
        <v>182</v>
      </c>
      <c r="AC110" s="74" t="s">
        <v>183</v>
      </c>
      <c r="AD110" s="74" t="s">
        <v>158</v>
      </c>
      <c r="AG110" s="74" t="s">
        <v>381</v>
      </c>
      <c r="AH110" s="74">
        <v>0</v>
      </c>
      <c r="AI110" s="74">
        <v>0</v>
      </c>
      <c r="AJ110" s="74">
        <v>0</v>
      </c>
      <c r="AK110" s="74">
        <v>0</v>
      </c>
      <c r="AL110" s="74">
        <v>0</v>
      </c>
    </row>
    <row r="111" spans="1:38" x14ac:dyDescent="0.3">
      <c r="A111" s="74" t="s">
        <v>261</v>
      </c>
      <c r="B111" s="74">
        <v>106426</v>
      </c>
      <c r="C111" s="74">
        <v>2</v>
      </c>
      <c r="D111" s="74" t="s">
        <v>377</v>
      </c>
      <c r="E111" s="74" t="s">
        <v>378</v>
      </c>
      <c r="F111" s="74">
        <v>108</v>
      </c>
      <c r="G111" s="74">
        <v>14.9</v>
      </c>
      <c r="H111" s="74">
        <v>49.27</v>
      </c>
      <c r="I111" s="74">
        <v>13.53</v>
      </c>
      <c r="J111" s="74">
        <v>44.73</v>
      </c>
      <c r="K111" s="74">
        <v>54</v>
      </c>
      <c r="T111" s="74">
        <v>2</v>
      </c>
      <c r="U111" s="74">
        <v>1</v>
      </c>
      <c r="V111" s="74" t="s">
        <v>186</v>
      </c>
      <c r="W111" s="74">
        <v>49</v>
      </c>
      <c r="X111" s="74">
        <v>3</v>
      </c>
      <c r="Y111" s="74">
        <v>3</v>
      </c>
      <c r="Z111" s="74" t="s">
        <v>379</v>
      </c>
      <c r="AA111" s="74" t="s">
        <v>380</v>
      </c>
      <c r="AB111" s="74" t="s">
        <v>182</v>
      </c>
      <c r="AC111" s="74" t="s">
        <v>183</v>
      </c>
      <c r="AD111" s="74" t="s">
        <v>158</v>
      </c>
      <c r="AG111" s="74" t="s">
        <v>381</v>
      </c>
      <c r="AH111" s="74">
        <v>0</v>
      </c>
      <c r="AI111" s="74">
        <v>0</v>
      </c>
      <c r="AJ111" s="74">
        <v>0</v>
      </c>
      <c r="AK111" s="74">
        <v>0</v>
      </c>
      <c r="AL111" s="74">
        <v>0</v>
      </c>
    </row>
    <row r="112" spans="1:38" x14ac:dyDescent="0.3">
      <c r="A112" s="74" t="s">
        <v>261</v>
      </c>
      <c r="B112" s="74">
        <v>4980</v>
      </c>
      <c r="C112" s="74">
        <v>1</v>
      </c>
      <c r="D112" s="74" t="s">
        <v>382</v>
      </c>
      <c r="E112" s="74" t="s">
        <v>250</v>
      </c>
      <c r="F112" s="74">
        <v>460</v>
      </c>
      <c r="G112" s="74">
        <v>27.82</v>
      </c>
      <c r="H112" s="74">
        <v>91.97</v>
      </c>
      <c r="I112" s="74">
        <v>22.39</v>
      </c>
      <c r="J112" s="74">
        <v>74.02</v>
      </c>
      <c r="K112" s="74">
        <v>104</v>
      </c>
      <c r="T112" s="74">
        <v>3</v>
      </c>
      <c r="U112" s="74">
        <v>1</v>
      </c>
      <c r="V112" s="74" t="s">
        <v>186</v>
      </c>
      <c r="W112" s="74">
        <v>91</v>
      </c>
      <c r="X112" s="74">
        <v>13</v>
      </c>
      <c r="Y112" s="74">
        <v>10</v>
      </c>
      <c r="Z112" s="74" t="s">
        <v>383</v>
      </c>
      <c r="AA112" s="74" t="s">
        <v>384</v>
      </c>
      <c r="AB112" s="74" t="s">
        <v>182</v>
      </c>
      <c r="AC112" s="74" t="s">
        <v>183</v>
      </c>
      <c r="AD112" s="74" t="s">
        <v>158</v>
      </c>
      <c r="AG112" s="74" t="s">
        <v>385</v>
      </c>
      <c r="AH112" s="74">
        <v>0</v>
      </c>
      <c r="AI112" s="74">
        <v>0</v>
      </c>
      <c r="AJ112" s="74">
        <v>0</v>
      </c>
      <c r="AK112" s="74">
        <v>0</v>
      </c>
      <c r="AL112" s="74">
        <v>0</v>
      </c>
    </row>
    <row r="113" spans="1:38" x14ac:dyDescent="0.3">
      <c r="A113" s="74" t="s">
        <v>261</v>
      </c>
      <c r="B113" s="74">
        <v>4980</v>
      </c>
      <c r="C113" s="74">
        <v>2</v>
      </c>
      <c r="D113" s="74" t="s">
        <v>382</v>
      </c>
      <c r="E113" s="74" t="s">
        <v>250</v>
      </c>
      <c r="F113" s="74">
        <v>460</v>
      </c>
      <c r="G113" s="74">
        <v>32.06</v>
      </c>
      <c r="H113" s="74">
        <v>105.99</v>
      </c>
      <c r="I113" s="74">
        <v>25.66</v>
      </c>
      <c r="J113" s="74">
        <v>84.84</v>
      </c>
      <c r="K113" s="74">
        <v>278</v>
      </c>
      <c r="T113" s="74">
        <v>3</v>
      </c>
      <c r="U113" s="74">
        <v>2</v>
      </c>
      <c r="V113" s="74" t="s">
        <v>186</v>
      </c>
      <c r="W113" s="74">
        <v>105</v>
      </c>
      <c r="X113" s="74">
        <v>13</v>
      </c>
      <c r="Y113" s="74">
        <v>10</v>
      </c>
      <c r="Z113" s="74" t="s">
        <v>383</v>
      </c>
      <c r="AA113" s="74" t="s">
        <v>384</v>
      </c>
      <c r="AB113" s="74" t="s">
        <v>182</v>
      </c>
      <c r="AC113" s="74" t="s">
        <v>183</v>
      </c>
      <c r="AD113" s="74" t="s">
        <v>158</v>
      </c>
      <c r="AG113" s="74" t="s">
        <v>385</v>
      </c>
      <c r="AH113" s="74">
        <v>0</v>
      </c>
      <c r="AI113" s="74">
        <v>0</v>
      </c>
      <c r="AJ113" s="74">
        <v>0</v>
      </c>
      <c r="AK113" s="74">
        <v>0</v>
      </c>
      <c r="AL113" s="74">
        <v>0</v>
      </c>
    </row>
    <row r="114" spans="1:38" x14ac:dyDescent="0.3">
      <c r="A114" s="74" t="s">
        <v>261</v>
      </c>
      <c r="B114" s="74">
        <v>4980</v>
      </c>
      <c r="C114" s="74">
        <v>3</v>
      </c>
      <c r="D114" s="74" t="s">
        <v>382</v>
      </c>
      <c r="E114" s="74" t="s">
        <v>250</v>
      </c>
      <c r="F114" s="74">
        <v>460</v>
      </c>
      <c r="G114" s="74">
        <v>47.06</v>
      </c>
      <c r="H114" s="74">
        <v>155.59</v>
      </c>
      <c r="I114" s="74">
        <v>39.85</v>
      </c>
      <c r="J114" s="74">
        <v>131.75</v>
      </c>
      <c r="K114" s="74">
        <v>78</v>
      </c>
      <c r="T114" s="74">
        <v>4</v>
      </c>
      <c r="U114" s="74">
        <v>2</v>
      </c>
      <c r="V114" s="74" t="s">
        <v>186</v>
      </c>
      <c r="W114" s="74">
        <v>155</v>
      </c>
      <c r="X114" s="74">
        <v>13</v>
      </c>
      <c r="Y114" s="74">
        <v>10</v>
      </c>
      <c r="Z114" s="74" t="s">
        <v>383</v>
      </c>
      <c r="AA114" s="74" t="s">
        <v>384</v>
      </c>
      <c r="AB114" s="74" t="s">
        <v>182</v>
      </c>
      <c r="AC114" s="74" t="s">
        <v>183</v>
      </c>
      <c r="AD114" s="74" t="s">
        <v>158</v>
      </c>
      <c r="AG114" s="74" t="s">
        <v>385</v>
      </c>
      <c r="AH114" s="74">
        <v>0</v>
      </c>
      <c r="AI114" s="74">
        <v>0</v>
      </c>
      <c r="AJ114" s="74">
        <v>0</v>
      </c>
      <c r="AK114" s="74">
        <v>0</v>
      </c>
      <c r="AL114" s="74">
        <v>0</v>
      </c>
    </row>
    <row r="115" spans="1:38" x14ac:dyDescent="0.3">
      <c r="A115" s="74" t="s">
        <v>261</v>
      </c>
      <c r="B115" s="74">
        <v>109105</v>
      </c>
      <c r="C115" s="74">
        <v>1</v>
      </c>
      <c r="D115" s="74" t="s">
        <v>386</v>
      </c>
      <c r="E115" s="74" t="s">
        <v>387</v>
      </c>
      <c r="F115" s="74">
        <v>80</v>
      </c>
      <c r="G115" s="74">
        <v>18.04</v>
      </c>
      <c r="H115" s="74">
        <v>59.64</v>
      </c>
      <c r="I115" s="74">
        <v>15.81</v>
      </c>
      <c r="J115" s="74">
        <v>52.29</v>
      </c>
      <c r="K115" s="74">
        <v>50</v>
      </c>
      <c r="T115" s="74">
        <v>2</v>
      </c>
      <c r="U115" s="74">
        <v>1</v>
      </c>
      <c r="V115" s="74" t="s">
        <v>186</v>
      </c>
      <c r="W115" s="74">
        <v>59</v>
      </c>
      <c r="X115" s="74">
        <v>5</v>
      </c>
      <c r="Y115" s="74">
        <v>5</v>
      </c>
      <c r="Z115" s="74" t="s">
        <v>388</v>
      </c>
      <c r="AA115" s="74" t="s">
        <v>389</v>
      </c>
      <c r="AB115" s="74" t="s">
        <v>182</v>
      </c>
      <c r="AC115" s="74" t="s">
        <v>183</v>
      </c>
      <c r="AD115" s="74" t="s">
        <v>158</v>
      </c>
      <c r="AG115" s="74" t="s">
        <v>390</v>
      </c>
      <c r="AH115" s="74">
        <v>0</v>
      </c>
      <c r="AI115" s="74">
        <v>0</v>
      </c>
      <c r="AJ115" s="74">
        <v>40</v>
      </c>
      <c r="AK115" s="74">
        <v>0</v>
      </c>
      <c r="AL115" s="74">
        <v>0</v>
      </c>
    </row>
    <row r="116" spans="1:38" x14ac:dyDescent="0.3">
      <c r="A116" s="74" t="s">
        <v>261</v>
      </c>
      <c r="B116" s="74">
        <v>109105</v>
      </c>
      <c r="C116" s="74">
        <v>2</v>
      </c>
      <c r="D116" s="74" t="s">
        <v>386</v>
      </c>
      <c r="E116" s="74" t="s">
        <v>387</v>
      </c>
      <c r="F116" s="74">
        <v>80</v>
      </c>
      <c r="G116" s="74">
        <v>25.72</v>
      </c>
      <c r="H116" s="74">
        <v>85.05</v>
      </c>
      <c r="I116" s="74">
        <v>23.73</v>
      </c>
      <c r="J116" s="74">
        <v>78.47</v>
      </c>
      <c r="K116" s="74">
        <v>30</v>
      </c>
      <c r="T116" s="74">
        <v>3</v>
      </c>
      <c r="U116" s="74">
        <v>1</v>
      </c>
      <c r="V116" s="74" t="s">
        <v>186</v>
      </c>
      <c r="W116" s="74">
        <v>85</v>
      </c>
      <c r="X116" s="74">
        <v>5</v>
      </c>
      <c r="Y116" s="74">
        <v>5</v>
      </c>
      <c r="Z116" s="74" t="s">
        <v>388</v>
      </c>
      <c r="AA116" s="74" t="s">
        <v>389</v>
      </c>
      <c r="AB116" s="74" t="s">
        <v>182</v>
      </c>
      <c r="AC116" s="74" t="s">
        <v>183</v>
      </c>
      <c r="AD116" s="74" t="s">
        <v>158</v>
      </c>
      <c r="AG116" s="74" t="s">
        <v>390</v>
      </c>
      <c r="AH116" s="74">
        <v>0</v>
      </c>
      <c r="AI116" s="74">
        <v>0</v>
      </c>
      <c r="AJ116" s="74">
        <v>40</v>
      </c>
      <c r="AK116" s="74">
        <v>0</v>
      </c>
      <c r="AL116" s="74">
        <v>0</v>
      </c>
    </row>
    <row r="117" spans="1:38" x14ac:dyDescent="0.3">
      <c r="A117" s="74" t="s">
        <v>261</v>
      </c>
      <c r="B117" s="74">
        <v>135672</v>
      </c>
      <c r="C117" s="74">
        <v>1</v>
      </c>
      <c r="D117" s="74" t="s">
        <v>391</v>
      </c>
      <c r="E117" s="74" t="s">
        <v>392</v>
      </c>
      <c r="F117" s="74">
        <v>19</v>
      </c>
      <c r="G117" s="74">
        <v>27.95</v>
      </c>
      <c r="H117" s="74">
        <v>92.4</v>
      </c>
      <c r="I117" s="74">
        <v>23.05</v>
      </c>
      <c r="J117" s="74">
        <v>76.23</v>
      </c>
      <c r="K117" s="74">
        <v>4</v>
      </c>
      <c r="T117" s="74">
        <v>3</v>
      </c>
      <c r="U117" s="74">
        <v>2</v>
      </c>
      <c r="V117" s="74" t="s">
        <v>186</v>
      </c>
      <c r="W117" s="74">
        <v>92</v>
      </c>
      <c r="X117" s="74">
        <v>5</v>
      </c>
      <c r="Y117" s="74">
        <v>4</v>
      </c>
      <c r="Z117" s="74" t="s">
        <v>393</v>
      </c>
      <c r="AA117" s="74" t="s">
        <v>394</v>
      </c>
      <c r="AB117" s="74" t="s">
        <v>182</v>
      </c>
      <c r="AC117" s="74" t="s">
        <v>183</v>
      </c>
      <c r="AD117" s="74" t="s">
        <v>158</v>
      </c>
      <c r="AG117" s="74" t="s">
        <v>395</v>
      </c>
      <c r="AH117" s="74">
        <v>0</v>
      </c>
      <c r="AI117" s="74">
        <v>158</v>
      </c>
      <c r="AJ117" s="74">
        <v>0</v>
      </c>
      <c r="AK117" s="74">
        <v>0</v>
      </c>
      <c r="AL117" s="74">
        <v>0</v>
      </c>
    </row>
    <row r="118" spans="1:38" x14ac:dyDescent="0.3">
      <c r="A118" s="74" t="s">
        <v>261</v>
      </c>
      <c r="B118" s="74">
        <v>135672</v>
      </c>
      <c r="C118" s="74">
        <v>2</v>
      </c>
      <c r="D118" s="74" t="s">
        <v>391</v>
      </c>
      <c r="E118" s="74" t="s">
        <v>392</v>
      </c>
      <c r="F118" s="74">
        <v>19</v>
      </c>
      <c r="G118" s="74">
        <v>29.36</v>
      </c>
      <c r="H118" s="74">
        <v>97.08</v>
      </c>
      <c r="I118" s="74">
        <v>25.21</v>
      </c>
      <c r="J118" s="74">
        <v>83.37</v>
      </c>
      <c r="K118" s="74">
        <v>10</v>
      </c>
      <c r="T118" s="74">
        <v>3</v>
      </c>
      <c r="U118" s="74">
        <v>2</v>
      </c>
      <c r="V118" s="74" t="s">
        <v>186</v>
      </c>
      <c r="W118" s="74">
        <v>97</v>
      </c>
      <c r="X118" s="74">
        <v>5</v>
      </c>
      <c r="Y118" s="74">
        <v>4</v>
      </c>
      <c r="Z118" s="74" t="s">
        <v>393</v>
      </c>
      <c r="AA118" s="74" t="s">
        <v>394</v>
      </c>
      <c r="AB118" s="74" t="s">
        <v>182</v>
      </c>
      <c r="AC118" s="74" t="s">
        <v>183</v>
      </c>
      <c r="AD118" s="74" t="s">
        <v>158</v>
      </c>
      <c r="AG118" s="74" t="s">
        <v>395</v>
      </c>
      <c r="AH118" s="74">
        <v>0</v>
      </c>
      <c r="AI118" s="74">
        <v>158</v>
      </c>
      <c r="AJ118" s="74">
        <v>0</v>
      </c>
      <c r="AK118" s="74">
        <v>0</v>
      </c>
      <c r="AL118" s="74">
        <v>0</v>
      </c>
    </row>
    <row r="119" spans="1:38" x14ac:dyDescent="0.3">
      <c r="A119" s="74" t="s">
        <v>261</v>
      </c>
      <c r="B119" s="74">
        <v>135672</v>
      </c>
      <c r="C119" s="74">
        <v>3</v>
      </c>
      <c r="D119" s="74" t="s">
        <v>391</v>
      </c>
      <c r="E119" s="74" t="s">
        <v>392</v>
      </c>
      <c r="F119" s="74">
        <v>19</v>
      </c>
      <c r="G119" s="74">
        <v>30.77</v>
      </c>
      <c r="H119" s="74">
        <v>101.75</v>
      </c>
      <c r="I119" s="74">
        <v>25.68</v>
      </c>
      <c r="J119" s="74">
        <v>84.92</v>
      </c>
      <c r="K119" s="74">
        <v>4</v>
      </c>
      <c r="T119" s="74">
        <v>3</v>
      </c>
      <c r="U119" s="74">
        <v>2</v>
      </c>
      <c r="V119" s="74" t="s">
        <v>186</v>
      </c>
      <c r="W119" s="74">
        <v>101</v>
      </c>
      <c r="X119" s="74">
        <v>5</v>
      </c>
      <c r="Y119" s="74">
        <v>4</v>
      </c>
      <c r="Z119" s="74" t="s">
        <v>393</v>
      </c>
      <c r="AA119" s="74" t="s">
        <v>394</v>
      </c>
      <c r="AB119" s="74" t="s">
        <v>182</v>
      </c>
      <c r="AC119" s="74" t="s">
        <v>183</v>
      </c>
      <c r="AD119" s="74" t="s">
        <v>158</v>
      </c>
      <c r="AG119" s="74" t="s">
        <v>395</v>
      </c>
      <c r="AH119" s="74">
        <v>0</v>
      </c>
      <c r="AI119" s="74">
        <v>158</v>
      </c>
      <c r="AJ119" s="74">
        <v>0</v>
      </c>
      <c r="AK119" s="74">
        <v>0</v>
      </c>
      <c r="AL119" s="74">
        <v>0</v>
      </c>
    </row>
    <row r="120" spans="1:38" x14ac:dyDescent="0.3">
      <c r="A120" s="74" t="s">
        <v>261</v>
      </c>
      <c r="B120" s="74">
        <v>135672</v>
      </c>
      <c r="C120" s="74">
        <v>4</v>
      </c>
      <c r="D120" s="74" t="s">
        <v>391</v>
      </c>
      <c r="E120" s="74" t="s">
        <v>392</v>
      </c>
      <c r="F120" s="74">
        <v>19</v>
      </c>
      <c r="G120" s="74">
        <v>33.96</v>
      </c>
      <c r="H120" s="74">
        <v>112.28</v>
      </c>
      <c r="I120" s="74">
        <v>25.68</v>
      </c>
      <c r="J120" s="74">
        <v>84.92</v>
      </c>
      <c r="K120" s="74">
        <v>1</v>
      </c>
      <c r="T120" s="74">
        <v>3</v>
      </c>
      <c r="U120" s="74">
        <v>2</v>
      </c>
      <c r="V120" s="74" t="s">
        <v>186</v>
      </c>
      <c r="W120" s="74">
        <v>112</v>
      </c>
      <c r="X120" s="74">
        <v>5</v>
      </c>
      <c r="Y120" s="74">
        <v>4</v>
      </c>
      <c r="Z120" s="74" t="s">
        <v>393</v>
      </c>
      <c r="AA120" s="74" t="s">
        <v>394</v>
      </c>
      <c r="AB120" s="74" t="s">
        <v>182</v>
      </c>
      <c r="AC120" s="74" t="s">
        <v>183</v>
      </c>
      <c r="AD120" s="74" t="s">
        <v>158</v>
      </c>
      <c r="AG120" s="74" t="s">
        <v>395</v>
      </c>
      <c r="AH120" s="74">
        <v>0</v>
      </c>
      <c r="AI120" s="74">
        <v>158</v>
      </c>
      <c r="AJ120" s="74">
        <v>0</v>
      </c>
      <c r="AK120" s="74">
        <v>0</v>
      </c>
      <c r="AL120" s="74">
        <v>0</v>
      </c>
    </row>
    <row r="121" spans="1:38" x14ac:dyDescent="0.3">
      <c r="A121" s="74" t="s">
        <v>261</v>
      </c>
      <c r="B121" s="74">
        <v>4999</v>
      </c>
      <c r="C121" s="74">
        <v>1</v>
      </c>
      <c r="D121" s="74" t="s">
        <v>396</v>
      </c>
      <c r="E121" s="74" t="s">
        <v>178</v>
      </c>
      <c r="F121" s="74">
        <v>345</v>
      </c>
      <c r="G121" s="74">
        <v>34.99</v>
      </c>
      <c r="H121" s="74">
        <v>115.69</v>
      </c>
      <c r="I121" s="74">
        <v>28.3</v>
      </c>
      <c r="J121" s="74">
        <v>93.56</v>
      </c>
      <c r="K121" s="74">
        <v>75</v>
      </c>
      <c r="T121" s="74">
        <v>3</v>
      </c>
      <c r="U121" s="74">
        <v>2</v>
      </c>
      <c r="V121" s="74" t="s">
        <v>186</v>
      </c>
      <c r="W121" s="74">
        <v>115</v>
      </c>
      <c r="X121" s="74">
        <v>15</v>
      </c>
      <c r="Y121" s="74">
        <v>15</v>
      </c>
      <c r="Z121" s="74" t="s">
        <v>397</v>
      </c>
      <c r="AA121" s="74" t="s">
        <v>398</v>
      </c>
      <c r="AB121" s="74" t="s">
        <v>182</v>
      </c>
      <c r="AC121" s="74" t="s">
        <v>183</v>
      </c>
      <c r="AD121" s="74" t="s">
        <v>158</v>
      </c>
      <c r="AG121" s="74" t="s">
        <v>399</v>
      </c>
      <c r="AH121" s="74">
        <v>0</v>
      </c>
      <c r="AI121" s="74">
        <v>0</v>
      </c>
      <c r="AJ121" s="74">
        <v>0</v>
      </c>
      <c r="AK121" s="74">
        <v>0</v>
      </c>
      <c r="AL121" s="74">
        <v>0</v>
      </c>
    </row>
    <row r="122" spans="1:38" x14ac:dyDescent="0.3">
      <c r="A122" s="74" t="s">
        <v>261</v>
      </c>
      <c r="B122" s="74">
        <v>4999</v>
      </c>
      <c r="C122" s="74">
        <v>2</v>
      </c>
      <c r="D122" s="74" t="s">
        <v>396</v>
      </c>
      <c r="E122" s="74" t="s">
        <v>178</v>
      </c>
      <c r="F122" s="74">
        <v>345</v>
      </c>
      <c r="G122" s="74">
        <v>36.340000000000003</v>
      </c>
      <c r="H122" s="74">
        <v>120.16</v>
      </c>
      <c r="I122" s="74">
        <v>30.23</v>
      </c>
      <c r="J122" s="74">
        <v>99.96</v>
      </c>
      <c r="K122" s="74">
        <v>270</v>
      </c>
      <c r="T122" s="74">
        <v>3</v>
      </c>
      <c r="U122" s="74">
        <v>2</v>
      </c>
      <c r="V122" s="74" t="s">
        <v>186</v>
      </c>
      <c r="W122" s="74">
        <v>120</v>
      </c>
      <c r="X122" s="74">
        <v>15</v>
      </c>
      <c r="Y122" s="74">
        <v>15</v>
      </c>
      <c r="Z122" s="74" t="s">
        <v>397</v>
      </c>
      <c r="AA122" s="74" t="s">
        <v>398</v>
      </c>
      <c r="AB122" s="74" t="s">
        <v>182</v>
      </c>
      <c r="AC122" s="74" t="s">
        <v>183</v>
      </c>
      <c r="AD122" s="74" t="s">
        <v>158</v>
      </c>
      <c r="AG122" s="74" t="s">
        <v>399</v>
      </c>
      <c r="AH122" s="74">
        <v>0</v>
      </c>
      <c r="AI122" s="74">
        <v>0</v>
      </c>
      <c r="AJ122" s="74">
        <v>0</v>
      </c>
      <c r="AK122" s="74">
        <v>0</v>
      </c>
      <c r="AL122" s="74">
        <v>0</v>
      </c>
    </row>
    <row r="123" spans="1:38" x14ac:dyDescent="0.3">
      <c r="A123" s="74" t="s">
        <v>261</v>
      </c>
      <c r="B123" s="74">
        <v>4966</v>
      </c>
      <c r="C123" s="74">
        <v>1</v>
      </c>
      <c r="D123" s="74" t="s">
        <v>400</v>
      </c>
      <c r="E123" s="74" t="s">
        <v>401</v>
      </c>
      <c r="F123" s="74">
        <v>930</v>
      </c>
      <c r="G123" s="74">
        <v>26.94</v>
      </c>
      <c r="H123" s="74">
        <v>89.06</v>
      </c>
      <c r="I123" s="74">
        <v>22.1</v>
      </c>
      <c r="J123" s="74">
        <v>73.09</v>
      </c>
      <c r="K123" s="74">
        <v>330</v>
      </c>
      <c r="T123" s="74">
        <v>3</v>
      </c>
      <c r="U123" s="74">
        <v>2</v>
      </c>
      <c r="V123" s="74" t="s">
        <v>186</v>
      </c>
      <c r="W123" s="74">
        <v>89</v>
      </c>
      <c r="X123" s="74">
        <v>15</v>
      </c>
      <c r="Y123" s="74">
        <v>15</v>
      </c>
      <c r="Z123" s="74" t="s">
        <v>402</v>
      </c>
      <c r="AA123" s="74" t="s">
        <v>403</v>
      </c>
      <c r="AB123" s="74" t="s">
        <v>182</v>
      </c>
      <c r="AC123" s="74" t="s">
        <v>183</v>
      </c>
      <c r="AD123" s="74" t="s">
        <v>158</v>
      </c>
      <c r="AG123" s="74" t="s">
        <v>404</v>
      </c>
      <c r="AH123" s="74">
        <v>0</v>
      </c>
      <c r="AI123" s="74">
        <v>0</v>
      </c>
      <c r="AJ123" s="74">
        <v>0</v>
      </c>
      <c r="AK123" s="74">
        <v>200</v>
      </c>
      <c r="AL123" s="74">
        <v>0.22</v>
      </c>
    </row>
    <row r="124" spans="1:38" x14ac:dyDescent="0.3">
      <c r="A124" s="74" t="s">
        <v>261</v>
      </c>
      <c r="B124" s="74">
        <v>4966</v>
      </c>
      <c r="C124" s="74">
        <v>2</v>
      </c>
      <c r="D124" s="74" t="s">
        <v>400</v>
      </c>
      <c r="E124" s="74" t="s">
        <v>401</v>
      </c>
      <c r="F124" s="74">
        <v>930</v>
      </c>
      <c r="G124" s="74">
        <v>30.76</v>
      </c>
      <c r="H124" s="74">
        <v>101.69</v>
      </c>
      <c r="I124" s="74">
        <v>25.64</v>
      </c>
      <c r="J124" s="74">
        <v>84.79</v>
      </c>
      <c r="K124" s="74">
        <v>600</v>
      </c>
      <c r="T124" s="74">
        <v>3</v>
      </c>
      <c r="U124" s="74">
        <v>2</v>
      </c>
      <c r="V124" s="74" t="s">
        <v>186</v>
      </c>
      <c r="W124" s="74">
        <v>101</v>
      </c>
      <c r="X124" s="74">
        <v>15</v>
      </c>
      <c r="Y124" s="74">
        <v>15</v>
      </c>
      <c r="Z124" s="74" t="s">
        <v>402</v>
      </c>
      <c r="AA124" s="74" t="s">
        <v>403</v>
      </c>
      <c r="AB124" s="74" t="s">
        <v>182</v>
      </c>
      <c r="AC124" s="74" t="s">
        <v>183</v>
      </c>
      <c r="AD124" s="74" t="s">
        <v>158</v>
      </c>
      <c r="AG124" s="74" t="s">
        <v>404</v>
      </c>
      <c r="AH124" s="74">
        <v>0</v>
      </c>
      <c r="AI124" s="74">
        <v>0</v>
      </c>
      <c r="AJ124" s="74">
        <v>0</v>
      </c>
      <c r="AK124" s="74">
        <v>200</v>
      </c>
      <c r="AL124" s="74">
        <v>0.22</v>
      </c>
    </row>
    <row r="125" spans="1:38" x14ac:dyDescent="0.3">
      <c r="A125" s="74" t="s">
        <v>261</v>
      </c>
      <c r="B125" s="74">
        <v>117430</v>
      </c>
      <c r="C125" s="74">
        <v>1</v>
      </c>
      <c r="D125" s="74" t="s">
        <v>405</v>
      </c>
      <c r="E125" s="74" t="s">
        <v>406</v>
      </c>
      <c r="F125" s="74">
        <v>60</v>
      </c>
      <c r="G125" s="74">
        <v>30.47</v>
      </c>
      <c r="H125" s="74">
        <v>100.76</v>
      </c>
      <c r="I125" s="74">
        <v>25.43</v>
      </c>
      <c r="J125" s="74">
        <v>84.08</v>
      </c>
      <c r="K125" s="74">
        <v>40</v>
      </c>
      <c r="T125" s="74">
        <v>3</v>
      </c>
      <c r="U125" s="74">
        <v>2</v>
      </c>
      <c r="V125" s="74" t="s">
        <v>179</v>
      </c>
      <c r="W125" s="74">
        <v>100</v>
      </c>
      <c r="X125" s="74">
        <v>5</v>
      </c>
      <c r="Y125" s="74">
        <v>5</v>
      </c>
      <c r="Z125" s="74" t="s">
        <v>407</v>
      </c>
      <c r="AA125" s="74" t="s">
        <v>408</v>
      </c>
      <c r="AB125" s="74" t="s">
        <v>182</v>
      </c>
      <c r="AC125" s="74" t="s">
        <v>183</v>
      </c>
      <c r="AD125" s="74" t="s">
        <v>158</v>
      </c>
      <c r="AG125" s="74" t="s">
        <v>409</v>
      </c>
      <c r="AH125" s="74">
        <v>0</v>
      </c>
      <c r="AI125" s="74">
        <v>0</v>
      </c>
      <c r="AJ125" s="74">
        <v>0</v>
      </c>
      <c r="AK125" s="74">
        <v>0</v>
      </c>
      <c r="AL125" s="74">
        <v>0</v>
      </c>
    </row>
    <row r="126" spans="1:38" x14ac:dyDescent="0.3">
      <c r="A126" s="74" t="s">
        <v>261</v>
      </c>
      <c r="B126" s="74">
        <v>117430</v>
      </c>
      <c r="C126" s="74">
        <v>2</v>
      </c>
      <c r="D126" s="74" t="s">
        <v>405</v>
      </c>
      <c r="E126" s="74" t="s">
        <v>406</v>
      </c>
      <c r="F126" s="74">
        <v>60</v>
      </c>
      <c r="G126" s="74">
        <v>38.49</v>
      </c>
      <c r="H126" s="74">
        <v>127.24</v>
      </c>
      <c r="I126" s="74">
        <v>33.24</v>
      </c>
      <c r="J126" s="74">
        <v>109.9</v>
      </c>
      <c r="K126" s="74">
        <v>20</v>
      </c>
      <c r="T126" s="74">
        <v>3</v>
      </c>
      <c r="U126" s="74">
        <v>2</v>
      </c>
      <c r="V126" s="74" t="s">
        <v>179</v>
      </c>
      <c r="W126" s="74">
        <v>127</v>
      </c>
      <c r="X126" s="74">
        <v>5</v>
      </c>
      <c r="Y126" s="74">
        <v>5</v>
      </c>
      <c r="Z126" s="74" t="s">
        <v>407</v>
      </c>
      <c r="AA126" s="74" t="s">
        <v>408</v>
      </c>
      <c r="AB126" s="74" t="s">
        <v>182</v>
      </c>
      <c r="AC126" s="74" t="s">
        <v>183</v>
      </c>
      <c r="AD126" s="74" t="s">
        <v>158</v>
      </c>
      <c r="AG126" s="74" t="s">
        <v>409</v>
      </c>
      <c r="AH126" s="74">
        <v>0</v>
      </c>
      <c r="AI126" s="74">
        <v>0</v>
      </c>
      <c r="AJ126" s="74">
        <v>0</v>
      </c>
      <c r="AK126" s="74">
        <v>0</v>
      </c>
      <c r="AL126" s="74">
        <v>0</v>
      </c>
    </row>
    <row r="127" spans="1:38" x14ac:dyDescent="0.3">
      <c r="A127" s="74" t="s">
        <v>261</v>
      </c>
      <c r="B127" s="74">
        <v>4994</v>
      </c>
      <c r="C127" s="74">
        <v>1</v>
      </c>
      <c r="D127" s="74" t="s">
        <v>410</v>
      </c>
      <c r="E127" s="74" t="s">
        <v>178</v>
      </c>
      <c r="F127" s="74">
        <v>490</v>
      </c>
      <c r="G127" s="74">
        <v>25.33</v>
      </c>
      <c r="H127" s="74">
        <v>83.76</v>
      </c>
      <c r="I127" s="74">
        <v>20.52</v>
      </c>
      <c r="J127" s="74">
        <v>67.86</v>
      </c>
      <c r="K127" s="74">
        <v>262</v>
      </c>
      <c r="T127" s="74">
        <v>3</v>
      </c>
      <c r="U127" s="74">
        <v>1</v>
      </c>
      <c r="V127" s="74" t="s">
        <v>186</v>
      </c>
      <c r="W127" s="74">
        <v>83</v>
      </c>
      <c r="X127" s="74">
        <v>15</v>
      </c>
      <c r="Y127" s="74">
        <v>10</v>
      </c>
      <c r="Z127" s="74" t="s">
        <v>411</v>
      </c>
      <c r="AA127" s="74" t="s">
        <v>412</v>
      </c>
      <c r="AB127" s="74" t="s">
        <v>182</v>
      </c>
      <c r="AC127" s="74" t="s">
        <v>183</v>
      </c>
      <c r="AD127" s="74" t="s">
        <v>158</v>
      </c>
      <c r="AG127" s="74" t="s">
        <v>413</v>
      </c>
      <c r="AH127" s="74">
        <v>0</v>
      </c>
      <c r="AI127" s="74">
        <v>0</v>
      </c>
      <c r="AJ127" s="74">
        <v>0</v>
      </c>
      <c r="AK127" s="74">
        <v>465</v>
      </c>
      <c r="AL127" s="74">
        <v>0.95</v>
      </c>
    </row>
    <row r="128" spans="1:38" x14ac:dyDescent="0.3">
      <c r="A128" s="74" t="s">
        <v>261</v>
      </c>
      <c r="B128" s="74">
        <v>4994</v>
      </c>
      <c r="C128" s="74">
        <v>2</v>
      </c>
      <c r="D128" s="74" t="s">
        <v>410</v>
      </c>
      <c r="E128" s="74" t="s">
        <v>178</v>
      </c>
      <c r="F128" s="74">
        <v>490</v>
      </c>
      <c r="G128" s="74">
        <v>31.4</v>
      </c>
      <c r="H128" s="74">
        <v>103.83</v>
      </c>
      <c r="I128" s="74">
        <v>25.7</v>
      </c>
      <c r="J128" s="74">
        <v>84.99</v>
      </c>
      <c r="K128" s="74">
        <v>228</v>
      </c>
      <c r="T128" s="74">
        <v>3</v>
      </c>
      <c r="U128" s="74">
        <v>2</v>
      </c>
      <c r="V128" s="74" t="s">
        <v>186</v>
      </c>
      <c r="W128" s="74">
        <v>103</v>
      </c>
      <c r="X128" s="74">
        <v>15</v>
      </c>
      <c r="Y128" s="74">
        <v>10</v>
      </c>
      <c r="Z128" s="74" t="s">
        <v>411</v>
      </c>
      <c r="AA128" s="74" t="s">
        <v>412</v>
      </c>
      <c r="AB128" s="74" t="s">
        <v>182</v>
      </c>
      <c r="AC128" s="74" t="s">
        <v>183</v>
      </c>
      <c r="AD128" s="74" t="s">
        <v>158</v>
      </c>
      <c r="AG128" s="74" t="s">
        <v>413</v>
      </c>
      <c r="AH128" s="74">
        <v>0</v>
      </c>
      <c r="AI128" s="74">
        <v>0</v>
      </c>
      <c r="AJ128" s="74">
        <v>0</v>
      </c>
      <c r="AK128" s="74">
        <v>465</v>
      </c>
      <c r="AL128" s="74">
        <v>0.95</v>
      </c>
    </row>
    <row r="129" spans="1:38" x14ac:dyDescent="0.3">
      <c r="A129" s="74" t="s">
        <v>261</v>
      </c>
      <c r="B129" s="74">
        <v>5008</v>
      </c>
      <c r="C129" s="74">
        <v>1</v>
      </c>
      <c r="D129" s="74" t="s">
        <v>414</v>
      </c>
      <c r="E129" s="74" t="s">
        <v>415</v>
      </c>
      <c r="F129" s="74">
        <v>800</v>
      </c>
      <c r="G129" s="74">
        <v>14.38</v>
      </c>
      <c r="H129" s="74">
        <v>47.57</v>
      </c>
      <c r="I129" s="74">
        <v>14.38</v>
      </c>
      <c r="J129" s="74">
        <v>47.57</v>
      </c>
      <c r="K129" s="74">
        <v>25</v>
      </c>
      <c r="T129" s="74">
        <v>1</v>
      </c>
      <c r="U129" s="74">
        <v>1</v>
      </c>
      <c r="V129" s="74" t="s">
        <v>186</v>
      </c>
      <c r="W129" s="74">
        <v>47</v>
      </c>
      <c r="X129" s="74">
        <v>5</v>
      </c>
      <c r="Y129" s="74">
        <v>5</v>
      </c>
      <c r="Z129" s="74" t="s">
        <v>416</v>
      </c>
      <c r="AA129" s="74" t="s">
        <v>417</v>
      </c>
      <c r="AB129" s="74" t="s">
        <v>182</v>
      </c>
      <c r="AC129" s="74" t="s">
        <v>183</v>
      </c>
      <c r="AD129" s="74" t="s">
        <v>158</v>
      </c>
      <c r="AG129" s="74" t="s">
        <v>418</v>
      </c>
      <c r="AH129" s="74">
        <v>0</v>
      </c>
      <c r="AI129" s="74">
        <v>0</v>
      </c>
      <c r="AJ129" s="74">
        <v>0</v>
      </c>
      <c r="AK129" s="74">
        <v>0</v>
      </c>
      <c r="AL129" s="74">
        <v>0</v>
      </c>
    </row>
    <row r="130" spans="1:38" x14ac:dyDescent="0.3">
      <c r="A130" s="74" t="s">
        <v>261</v>
      </c>
      <c r="B130" s="74">
        <v>5008</v>
      </c>
      <c r="C130" s="74">
        <v>2</v>
      </c>
      <c r="D130" s="74" t="s">
        <v>414</v>
      </c>
      <c r="E130" s="74" t="s">
        <v>415</v>
      </c>
      <c r="F130" s="74">
        <v>800</v>
      </c>
      <c r="G130" s="74">
        <v>16.22</v>
      </c>
      <c r="H130" s="74">
        <v>53.63</v>
      </c>
      <c r="I130" s="74">
        <v>14.7</v>
      </c>
      <c r="J130" s="74">
        <v>48.6</v>
      </c>
      <c r="K130" s="74">
        <v>136</v>
      </c>
      <c r="T130" s="74">
        <v>2</v>
      </c>
      <c r="U130" s="74">
        <v>1</v>
      </c>
      <c r="V130" s="74" t="s">
        <v>186</v>
      </c>
      <c r="W130" s="74" t="s">
        <v>129</v>
      </c>
      <c r="X130" s="74">
        <v>5</v>
      </c>
      <c r="Y130" s="74">
        <v>5</v>
      </c>
      <c r="Z130" s="74" t="s">
        <v>416</v>
      </c>
      <c r="AA130" s="74" t="s">
        <v>417</v>
      </c>
      <c r="AB130" s="74" t="s">
        <v>182</v>
      </c>
      <c r="AC130" s="74" t="s">
        <v>183</v>
      </c>
      <c r="AD130" s="74" t="s">
        <v>158</v>
      </c>
      <c r="AG130" s="74" t="s">
        <v>418</v>
      </c>
      <c r="AH130" s="74">
        <v>0</v>
      </c>
      <c r="AI130" s="74">
        <v>0</v>
      </c>
      <c r="AJ130" s="74">
        <v>0</v>
      </c>
      <c r="AK130" s="74">
        <v>0</v>
      </c>
      <c r="AL130" s="74">
        <v>0</v>
      </c>
    </row>
    <row r="131" spans="1:38" x14ac:dyDescent="0.3">
      <c r="A131" s="74" t="s">
        <v>261</v>
      </c>
      <c r="B131" s="74">
        <v>5008</v>
      </c>
      <c r="C131" s="74">
        <v>3</v>
      </c>
      <c r="D131" s="74" t="s">
        <v>414</v>
      </c>
      <c r="E131" s="74" t="s">
        <v>415</v>
      </c>
      <c r="F131" s="74">
        <v>800</v>
      </c>
      <c r="G131" s="74">
        <v>16.37</v>
      </c>
      <c r="H131" s="74">
        <v>54.12</v>
      </c>
      <c r="I131" s="74">
        <v>16.37</v>
      </c>
      <c r="J131" s="74">
        <v>54.12</v>
      </c>
      <c r="K131" s="74">
        <v>115</v>
      </c>
      <c r="T131" s="74">
        <v>2</v>
      </c>
      <c r="U131" s="74">
        <v>1</v>
      </c>
      <c r="V131" s="74" t="s">
        <v>186</v>
      </c>
      <c r="W131" s="74" t="s">
        <v>128</v>
      </c>
      <c r="X131" s="74">
        <v>5</v>
      </c>
      <c r="Y131" s="74">
        <v>5</v>
      </c>
      <c r="Z131" s="74" t="s">
        <v>416</v>
      </c>
      <c r="AA131" s="74" t="s">
        <v>417</v>
      </c>
      <c r="AB131" s="74" t="s">
        <v>182</v>
      </c>
      <c r="AC131" s="74" t="s">
        <v>183</v>
      </c>
      <c r="AD131" s="74" t="s">
        <v>158</v>
      </c>
      <c r="AG131" s="74" t="s">
        <v>418</v>
      </c>
      <c r="AH131" s="74">
        <v>0</v>
      </c>
      <c r="AI131" s="74">
        <v>0</v>
      </c>
      <c r="AJ131" s="74">
        <v>0</v>
      </c>
      <c r="AK131" s="74">
        <v>0</v>
      </c>
      <c r="AL131" s="74">
        <v>0</v>
      </c>
    </row>
    <row r="132" spans="1:38" x14ac:dyDescent="0.3">
      <c r="A132" s="74" t="s">
        <v>261</v>
      </c>
      <c r="B132" s="74">
        <v>5008</v>
      </c>
      <c r="C132" s="74">
        <v>4</v>
      </c>
      <c r="D132" s="74" t="s">
        <v>414</v>
      </c>
      <c r="E132" s="74" t="s">
        <v>415</v>
      </c>
      <c r="F132" s="74">
        <v>800</v>
      </c>
      <c r="G132" s="74">
        <v>16.559999999999999</v>
      </c>
      <c r="H132" s="74">
        <v>54.77</v>
      </c>
      <c r="I132" s="74">
        <v>16.559999999999999</v>
      </c>
      <c r="J132" s="74">
        <v>54.77</v>
      </c>
      <c r="K132" s="74">
        <v>100</v>
      </c>
      <c r="T132" s="74">
        <v>2</v>
      </c>
      <c r="U132" s="74">
        <v>1</v>
      </c>
      <c r="V132" s="74" t="s">
        <v>186</v>
      </c>
      <c r="W132" s="74">
        <v>54</v>
      </c>
      <c r="X132" s="74">
        <v>5</v>
      </c>
      <c r="Y132" s="74">
        <v>5</v>
      </c>
      <c r="Z132" s="74" t="s">
        <v>416</v>
      </c>
      <c r="AA132" s="74" t="s">
        <v>417</v>
      </c>
      <c r="AB132" s="74" t="s">
        <v>182</v>
      </c>
      <c r="AC132" s="74" t="s">
        <v>183</v>
      </c>
      <c r="AD132" s="74" t="s">
        <v>158</v>
      </c>
      <c r="AG132" s="74" t="s">
        <v>418</v>
      </c>
      <c r="AH132" s="74">
        <v>0</v>
      </c>
      <c r="AI132" s="74">
        <v>0</v>
      </c>
      <c r="AJ132" s="74">
        <v>0</v>
      </c>
      <c r="AK132" s="74">
        <v>0</v>
      </c>
      <c r="AL132" s="74">
        <v>0</v>
      </c>
    </row>
    <row r="133" spans="1:38" x14ac:dyDescent="0.3">
      <c r="A133" s="74" t="s">
        <v>261</v>
      </c>
      <c r="B133" s="74">
        <v>5008</v>
      </c>
      <c r="C133" s="74">
        <v>5</v>
      </c>
      <c r="D133" s="74" t="s">
        <v>414</v>
      </c>
      <c r="E133" s="74" t="s">
        <v>415</v>
      </c>
      <c r="F133" s="74">
        <v>800</v>
      </c>
      <c r="G133" s="74">
        <v>16.440000000000001</v>
      </c>
      <c r="H133" s="74">
        <v>54.38</v>
      </c>
      <c r="I133" s="74">
        <v>16.440000000000001</v>
      </c>
      <c r="J133" s="74">
        <v>54.38</v>
      </c>
      <c r="K133" s="74">
        <v>43</v>
      </c>
      <c r="T133" s="74">
        <v>3</v>
      </c>
      <c r="U133" s="74">
        <v>1</v>
      </c>
      <c r="V133" s="74" t="s">
        <v>186</v>
      </c>
      <c r="W133" s="74" t="s">
        <v>419</v>
      </c>
      <c r="X133" s="74">
        <v>5</v>
      </c>
      <c r="Y133" s="74">
        <v>5</v>
      </c>
      <c r="Z133" s="74" t="s">
        <v>416</v>
      </c>
      <c r="AA133" s="74" t="s">
        <v>417</v>
      </c>
      <c r="AB133" s="74" t="s">
        <v>182</v>
      </c>
      <c r="AC133" s="74" t="s">
        <v>183</v>
      </c>
      <c r="AD133" s="74" t="s">
        <v>158</v>
      </c>
      <c r="AG133" s="74" t="s">
        <v>418</v>
      </c>
      <c r="AH133" s="74">
        <v>0</v>
      </c>
      <c r="AI133" s="74">
        <v>0</v>
      </c>
      <c r="AJ133" s="74">
        <v>0</v>
      </c>
      <c r="AK133" s="74">
        <v>0</v>
      </c>
      <c r="AL133" s="74">
        <v>0</v>
      </c>
    </row>
    <row r="134" spans="1:38" x14ac:dyDescent="0.3">
      <c r="A134" s="74" t="s">
        <v>261</v>
      </c>
      <c r="B134" s="74">
        <v>5008</v>
      </c>
      <c r="C134" s="74">
        <v>6</v>
      </c>
      <c r="D134" s="74" t="s">
        <v>414</v>
      </c>
      <c r="E134" s="74" t="s">
        <v>415</v>
      </c>
      <c r="F134" s="74">
        <v>800</v>
      </c>
      <c r="G134" s="74">
        <v>18.62</v>
      </c>
      <c r="H134" s="74">
        <v>61.57</v>
      </c>
      <c r="I134" s="74">
        <v>16.87</v>
      </c>
      <c r="J134" s="74">
        <v>55.8</v>
      </c>
      <c r="K134" s="74">
        <v>112</v>
      </c>
      <c r="T134" s="74">
        <v>3</v>
      </c>
      <c r="U134" s="74">
        <v>1</v>
      </c>
      <c r="V134" s="74" t="s">
        <v>186</v>
      </c>
      <c r="W134" s="74" t="s">
        <v>420</v>
      </c>
      <c r="X134" s="74">
        <v>5</v>
      </c>
      <c r="Y134" s="74">
        <v>5</v>
      </c>
      <c r="Z134" s="74" t="s">
        <v>416</v>
      </c>
      <c r="AA134" s="74" t="s">
        <v>417</v>
      </c>
      <c r="AB134" s="74" t="s">
        <v>182</v>
      </c>
      <c r="AC134" s="74" t="s">
        <v>183</v>
      </c>
      <c r="AD134" s="74" t="s">
        <v>158</v>
      </c>
      <c r="AG134" s="74" t="s">
        <v>418</v>
      </c>
      <c r="AH134" s="74">
        <v>0</v>
      </c>
      <c r="AI134" s="74">
        <v>0</v>
      </c>
      <c r="AJ134" s="74">
        <v>0</v>
      </c>
      <c r="AK134" s="74">
        <v>0</v>
      </c>
      <c r="AL134" s="74">
        <v>0</v>
      </c>
    </row>
    <row r="135" spans="1:38" x14ac:dyDescent="0.3">
      <c r="A135" s="74" t="s">
        <v>261</v>
      </c>
      <c r="B135" s="74">
        <v>5008</v>
      </c>
      <c r="C135" s="74">
        <v>7</v>
      </c>
      <c r="D135" s="74" t="s">
        <v>414</v>
      </c>
      <c r="E135" s="74" t="s">
        <v>415</v>
      </c>
      <c r="F135" s="74">
        <v>800</v>
      </c>
      <c r="G135" s="74">
        <v>18.62</v>
      </c>
      <c r="H135" s="74">
        <v>61.57</v>
      </c>
      <c r="I135" s="74">
        <v>18.62</v>
      </c>
      <c r="J135" s="74">
        <v>61.57</v>
      </c>
      <c r="K135" s="74">
        <v>1</v>
      </c>
      <c r="T135" s="74">
        <v>3</v>
      </c>
      <c r="U135" s="74">
        <v>1</v>
      </c>
      <c r="V135" s="74" t="s">
        <v>186</v>
      </c>
      <c r="W135" s="74" t="s">
        <v>421</v>
      </c>
      <c r="X135" s="74">
        <v>5</v>
      </c>
      <c r="Y135" s="74">
        <v>5</v>
      </c>
      <c r="Z135" s="74" t="s">
        <v>416</v>
      </c>
      <c r="AA135" s="74" t="s">
        <v>417</v>
      </c>
      <c r="AB135" s="74" t="s">
        <v>182</v>
      </c>
      <c r="AC135" s="74" t="s">
        <v>183</v>
      </c>
      <c r="AD135" s="74" t="s">
        <v>158</v>
      </c>
      <c r="AG135" s="74" t="s">
        <v>418</v>
      </c>
      <c r="AH135" s="74">
        <v>0</v>
      </c>
      <c r="AI135" s="74">
        <v>0</v>
      </c>
      <c r="AJ135" s="74">
        <v>0</v>
      </c>
      <c r="AK135" s="74">
        <v>0</v>
      </c>
      <c r="AL135" s="74">
        <v>0</v>
      </c>
    </row>
    <row r="136" spans="1:38" x14ac:dyDescent="0.3">
      <c r="A136" s="74" t="s">
        <v>261</v>
      </c>
      <c r="B136" s="74">
        <v>5008</v>
      </c>
      <c r="C136" s="74">
        <v>8</v>
      </c>
      <c r="D136" s="74" t="s">
        <v>414</v>
      </c>
      <c r="E136" s="74" t="s">
        <v>415</v>
      </c>
      <c r="F136" s="74">
        <v>800</v>
      </c>
      <c r="G136" s="74">
        <v>18.88</v>
      </c>
      <c r="H136" s="74">
        <v>62.43</v>
      </c>
      <c r="I136" s="74">
        <v>18.88</v>
      </c>
      <c r="J136" s="74">
        <v>62.43</v>
      </c>
      <c r="K136" s="74">
        <v>28</v>
      </c>
      <c r="T136" s="74">
        <v>3</v>
      </c>
      <c r="U136" s="74">
        <v>1</v>
      </c>
      <c r="V136" s="74" t="s">
        <v>186</v>
      </c>
      <c r="W136" s="74" t="s">
        <v>422</v>
      </c>
      <c r="X136" s="74">
        <v>5</v>
      </c>
      <c r="Y136" s="74">
        <v>5</v>
      </c>
      <c r="Z136" s="74" t="s">
        <v>416</v>
      </c>
      <c r="AA136" s="74" t="s">
        <v>417</v>
      </c>
      <c r="AB136" s="74" t="s">
        <v>182</v>
      </c>
      <c r="AC136" s="74" t="s">
        <v>183</v>
      </c>
      <c r="AD136" s="74" t="s">
        <v>158</v>
      </c>
      <c r="AG136" s="74" t="s">
        <v>418</v>
      </c>
      <c r="AH136" s="74">
        <v>0</v>
      </c>
      <c r="AI136" s="74">
        <v>0</v>
      </c>
      <c r="AJ136" s="74">
        <v>0</v>
      </c>
      <c r="AK136" s="74">
        <v>0</v>
      </c>
      <c r="AL136" s="74">
        <v>0</v>
      </c>
    </row>
    <row r="137" spans="1:38" x14ac:dyDescent="0.3">
      <c r="A137" s="74" t="s">
        <v>261</v>
      </c>
      <c r="B137" s="74">
        <v>5008</v>
      </c>
      <c r="C137" s="74">
        <v>9</v>
      </c>
      <c r="D137" s="74" t="s">
        <v>414</v>
      </c>
      <c r="E137" s="74" t="s">
        <v>415</v>
      </c>
      <c r="F137" s="74">
        <v>800</v>
      </c>
      <c r="G137" s="74">
        <v>19.96</v>
      </c>
      <c r="H137" s="74">
        <v>65.989999999999995</v>
      </c>
      <c r="I137" s="74">
        <v>19.96</v>
      </c>
      <c r="J137" s="74">
        <v>65.989999999999995</v>
      </c>
      <c r="K137" s="74">
        <v>125</v>
      </c>
      <c r="T137" s="74">
        <v>3</v>
      </c>
      <c r="U137" s="74">
        <v>1</v>
      </c>
      <c r="V137" s="74" t="s">
        <v>186</v>
      </c>
      <c r="W137" s="74" t="s">
        <v>127</v>
      </c>
      <c r="X137" s="74">
        <v>5</v>
      </c>
      <c r="Y137" s="74">
        <v>5</v>
      </c>
      <c r="Z137" s="74" t="s">
        <v>416</v>
      </c>
      <c r="AA137" s="74" t="s">
        <v>417</v>
      </c>
      <c r="AB137" s="74" t="s">
        <v>182</v>
      </c>
      <c r="AC137" s="74" t="s">
        <v>183</v>
      </c>
      <c r="AD137" s="74" t="s">
        <v>158</v>
      </c>
      <c r="AG137" s="74" t="s">
        <v>418</v>
      </c>
      <c r="AH137" s="74">
        <v>0</v>
      </c>
      <c r="AI137" s="74">
        <v>0</v>
      </c>
      <c r="AJ137" s="74">
        <v>0</v>
      </c>
      <c r="AK137" s="74">
        <v>0</v>
      </c>
      <c r="AL137" s="74">
        <v>0</v>
      </c>
    </row>
    <row r="138" spans="1:38" x14ac:dyDescent="0.3">
      <c r="A138" s="74" t="s">
        <v>261</v>
      </c>
      <c r="B138" s="74">
        <v>5008</v>
      </c>
      <c r="C138" s="74">
        <v>10</v>
      </c>
      <c r="D138" s="74" t="s">
        <v>414</v>
      </c>
      <c r="E138" s="74" t="s">
        <v>415</v>
      </c>
      <c r="F138" s="74">
        <v>800</v>
      </c>
      <c r="G138" s="74">
        <v>19.72</v>
      </c>
      <c r="H138" s="74">
        <v>65.2</v>
      </c>
      <c r="I138" s="74">
        <v>19.72</v>
      </c>
      <c r="J138" s="74">
        <v>65.2</v>
      </c>
      <c r="K138" s="74">
        <v>115</v>
      </c>
      <c r="T138" s="74">
        <v>3</v>
      </c>
      <c r="U138" s="74">
        <v>1</v>
      </c>
      <c r="V138" s="74" t="s">
        <v>186</v>
      </c>
      <c r="W138" s="74" t="s">
        <v>423</v>
      </c>
      <c r="X138" s="74">
        <v>5</v>
      </c>
      <c r="Y138" s="74">
        <v>5</v>
      </c>
      <c r="Z138" s="74" t="s">
        <v>416</v>
      </c>
      <c r="AA138" s="74" t="s">
        <v>417</v>
      </c>
      <c r="AB138" s="74" t="s">
        <v>182</v>
      </c>
      <c r="AC138" s="74" t="s">
        <v>183</v>
      </c>
      <c r="AD138" s="74" t="s">
        <v>158</v>
      </c>
      <c r="AG138" s="74" t="s">
        <v>418</v>
      </c>
      <c r="AH138" s="74">
        <v>0</v>
      </c>
      <c r="AI138" s="74">
        <v>0</v>
      </c>
      <c r="AJ138" s="74">
        <v>0</v>
      </c>
      <c r="AK138" s="74">
        <v>0</v>
      </c>
      <c r="AL138" s="74">
        <v>0</v>
      </c>
    </row>
    <row r="139" spans="1:38" x14ac:dyDescent="0.3">
      <c r="A139" s="74" t="s">
        <v>261</v>
      </c>
      <c r="B139" s="74">
        <v>125648</v>
      </c>
      <c r="C139" s="74">
        <v>1</v>
      </c>
      <c r="D139" s="74" t="s">
        <v>424</v>
      </c>
      <c r="E139" s="74" t="s">
        <v>200</v>
      </c>
      <c r="F139" s="74">
        <v>16</v>
      </c>
      <c r="G139" s="74">
        <v>44.75</v>
      </c>
      <c r="H139" s="74">
        <v>147.94999999999999</v>
      </c>
      <c r="I139" s="74">
        <v>40.76</v>
      </c>
      <c r="J139" s="74">
        <v>134.75</v>
      </c>
      <c r="K139" s="74">
        <v>3</v>
      </c>
      <c r="T139" s="74">
        <v>3</v>
      </c>
      <c r="U139" s="74">
        <v>2</v>
      </c>
      <c r="V139" s="74" t="s">
        <v>186</v>
      </c>
      <c r="W139" s="74" t="s">
        <v>425</v>
      </c>
      <c r="X139" s="74">
        <v>4</v>
      </c>
      <c r="Y139" s="74">
        <v>3</v>
      </c>
      <c r="Z139" s="74" t="s">
        <v>426</v>
      </c>
      <c r="AA139" s="74" t="s">
        <v>427</v>
      </c>
      <c r="AB139" s="74" t="s">
        <v>182</v>
      </c>
      <c r="AC139" s="74" t="s">
        <v>183</v>
      </c>
      <c r="AD139" s="74" t="s">
        <v>158</v>
      </c>
      <c r="AG139" s="74" t="s">
        <v>428</v>
      </c>
      <c r="AH139" s="74">
        <v>0</v>
      </c>
      <c r="AI139" s="74">
        <v>195</v>
      </c>
      <c r="AJ139" s="74">
        <v>54</v>
      </c>
      <c r="AK139" s="74">
        <v>23</v>
      </c>
      <c r="AL139" s="74">
        <v>1.44</v>
      </c>
    </row>
    <row r="140" spans="1:38" x14ac:dyDescent="0.3">
      <c r="A140" s="74" t="s">
        <v>261</v>
      </c>
      <c r="B140" s="74">
        <v>125648</v>
      </c>
      <c r="C140" s="74">
        <v>2</v>
      </c>
      <c r="D140" s="74" t="s">
        <v>424</v>
      </c>
      <c r="E140" s="74" t="s">
        <v>200</v>
      </c>
      <c r="F140" s="74">
        <v>16</v>
      </c>
      <c r="G140" s="74">
        <v>44.75</v>
      </c>
      <c r="H140" s="74">
        <v>147.94999999999999</v>
      </c>
      <c r="I140" s="74">
        <v>40.76</v>
      </c>
      <c r="J140" s="74">
        <v>134.75</v>
      </c>
      <c r="K140" s="74">
        <v>1</v>
      </c>
      <c r="T140" s="74">
        <v>3</v>
      </c>
      <c r="U140" s="74">
        <v>2</v>
      </c>
      <c r="V140" s="74" t="s">
        <v>186</v>
      </c>
      <c r="W140" s="74" t="s">
        <v>429</v>
      </c>
      <c r="X140" s="74">
        <v>4</v>
      </c>
      <c r="Y140" s="74">
        <v>3</v>
      </c>
      <c r="Z140" s="74" t="s">
        <v>426</v>
      </c>
      <c r="AA140" s="74" t="s">
        <v>427</v>
      </c>
      <c r="AB140" s="74" t="s">
        <v>182</v>
      </c>
      <c r="AC140" s="74" t="s">
        <v>183</v>
      </c>
      <c r="AD140" s="74" t="s">
        <v>158</v>
      </c>
      <c r="AG140" s="74" t="s">
        <v>428</v>
      </c>
      <c r="AH140" s="74">
        <v>0</v>
      </c>
      <c r="AI140" s="74">
        <v>195</v>
      </c>
      <c r="AJ140" s="74">
        <v>54</v>
      </c>
      <c r="AK140" s="74">
        <v>23</v>
      </c>
      <c r="AL140" s="74">
        <v>1.44</v>
      </c>
    </row>
    <row r="141" spans="1:38" x14ac:dyDescent="0.3">
      <c r="A141" s="74" t="s">
        <v>261</v>
      </c>
      <c r="B141" s="74">
        <v>125648</v>
      </c>
      <c r="C141" s="74">
        <v>3</v>
      </c>
      <c r="D141" s="74" t="s">
        <v>424</v>
      </c>
      <c r="E141" s="74" t="s">
        <v>200</v>
      </c>
      <c r="F141" s="74">
        <v>16</v>
      </c>
      <c r="G141" s="74">
        <v>44.8</v>
      </c>
      <c r="H141" s="74">
        <v>148.13</v>
      </c>
      <c r="I141" s="74">
        <v>40.81</v>
      </c>
      <c r="J141" s="74">
        <v>134.93</v>
      </c>
      <c r="K141" s="74">
        <v>4</v>
      </c>
      <c r="T141" s="74">
        <v>3</v>
      </c>
      <c r="U141" s="74">
        <v>2</v>
      </c>
      <c r="V141" s="74" t="s">
        <v>186</v>
      </c>
      <c r="W141" s="74" t="s">
        <v>430</v>
      </c>
      <c r="X141" s="74">
        <v>4</v>
      </c>
      <c r="Y141" s="74">
        <v>3</v>
      </c>
      <c r="Z141" s="74" t="s">
        <v>426</v>
      </c>
      <c r="AA141" s="74" t="s">
        <v>427</v>
      </c>
      <c r="AB141" s="74" t="s">
        <v>182</v>
      </c>
      <c r="AC141" s="74" t="s">
        <v>183</v>
      </c>
      <c r="AD141" s="74" t="s">
        <v>158</v>
      </c>
      <c r="AG141" s="74" t="s">
        <v>428</v>
      </c>
      <c r="AH141" s="74">
        <v>0</v>
      </c>
      <c r="AI141" s="74">
        <v>195</v>
      </c>
      <c r="AJ141" s="74">
        <v>54</v>
      </c>
      <c r="AK141" s="74">
        <v>23</v>
      </c>
      <c r="AL141" s="74">
        <v>1.44</v>
      </c>
    </row>
    <row r="142" spans="1:38" x14ac:dyDescent="0.3">
      <c r="A142" s="74" t="s">
        <v>261</v>
      </c>
      <c r="B142" s="74">
        <v>125648</v>
      </c>
      <c r="C142" s="74">
        <v>4</v>
      </c>
      <c r="D142" s="74" t="s">
        <v>424</v>
      </c>
      <c r="E142" s="74" t="s">
        <v>200</v>
      </c>
      <c r="F142" s="74">
        <v>16</v>
      </c>
      <c r="G142" s="74">
        <v>45.3</v>
      </c>
      <c r="H142" s="74">
        <v>149.78</v>
      </c>
      <c r="I142" s="74">
        <v>40.81</v>
      </c>
      <c r="J142" s="74">
        <v>134.93</v>
      </c>
      <c r="K142" s="74">
        <v>4</v>
      </c>
      <c r="T142" s="74">
        <v>3</v>
      </c>
      <c r="U142" s="74">
        <v>2</v>
      </c>
      <c r="V142" s="74" t="s">
        <v>186</v>
      </c>
      <c r="W142" s="74" t="s">
        <v>431</v>
      </c>
      <c r="X142" s="74">
        <v>4</v>
      </c>
      <c r="Y142" s="74">
        <v>3</v>
      </c>
      <c r="Z142" s="74" t="s">
        <v>426</v>
      </c>
      <c r="AA142" s="74" t="s">
        <v>427</v>
      </c>
      <c r="AB142" s="74" t="s">
        <v>182</v>
      </c>
      <c r="AC142" s="74" t="s">
        <v>183</v>
      </c>
      <c r="AD142" s="74" t="s">
        <v>158</v>
      </c>
      <c r="AG142" s="74" t="s">
        <v>428</v>
      </c>
      <c r="AH142" s="74">
        <v>0</v>
      </c>
      <c r="AI142" s="74">
        <v>195</v>
      </c>
      <c r="AJ142" s="74">
        <v>54</v>
      </c>
      <c r="AK142" s="74">
        <v>23</v>
      </c>
      <c r="AL142" s="74">
        <v>1.44</v>
      </c>
    </row>
    <row r="143" spans="1:38" x14ac:dyDescent="0.3">
      <c r="A143" s="74" t="s">
        <v>261</v>
      </c>
      <c r="B143" s="74">
        <v>125648</v>
      </c>
      <c r="C143" s="74">
        <v>5</v>
      </c>
      <c r="D143" s="74" t="s">
        <v>424</v>
      </c>
      <c r="E143" s="74" t="s">
        <v>200</v>
      </c>
      <c r="F143" s="74">
        <v>16</v>
      </c>
      <c r="G143" s="74">
        <v>46.04</v>
      </c>
      <c r="H143" s="74">
        <v>152.22</v>
      </c>
      <c r="I143" s="74">
        <v>41.55</v>
      </c>
      <c r="J143" s="74">
        <v>137.37</v>
      </c>
      <c r="K143" s="74">
        <v>4</v>
      </c>
      <c r="T143" s="74">
        <v>3</v>
      </c>
      <c r="U143" s="74">
        <v>2</v>
      </c>
      <c r="V143" s="74" t="s">
        <v>186</v>
      </c>
      <c r="W143" s="74">
        <v>152</v>
      </c>
      <c r="X143" s="74">
        <v>4</v>
      </c>
      <c r="Y143" s="74">
        <v>3</v>
      </c>
      <c r="Z143" s="74" t="s">
        <v>426</v>
      </c>
      <c r="AA143" s="74" t="s">
        <v>427</v>
      </c>
      <c r="AB143" s="74" t="s">
        <v>182</v>
      </c>
      <c r="AC143" s="74" t="s">
        <v>183</v>
      </c>
      <c r="AD143" s="74" t="s">
        <v>158</v>
      </c>
      <c r="AG143" s="74" t="s">
        <v>428</v>
      </c>
      <c r="AH143" s="74">
        <v>0</v>
      </c>
      <c r="AI143" s="74">
        <v>195</v>
      </c>
      <c r="AJ143" s="74">
        <v>54</v>
      </c>
      <c r="AK143" s="74">
        <v>23</v>
      </c>
      <c r="AL143" s="74">
        <v>1.44</v>
      </c>
    </row>
    <row r="144" spans="1:38" x14ac:dyDescent="0.3">
      <c r="A144" s="74" t="s">
        <v>261</v>
      </c>
      <c r="B144" s="74">
        <v>101461</v>
      </c>
      <c r="C144" s="74">
        <v>1</v>
      </c>
      <c r="D144" s="74" t="s">
        <v>432</v>
      </c>
      <c r="E144" s="74" t="s">
        <v>433</v>
      </c>
      <c r="F144" s="74">
        <v>437</v>
      </c>
      <c r="G144" s="74">
        <v>23.58</v>
      </c>
      <c r="H144" s="74">
        <v>77.97</v>
      </c>
      <c r="I144" s="74">
        <v>18.100000000000001</v>
      </c>
      <c r="J144" s="74">
        <v>59.86</v>
      </c>
      <c r="K144" s="74">
        <v>155</v>
      </c>
      <c r="T144" s="74">
        <v>3</v>
      </c>
      <c r="U144" s="74">
        <v>2</v>
      </c>
      <c r="V144" s="74" t="s">
        <v>186</v>
      </c>
      <c r="W144" s="74">
        <v>77</v>
      </c>
      <c r="X144" s="74">
        <v>15</v>
      </c>
      <c r="Y144" s="74">
        <v>10</v>
      </c>
      <c r="Z144" s="74" t="s">
        <v>434</v>
      </c>
      <c r="AA144" s="74" t="s">
        <v>435</v>
      </c>
      <c r="AB144" s="74" t="s">
        <v>182</v>
      </c>
      <c r="AC144" s="74" t="s">
        <v>183</v>
      </c>
      <c r="AD144" s="74" t="s">
        <v>158</v>
      </c>
      <c r="AG144" s="74" t="s">
        <v>436</v>
      </c>
      <c r="AH144" s="74">
        <v>0</v>
      </c>
      <c r="AI144" s="74">
        <v>236</v>
      </c>
      <c r="AJ144" s="74">
        <v>23</v>
      </c>
      <c r="AK144" s="74">
        <v>435</v>
      </c>
      <c r="AL144" s="74">
        <v>1</v>
      </c>
    </row>
    <row r="145" spans="1:38" x14ac:dyDescent="0.3">
      <c r="A145" s="74" t="s">
        <v>261</v>
      </c>
      <c r="B145" s="74">
        <v>101461</v>
      </c>
      <c r="C145" s="74">
        <v>2</v>
      </c>
      <c r="D145" s="74" t="s">
        <v>432</v>
      </c>
      <c r="E145" s="74" t="s">
        <v>433</v>
      </c>
      <c r="F145" s="74">
        <v>437</v>
      </c>
      <c r="G145" s="74">
        <v>33.46</v>
      </c>
      <c r="H145" s="74">
        <v>110.64</v>
      </c>
      <c r="I145" s="74">
        <v>25.7</v>
      </c>
      <c r="J145" s="74">
        <v>84.99</v>
      </c>
      <c r="K145" s="74">
        <v>202</v>
      </c>
      <c r="T145" s="74">
        <v>3</v>
      </c>
      <c r="U145" s="74">
        <v>2</v>
      </c>
      <c r="V145" s="74" t="s">
        <v>186</v>
      </c>
      <c r="W145" s="74" t="s">
        <v>62</v>
      </c>
      <c r="X145" s="74">
        <v>15</v>
      </c>
      <c r="Y145" s="74">
        <v>10</v>
      </c>
      <c r="Z145" s="74" t="s">
        <v>434</v>
      </c>
      <c r="AA145" s="74" t="s">
        <v>435</v>
      </c>
      <c r="AB145" s="74" t="s">
        <v>182</v>
      </c>
      <c r="AC145" s="74" t="s">
        <v>183</v>
      </c>
      <c r="AD145" s="74" t="s">
        <v>158</v>
      </c>
      <c r="AG145" s="74" t="s">
        <v>436</v>
      </c>
      <c r="AH145" s="74">
        <v>0</v>
      </c>
      <c r="AI145" s="74">
        <v>236</v>
      </c>
      <c r="AJ145" s="74">
        <v>23</v>
      </c>
      <c r="AK145" s="74">
        <v>435</v>
      </c>
      <c r="AL145" s="74">
        <v>1</v>
      </c>
    </row>
    <row r="146" spans="1:38" x14ac:dyDescent="0.3">
      <c r="A146" s="74" t="s">
        <v>261</v>
      </c>
      <c r="B146" s="74">
        <v>101461</v>
      </c>
      <c r="C146" s="74">
        <v>3</v>
      </c>
      <c r="D146" s="74" t="s">
        <v>432</v>
      </c>
      <c r="E146" s="74" t="s">
        <v>433</v>
      </c>
      <c r="F146" s="74">
        <v>437</v>
      </c>
      <c r="G146" s="74">
        <v>33.47</v>
      </c>
      <c r="H146" s="74">
        <v>110.65</v>
      </c>
      <c r="I146" s="74">
        <v>25.67</v>
      </c>
      <c r="J146" s="74">
        <v>84.89</v>
      </c>
      <c r="K146" s="74">
        <v>14</v>
      </c>
      <c r="T146" s="74">
        <v>3</v>
      </c>
      <c r="U146" s="74">
        <v>2</v>
      </c>
      <c r="V146" s="74" t="s">
        <v>186</v>
      </c>
      <c r="W146" s="74" t="s">
        <v>97</v>
      </c>
      <c r="X146" s="74">
        <v>15</v>
      </c>
      <c r="Y146" s="74">
        <v>10</v>
      </c>
      <c r="Z146" s="74" t="s">
        <v>434</v>
      </c>
      <c r="AA146" s="74" t="s">
        <v>435</v>
      </c>
      <c r="AB146" s="74" t="s">
        <v>182</v>
      </c>
      <c r="AC146" s="74" t="s">
        <v>183</v>
      </c>
      <c r="AD146" s="74" t="s">
        <v>158</v>
      </c>
      <c r="AG146" s="74" t="s">
        <v>436</v>
      </c>
      <c r="AH146" s="74">
        <v>0</v>
      </c>
      <c r="AI146" s="74">
        <v>236</v>
      </c>
      <c r="AJ146" s="74">
        <v>23</v>
      </c>
      <c r="AK146" s="74">
        <v>435</v>
      </c>
      <c r="AL146" s="74">
        <v>1</v>
      </c>
    </row>
    <row r="147" spans="1:38" x14ac:dyDescent="0.3">
      <c r="A147" s="74" t="s">
        <v>261</v>
      </c>
      <c r="B147" s="74">
        <v>101461</v>
      </c>
      <c r="C147" s="74">
        <v>4</v>
      </c>
      <c r="D147" s="74" t="s">
        <v>432</v>
      </c>
      <c r="E147" s="74" t="s">
        <v>433</v>
      </c>
      <c r="F147" s="74">
        <v>437</v>
      </c>
      <c r="G147" s="74">
        <v>33.42</v>
      </c>
      <c r="H147" s="74">
        <v>110.49</v>
      </c>
      <c r="I147" s="74">
        <v>25.55</v>
      </c>
      <c r="J147" s="74">
        <v>84.47</v>
      </c>
      <c r="K147" s="74">
        <v>12</v>
      </c>
      <c r="T147" s="74">
        <v>3</v>
      </c>
      <c r="U147" s="74">
        <v>2</v>
      </c>
      <c r="V147" s="74" t="s">
        <v>186</v>
      </c>
      <c r="W147" s="74" t="s">
        <v>437</v>
      </c>
      <c r="X147" s="74">
        <v>15</v>
      </c>
      <c r="Y147" s="74">
        <v>10</v>
      </c>
      <c r="Z147" s="74" t="s">
        <v>434</v>
      </c>
      <c r="AA147" s="74" t="s">
        <v>435</v>
      </c>
      <c r="AB147" s="74" t="s">
        <v>182</v>
      </c>
      <c r="AC147" s="74" t="s">
        <v>183</v>
      </c>
      <c r="AD147" s="74" t="s">
        <v>158</v>
      </c>
      <c r="AG147" s="74" t="s">
        <v>436</v>
      </c>
      <c r="AH147" s="74">
        <v>0</v>
      </c>
      <c r="AI147" s="74">
        <v>236</v>
      </c>
      <c r="AJ147" s="74">
        <v>23</v>
      </c>
      <c r="AK147" s="74">
        <v>435</v>
      </c>
      <c r="AL147" s="74">
        <v>1</v>
      </c>
    </row>
    <row r="148" spans="1:38" x14ac:dyDescent="0.3">
      <c r="A148" s="74" t="s">
        <v>261</v>
      </c>
      <c r="B148" s="74">
        <v>101461</v>
      </c>
      <c r="C148" s="74">
        <v>5</v>
      </c>
      <c r="D148" s="74" t="s">
        <v>432</v>
      </c>
      <c r="E148" s="74" t="s">
        <v>433</v>
      </c>
      <c r="F148" s="74">
        <v>437</v>
      </c>
      <c r="G148" s="74">
        <v>46.18</v>
      </c>
      <c r="H148" s="74">
        <v>152.68</v>
      </c>
      <c r="I148" s="74">
        <v>35.869999999999997</v>
      </c>
      <c r="J148" s="74">
        <v>118.61</v>
      </c>
      <c r="K148" s="74">
        <v>54</v>
      </c>
      <c r="T148" s="74">
        <v>4</v>
      </c>
      <c r="U148" s="74">
        <v>2</v>
      </c>
      <c r="V148" s="74" t="s">
        <v>186</v>
      </c>
      <c r="W148" s="74">
        <v>152</v>
      </c>
      <c r="X148" s="74">
        <v>15</v>
      </c>
      <c r="Y148" s="74">
        <v>10</v>
      </c>
      <c r="Z148" s="74" t="s">
        <v>434</v>
      </c>
      <c r="AA148" s="74" t="s">
        <v>435</v>
      </c>
      <c r="AB148" s="74" t="s">
        <v>182</v>
      </c>
      <c r="AC148" s="74" t="s">
        <v>183</v>
      </c>
      <c r="AD148" s="74" t="s">
        <v>158</v>
      </c>
      <c r="AG148" s="74" t="s">
        <v>436</v>
      </c>
      <c r="AH148" s="74">
        <v>0</v>
      </c>
      <c r="AI148" s="74">
        <v>236</v>
      </c>
      <c r="AJ148" s="74">
        <v>23</v>
      </c>
      <c r="AK148" s="74">
        <v>435</v>
      </c>
      <c r="AL148" s="74">
        <v>1</v>
      </c>
    </row>
    <row r="149" spans="1:38" x14ac:dyDescent="0.3">
      <c r="A149" s="74" t="s">
        <v>261</v>
      </c>
      <c r="B149" s="74">
        <v>4974</v>
      </c>
      <c r="C149" s="74">
        <v>1</v>
      </c>
      <c r="D149" s="74" t="s">
        <v>249</v>
      </c>
      <c r="E149" s="74" t="s">
        <v>438</v>
      </c>
      <c r="F149" s="74">
        <v>420</v>
      </c>
      <c r="G149" s="74">
        <v>34</v>
      </c>
      <c r="H149" s="74">
        <v>112.4</v>
      </c>
      <c r="I149" s="74">
        <v>27.92</v>
      </c>
      <c r="J149" s="74">
        <v>92.3</v>
      </c>
      <c r="K149" s="74">
        <v>270</v>
      </c>
      <c r="T149" s="74">
        <v>3</v>
      </c>
      <c r="U149" s="74">
        <v>2</v>
      </c>
      <c r="V149" s="74" t="s">
        <v>186</v>
      </c>
      <c r="W149" s="74">
        <v>112</v>
      </c>
      <c r="X149" s="74">
        <v>15</v>
      </c>
      <c r="Y149" s="74">
        <v>15</v>
      </c>
      <c r="Z149" s="74" t="s">
        <v>439</v>
      </c>
      <c r="AA149" s="74" t="s">
        <v>440</v>
      </c>
      <c r="AB149" s="74" t="s">
        <v>182</v>
      </c>
      <c r="AC149" s="74" t="s">
        <v>183</v>
      </c>
      <c r="AD149" s="74" t="s">
        <v>158</v>
      </c>
      <c r="AG149" s="74" t="s">
        <v>441</v>
      </c>
      <c r="AH149" s="74">
        <v>0</v>
      </c>
      <c r="AI149" s="74">
        <v>208</v>
      </c>
      <c r="AJ149" s="74">
        <v>19</v>
      </c>
      <c r="AK149" s="74">
        <v>420</v>
      </c>
      <c r="AL149" s="74">
        <v>1</v>
      </c>
    </row>
    <row r="150" spans="1:38" x14ac:dyDescent="0.3">
      <c r="A150" s="74" t="s">
        <v>261</v>
      </c>
      <c r="B150" s="74">
        <v>4974</v>
      </c>
      <c r="C150" s="74">
        <v>2</v>
      </c>
      <c r="D150" s="74" t="s">
        <v>249</v>
      </c>
      <c r="E150" s="74" t="s">
        <v>438</v>
      </c>
      <c r="F150" s="74">
        <v>420</v>
      </c>
      <c r="G150" s="74">
        <v>41.29</v>
      </c>
      <c r="H150" s="74">
        <v>136.52000000000001</v>
      </c>
      <c r="I150" s="74">
        <v>34.659999999999997</v>
      </c>
      <c r="J150" s="74">
        <v>114.6</v>
      </c>
      <c r="K150" s="74">
        <v>150</v>
      </c>
      <c r="T150" s="74">
        <v>4</v>
      </c>
      <c r="U150" s="74">
        <v>2</v>
      </c>
      <c r="V150" s="74" t="s">
        <v>186</v>
      </c>
      <c r="W150" s="74">
        <v>136</v>
      </c>
      <c r="X150" s="74">
        <v>15</v>
      </c>
      <c r="Y150" s="74">
        <v>15</v>
      </c>
      <c r="Z150" s="74" t="s">
        <v>439</v>
      </c>
      <c r="AA150" s="74" t="s">
        <v>440</v>
      </c>
      <c r="AB150" s="74" t="s">
        <v>182</v>
      </c>
      <c r="AC150" s="74" t="s">
        <v>183</v>
      </c>
      <c r="AD150" s="74" t="s">
        <v>158</v>
      </c>
      <c r="AG150" s="74" t="s">
        <v>441</v>
      </c>
      <c r="AH150" s="74">
        <v>0</v>
      </c>
      <c r="AI150" s="74">
        <v>208</v>
      </c>
      <c r="AJ150" s="74">
        <v>19</v>
      </c>
      <c r="AK150" s="74">
        <v>420</v>
      </c>
      <c r="AL150" s="74">
        <v>1</v>
      </c>
    </row>
    <row r="151" spans="1:38" x14ac:dyDescent="0.3">
      <c r="A151" s="74" t="s">
        <v>261</v>
      </c>
      <c r="B151" s="74">
        <v>4973</v>
      </c>
      <c r="C151" s="74">
        <v>1</v>
      </c>
      <c r="D151" s="74" t="s">
        <v>442</v>
      </c>
      <c r="E151" s="74" t="s">
        <v>443</v>
      </c>
      <c r="F151" s="74">
        <v>260</v>
      </c>
      <c r="G151" s="74">
        <v>31.86</v>
      </c>
      <c r="H151" s="74">
        <v>105.33</v>
      </c>
      <c r="I151" s="74">
        <v>25.7</v>
      </c>
      <c r="J151" s="74">
        <v>84.98</v>
      </c>
      <c r="K151" s="74">
        <v>230</v>
      </c>
      <c r="T151" s="74">
        <v>3</v>
      </c>
      <c r="U151" s="74">
        <v>2</v>
      </c>
      <c r="V151" s="74" t="s">
        <v>186</v>
      </c>
      <c r="W151" s="74">
        <v>105</v>
      </c>
      <c r="X151" s="74">
        <v>15</v>
      </c>
      <c r="Y151" s="74">
        <v>14</v>
      </c>
      <c r="Z151" s="74" t="s">
        <v>444</v>
      </c>
      <c r="AA151" s="74" t="s">
        <v>445</v>
      </c>
      <c r="AB151" s="74" t="s">
        <v>182</v>
      </c>
      <c r="AC151" s="74" t="s">
        <v>183</v>
      </c>
      <c r="AD151" s="74" t="s">
        <v>158</v>
      </c>
      <c r="AG151" s="74" t="s">
        <v>446</v>
      </c>
      <c r="AH151" s="74">
        <v>0</v>
      </c>
      <c r="AI151" s="74">
        <v>251</v>
      </c>
      <c r="AJ151" s="74">
        <v>20</v>
      </c>
      <c r="AK151" s="74">
        <v>260</v>
      </c>
      <c r="AL151" s="74">
        <v>1</v>
      </c>
    </row>
    <row r="152" spans="1:38" x14ac:dyDescent="0.3">
      <c r="A152" s="74" t="s">
        <v>261</v>
      </c>
      <c r="B152" s="74">
        <v>4973</v>
      </c>
      <c r="C152" s="74">
        <v>2</v>
      </c>
      <c r="D152" s="74" t="s">
        <v>442</v>
      </c>
      <c r="E152" s="74" t="s">
        <v>443</v>
      </c>
      <c r="F152" s="74">
        <v>260</v>
      </c>
      <c r="G152" s="74">
        <v>68.3</v>
      </c>
      <c r="H152" s="74">
        <v>225.81</v>
      </c>
      <c r="I152" s="74">
        <v>56.6</v>
      </c>
      <c r="J152" s="74">
        <v>187.11</v>
      </c>
      <c r="K152" s="74">
        <v>30</v>
      </c>
      <c r="T152" s="74">
        <v>5</v>
      </c>
      <c r="U152" s="74">
        <v>2</v>
      </c>
      <c r="V152" s="74" t="s">
        <v>186</v>
      </c>
      <c r="W152" s="74">
        <v>225</v>
      </c>
      <c r="X152" s="74">
        <v>15</v>
      </c>
      <c r="Y152" s="74">
        <v>14</v>
      </c>
      <c r="Z152" s="74" t="s">
        <v>444</v>
      </c>
      <c r="AA152" s="74" t="s">
        <v>445</v>
      </c>
      <c r="AB152" s="74" t="s">
        <v>182</v>
      </c>
      <c r="AC152" s="74" t="s">
        <v>183</v>
      </c>
      <c r="AD152" s="74" t="s">
        <v>158</v>
      </c>
      <c r="AG152" s="74" t="s">
        <v>446</v>
      </c>
      <c r="AH152" s="74">
        <v>0</v>
      </c>
      <c r="AI152" s="74">
        <v>251</v>
      </c>
      <c r="AJ152" s="74">
        <v>20</v>
      </c>
      <c r="AK152" s="74">
        <v>260</v>
      </c>
      <c r="AL152" s="74">
        <v>1</v>
      </c>
    </row>
    <row r="153" spans="1:38" x14ac:dyDescent="0.3">
      <c r="A153" s="74" t="s">
        <v>261</v>
      </c>
      <c r="B153" s="74">
        <v>126610</v>
      </c>
      <c r="C153" s="74">
        <v>1</v>
      </c>
      <c r="D153" s="74" t="s">
        <v>447</v>
      </c>
      <c r="E153" s="74" t="s">
        <v>448</v>
      </c>
      <c r="F153" s="74">
        <v>32</v>
      </c>
      <c r="G153" s="74">
        <v>22.88</v>
      </c>
      <c r="H153" s="74">
        <v>75.64</v>
      </c>
      <c r="I153" s="74">
        <v>17.53</v>
      </c>
      <c r="J153" s="74">
        <v>57.96</v>
      </c>
      <c r="K153" s="74">
        <v>32</v>
      </c>
      <c r="T153" s="74">
        <v>3</v>
      </c>
      <c r="U153" s="74">
        <v>1</v>
      </c>
      <c r="V153" s="74" t="s">
        <v>186</v>
      </c>
      <c r="W153" s="74">
        <v>75</v>
      </c>
      <c r="X153" s="74">
        <v>4</v>
      </c>
      <c r="Y153" s="74">
        <v>4</v>
      </c>
      <c r="Z153" s="74" t="s">
        <v>449</v>
      </c>
      <c r="AA153" s="74" t="s">
        <v>450</v>
      </c>
      <c r="AB153" s="74" t="s">
        <v>182</v>
      </c>
      <c r="AC153" s="74" t="s">
        <v>183</v>
      </c>
      <c r="AD153" s="74" t="s">
        <v>158</v>
      </c>
      <c r="AG153" s="74" t="s">
        <v>451</v>
      </c>
      <c r="AH153" s="74">
        <v>0</v>
      </c>
      <c r="AI153" s="74">
        <v>0</v>
      </c>
      <c r="AJ153" s="74">
        <v>0</v>
      </c>
      <c r="AK153" s="74">
        <v>0</v>
      </c>
      <c r="AL153" s="74">
        <v>0</v>
      </c>
    </row>
    <row r="154" spans="1:38" x14ac:dyDescent="0.3">
      <c r="A154" s="74" t="s">
        <v>261</v>
      </c>
      <c r="B154" s="74">
        <v>4977</v>
      </c>
      <c r="C154" s="74">
        <v>1</v>
      </c>
      <c r="D154" s="74" t="s">
        <v>452</v>
      </c>
      <c r="E154" s="74" t="s">
        <v>453</v>
      </c>
      <c r="F154" s="74">
        <v>420</v>
      </c>
      <c r="G154" s="74">
        <v>27.79</v>
      </c>
      <c r="H154" s="74">
        <v>91.87</v>
      </c>
      <c r="I154" s="74">
        <v>22.39</v>
      </c>
      <c r="J154" s="74">
        <v>74.02</v>
      </c>
      <c r="K154" s="74">
        <v>104</v>
      </c>
      <c r="T154" s="74">
        <v>3</v>
      </c>
      <c r="U154" s="74">
        <v>1</v>
      </c>
      <c r="V154" s="74" t="s">
        <v>186</v>
      </c>
      <c r="W154" s="74">
        <v>91</v>
      </c>
      <c r="X154" s="74">
        <v>14</v>
      </c>
      <c r="Y154" s="74">
        <v>13</v>
      </c>
      <c r="Z154" s="74" t="s">
        <v>454</v>
      </c>
      <c r="AA154" s="74" t="s">
        <v>384</v>
      </c>
      <c r="AB154" s="74" t="s">
        <v>182</v>
      </c>
      <c r="AC154" s="74" t="s">
        <v>183</v>
      </c>
      <c r="AD154" s="74" t="s">
        <v>158</v>
      </c>
      <c r="AG154" s="74" t="s">
        <v>385</v>
      </c>
      <c r="AH154" s="74">
        <v>0</v>
      </c>
      <c r="AI154" s="74">
        <v>0</v>
      </c>
      <c r="AJ154" s="74">
        <v>0</v>
      </c>
      <c r="AK154" s="74">
        <v>0</v>
      </c>
      <c r="AL154" s="74">
        <v>0</v>
      </c>
    </row>
    <row r="155" spans="1:38" x14ac:dyDescent="0.3">
      <c r="A155" s="74" t="s">
        <v>261</v>
      </c>
      <c r="B155" s="74">
        <v>4977</v>
      </c>
      <c r="C155" s="74">
        <v>2</v>
      </c>
      <c r="D155" s="74" t="s">
        <v>452</v>
      </c>
      <c r="E155" s="74" t="s">
        <v>453</v>
      </c>
      <c r="F155" s="74">
        <v>420</v>
      </c>
      <c r="G155" s="74">
        <v>32.020000000000003</v>
      </c>
      <c r="H155" s="74">
        <v>105.86</v>
      </c>
      <c r="I155" s="74">
        <v>25.66</v>
      </c>
      <c r="J155" s="74">
        <v>84.84</v>
      </c>
      <c r="K155" s="74">
        <v>182</v>
      </c>
      <c r="T155" s="74">
        <v>3</v>
      </c>
      <c r="U155" s="74">
        <v>2</v>
      </c>
      <c r="V155" s="74" t="s">
        <v>186</v>
      </c>
      <c r="W155" s="74">
        <v>105</v>
      </c>
      <c r="X155" s="74">
        <v>14</v>
      </c>
      <c r="Y155" s="74">
        <v>13</v>
      </c>
      <c r="Z155" s="74" t="s">
        <v>454</v>
      </c>
      <c r="AA155" s="74" t="s">
        <v>384</v>
      </c>
      <c r="AB155" s="74" t="s">
        <v>182</v>
      </c>
      <c r="AC155" s="74" t="s">
        <v>183</v>
      </c>
      <c r="AD155" s="74" t="s">
        <v>158</v>
      </c>
      <c r="AG155" s="74" t="s">
        <v>385</v>
      </c>
      <c r="AH155" s="74">
        <v>0</v>
      </c>
      <c r="AI155" s="74">
        <v>0</v>
      </c>
      <c r="AJ155" s="74">
        <v>0</v>
      </c>
      <c r="AK155" s="74">
        <v>0</v>
      </c>
      <c r="AL155" s="74">
        <v>0</v>
      </c>
    </row>
    <row r="156" spans="1:38" x14ac:dyDescent="0.3">
      <c r="A156" s="74" t="s">
        <v>261</v>
      </c>
      <c r="B156" s="74">
        <v>4977</v>
      </c>
      <c r="C156" s="74">
        <v>3</v>
      </c>
      <c r="D156" s="74" t="s">
        <v>452</v>
      </c>
      <c r="E156" s="74" t="s">
        <v>453</v>
      </c>
      <c r="F156" s="74">
        <v>420</v>
      </c>
      <c r="G156" s="74">
        <v>47.01</v>
      </c>
      <c r="H156" s="74">
        <v>155.41999999999999</v>
      </c>
      <c r="I156" s="74">
        <v>39.85</v>
      </c>
      <c r="J156" s="74">
        <v>131.75</v>
      </c>
      <c r="K156" s="74">
        <v>78</v>
      </c>
      <c r="T156" s="74">
        <v>4</v>
      </c>
      <c r="U156" s="74">
        <v>2</v>
      </c>
      <c r="V156" s="74" t="s">
        <v>186</v>
      </c>
      <c r="W156" s="74">
        <v>155</v>
      </c>
      <c r="X156" s="74">
        <v>14</v>
      </c>
      <c r="Y156" s="74">
        <v>13</v>
      </c>
      <c r="Z156" s="74" t="s">
        <v>454</v>
      </c>
      <c r="AA156" s="74" t="s">
        <v>384</v>
      </c>
      <c r="AB156" s="74" t="s">
        <v>182</v>
      </c>
      <c r="AC156" s="74" t="s">
        <v>183</v>
      </c>
      <c r="AD156" s="74" t="s">
        <v>158</v>
      </c>
      <c r="AG156" s="74" t="s">
        <v>385</v>
      </c>
      <c r="AH156" s="74">
        <v>0</v>
      </c>
      <c r="AI156" s="74">
        <v>0</v>
      </c>
      <c r="AJ156" s="74">
        <v>0</v>
      </c>
      <c r="AK156" s="74">
        <v>0</v>
      </c>
      <c r="AL156" s="74">
        <v>0</v>
      </c>
    </row>
    <row r="157" spans="1:38" x14ac:dyDescent="0.3">
      <c r="A157" s="74" t="s">
        <v>261</v>
      </c>
      <c r="B157" s="74">
        <v>4977</v>
      </c>
      <c r="C157" s="74">
        <v>4</v>
      </c>
      <c r="D157" s="74" t="s">
        <v>452</v>
      </c>
      <c r="E157" s="74" t="s">
        <v>453</v>
      </c>
      <c r="F157" s="74">
        <v>420</v>
      </c>
      <c r="G157" s="74">
        <v>58.02</v>
      </c>
      <c r="H157" s="74">
        <v>191.81</v>
      </c>
      <c r="I157" s="74">
        <v>49.28</v>
      </c>
      <c r="J157" s="74">
        <v>162.91999999999999</v>
      </c>
      <c r="K157" s="74">
        <v>56</v>
      </c>
      <c r="T157" s="74">
        <v>5</v>
      </c>
      <c r="U157" s="74">
        <v>2</v>
      </c>
      <c r="V157" s="74" t="s">
        <v>186</v>
      </c>
      <c r="W157" s="74">
        <v>191</v>
      </c>
      <c r="X157" s="74">
        <v>14</v>
      </c>
      <c r="Y157" s="74">
        <v>13</v>
      </c>
      <c r="Z157" s="74" t="s">
        <v>454</v>
      </c>
      <c r="AA157" s="74" t="s">
        <v>384</v>
      </c>
      <c r="AB157" s="74" t="s">
        <v>182</v>
      </c>
      <c r="AC157" s="74" t="s">
        <v>183</v>
      </c>
      <c r="AD157" s="74" t="s">
        <v>158</v>
      </c>
      <c r="AG157" s="74" t="s">
        <v>385</v>
      </c>
      <c r="AH157" s="74">
        <v>0</v>
      </c>
      <c r="AI157" s="74">
        <v>0</v>
      </c>
      <c r="AJ157" s="74">
        <v>0</v>
      </c>
      <c r="AK157" s="74">
        <v>0</v>
      </c>
      <c r="AL157" s="74">
        <v>0</v>
      </c>
    </row>
    <row r="158" spans="1:38" x14ac:dyDescent="0.3">
      <c r="A158" s="74" t="s">
        <v>261</v>
      </c>
      <c r="B158" s="74">
        <v>144827</v>
      </c>
      <c r="C158" s="74">
        <v>1</v>
      </c>
      <c r="D158" s="74" t="s">
        <v>455</v>
      </c>
      <c r="E158" s="74" t="s">
        <v>456</v>
      </c>
      <c r="F158" s="74">
        <v>88</v>
      </c>
      <c r="G158" s="74">
        <v>16.739999999999998</v>
      </c>
      <c r="H158" s="74">
        <v>55.35</v>
      </c>
      <c r="I158" s="74">
        <v>15.1</v>
      </c>
      <c r="J158" s="74">
        <v>49.95</v>
      </c>
      <c r="K158" s="74">
        <v>88</v>
      </c>
      <c r="T158" s="74">
        <v>2</v>
      </c>
      <c r="U158" s="74">
        <v>1</v>
      </c>
      <c r="V158" s="74" t="s">
        <v>186</v>
      </c>
      <c r="W158" s="74">
        <v>55</v>
      </c>
      <c r="X158" s="74">
        <v>5</v>
      </c>
      <c r="Y158" s="74">
        <v>5</v>
      </c>
      <c r="Z158" s="74" t="s">
        <v>457</v>
      </c>
      <c r="AA158" s="74" t="s">
        <v>458</v>
      </c>
      <c r="AB158" s="74" t="s">
        <v>182</v>
      </c>
      <c r="AC158" s="74" t="s">
        <v>183</v>
      </c>
      <c r="AD158" s="74" t="s">
        <v>158</v>
      </c>
      <c r="AG158" s="74" t="s">
        <v>459</v>
      </c>
      <c r="AH158" s="74">
        <v>0</v>
      </c>
      <c r="AI158" s="74">
        <v>0</v>
      </c>
      <c r="AJ158" s="74">
        <v>0</v>
      </c>
      <c r="AK158" s="74">
        <v>0</v>
      </c>
      <c r="AL158" s="74">
        <v>0</v>
      </c>
    </row>
    <row r="159" spans="1:38" x14ac:dyDescent="0.3">
      <c r="A159" s="74" t="s">
        <v>261</v>
      </c>
      <c r="B159" s="74">
        <v>13526</v>
      </c>
      <c r="C159" s="74">
        <v>1</v>
      </c>
      <c r="D159" s="74" t="s">
        <v>460</v>
      </c>
      <c r="E159" s="74" t="s">
        <v>461</v>
      </c>
      <c r="F159" s="74">
        <v>165</v>
      </c>
      <c r="G159" s="74">
        <v>20.41</v>
      </c>
      <c r="H159" s="74">
        <v>67.48</v>
      </c>
      <c r="I159" s="74">
        <v>17.47</v>
      </c>
      <c r="J159" s="74">
        <v>57.78</v>
      </c>
      <c r="K159" s="74">
        <v>160</v>
      </c>
      <c r="T159" s="74">
        <v>3</v>
      </c>
      <c r="U159" s="74">
        <v>1</v>
      </c>
      <c r="V159" s="74" t="s">
        <v>186</v>
      </c>
      <c r="W159" s="74">
        <v>67</v>
      </c>
      <c r="X159" s="74">
        <v>5</v>
      </c>
      <c r="Y159" s="74">
        <v>5</v>
      </c>
      <c r="Z159" s="74" t="s">
        <v>462</v>
      </c>
      <c r="AA159" s="74" t="s">
        <v>463</v>
      </c>
      <c r="AB159" s="74" t="s">
        <v>182</v>
      </c>
      <c r="AC159" s="74" t="s">
        <v>183</v>
      </c>
      <c r="AD159" s="74" t="s">
        <v>158</v>
      </c>
      <c r="AG159" s="74" t="s">
        <v>464</v>
      </c>
      <c r="AH159" s="74">
        <v>0</v>
      </c>
      <c r="AI159" s="74">
        <v>0</v>
      </c>
      <c r="AJ159" s="74">
        <v>0</v>
      </c>
      <c r="AK159" s="74">
        <v>0</v>
      </c>
      <c r="AL159" s="74">
        <v>0</v>
      </c>
    </row>
    <row r="160" spans="1:38" x14ac:dyDescent="0.3">
      <c r="A160" s="74" t="s">
        <v>261</v>
      </c>
      <c r="B160" s="74">
        <v>13526</v>
      </c>
      <c r="C160" s="74">
        <v>2</v>
      </c>
      <c r="D160" s="74" t="s">
        <v>460</v>
      </c>
      <c r="E160" s="74" t="s">
        <v>461</v>
      </c>
      <c r="F160" s="74">
        <v>165</v>
      </c>
      <c r="G160" s="74">
        <v>24.6</v>
      </c>
      <c r="H160" s="74">
        <v>81.349999999999994</v>
      </c>
      <c r="I160" s="74">
        <v>19.62</v>
      </c>
      <c r="J160" s="74">
        <v>64.89</v>
      </c>
      <c r="K160" s="74">
        <v>5</v>
      </c>
      <c r="T160" s="74">
        <v>3</v>
      </c>
      <c r="U160" s="74">
        <v>1</v>
      </c>
      <c r="V160" s="74" t="s">
        <v>186</v>
      </c>
      <c r="W160" s="74">
        <v>81</v>
      </c>
      <c r="X160" s="74">
        <v>5</v>
      </c>
      <c r="Y160" s="74">
        <v>5</v>
      </c>
      <c r="Z160" s="74" t="s">
        <v>462</v>
      </c>
      <c r="AA160" s="74" t="s">
        <v>463</v>
      </c>
      <c r="AB160" s="74" t="s">
        <v>182</v>
      </c>
      <c r="AC160" s="74" t="s">
        <v>183</v>
      </c>
      <c r="AD160" s="74" t="s">
        <v>158</v>
      </c>
      <c r="AG160" s="74" t="s">
        <v>464</v>
      </c>
      <c r="AH160" s="74">
        <v>0</v>
      </c>
      <c r="AI160" s="74">
        <v>0</v>
      </c>
      <c r="AJ160" s="74">
        <v>0</v>
      </c>
      <c r="AK160" s="74">
        <v>0</v>
      </c>
      <c r="AL160" s="74">
        <v>0</v>
      </c>
    </row>
    <row r="161" spans="1:38" x14ac:dyDescent="0.3">
      <c r="A161" s="74" t="s">
        <v>261</v>
      </c>
      <c r="B161" s="74">
        <v>14963</v>
      </c>
      <c r="C161" s="74">
        <v>1</v>
      </c>
      <c r="D161" s="74" t="s">
        <v>465</v>
      </c>
      <c r="E161" s="74" t="s">
        <v>466</v>
      </c>
      <c r="F161" s="74">
        <v>840</v>
      </c>
      <c r="G161" s="74">
        <v>23.02</v>
      </c>
      <c r="H161" s="74">
        <v>76.11</v>
      </c>
      <c r="I161" s="74">
        <v>18.059999999999999</v>
      </c>
      <c r="J161" s="74">
        <v>59.73</v>
      </c>
      <c r="K161" s="74">
        <v>477</v>
      </c>
      <c r="T161" s="74">
        <v>3</v>
      </c>
      <c r="U161" s="74">
        <v>1</v>
      </c>
      <c r="V161" s="74" t="s">
        <v>186</v>
      </c>
      <c r="W161" s="74" t="s">
        <v>73</v>
      </c>
      <c r="X161" s="74">
        <v>15</v>
      </c>
      <c r="Y161" s="74">
        <v>15</v>
      </c>
      <c r="Z161" s="74" t="s">
        <v>467</v>
      </c>
      <c r="AA161" s="74" t="s">
        <v>468</v>
      </c>
      <c r="AB161" s="74" t="s">
        <v>182</v>
      </c>
      <c r="AC161" s="74" t="s">
        <v>183</v>
      </c>
      <c r="AD161" s="74" t="s">
        <v>158</v>
      </c>
      <c r="AG161" s="74" t="s">
        <v>469</v>
      </c>
      <c r="AH161" s="74">
        <v>3</v>
      </c>
      <c r="AI161" s="74">
        <v>0</v>
      </c>
      <c r="AJ161" s="74">
        <v>0</v>
      </c>
      <c r="AK161" s="74">
        <v>811</v>
      </c>
      <c r="AL161" s="74">
        <v>0.97</v>
      </c>
    </row>
    <row r="162" spans="1:38" x14ac:dyDescent="0.3">
      <c r="A162" s="74" t="s">
        <v>261</v>
      </c>
      <c r="B162" s="74">
        <v>14963</v>
      </c>
      <c r="C162" s="74">
        <v>2</v>
      </c>
      <c r="D162" s="74" t="s">
        <v>465</v>
      </c>
      <c r="E162" s="74" t="s">
        <v>466</v>
      </c>
      <c r="F162" s="74">
        <v>840</v>
      </c>
      <c r="G162" s="74">
        <v>23.24</v>
      </c>
      <c r="H162" s="74">
        <v>76.849999999999994</v>
      </c>
      <c r="I162" s="74">
        <v>18.13</v>
      </c>
      <c r="J162" s="74">
        <v>59.95</v>
      </c>
      <c r="K162" s="74">
        <v>360</v>
      </c>
      <c r="T162" s="74">
        <v>3</v>
      </c>
      <c r="U162" s="74">
        <v>1</v>
      </c>
      <c r="V162" s="74" t="s">
        <v>186</v>
      </c>
      <c r="W162" s="74" t="s">
        <v>151</v>
      </c>
      <c r="X162" s="74">
        <v>15</v>
      </c>
      <c r="Y162" s="74">
        <v>15</v>
      </c>
      <c r="Z162" s="74" t="s">
        <v>467</v>
      </c>
      <c r="AA162" s="74" t="s">
        <v>468</v>
      </c>
      <c r="AB162" s="74" t="s">
        <v>182</v>
      </c>
      <c r="AC162" s="74" t="s">
        <v>183</v>
      </c>
      <c r="AD162" s="74" t="s">
        <v>158</v>
      </c>
      <c r="AG162" s="74" t="s">
        <v>469</v>
      </c>
      <c r="AH162" s="74">
        <v>3</v>
      </c>
      <c r="AI162" s="74">
        <v>0</v>
      </c>
      <c r="AJ162" s="74">
        <v>0</v>
      </c>
      <c r="AK162" s="74">
        <v>811</v>
      </c>
      <c r="AL162" s="74">
        <v>0.97</v>
      </c>
    </row>
    <row r="163" spans="1:38" x14ac:dyDescent="0.3">
      <c r="A163" s="74" t="s">
        <v>261</v>
      </c>
      <c r="B163" s="74">
        <v>140966</v>
      </c>
      <c r="C163" s="74">
        <v>1</v>
      </c>
      <c r="D163" s="74" t="s">
        <v>470</v>
      </c>
      <c r="E163" s="74" t="s">
        <v>471</v>
      </c>
      <c r="F163" s="74">
        <v>100</v>
      </c>
      <c r="G163" s="74">
        <v>19.62</v>
      </c>
      <c r="H163" s="74">
        <v>64.89</v>
      </c>
      <c r="I163" s="74">
        <v>17.989999999999998</v>
      </c>
      <c r="J163" s="74">
        <v>59.49</v>
      </c>
      <c r="K163" s="74">
        <v>30</v>
      </c>
      <c r="T163" s="74">
        <v>3</v>
      </c>
      <c r="U163" s="74">
        <v>1</v>
      </c>
      <c r="V163" s="74" t="s">
        <v>186</v>
      </c>
      <c r="W163" s="74" t="s">
        <v>472</v>
      </c>
      <c r="X163" s="74">
        <v>5</v>
      </c>
      <c r="Y163" s="74">
        <v>5</v>
      </c>
      <c r="Z163" s="74" t="s">
        <v>473</v>
      </c>
      <c r="AA163" s="74" t="s">
        <v>474</v>
      </c>
      <c r="AB163" s="74" t="s">
        <v>182</v>
      </c>
      <c r="AC163" s="74" t="s">
        <v>183</v>
      </c>
      <c r="AD163" s="74" t="s">
        <v>158</v>
      </c>
      <c r="AG163" s="74" t="s">
        <v>475</v>
      </c>
      <c r="AH163" s="74">
        <v>0</v>
      </c>
      <c r="AI163" s="74">
        <v>121</v>
      </c>
      <c r="AJ163" s="74">
        <v>26</v>
      </c>
      <c r="AK163" s="74">
        <v>18</v>
      </c>
      <c r="AL163" s="74">
        <v>0.18</v>
      </c>
    </row>
    <row r="164" spans="1:38" x14ac:dyDescent="0.3">
      <c r="A164" s="74" t="s">
        <v>261</v>
      </c>
      <c r="B164" s="74">
        <v>140966</v>
      </c>
      <c r="C164" s="74">
        <v>2</v>
      </c>
      <c r="D164" s="74" t="s">
        <v>470</v>
      </c>
      <c r="E164" s="74" t="s">
        <v>471</v>
      </c>
      <c r="F164" s="74">
        <v>100</v>
      </c>
      <c r="G164" s="74">
        <v>19.72</v>
      </c>
      <c r="H164" s="74">
        <v>65.22</v>
      </c>
      <c r="I164" s="74">
        <v>18.09</v>
      </c>
      <c r="J164" s="74">
        <v>59.82</v>
      </c>
      <c r="K164" s="74">
        <v>5</v>
      </c>
      <c r="T164" s="74">
        <v>3</v>
      </c>
      <c r="U164" s="74">
        <v>1</v>
      </c>
      <c r="V164" s="74" t="s">
        <v>186</v>
      </c>
      <c r="W164" s="74" t="s">
        <v>127</v>
      </c>
      <c r="X164" s="74">
        <v>5</v>
      </c>
      <c r="Y164" s="74">
        <v>5</v>
      </c>
      <c r="Z164" s="74" t="s">
        <v>473</v>
      </c>
      <c r="AA164" s="74" t="s">
        <v>474</v>
      </c>
      <c r="AB164" s="74" t="s">
        <v>182</v>
      </c>
      <c r="AC164" s="74" t="s">
        <v>183</v>
      </c>
      <c r="AD164" s="74" t="s">
        <v>158</v>
      </c>
      <c r="AG164" s="74" t="s">
        <v>475</v>
      </c>
      <c r="AH164" s="74">
        <v>0</v>
      </c>
      <c r="AI164" s="74">
        <v>121</v>
      </c>
      <c r="AJ164" s="74">
        <v>26</v>
      </c>
      <c r="AK164" s="74">
        <v>18</v>
      </c>
      <c r="AL164" s="74">
        <v>0.18</v>
      </c>
    </row>
    <row r="165" spans="1:38" x14ac:dyDescent="0.3">
      <c r="A165" s="74" t="s">
        <v>261</v>
      </c>
      <c r="B165" s="74">
        <v>140966</v>
      </c>
      <c r="C165" s="74">
        <v>3</v>
      </c>
      <c r="D165" s="74" t="s">
        <v>470</v>
      </c>
      <c r="E165" s="74" t="s">
        <v>471</v>
      </c>
      <c r="F165" s="74">
        <v>100</v>
      </c>
      <c r="G165" s="74">
        <v>20.52</v>
      </c>
      <c r="H165" s="74">
        <v>67.86</v>
      </c>
      <c r="I165" s="74">
        <v>18.89</v>
      </c>
      <c r="J165" s="74">
        <v>62.46</v>
      </c>
      <c r="K165" s="74">
        <v>65</v>
      </c>
      <c r="T165" s="74">
        <v>3</v>
      </c>
      <c r="U165" s="74">
        <v>1</v>
      </c>
      <c r="V165" s="74" t="s">
        <v>186</v>
      </c>
      <c r="W165" s="74">
        <v>67</v>
      </c>
      <c r="X165" s="74">
        <v>5</v>
      </c>
      <c r="Y165" s="74">
        <v>5</v>
      </c>
      <c r="Z165" s="74" t="s">
        <v>473</v>
      </c>
      <c r="AA165" s="74" t="s">
        <v>474</v>
      </c>
      <c r="AB165" s="74" t="s">
        <v>182</v>
      </c>
      <c r="AC165" s="74" t="s">
        <v>183</v>
      </c>
      <c r="AD165" s="74" t="s">
        <v>158</v>
      </c>
      <c r="AG165" s="74" t="s">
        <v>475</v>
      </c>
      <c r="AH165" s="74">
        <v>0</v>
      </c>
      <c r="AI165" s="74">
        <v>121</v>
      </c>
      <c r="AJ165" s="74">
        <v>26</v>
      </c>
      <c r="AK165" s="74">
        <v>18</v>
      </c>
      <c r="AL165" s="74">
        <v>0.18</v>
      </c>
    </row>
    <row r="166" spans="1:38" x14ac:dyDescent="0.3">
      <c r="A166" s="74" t="s">
        <v>261</v>
      </c>
      <c r="B166" s="74">
        <v>5022</v>
      </c>
      <c r="C166" s="74">
        <v>1</v>
      </c>
      <c r="D166" s="74" t="s">
        <v>476</v>
      </c>
      <c r="E166" s="74" t="s">
        <v>178</v>
      </c>
      <c r="F166" s="74">
        <v>479</v>
      </c>
      <c r="G166" s="74">
        <v>21.15</v>
      </c>
      <c r="H166" s="74">
        <v>69.95</v>
      </c>
      <c r="I166" s="74">
        <v>17.059999999999999</v>
      </c>
      <c r="J166" s="74">
        <v>56.41</v>
      </c>
      <c r="K166" s="74">
        <v>20</v>
      </c>
      <c r="T166" s="74">
        <v>2</v>
      </c>
      <c r="U166" s="74">
        <v>1</v>
      </c>
      <c r="V166" s="74" t="s">
        <v>179</v>
      </c>
      <c r="W166" s="74">
        <v>69</v>
      </c>
      <c r="X166" s="74">
        <v>20</v>
      </c>
      <c r="Y166" s="74">
        <v>20</v>
      </c>
      <c r="Z166" s="74" t="s">
        <v>477</v>
      </c>
      <c r="AA166" s="74" t="s">
        <v>478</v>
      </c>
      <c r="AB166" s="74" t="s">
        <v>182</v>
      </c>
      <c r="AC166" s="74" t="s">
        <v>183</v>
      </c>
      <c r="AD166" s="74" t="s">
        <v>158</v>
      </c>
      <c r="AG166" s="74" t="s">
        <v>479</v>
      </c>
      <c r="AH166" s="74">
        <v>0</v>
      </c>
      <c r="AI166" s="74">
        <v>300</v>
      </c>
      <c r="AJ166" s="74">
        <v>21</v>
      </c>
      <c r="AK166" s="74">
        <v>435</v>
      </c>
      <c r="AL166" s="74">
        <v>0.91</v>
      </c>
    </row>
    <row r="167" spans="1:38" x14ac:dyDescent="0.3">
      <c r="A167" s="74" t="s">
        <v>261</v>
      </c>
      <c r="B167" s="74">
        <v>5022</v>
      </c>
      <c r="C167" s="74">
        <v>2</v>
      </c>
      <c r="D167" s="74" t="s">
        <v>476</v>
      </c>
      <c r="E167" s="74" t="s">
        <v>178</v>
      </c>
      <c r="F167" s="74">
        <v>479</v>
      </c>
      <c r="G167" s="74">
        <v>22.48</v>
      </c>
      <c r="H167" s="74">
        <v>74.33</v>
      </c>
      <c r="I167" s="74">
        <v>18.13</v>
      </c>
      <c r="J167" s="74">
        <v>59.95</v>
      </c>
      <c r="K167" s="74">
        <v>180</v>
      </c>
      <c r="T167" s="74">
        <v>3</v>
      </c>
      <c r="U167" s="74">
        <v>1</v>
      </c>
      <c r="V167" s="74" t="s">
        <v>179</v>
      </c>
      <c r="W167" s="74">
        <v>74</v>
      </c>
      <c r="X167" s="74">
        <v>20</v>
      </c>
      <c r="Y167" s="74">
        <v>20</v>
      </c>
      <c r="Z167" s="74" t="s">
        <v>477</v>
      </c>
      <c r="AA167" s="74" t="s">
        <v>478</v>
      </c>
      <c r="AB167" s="74" t="s">
        <v>182</v>
      </c>
      <c r="AC167" s="74" t="s">
        <v>183</v>
      </c>
      <c r="AD167" s="74" t="s">
        <v>158</v>
      </c>
      <c r="AG167" s="74" t="s">
        <v>479</v>
      </c>
      <c r="AH167" s="74">
        <v>0</v>
      </c>
      <c r="AI167" s="74">
        <v>300</v>
      </c>
      <c r="AJ167" s="74">
        <v>21</v>
      </c>
      <c r="AK167" s="74">
        <v>435</v>
      </c>
      <c r="AL167" s="74">
        <v>0.91</v>
      </c>
    </row>
    <row r="168" spans="1:38" x14ac:dyDescent="0.3">
      <c r="A168" s="74" t="s">
        <v>261</v>
      </c>
      <c r="B168" s="74">
        <v>5022</v>
      </c>
      <c r="C168" s="74">
        <v>3</v>
      </c>
      <c r="D168" s="74" t="s">
        <v>476</v>
      </c>
      <c r="E168" s="74" t="s">
        <v>178</v>
      </c>
      <c r="F168" s="74">
        <v>479</v>
      </c>
      <c r="G168" s="74">
        <v>31.86</v>
      </c>
      <c r="H168" s="74">
        <v>105.33</v>
      </c>
      <c r="I168" s="74">
        <v>25.7</v>
      </c>
      <c r="J168" s="74">
        <v>84.96</v>
      </c>
      <c r="K168" s="74">
        <v>199</v>
      </c>
      <c r="T168" s="74">
        <v>3</v>
      </c>
      <c r="U168" s="74">
        <v>2</v>
      </c>
      <c r="V168" s="74" t="s">
        <v>186</v>
      </c>
      <c r="W168" s="74">
        <v>105</v>
      </c>
      <c r="X168" s="74">
        <v>20</v>
      </c>
      <c r="Y168" s="74">
        <v>20</v>
      </c>
      <c r="Z168" s="74" t="s">
        <v>477</v>
      </c>
      <c r="AA168" s="74" t="s">
        <v>478</v>
      </c>
      <c r="AB168" s="74" t="s">
        <v>182</v>
      </c>
      <c r="AC168" s="74" t="s">
        <v>183</v>
      </c>
      <c r="AD168" s="74" t="s">
        <v>158</v>
      </c>
      <c r="AG168" s="74" t="s">
        <v>479</v>
      </c>
      <c r="AH168" s="74">
        <v>0</v>
      </c>
      <c r="AI168" s="74">
        <v>300</v>
      </c>
      <c r="AJ168" s="74">
        <v>21</v>
      </c>
      <c r="AK168" s="74">
        <v>435</v>
      </c>
      <c r="AL168" s="74">
        <v>0.91</v>
      </c>
    </row>
    <row r="169" spans="1:38" x14ac:dyDescent="0.3">
      <c r="A169" s="74" t="s">
        <v>261</v>
      </c>
      <c r="B169" s="74">
        <v>5022</v>
      </c>
      <c r="C169" s="74">
        <v>4</v>
      </c>
      <c r="D169" s="74" t="s">
        <v>476</v>
      </c>
      <c r="E169" s="74" t="s">
        <v>178</v>
      </c>
      <c r="F169" s="74">
        <v>479</v>
      </c>
      <c r="G169" s="74">
        <v>50.55</v>
      </c>
      <c r="H169" s="74">
        <v>167.12</v>
      </c>
      <c r="I169" s="74">
        <v>40.770000000000003</v>
      </c>
      <c r="J169" s="74">
        <v>134.79</v>
      </c>
      <c r="K169" s="74">
        <v>80</v>
      </c>
      <c r="T169" s="74">
        <v>4</v>
      </c>
      <c r="U169" s="74">
        <v>2</v>
      </c>
      <c r="V169" s="74" t="s">
        <v>186</v>
      </c>
      <c r="W169" s="74">
        <v>167</v>
      </c>
      <c r="X169" s="74">
        <v>20</v>
      </c>
      <c r="Y169" s="74">
        <v>20</v>
      </c>
      <c r="Z169" s="74" t="s">
        <v>477</v>
      </c>
      <c r="AA169" s="74" t="s">
        <v>478</v>
      </c>
      <c r="AB169" s="74" t="s">
        <v>182</v>
      </c>
      <c r="AC169" s="74" t="s">
        <v>183</v>
      </c>
      <c r="AD169" s="74" t="s">
        <v>158</v>
      </c>
      <c r="AG169" s="74" t="s">
        <v>479</v>
      </c>
      <c r="AH169" s="74">
        <v>0</v>
      </c>
      <c r="AI169" s="74">
        <v>300</v>
      </c>
      <c r="AJ169" s="74">
        <v>21</v>
      </c>
      <c r="AK169" s="74">
        <v>435</v>
      </c>
      <c r="AL169" s="74">
        <v>0.91</v>
      </c>
    </row>
    <row r="170" spans="1:38" x14ac:dyDescent="0.3">
      <c r="A170" s="74" t="s">
        <v>261</v>
      </c>
      <c r="B170" s="74">
        <v>5030</v>
      </c>
      <c r="C170" s="74">
        <v>1</v>
      </c>
      <c r="D170" s="74" t="s">
        <v>480</v>
      </c>
      <c r="E170" s="74" t="s">
        <v>481</v>
      </c>
      <c r="F170" s="74">
        <v>498</v>
      </c>
      <c r="G170" s="74">
        <v>25.52</v>
      </c>
      <c r="H170" s="74">
        <v>84.38</v>
      </c>
      <c r="I170" s="74">
        <v>22.14</v>
      </c>
      <c r="J170" s="74">
        <v>73.2</v>
      </c>
      <c r="K170" s="74">
        <v>84</v>
      </c>
      <c r="T170" s="74">
        <v>3</v>
      </c>
      <c r="U170" s="74">
        <v>1</v>
      </c>
      <c r="V170" s="74" t="s">
        <v>186</v>
      </c>
      <c r="W170" s="74">
        <v>84</v>
      </c>
      <c r="X170" s="74">
        <v>15</v>
      </c>
      <c r="Y170" s="74">
        <v>14</v>
      </c>
      <c r="Z170" s="74" t="s">
        <v>482</v>
      </c>
      <c r="AA170" s="74" t="s">
        <v>483</v>
      </c>
      <c r="AB170" s="74" t="s">
        <v>182</v>
      </c>
      <c r="AC170" s="74" t="s">
        <v>183</v>
      </c>
      <c r="AD170" s="74" t="s">
        <v>158</v>
      </c>
      <c r="AG170" s="74" t="s">
        <v>484</v>
      </c>
      <c r="AH170" s="74">
        <v>0</v>
      </c>
      <c r="AI170" s="74">
        <v>0</v>
      </c>
      <c r="AJ170" s="74">
        <v>0</v>
      </c>
      <c r="AK170" s="74">
        <v>200</v>
      </c>
      <c r="AL170" s="74">
        <v>0.4</v>
      </c>
    </row>
    <row r="171" spans="1:38" x14ac:dyDescent="0.3">
      <c r="A171" s="74" t="s">
        <v>261</v>
      </c>
      <c r="B171" s="74">
        <v>5030</v>
      </c>
      <c r="C171" s="74">
        <v>2</v>
      </c>
      <c r="D171" s="74" t="s">
        <v>480</v>
      </c>
      <c r="E171" s="74" t="s">
        <v>481</v>
      </c>
      <c r="F171" s="74">
        <v>498</v>
      </c>
      <c r="G171" s="74">
        <v>28.97</v>
      </c>
      <c r="H171" s="74">
        <v>95.77</v>
      </c>
      <c r="I171" s="74">
        <v>25.59</v>
      </c>
      <c r="J171" s="74">
        <v>84.6</v>
      </c>
      <c r="K171" s="74">
        <v>384</v>
      </c>
      <c r="T171" s="74">
        <v>3</v>
      </c>
      <c r="U171" s="74">
        <v>2</v>
      </c>
      <c r="V171" s="74" t="s">
        <v>186</v>
      </c>
      <c r="W171" s="74" t="s">
        <v>132</v>
      </c>
      <c r="X171" s="74">
        <v>15</v>
      </c>
      <c r="Y171" s="74">
        <v>14</v>
      </c>
      <c r="Z171" s="74" t="s">
        <v>482</v>
      </c>
      <c r="AA171" s="74" t="s">
        <v>483</v>
      </c>
      <c r="AB171" s="74" t="s">
        <v>182</v>
      </c>
      <c r="AC171" s="74" t="s">
        <v>183</v>
      </c>
      <c r="AD171" s="74" t="s">
        <v>158</v>
      </c>
      <c r="AG171" s="74" t="s">
        <v>484</v>
      </c>
      <c r="AH171" s="74">
        <v>0</v>
      </c>
      <c r="AI171" s="74">
        <v>0</v>
      </c>
      <c r="AJ171" s="74">
        <v>0</v>
      </c>
      <c r="AK171" s="74">
        <v>200</v>
      </c>
      <c r="AL171" s="74">
        <v>0.4</v>
      </c>
    </row>
    <row r="172" spans="1:38" x14ac:dyDescent="0.3">
      <c r="A172" s="74" t="s">
        <v>261</v>
      </c>
      <c r="B172" s="74">
        <v>5030</v>
      </c>
      <c r="C172" s="74">
        <v>3</v>
      </c>
      <c r="D172" s="74" t="s">
        <v>480</v>
      </c>
      <c r="E172" s="74" t="s">
        <v>481</v>
      </c>
      <c r="F172" s="74">
        <v>498</v>
      </c>
      <c r="G172" s="74">
        <v>28.95</v>
      </c>
      <c r="H172" s="74">
        <v>95.71</v>
      </c>
      <c r="I172" s="74">
        <v>25.57</v>
      </c>
      <c r="J172" s="74">
        <v>84.54</v>
      </c>
      <c r="K172" s="74">
        <v>30</v>
      </c>
      <c r="T172" s="74">
        <v>3</v>
      </c>
      <c r="U172" s="74">
        <v>2</v>
      </c>
      <c r="V172" s="74" t="s">
        <v>186</v>
      </c>
      <c r="W172" s="74" t="s">
        <v>485</v>
      </c>
      <c r="X172" s="74">
        <v>15</v>
      </c>
      <c r="Y172" s="74">
        <v>14</v>
      </c>
      <c r="Z172" s="74" t="s">
        <v>482</v>
      </c>
      <c r="AA172" s="74" t="s">
        <v>483</v>
      </c>
      <c r="AB172" s="74" t="s">
        <v>182</v>
      </c>
      <c r="AC172" s="74" t="s">
        <v>183</v>
      </c>
      <c r="AD172" s="74" t="s">
        <v>158</v>
      </c>
      <c r="AG172" s="74" t="s">
        <v>484</v>
      </c>
      <c r="AH172" s="74">
        <v>0</v>
      </c>
      <c r="AI172" s="74">
        <v>0</v>
      </c>
      <c r="AJ172" s="74">
        <v>0</v>
      </c>
      <c r="AK172" s="74">
        <v>200</v>
      </c>
      <c r="AL172" s="74">
        <v>0.4</v>
      </c>
    </row>
    <row r="173" spans="1:38" x14ac:dyDescent="0.3">
      <c r="A173" s="74" t="s">
        <v>261</v>
      </c>
      <c r="B173" s="74">
        <v>4964</v>
      </c>
      <c r="C173" s="74">
        <v>1</v>
      </c>
      <c r="D173" s="74" t="s">
        <v>486</v>
      </c>
      <c r="E173" s="74" t="s">
        <v>487</v>
      </c>
      <c r="F173" s="74">
        <v>246</v>
      </c>
      <c r="G173" s="74">
        <v>22.5</v>
      </c>
      <c r="H173" s="74">
        <v>74.400000000000006</v>
      </c>
      <c r="I173" s="74">
        <v>17.86</v>
      </c>
      <c r="J173" s="74">
        <v>59.06</v>
      </c>
      <c r="K173" s="74">
        <v>168</v>
      </c>
      <c r="T173" s="74">
        <v>3</v>
      </c>
      <c r="U173" s="74">
        <v>1</v>
      </c>
      <c r="V173" s="74" t="s">
        <v>186</v>
      </c>
      <c r="W173" s="74">
        <v>74</v>
      </c>
      <c r="X173" s="74">
        <v>12</v>
      </c>
      <c r="Y173" s="74">
        <v>5</v>
      </c>
      <c r="Z173" s="74" t="s">
        <v>488</v>
      </c>
      <c r="AA173" s="74" t="s">
        <v>489</v>
      </c>
      <c r="AB173" s="74" t="s">
        <v>182</v>
      </c>
      <c r="AC173" s="74" t="s">
        <v>183</v>
      </c>
      <c r="AD173" s="74" t="s">
        <v>158</v>
      </c>
      <c r="AG173" s="74" t="s">
        <v>490</v>
      </c>
      <c r="AH173" s="74">
        <v>0</v>
      </c>
      <c r="AI173" s="74">
        <v>0</v>
      </c>
      <c r="AJ173" s="74">
        <v>0</v>
      </c>
      <c r="AK173" s="74">
        <v>120</v>
      </c>
      <c r="AL173" s="74">
        <v>0.49</v>
      </c>
    </row>
    <row r="174" spans="1:38" x14ac:dyDescent="0.3">
      <c r="A174" s="74" t="s">
        <v>261</v>
      </c>
      <c r="B174" s="74">
        <v>4964</v>
      </c>
      <c r="C174" s="74">
        <v>2</v>
      </c>
      <c r="D174" s="74" t="s">
        <v>486</v>
      </c>
      <c r="E174" s="74" t="s">
        <v>487</v>
      </c>
      <c r="F174" s="74">
        <v>246</v>
      </c>
      <c r="G174" s="74">
        <v>24.69</v>
      </c>
      <c r="H174" s="74">
        <v>81.62</v>
      </c>
      <c r="I174" s="74">
        <v>18.02</v>
      </c>
      <c r="J174" s="74">
        <v>59.58</v>
      </c>
      <c r="K174" s="74">
        <v>20</v>
      </c>
      <c r="T174" s="74">
        <v>3</v>
      </c>
      <c r="U174" s="74">
        <v>1</v>
      </c>
      <c r="V174" s="74" t="s">
        <v>186</v>
      </c>
      <c r="W174" s="74" t="s">
        <v>121</v>
      </c>
      <c r="X174" s="74">
        <v>12</v>
      </c>
      <c r="Y174" s="74">
        <v>5</v>
      </c>
      <c r="Z174" s="74" t="s">
        <v>488</v>
      </c>
      <c r="AA174" s="74" t="s">
        <v>489</v>
      </c>
      <c r="AB174" s="74" t="s">
        <v>182</v>
      </c>
      <c r="AC174" s="74" t="s">
        <v>183</v>
      </c>
      <c r="AD174" s="74" t="s">
        <v>158</v>
      </c>
      <c r="AG174" s="74" t="s">
        <v>490</v>
      </c>
      <c r="AH174" s="74">
        <v>0</v>
      </c>
      <c r="AI174" s="74">
        <v>0</v>
      </c>
      <c r="AJ174" s="74">
        <v>0</v>
      </c>
      <c r="AK174" s="74">
        <v>120</v>
      </c>
      <c r="AL174" s="74">
        <v>0.49</v>
      </c>
    </row>
    <row r="175" spans="1:38" x14ac:dyDescent="0.3">
      <c r="A175" s="74" t="s">
        <v>261</v>
      </c>
      <c r="B175" s="74">
        <v>4964</v>
      </c>
      <c r="C175" s="74">
        <v>3</v>
      </c>
      <c r="D175" s="74" t="s">
        <v>486</v>
      </c>
      <c r="E175" s="74" t="s">
        <v>487</v>
      </c>
      <c r="F175" s="74">
        <v>246</v>
      </c>
      <c r="G175" s="74">
        <v>24.85</v>
      </c>
      <c r="H175" s="74">
        <v>82.15</v>
      </c>
      <c r="I175" s="74">
        <v>18.13</v>
      </c>
      <c r="J175" s="74">
        <v>59.96</v>
      </c>
      <c r="K175" s="74">
        <v>10</v>
      </c>
      <c r="T175" s="74">
        <v>3</v>
      </c>
      <c r="U175" s="74">
        <v>1</v>
      </c>
      <c r="V175" s="74" t="s">
        <v>186</v>
      </c>
      <c r="W175" s="74" t="s">
        <v>90</v>
      </c>
      <c r="X175" s="74">
        <v>12</v>
      </c>
      <c r="Y175" s="74">
        <v>5</v>
      </c>
      <c r="Z175" s="74" t="s">
        <v>488</v>
      </c>
      <c r="AA175" s="74" t="s">
        <v>489</v>
      </c>
      <c r="AB175" s="74" t="s">
        <v>182</v>
      </c>
      <c r="AC175" s="74" t="s">
        <v>183</v>
      </c>
      <c r="AD175" s="74" t="s">
        <v>158</v>
      </c>
      <c r="AG175" s="74" t="s">
        <v>490</v>
      </c>
      <c r="AH175" s="74">
        <v>0</v>
      </c>
      <c r="AI175" s="74">
        <v>0</v>
      </c>
      <c r="AJ175" s="74">
        <v>0</v>
      </c>
      <c r="AK175" s="74">
        <v>120</v>
      </c>
      <c r="AL175" s="74">
        <v>0.49</v>
      </c>
    </row>
    <row r="176" spans="1:38" x14ac:dyDescent="0.3">
      <c r="A176" s="74" t="s">
        <v>261</v>
      </c>
      <c r="B176" s="74">
        <v>4964</v>
      </c>
      <c r="C176" s="74">
        <v>4</v>
      </c>
      <c r="D176" s="74" t="s">
        <v>486</v>
      </c>
      <c r="E176" s="74" t="s">
        <v>487</v>
      </c>
      <c r="F176" s="74">
        <v>246</v>
      </c>
      <c r="G176" s="74">
        <v>31.38</v>
      </c>
      <c r="H176" s="74">
        <v>103.74</v>
      </c>
      <c r="I176" s="74">
        <v>25.61</v>
      </c>
      <c r="J176" s="74">
        <v>84.67</v>
      </c>
      <c r="K176" s="74">
        <v>48</v>
      </c>
      <c r="T176" s="74">
        <v>3</v>
      </c>
      <c r="U176" s="74">
        <v>2</v>
      </c>
      <c r="V176" s="74" t="s">
        <v>186</v>
      </c>
      <c r="W176" s="74">
        <v>103</v>
      </c>
      <c r="X176" s="74">
        <v>12</v>
      </c>
      <c r="Y176" s="74">
        <v>5</v>
      </c>
      <c r="Z176" s="74" t="s">
        <v>488</v>
      </c>
      <c r="AA176" s="74" t="s">
        <v>489</v>
      </c>
      <c r="AB176" s="74" t="s">
        <v>182</v>
      </c>
      <c r="AC176" s="74" t="s">
        <v>183</v>
      </c>
      <c r="AD176" s="74" t="s">
        <v>158</v>
      </c>
      <c r="AG176" s="74" t="s">
        <v>490</v>
      </c>
      <c r="AH176" s="74">
        <v>0</v>
      </c>
      <c r="AI176" s="74">
        <v>0</v>
      </c>
      <c r="AJ176" s="74">
        <v>0</v>
      </c>
      <c r="AK176" s="74">
        <v>120</v>
      </c>
      <c r="AL176" s="74">
        <v>0.49</v>
      </c>
    </row>
    <row r="177" spans="1:38" x14ac:dyDescent="0.3">
      <c r="A177" s="74" t="s">
        <v>261</v>
      </c>
      <c r="B177" s="74">
        <v>115453</v>
      </c>
      <c r="C177" s="74">
        <v>1</v>
      </c>
      <c r="D177" s="74" t="s">
        <v>491</v>
      </c>
      <c r="E177" s="74" t="s">
        <v>492</v>
      </c>
      <c r="F177" s="74">
        <v>85</v>
      </c>
      <c r="G177" s="74">
        <v>24.8</v>
      </c>
      <c r="H177" s="74">
        <v>82</v>
      </c>
      <c r="I177" s="74">
        <v>22.88</v>
      </c>
      <c r="J177" s="74">
        <v>75.66</v>
      </c>
      <c r="K177" s="74">
        <v>40</v>
      </c>
      <c r="T177" s="74">
        <v>3</v>
      </c>
      <c r="U177" s="74">
        <v>2</v>
      </c>
      <c r="V177" s="74" t="s">
        <v>179</v>
      </c>
      <c r="W177" s="74">
        <v>82</v>
      </c>
      <c r="X177" s="74">
        <v>5</v>
      </c>
      <c r="Y177" s="74">
        <v>5</v>
      </c>
      <c r="Z177" s="74" t="s">
        <v>493</v>
      </c>
      <c r="AA177" s="74" t="s">
        <v>494</v>
      </c>
      <c r="AB177" s="74" t="s">
        <v>182</v>
      </c>
      <c r="AC177" s="74" t="s">
        <v>183</v>
      </c>
      <c r="AD177" s="74" t="s">
        <v>158</v>
      </c>
      <c r="AG177" s="74" t="s">
        <v>495</v>
      </c>
      <c r="AH177" s="74">
        <v>0</v>
      </c>
      <c r="AI177" s="74">
        <v>0</v>
      </c>
      <c r="AJ177" s="74">
        <v>0</v>
      </c>
      <c r="AK177" s="74">
        <v>0</v>
      </c>
      <c r="AL177" s="74">
        <v>0</v>
      </c>
    </row>
    <row r="178" spans="1:38" x14ac:dyDescent="0.3">
      <c r="A178" s="74" t="s">
        <v>261</v>
      </c>
      <c r="B178" s="74">
        <v>115453</v>
      </c>
      <c r="C178" s="74">
        <v>2</v>
      </c>
      <c r="D178" s="74" t="s">
        <v>491</v>
      </c>
      <c r="E178" s="74" t="s">
        <v>492</v>
      </c>
      <c r="F178" s="74">
        <v>85</v>
      </c>
      <c r="G178" s="74">
        <v>26.64</v>
      </c>
      <c r="H178" s="74">
        <v>88.09</v>
      </c>
      <c r="I178" s="74">
        <v>24.72</v>
      </c>
      <c r="J178" s="74">
        <v>81.75</v>
      </c>
      <c r="K178" s="74">
        <v>45</v>
      </c>
      <c r="T178" s="74">
        <v>3</v>
      </c>
      <c r="U178" s="74">
        <v>2</v>
      </c>
      <c r="V178" s="74" t="s">
        <v>179</v>
      </c>
      <c r="W178" s="74">
        <v>88</v>
      </c>
      <c r="X178" s="74">
        <v>5</v>
      </c>
      <c r="Y178" s="74">
        <v>5</v>
      </c>
      <c r="Z178" s="74" t="s">
        <v>493</v>
      </c>
      <c r="AA178" s="74" t="s">
        <v>494</v>
      </c>
      <c r="AB178" s="74" t="s">
        <v>182</v>
      </c>
      <c r="AC178" s="74" t="s">
        <v>183</v>
      </c>
      <c r="AD178" s="74" t="s">
        <v>158</v>
      </c>
      <c r="AG178" s="74" t="s">
        <v>495</v>
      </c>
      <c r="AH178" s="74">
        <v>0</v>
      </c>
      <c r="AI178" s="74">
        <v>0</v>
      </c>
      <c r="AJ178" s="74">
        <v>0</v>
      </c>
      <c r="AK178" s="74">
        <v>0</v>
      </c>
      <c r="AL178" s="74">
        <v>0</v>
      </c>
    </row>
    <row r="179" spans="1:38" x14ac:dyDescent="0.3">
      <c r="A179" s="74" t="s">
        <v>261</v>
      </c>
      <c r="B179" s="74">
        <v>102445</v>
      </c>
      <c r="C179" s="74">
        <v>1</v>
      </c>
      <c r="D179" s="74" t="s">
        <v>496</v>
      </c>
      <c r="E179" s="74" t="s">
        <v>497</v>
      </c>
      <c r="F179" s="74">
        <v>154</v>
      </c>
      <c r="G179" s="74">
        <v>25.17</v>
      </c>
      <c r="H179" s="74">
        <v>83.21</v>
      </c>
      <c r="I179" s="74">
        <v>17.96</v>
      </c>
      <c r="J179" s="74">
        <v>59.4</v>
      </c>
      <c r="K179" s="74">
        <v>149</v>
      </c>
      <c r="T179" s="74">
        <v>3</v>
      </c>
      <c r="U179" s="74">
        <v>1</v>
      </c>
      <c r="V179" s="74" t="s">
        <v>186</v>
      </c>
      <c r="W179" s="74">
        <v>83</v>
      </c>
      <c r="X179" s="74">
        <v>11</v>
      </c>
      <c r="Y179" s="74">
        <v>11</v>
      </c>
      <c r="Z179" s="74" t="s">
        <v>498</v>
      </c>
      <c r="AA179" s="74" t="s">
        <v>499</v>
      </c>
      <c r="AB179" s="74" t="s">
        <v>182</v>
      </c>
      <c r="AC179" s="74" t="s">
        <v>183</v>
      </c>
      <c r="AD179" s="74" t="s">
        <v>158</v>
      </c>
      <c r="AG179" s="74" t="s">
        <v>500</v>
      </c>
      <c r="AH179" s="74">
        <v>5</v>
      </c>
      <c r="AI179" s="74">
        <v>258</v>
      </c>
      <c r="AJ179" s="74">
        <v>23</v>
      </c>
      <c r="AK179" s="74">
        <v>71</v>
      </c>
      <c r="AL179" s="74">
        <v>0.46</v>
      </c>
    </row>
    <row r="180" spans="1:38" x14ac:dyDescent="0.3">
      <c r="A180" s="74" t="s">
        <v>261</v>
      </c>
      <c r="B180" s="74">
        <v>26916</v>
      </c>
      <c r="C180" s="74">
        <v>1</v>
      </c>
      <c r="D180" s="74" t="s">
        <v>501</v>
      </c>
      <c r="E180" s="74" t="s">
        <v>502</v>
      </c>
      <c r="F180" s="74">
        <v>773</v>
      </c>
      <c r="G180" s="74">
        <v>33.44</v>
      </c>
      <c r="H180" s="74">
        <v>110.55</v>
      </c>
      <c r="I180" s="74">
        <v>25.69</v>
      </c>
      <c r="J180" s="74">
        <v>84.93</v>
      </c>
      <c r="K180" s="74">
        <v>336</v>
      </c>
      <c r="T180" s="74">
        <v>3</v>
      </c>
      <c r="U180" s="74">
        <v>2</v>
      </c>
      <c r="V180" s="74" t="s">
        <v>186</v>
      </c>
      <c r="W180" s="74" t="s">
        <v>62</v>
      </c>
      <c r="X180" s="74">
        <v>20</v>
      </c>
      <c r="Y180" s="74">
        <v>20</v>
      </c>
      <c r="Z180" s="74" t="s">
        <v>503</v>
      </c>
      <c r="AA180" s="74" t="s">
        <v>504</v>
      </c>
      <c r="AB180" s="74" t="s">
        <v>182</v>
      </c>
      <c r="AC180" s="74" t="s">
        <v>183</v>
      </c>
      <c r="AD180" s="74" t="s">
        <v>158</v>
      </c>
      <c r="AG180" s="74" t="s">
        <v>505</v>
      </c>
      <c r="AH180" s="74">
        <v>0</v>
      </c>
      <c r="AI180" s="74">
        <v>219</v>
      </c>
      <c r="AJ180" s="74">
        <v>49</v>
      </c>
      <c r="AK180" s="74">
        <v>966</v>
      </c>
      <c r="AL180" s="74">
        <v>1.25</v>
      </c>
    </row>
    <row r="181" spans="1:38" x14ac:dyDescent="0.3">
      <c r="A181" s="74" t="s">
        <v>261</v>
      </c>
      <c r="B181" s="74">
        <v>26916</v>
      </c>
      <c r="C181" s="74">
        <v>2</v>
      </c>
      <c r="D181" s="74" t="s">
        <v>501</v>
      </c>
      <c r="E181" s="74" t="s">
        <v>502</v>
      </c>
      <c r="F181" s="74">
        <v>773</v>
      </c>
      <c r="G181" s="74">
        <v>33.619999999999997</v>
      </c>
      <c r="H181" s="74">
        <v>111.15</v>
      </c>
      <c r="I181" s="74">
        <v>25.69</v>
      </c>
      <c r="J181" s="74">
        <v>84.95</v>
      </c>
      <c r="K181" s="74">
        <v>324</v>
      </c>
      <c r="T181" s="74">
        <v>3</v>
      </c>
      <c r="U181" s="74">
        <v>2</v>
      </c>
      <c r="V181" s="74" t="s">
        <v>186</v>
      </c>
      <c r="W181" s="74" t="s">
        <v>78</v>
      </c>
      <c r="X181" s="74">
        <v>20</v>
      </c>
      <c r="Y181" s="74">
        <v>20</v>
      </c>
      <c r="Z181" s="74" t="s">
        <v>503</v>
      </c>
      <c r="AA181" s="74" t="s">
        <v>504</v>
      </c>
      <c r="AB181" s="74" t="s">
        <v>182</v>
      </c>
      <c r="AC181" s="74" t="s">
        <v>183</v>
      </c>
      <c r="AD181" s="74" t="s">
        <v>158</v>
      </c>
      <c r="AG181" s="74" t="s">
        <v>505</v>
      </c>
      <c r="AH181" s="74">
        <v>0</v>
      </c>
      <c r="AI181" s="74">
        <v>219</v>
      </c>
      <c r="AJ181" s="74">
        <v>49</v>
      </c>
      <c r="AK181" s="74">
        <v>966</v>
      </c>
      <c r="AL181" s="74">
        <v>1.25</v>
      </c>
    </row>
    <row r="182" spans="1:38" x14ac:dyDescent="0.3">
      <c r="A182" s="74" t="s">
        <v>261</v>
      </c>
      <c r="B182" s="74">
        <v>26916</v>
      </c>
      <c r="C182" s="74">
        <v>3</v>
      </c>
      <c r="D182" s="74" t="s">
        <v>501</v>
      </c>
      <c r="E182" s="74" t="s">
        <v>502</v>
      </c>
      <c r="F182" s="74">
        <v>773</v>
      </c>
      <c r="G182" s="74">
        <v>33.65</v>
      </c>
      <c r="H182" s="74">
        <v>111.27</v>
      </c>
      <c r="I182" s="74">
        <v>25.69</v>
      </c>
      <c r="J182" s="74">
        <v>84.95</v>
      </c>
      <c r="K182" s="74">
        <v>37</v>
      </c>
      <c r="T182" s="74">
        <v>3</v>
      </c>
      <c r="U182" s="74">
        <v>2</v>
      </c>
      <c r="V182" s="74" t="s">
        <v>186</v>
      </c>
      <c r="W182" s="74" t="s">
        <v>79</v>
      </c>
      <c r="X182" s="74">
        <v>20</v>
      </c>
      <c r="Y182" s="74">
        <v>20</v>
      </c>
      <c r="Z182" s="74" t="s">
        <v>503</v>
      </c>
      <c r="AA182" s="74" t="s">
        <v>504</v>
      </c>
      <c r="AB182" s="74" t="s">
        <v>182</v>
      </c>
      <c r="AC182" s="74" t="s">
        <v>183</v>
      </c>
      <c r="AD182" s="74" t="s">
        <v>158</v>
      </c>
      <c r="AG182" s="74" t="s">
        <v>505</v>
      </c>
      <c r="AH182" s="74">
        <v>0</v>
      </c>
      <c r="AI182" s="74">
        <v>219</v>
      </c>
      <c r="AJ182" s="74">
        <v>49</v>
      </c>
      <c r="AK182" s="74">
        <v>966</v>
      </c>
      <c r="AL182" s="74">
        <v>1.25</v>
      </c>
    </row>
    <row r="183" spans="1:38" x14ac:dyDescent="0.3">
      <c r="A183" s="74" t="s">
        <v>261</v>
      </c>
      <c r="B183" s="74">
        <v>26916</v>
      </c>
      <c r="C183" s="74">
        <v>4</v>
      </c>
      <c r="D183" s="74" t="s">
        <v>501</v>
      </c>
      <c r="E183" s="74" t="s">
        <v>502</v>
      </c>
      <c r="F183" s="74">
        <v>773</v>
      </c>
      <c r="G183" s="74">
        <v>33.99</v>
      </c>
      <c r="H183" s="74">
        <v>112.39</v>
      </c>
      <c r="I183" s="74">
        <v>25.69</v>
      </c>
      <c r="J183" s="74">
        <v>84.95</v>
      </c>
      <c r="K183" s="74">
        <v>76</v>
      </c>
      <c r="T183" s="74">
        <v>3</v>
      </c>
      <c r="U183" s="74">
        <v>2</v>
      </c>
      <c r="V183" s="74" t="s">
        <v>186</v>
      </c>
      <c r="W183" s="74" t="s">
        <v>506</v>
      </c>
      <c r="X183" s="74">
        <v>20</v>
      </c>
      <c r="Y183" s="74">
        <v>20</v>
      </c>
      <c r="Z183" s="74" t="s">
        <v>503</v>
      </c>
      <c r="AA183" s="74" t="s">
        <v>504</v>
      </c>
      <c r="AB183" s="74" t="s">
        <v>182</v>
      </c>
      <c r="AC183" s="74" t="s">
        <v>183</v>
      </c>
      <c r="AD183" s="74" t="s">
        <v>158</v>
      </c>
      <c r="AG183" s="74" t="s">
        <v>505</v>
      </c>
      <c r="AH183" s="74">
        <v>0</v>
      </c>
      <c r="AI183" s="74">
        <v>219</v>
      </c>
      <c r="AJ183" s="74">
        <v>49</v>
      </c>
      <c r="AK183" s="74">
        <v>966</v>
      </c>
      <c r="AL183" s="74">
        <v>1.25</v>
      </c>
    </row>
    <row r="184" spans="1:38" x14ac:dyDescent="0.3">
      <c r="A184" s="74" t="s">
        <v>261</v>
      </c>
      <c r="B184" s="74">
        <v>131885</v>
      </c>
      <c r="C184" s="74">
        <v>1</v>
      </c>
      <c r="D184" s="74" t="s">
        <v>507</v>
      </c>
      <c r="E184" s="74" t="s">
        <v>508</v>
      </c>
      <c r="F184" s="74">
        <v>80</v>
      </c>
      <c r="G184" s="74">
        <v>26.26</v>
      </c>
      <c r="H184" s="74">
        <v>86.81</v>
      </c>
      <c r="I184" s="74">
        <v>18.010000000000002</v>
      </c>
      <c r="J184" s="74">
        <v>59.54</v>
      </c>
      <c r="K184" s="74">
        <v>52</v>
      </c>
      <c r="T184" s="74">
        <v>3</v>
      </c>
      <c r="U184" s="74">
        <v>2</v>
      </c>
      <c r="V184" s="74" t="s">
        <v>186</v>
      </c>
      <c r="W184" s="74" t="s">
        <v>509</v>
      </c>
      <c r="X184" s="74">
        <v>9</v>
      </c>
      <c r="Y184" s="74">
        <v>9</v>
      </c>
      <c r="Z184" s="74" t="s">
        <v>510</v>
      </c>
      <c r="AA184" s="74" t="s">
        <v>511</v>
      </c>
      <c r="AB184" s="74" t="s">
        <v>182</v>
      </c>
      <c r="AC184" s="74" t="s">
        <v>183</v>
      </c>
      <c r="AD184" s="74" t="s">
        <v>158</v>
      </c>
      <c r="AG184" s="74" t="s">
        <v>512</v>
      </c>
      <c r="AH184" s="74">
        <v>0</v>
      </c>
      <c r="AI184" s="74">
        <v>295</v>
      </c>
      <c r="AJ184" s="74">
        <v>52</v>
      </c>
      <c r="AK184" s="74">
        <v>61</v>
      </c>
      <c r="AL184" s="74">
        <v>0.76</v>
      </c>
    </row>
    <row r="185" spans="1:38" x14ac:dyDescent="0.3">
      <c r="A185" s="74" t="s">
        <v>261</v>
      </c>
      <c r="B185" s="74">
        <v>131885</v>
      </c>
      <c r="C185" s="74">
        <v>2</v>
      </c>
      <c r="D185" s="74" t="s">
        <v>507</v>
      </c>
      <c r="E185" s="74" t="s">
        <v>508</v>
      </c>
      <c r="F185" s="74">
        <v>80</v>
      </c>
      <c r="G185" s="74">
        <v>26.4</v>
      </c>
      <c r="H185" s="74">
        <v>87.3</v>
      </c>
      <c r="I185" s="74">
        <v>18.11</v>
      </c>
      <c r="J185" s="74">
        <v>59.88</v>
      </c>
      <c r="K185" s="74">
        <v>26</v>
      </c>
      <c r="T185" s="74">
        <v>3</v>
      </c>
      <c r="U185" s="74">
        <v>2</v>
      </c>
      <c r="V185" s="74" t="s">
        <v>186</v>
      </c>
      <c r="W185" s="74" t="s">
        <v>125</v>
      </c>
      <c r="X185" s="74">
        <v>9</v>
      </c>
      <c r="Y185" s="74">
        <v>9</v>
      </c>
      <c r="Z185" s="74" t="s">
        <v>510</v>
      </c>
      <c r="AA185" s="74" t="s">
        <v>511</v>
      </c>
      <c r="AB185" s="74" t="s">
        <v>182</v>
      </c>
      <c r="AC185" s="74" t="s">
        <v>183</v>
      </c>
      <c r="AD185" s="74" t="s">
        <v>158</v>
      </c>
      <c r="AG185" s="74" t="s">
        <v>512</v>
      </c>
      <c r="AH185" s="74">
        <v>0</v>
      </c>
      <c r="AI185" s="74">
        <v>295</v>
      </c>
      <c r="AJ185" s="74">
        <v>52</v>
      </c>
      <c r="AK185" s="74">
        <v>61</v>
      </c>
      <c r="AL185" s="74">
        <v>0.76</v>
      </c>
    </row>
    <row r="186" spans="1:38" x14ac:dyDescent="0.3">
      <c r="A186" s="74" t="s">
        <v>261</v>
      </c>
      <c r="B186" s="74">
        <v>131885</v>
      </c>
      <c r="C186" s="74">
        <v>3</v>
      </c>
      <c r="D186" s="74" t="s">
        <v>507</v>
      </c>
      <c r="E186" s="74" t="s">
        <v>508</v>
      </c>
      <c r="F186" s="74">
        <v>80</v>
      </c>
      <c r="G186" s="74">
        <v>37.39</v>
      </c>
      <c r="H186" s="74">
        <v>123.62</v>
      </c>
      <c r="I186" s="74">
        <v>25.64</v>
      </c>
      <c r="J186" s="74">
        <v>84.79</v>
      </c>
      <c r="K186" s="74">
        <v>2</v>
      </c>
      <c r="T186" s="74">
        <v>3</v>
      </c>
      <c r="U186" s="74">
        <v>2</v>
      </c>
      <c r="V186" s="74" t="s">
        <v>186</v>
      </c>
      <c r="W186" s="74">
        <v>123</v>
      </c>
      <c r="X186" s="74">
        <v>9</v>
      </c>
      <c r="Y186" s="74">
        <v>9</v>
      </c>
      <c r="Z186" s="74" t="s">
        <v>510</v>
      </c>
      <c r="AA186" s="74" t="s">
        <v>511</v>
      </c>
      <c r="AB186" s="74" t="s">
        <v>182</v>
      </c>
      <c r="AC186" s="74" t="s">
        <v>183</v>
      </c>
      <c r="AD186" s="74" t="s">
        <v>158</v>
      </c>
      <c r="AG186" s="74" t="s">
        <v>512</v>
      </c>
      <c r="AH186" s="74">
        <v>0</v>
      </c>
      <c r="AI186" s="74">
        <v>295</v>
      </c>
      <c r="AJ186" s="74">
        <v>52</v>
      </c>
      <c r="AK186" s="74">
        <v>61</v>
      </c>
      <c r="AL186" s="74">
        <v>0.76</v>
      </c>
    </row>
    <row r="187" spans="1:38" x14ac:dyDescent="0.3">
      <c r="A187" s="74" t="s">
        <v>261</v>
      </c>
      <c r="B187" s="74">
        <v>4998</v>
      </c>
      <c r="C187" s="74">
        <v>1</v>
      </c>
      <c r="D187" s="74" t="s">
        <v>513</v>
      </c>
      <c r="E187" s="74" t="s">
        <v>178</v>
      </c>
      <c r="F187" s="74">
        <v>765</v>
      </c>
      <c r="G187" s="74">
        <v>17.100000000000001</v>
      </c>
      <c r="H187" s="74">
        <v>56.54</v>
      </c>
      <c r="I187" s="74">
        <v>11.89</v>
      </c>
      <c r="J187" s="74">
        <v>39.33</v>
      </c>
      <c r="K187" s="74">
        <v>60</v>
      </c>
      <c r="T187" s="74">
        <v>2</v>
      </c>
      <c r="U187" s="74">
        <v>1</v>
      </c>
      <c r="V187" s="74" t="s">
        <v>179</v>
      </c>
      <c r="W187" s="74">
        <v>56</v>
      </c>
      <c r="X187" s="74">
        <v>15</v>
      </c>
      <c r="Y187" s="74">
        <v>15</v>
      </c>
      <c r="Z187" s="74" t="s">
        <v>514</v>
      </c>
      <c r="AA187" s="74" t="s">
        <v>515</v>
      </c>
      <c r="AB187" s="74" t="s">
        <v>182</v>
      </c>
      <c r="AC187" s="74" t="s">
        <v>183</v>
      </c>
      <c r="AD187" s="74" t="s">
        <v>158</v>
      </c>
      <c r="AG187" s="74" t="s">
        <v>516</v>
      </c>
      <c r="AH187" s="74">
        <v>0</v>
      </c>
      <c r="AI187" s="74">
        <v>0</v>
      </c>
      <c r="AJ187" s="74">
        <v>0</v>
      </c>
      <c r="AK187" s="74">
        <v>0</v>
      </c>
      <c r="AL187" s="74">
        <v>0</v>
      </c>
    </row>
    <row r="188" spans="1:38" x14ac:dyDescent="0.3">
      <c r="A188" s="74" t="s">
        <v>261</v>
      </c>
      <c r="B188" s="74">
        <v>4998</v>
      </c>
      <c r="C188" s="74">
        <v>2</v>
      </c>
      <c r="D188" s="74" t="s">
        <v>513</v>
      </c>
      <c r="E188" s="74" t="s">
        <v>178</v>
      </c>
      <c r="F188" s="74">
        <v>765</v>
      </c>
      <c r="G188" s="74">
        <v>21.63</v>
      </c>
      <c r="H188" s="74">
        <v>71.510000000000005</v>
      </c>
      <c r="I188" s="74">
        <v>15.05</v>
      </c>
      <c r="J188" s="74">
        <v>49.77</v>
      </c>
      <c r="K188" s="74">
        <v>120</v>
      </c>
      <c r="T188" s="74">
        <v>2</v>
      </c>
      <c r="U188" s="74">
        <v>1</v>
      </c>
      <c r="V188" s="74" t="s">
        <v>179</v>
      </c>
      <c r="W188" s="74">
        <v>71</v>
      </c>
      <c r="X188" s="74">
        <v>15</v>
      </c>
      <c r="Y188" s="74">
        <v>15</v>
      </c>
      <c r="Z188" s="74" t="s">
        <v>514</v>
      </c>
      <c r="AA188" s="74" t="s">
        <v>515</v>
      </c>
      <c r="AB188" s="74" t="s">
        <v>182</v>
      </c>
      <c r="AC188" s="74" t="s">
        <v>183</v>
      </c>
      <c r="AD188" s="74" t="s">
        <v>158</v>
      </c>
      <c r="AG188" s="74" t="s">
        <v>516</v>
      </c>
      <c r="AH188" s="74">
        <v>0</v>
      </c>
      <c r="AI188" s="74">
        <v>0</v>
      </c>
      <c r="AJ188" s="74">
        <v>0</v>
      </c>
      <c r="AK188" s="74">
        <v>0</v>
      </c>
      <c r="AL188" s="74">
        <v>0</v>
      </c>
    </row>
    <row r="189" spans="1:38" x14ac:dyDescent="0.3">
      <c r="A189" s="74" t="s">
        <v>261</v>
      </c>
      <c r="B189" s="74">
        <v>4998</v>
      </c>
      <c r="C189" s="74">
        <v>3</v>
      </c>
      <c r="D189" s="74" t="s">
        <v>513</v>
      </c>
      <c r="E189" s="74" t="s">
        <v>178</v>
      </c>
      <c r="F189" s="74">
        <v>765</v>
      </c>
      <c r="G189" s="74">
        <v>22.59</v>
      </c>
      <c r="H189" s="74">
        <v>74.709999999999994</v>
      </c>
      <c r="I189" s="74">
        <v>18.13</v>
      </c>
      <c r="J189" s="74">
        <v>59.94</v>
      </c>
      <c r="K189" s="74">
        <v>300</v>
      </c>
      <c r="T189" s="74">
        <v>3</v>
      </c>
      <c r="U189" s="74">
        <v>1</v>
      </c>
      <c r="V189" s="74" t="s">
        <v>186</v>
      </c>
      <c r="W189" s="74">
        <v>74</v>
      </c>
      <c r="X189" s="74">
        <v>15</v>
      </c>
      <c r="Y189" s="74">
        <v>15</v>
      </c>
      <c r="Z189" s="74" t="s">
        <v>514</v>
      </c>
      <c r="AA189" s="74" t="s">
        <v>515</v>
      </c>
      <c r="AB189" s="74" t="s">
        <v>182</v>
      </c>
      <c r="AC189" s="74" t="s">
        <v>183</v>
      </c>
      <c r="AD189" s="74" t="s">
        <v>158</v>
      </c>
      <c r="AG189" s="74" t="s">
        <v>516</v>
      </c>
      <c r="AH189" s="74">
        <v>0</v>
      </c>
      <c r="AI189" s="74">
        <v>0</v>
      </c>
      <c r="AJ189" s="74">
        <v>0</v>
      </c>
      <c r="AK189" s="74">
        <v>0</v>
      </c>
      <c r="AL189" s="74">
        <v>0</v>
      </c>
    </row>
    <row r="190" spans="1:38" x14ac:dyDescent="0.3">
      <c r="A190" s="74" t="s">
        <v>261</v>
      </c>
      <c r="B190" s="74">
        <v>4998</v>
      </c>
      <c r="C190" s="74">
        <v>4</v>
      </c>
      <c r="D190" s="74" t="s">
        <v>513</v>
      </c>
      <c r="E190" s="74" t="s">
        <v>178</v>
      </c>
      <c r="F190" s="74">
        <v>765</v>
      </c>
      <c r="G190" s="74">
        <v>24.85</v>
      </c>
      <c r="H190" s="74">
        <v>82.16</v>
      </c>
      <c r="I190" s="74">
        <v>18.09</v>
      </c>
      <c r="J190" s="74">
        <v>59.82</v>
      </c>
      <c r="K190" s="74">
        <v>285</v>
      </c>
      <c r="T190" s="74">
        <v>3</v>
      </c>
      <c r="U190" s="74">
        <v>1</v>
      </c>
      <c r="V190" s="74" t="s">
        <v>179</v>
      </c>
      <c r="W190" s="74">
        <v>82</v>
      </c>
      <c r="X190" s="74">
        <v>15</v>
      </c>
      <c r="Y190" s="74">
        <v>15</v>
      </c>
      <c r="Z190" s="74" t="s">
        <v>514</v>
      </c>
      <c r="AA190" s="74" t="s">
        <v>515</v>
      </c>
      <c r="AB190" s="74" t="s">
        <v>182</v>
      </c>
      <c r="AC190" s="74" t="s">
        <v>183</v>
      </c>
      <c r="AD190" s="74" t="s">
        <v>158</v>
      </c>
      <c r="AG190" s="74" t="s">
        <v>516</v>
      </c>
      <c r="AH190" s="74">
        <v>0</v>
      </c>
      <c r="AI190" s="74">
        <v>0</v>
      </c>
      <c r="AJ190" s="74">
        <v>0</v>
      </c>
      <c r="AK190" s="74">
        <v>0</v>
      </c>
      <c r="AL190" s="74">
        <v>0</v>
      </c>
    </row>
    <row r="191" spans="1:38" x14ac:dyDescent="0.3">
      <c r="A191" s="74" t="s">
        <v>261</v>
      </c>
      <c r="B191" s="74">
        <v>27019</v>
      </c>
      <c r="C191" s="74">
        <v>1</v>
      </c>
      <c r="D191" s="74" t="s">
        <v>517</v>
      </c>
      <c r="E191" s="74" t="s">
        <v>443</v>
      </c>
      <c r="F191" s="74">
        <v>268</v>
      </c>
      <c r="G191" s="74">
        <v>23.64</v>
      </c>
      <c r="H191" s="74">
        <v>78.16</v>
      </c>
      <c r="I191" s="74">
        <v>18.12</v>
      </c>
      <c r="J191" s="74">
        <v>59.91</v>
      </c>
      <c r="K191" s="74">
        <v>268</v>
      </c>
      <c r="T191" s="74">
        <v>2</v>
      </c>
      <c r="U191" s="74">
        <v>1</v>
      </c>
      <c r="V191" s="74" t="s">
        <v>186</v>
      </c>
      <c r="W191" s="74">
        <v>78</v>
      </c>
      <c r="X191" s="74">
        <v>15</v>
      </c>
      <c r="Y191" s="74">
        <v>15</v>
      </c>
      <c r="Z191" s="74" t="s">
        <v>518</v>
      </c>
      <c r="AA191" s="74" t="s">
        <v>519</v>
      </c>
      <c r="AB191" s="74" t="s">
        <v>182</v>
      </c>
      <c r="AC191" s="74" t="s">
        <v>183</v>
      </c>
      <c r="AD191" s="74" t="s">
        <v>158</v>
      </c>
      <c r="AG191" s="74" t="s">
        <v>520</v>
      </c>
      <c r="AH191" s="74">
        <v>0</v>
      </c>
      <c r="AI191" s="74">
        <v>0</v>
      </c>
      <c r="AJ191" s="74">
        <v>0</v>
      </c>
      <c r="AK191" s="74">
        <v>276</v>
      </c>
      <c r="AL191" s="74">
        <v>1.03</v>
      </c>
    </row>
    <row r="192" spans="1:38" x14ac:dyDescent="0.3">
      <c r="A192" s="74" t="s">
        <v>261</v>
      </c>
      <c r="B192" s="74">
        <v>5004</v>
      </c>
      <c r="C192" s="74">
        <v>1</v>
      </c>
      <c r="D192" s="74" t="s">
        <v>521</v>
      </c>
      <c r="E192" s="74" t="s">
        <v>243</v>
      </c>
      <c r="F192" s="74">
        <v>458</v>
      </c>
      <c r="G192" s="74">
        <v>24.58</v>
      </c>
      <c r="H192" s="74">
        <v>81.28</v>
      </c>
      <c r="I192" s="74">
        <v>19.690000000000001</v>
      </c>
      <c r="J192" s="74">
        <v>65.099999999999994</v>
      </c>
      <c r="K192" s="74">
        <v>144</v>
      </c>
      <c r="T192" s="74">
        <v>3</v>
      </c>
      <c r="U192" s="74">
        <v>1</v>
      </c>
      <c r="V192" s="74" t="s">
        <v>186</v>
      </c>
      <c r="W192" s="74">
        <v>81</v>
      </c>
      <c r="X192" s="74">
        <v>15</v>
      </c>
      <c r="Y192" s="74">
        <v>8</v>
      </c>
      <c r="Z192" s="74" t="s">
        <v>522</v>
      </c>
      <c r="AA192" s="74" t="s">
        <v>523</v>
      </c>
      <c r="AB192" s="74" t="s">
        <v>182</v>
      </c>
      <c r="AC192" s="74" t="s">
        <v>183</v>
      </c>
      <c r="AD192" s="74" t="s">
        <v>158</v>
      </c>
      <c r="AG192" s="74" t="s">
        <v>524</v>
      </c>
      <c r="AH192" s="74">
        <v>0</v>
      </c>
      <c r="AI192" s="74">
        <v>0</v>
      </c>
      <c r="AJ192" s="74">
        <v>0</v>
      </c>
      <c r="AK192" s="74">
        <v>229</v>
      </c>
      <c r="AL192" s="74">
        <v>0.5</v>
      </c>
    </row>
    <row r="193" spans="1:38" x14ac:dyDescent="0.3">
      <c r="A193" s="74" t="s">
        <v>261</v>
      </c>
      <c r="B193" s="74">
        <v>5004</v>
      </c>
      <c r="C193" s="74">
        <v>2</v>
      </c>
      <c r="D193" s="74" t="s">
        <v>521</v>
      </c>
      <c r="E193" s="74" t="s">
        <v>243</v>
      </c>
      <c r="F193" s="74">
        <v>458</v>
      </c>
      <c r="G193" s="74">
        <v>29.27</v>
      </c>
      <c r="H193" s="74">
        <v>96.79</v>
      </c>
      <c r="I193" s="74">
        <v>23.62</v>
      </c>
      <c r="J193" s="74">
        <v>78.09</v>
      </c>
      <c r="K193" s="74">
        <v>69</v>
      </c>
      <c r="T193" s="74">
        <v>3</v>
      </c>
      <c r="U193" s="74">
        <v>1</v>
      </c>
      <c r="V193" s="74" t="s">
        <v>186</v>
      </c>
      <c r="W193" s="74">
        <v>96</v>
      </c>
      <c r="X193" s="74">
        <v>15</v>
      </c>
      <c r="Y193" s="74">
        <v>8</v>
      </c>
      <c r="Z193" s="74" t="s">
        <v>522</v>
      </c>
      <c r="AA193" s="74" t="s">
        <v>523</v>
      </c>
      <c r="AB193" s="74" t="s">
        <v>182</v>
      </c>
      <c r="AC193" s="74" t="s">
        <v>183</v>
      </c>
      <c r="AD193" s="74" t="s">
        <v>158</v>
      </c>
      <c r="AG193" s="74" t="s">
        <v>524</v>
      </c>
      <c r="AH193" s="74">
        <v>0</v>
      </c>
      <c r="AI193" s="74">
        <v>0</v>
      </c>
      <c r="AJ193" s="74">
        <v>0</v>
      </c>
      <c r="AK193" s="74">
        <v>229</v>
      </c>
      <c r="AL193" s="74">
        <v>0.5</v>
      </c>
    </row>
    <row r="194" spans="1:38" x14ac:dyDescent="0.3">
      <c r="A194" s="74" t="s">
        <v>261</v>
      </c>
      <c r="B194" s="74">
        <v>5004</v>
      </c>
      <c r="C194" s="74">
        <v>3</v>
      </c>
      <c r="D194" s="74" t="s">
        <v>521</v>
      </c>
      <c r="E194" s="74" t="s">
        <v>243</v>
      </c>
      <c r="F194" s="74">
        <v>458</v>
      </c>
      <c r="G194" s="74">
        <v>31.48</v>
      </c>
      <c r="H194" s="74">
        <v>104.07</v>
      </c>
      <c r="I194" s="74">
        <v>25.7</v>
      </c>
      <c r="J194" s="74">
        <v>84.96</v>
      </c>
      <c r="K194" s="74">
        <v>245</v>
      </c>
      <c r="T194" s="74">
        <v>3</v>
      </c>
      <c r="U194" s="74">
        <v>2</v>
      </c>
      <c r="V194" s="74" t="s">
        <v>186</v>
      </c>
      <c r="W194" s="74">
        <v>104</v>
      </c>
      <c r="X194" s="74">
        <v>15</v>
      </c>
      <c r="Y194" s="74">
        <v>8</v>
      </c>
      <c r="Z194" s="74" t="s">
        <v>522</v>
      </c>
      <c r="AA194" s="74" t="s">
        <v>523</v>
      </c>
      <c r="AB194" s="74" t="s">
        <v>182</v>
      </c>
      <c r="AC194" s="74" t="s">
        <v>183</v>
      </c>
      <c r="AD194" s="74" t="s">
        <v>158</v>
      </c>
      <c r="AG194" s="74" t="s">
        <v>524</v>
      </c>
      <c r="AH194" s="74">
        <v>0</v>
      </c>
      <c r="AI194" s="74">
        <v>0</v>
      </c>
      <c r="AJ194" s="74">
        <v>0</v>
      </c>
      <c r="AK194" s="74">
        <v>229</v>
      </c>
      <c r="AL194" s="74">
        <v>0.5</v>
      </c>
    </row>
    <row r="195" spans="1:38" x14ac:dyDescent="0.3">
      <c r="A195" s="74" t="s">
        <v>261</v>
      </c>
      <c r="B195" s="74">
        <v>5012</v>
      </c>
      <c r="C195" s="74">
        <v>1</v>
      </c>
      <c r="D195" s="74" t="s">
        <v>525</v>
      </c>
      <c r="E195" s="74" t="s">
        <v>526</v>
      </c>
      <c r="F195" s="74">
        <v>1541</v>
      </c>
      <c r="G195" s="74">
        <v>16.579999999999998</v>
      </c>
      <c r="H195" s="74">
        <v>54.81</v>
      </c>
      <c r="I195" s="74">
        <v>11.39</v>
      </c>
      <c r="J195" s="74">
        <v>37.67</v>
      </c>
      <c r="K195" s="74">
        <v>149</v>
      </c>
      <c r="T195" s="74">
        <v>2</v>
      </c>
      <c r="U195" s="74">
        <v>1</v>
      </c>
      <c r="V195" s="74" t="s">
        <v>179</v>
      </c>
      <c r="W195" s="74">
        <v>54</v>
      </c>
      <c r="X195" s="74">
        <v>15</v>
      </c>
      <c r="Y195" s="74">
        <v>15</v>
      </c>
      <c r="Z195" s="74" t="s">
        <v>527</v>
      </c>
      <c r="AA195" s="74" t="s">
        <v>528</v>
      </c>
      <c r="AB195" s="74" t="s">
        <v>182</v>
      </c>
      <c r="AC195" s="74" t="s">
        <v>183</v>
      </c>
      <c r="AD195" s="74" t="s">
        <v>158</v>
      </c>
      <c r="AG195" s="74" t="s">
        <v>529</v>
      </c>
      <c r="AH195" s="74">
        <v>0</v>
      </c>
      <c r="AI195" s="74">
        <v>0</v>
      </c>
      <c r="AJ195" s="74">
        <v>0</v>
      </c>
      <c r="AK195" s="74">
        <v>0</v>
      </c>
      <c r="AL195" s="74">
        <v>0</v>
      </c>
    </row>
    <row r="196" spans="1:38" x14ac:dyDescent="0.3">
      <c r="A196" s="74" t="s">
        <v>261</v>
      </c>
      <c r="B196" s="74">
        <v>5012</v>
      </c>
      <c r="C196" s="74">
        <v>2</v>
      </c>
      <c r="D196" s="74" t="s">
        <v>525</v>
      </c>
      <c r="E196" s="74" t="s">
        <v>526</v>
      </c>
      <c r="F196" s="74">
        <v>1541</v>
      </c>
      <c r="G196" s="74">
        <v>21.11</v>
      </c>
      <c r="H196" s="74">
        <v>69.8</v>
      </c>
      <c r="I196" s="74">
        <v>15.03</v>
      </c>
      <c r="J196" s="74">
        <v>49.69</v>
      </c>
      <c r="K196" s="74">
        <v>149</v>
      </c>
      <c r="T196" s="74">
        <v>2</v>
      </c>
      <c r="U196" s="74">
        <v>1</v>
      </c>
      <c r="V196" s="74" t="s">
        <v>179</v>
      </c>
      <c r="W196" s="74">
        <v>69</v>
      </c>
      <c r="X196" s="74">
        <v>15</v>
      </c>
      <c r="Y196" s="74">
        <v>15</v>
      </c>
      <c r="Z196" s="74" t="s">
        <v>527</v>
      </c>
      <c r="AA196" s="74" t="s">
        <v>528</v>
      </c>
      <c r="AB196" s="74" t="s">
        <v>182</v>
      </c>
      <c r="AC196" s="74" t="s">
        <v>183</v>
      </c>
      <c r="AD196" s="74" t="s">
        <v>158</v>
      </c>
      <c r="AG196" s="74" t="s">
        <v>529</v>
      </c>
      <c r="AH196" s="74">
        <v>0</v>
      </c>
      <c r="AI196" s="74">
        <v>0</v>
      </c>
      <c r="AJ196" s="74">
        <v>0</v>
      </c>
      <c r="AK196" s="74">
        <v>0</v>
      </c>
      <c r="AL196" s="74">
        <v>0</v>
      </c>
    </row>
    <row r="197" spans="1:38" x14ac:dyDescent="0.3">
      <c r="A197" s="74" t="s">
        <v>261</v>
      </c>
      <c r="B197" s="74">
        <v>5012</v>
      </c>
      <c r="C197" s="74">
        <v>3</v>
      </c>
      <c r="D197" s="74" t="s">
        <v>525</v>
      </c>
      <c r="E197" s="74" t="s">
        <v>526</v>
      </c>
      <c r="F197" s="74">
        <v>1541</v>
      </c>
      <c r="G197" s="74">
        <v>23.95</v>
      </c>
      <c r="H197" s="74">
        <v>79.19</v>
      </c>
      <c r="I197" s="74">
        <v>17.579999999999998</v>
      </c>
      <c r="J197" s="74">
        <v>58.14</v>
      </c>
      <c r="K197" s="74">
        <v>1243</v>
      </c>
      <c r="T197" s="74">
        <v>3</v>
      </c>
      <c r="U197" s="74">
        <v>1</v>
      </c>
      <c r="V197" s="74" t="s">
        <v>179</v>
      </c>
      <c r="W197" s="74">
        <v>79</v>
      </c>
      <c r="X197" s="74">
        <v>15</v>
      </c>
      <c r="Y197" s="74">
        <v>15</v>
      </c>
      <c r="Z197" s="74" t="s">
        <v>527</v>
      </c>
      <c r="AA197" s="74" t="s">
        <v>528</v>
      </c>
      <c r="AB197" s="74" t="s">
        <v>182</v>
      </c>
      <c r="AC197" s="74" t="s">
        <v>183</v>
      </c>
      <c r="AD197" s="74" t="s">
        <v>158</v>
      </c>
      <c r="AG197" s="74" t="s">
        <v>529</v>
      </c>
      <c r="AH197" s="74">
        <v>0</v>
      </c>
      <c r="AI197" s="74">
        <v>0</v>
      </c>
      <c r="AJ197" s="74">
        <v>0</v>
      </c>
      <c r="AK197" s="74">
        <v>0</v>
      </c>
      <c r="AL197" s="74">
        <v>0</v>
      </c>
    </row>
    <row r="198" spans="1:38" x14ac:dyDescent="0.3">
      <c r="A198" s="74" t="s">
        <v>261</v>
      </c>
      <c r="B198" s="74">
        <v>139866</v>
      </c>
      <c r="C198" s="74">
        <v>1</v>
      </c>
      <c r="D198" s="74" t="s">
        <v>530</v>
      </c>
      <c r="E198" s="74" t="s">
        <v>378</v>
      </c>
      <c r="F198" s="74">
        <v>100</v>
      </c>
      <c r="G198" s="74">
        <v>19.41</v>
      </c>
      <c r="H198" s="74">
        <v>64.17</v>
      </c>
      <c r="I198" s="74">
        <v>17.66</v>
      </c>
      <c r="J198" s="74">
        <v>58.41</v>
      </c>
      <c r="K198" s="74">
        <v>50</v>
      </c>
      <c r="T198" s="74">
        <v>3</v>
      </c>
      <c r="U198" s="74">
        <v>1</v>
      </c>
      <c r="V198" s="74" t="s">
        <v>186</v>
      </c>
      <c r="W198" s="74" t="s">
        <v>472</v>
      </c>
      <c r="X198" s="74">
        <v>5</v>
      </c>
      <c r="Y198" s="74">
        <v>5</v>
      </c>
      <c r="Z198" s="74" t="s">
        <v>531</v>
      </c>
      <c r="AA198" s="74" t="s">
        <v>532</v>
      </c>
      <c r="AB198" s="74" t="s">
        <v>182</v>
      </c>
      <c r="AC198" s="74" t="s">
        <v>183</v>
      </c>
      <c r="AD198" s="74" t="s">
        <v>158</v>
      </c>
      <c r="AG198" s="74" t="s">
        <v>533</v>
      </c>
      <c r="AH198" s="74">
        <v>0</v>
      </c>
      <c r="AI198" s="74">
        <v>0</v>
      </c>
      <c r="AJ198" s="74">
        <v>0</v>
      </c>
      <c r="AK198" s="74">
        <v>0</v>
      </c>
      <c r="AL198" s="74">
        <v>0</v>
      </c>
    </row>
    <row r="199" spans="1:38" x14ac:dyDescent="0.3">
      <c r="A199" s="74" t="s">
        <v>261</v>
      </c>
      <c r="B199" s="74">
        <v>139866</v>
      </c>
      <c r="C199" s="74">
        <v>2</v>
      </c>
      <c r="D199" s="74" t="s">
        <v>530</v>
      </c>
      <c r="E199" s="74" t="s">
        <v>378</v>
      </c>
      <c r="F199" s="74">
        <v>100</v>
      </c>
      <c r="G199" s="74">
        <v>19.57</v>
      </c>
      <c r="H199" s="74">
        <v>64.709999999999994</v>
      </c>
      <c r="I199" s="74">
        <v>17.829999999999998</v>
      </c>
      <c r="J199" s="74">
        <v>58.95</v>
      </c>
      <c r="K199" s="74">
        <v>50</v>
      </c>
      <c r="T199" s="74">
        <v>2</v>
      </c>
      <c r="U199" s="74">
        <v>1</v>
      </c>
      <c r="V199" s="74" t="s">
        <v>186</v>
      </c>
      <c r="W199" s="74" t="s">
        <v>534</v>
      </c>
      <c r="X199" s="74">
        <v>5</v>
      </c>
      <c r="Y199" s="74">
        <v>5</v>
      </c>
      <c r="Z199" s="74" t="s">
        <v>531</v>
      </c>
      <c r="AA199" s="74" t="s">
        <v>532</v>
      </c>
      <c r="AB199" s="74" t="s">
        <v>182</v>
      </c>
      <c r="AC199" s="74" t="s">
        <v>183</v>
      </c>
      <c r="AD199" s="74" t="s">
        <v>158</v>
      </c>
      <c r="AG199" s="74" t="s">
        <v>533</v>
      </c>
      <c r="AH199" s="74">
        <v>0</v>
      </c>
      <c r="AI199" s="74">
        <v>0</v>
      </c>
      <c r="AJ199" s="74">
        <v>0</v>
      </c>
      <c r="AK199" s="74">
        <v>0</v>
      </c>
      <c r="AL199" s="74">
        <v>0</v>
      </c>
    </row>
    <row r="200" spans="1:38" x14ac:dyDescent="0.3">
      <c r="A200" s="74" t="s">
        <v>261</v>
      </c>
      <c r="B200" s="74">
        <v>136405</v>
      </c>
      <c r="C200" s="74">
        <v>1</v>
      </c>
      <c r="D200" s="74" t="s">
        <v>535</v>
      </c>
      <c r="E200" s="74" t="s">
        <v>536</v>
      </c>
      <c r="F200" s="74">
        <v>18</v>
      </c>
      <c r="G200" s="74">
        <v>30.04</v>
      </c>
      <c r="H200" s="74">
        <v>99.31</v>
      </c>
      <c r="I200" s="74">
        <v>24.81</v>
      </c>
      <c r="J200" s="74">
        <v>82.02</v>
      </c>
      <c r="K200" s="74">
        <v>4</v>
      </c>
      <c r="T200" s="74">
        <v>3</v>
      </c>
      <c r="U200" s="74">
        <v>2</v>
      </c>
      <c r="V200" s="74" t="s">
        <v>186</v>
      </c>
      <c r="W200" s="74" t="s">
        <v>118</v>
      </c>
      <c r="X200" s="74">
        <v>5</v>
      </c>
      <c r="Y200" s="74">
        <v>5</v>
      </c>
      <c r="Z200" s="74" t="s">
        <v>537</v>
      </c>
      <c r="AA200" s="74" t="s">
        <v>538</v>
      </c>
      <c r="AB200" s="74" t="s">
        <v>182</v>
      </c>
      <c r="AC200" s="74" t="s">
        <v>183</v>
      </c>
      <c r="AD200" s="74" t="s">
        <v>158</v>
      </c>
      <c r="AG200" s="74" t="s">
        <v>539</v>
      </c>
      <c r="AH200" s="74">
        <v>0</v>
      </c>
      <c r="AI200" s="74">
        <v>230</v>
      </c>
      <c r="AJ200" s="74">
        <v>47</v>
      </c>
      <c r="AK200" s="74">
        <v>0</v>
      </c>
      <c r="AL200" s="74">
        <v>0</v>
      </c>
    </row>
    <row r="201" spans="1:38" x14ac:dyDescent="0.3">
      <c r="A201" s="74" t="s">
        <v>261</v>
      </c>
      <c r="B201" s="74">
        <v>136405</v>
      </c>
      <c r="C201" s="74">
        <v>2</v>
      </c>
      <c r="D201" s="74" t="s">
        <v>535</v>
      </c>
      <c r="E201" s="74" t="s">
        <v>536</v>
      </c>
      <c r="F201" s="74">
        <v>18</v>
      </c>
      <c r="G201" s="74">
        <v>30.05</v>
      </c>
      <c r="H201" s="74">
        <v>99.36</v>
      </c>
      <c r="I201" s="74">
        <v>24.82</v>
      </c>
      <c r="J201" s="74">
        <v>82.07</v>
      </c>
      <c r="K201" s="74">
        <v>4</v>
      </c>
      <c r="T201" s="74">
        <v>3</v>
      </c>
      <c r="U201" s="74">
        <v>2</v>
      </c>
      <c r="V201" s="74" t="s">
        <v>186</v>
      </c>
      <c r="W201" s="74" t="s">
        <v>89</v>
      </c>
      <c r="X201" s="74">
        <v>5</v>
      </c>
      <c r="Y201" s="74">
        <v>5</v>
      </c>
      <c r="Z201" s="74" t="s">
        <v>537</v>
      </c>
      <c r="AA201" s="74" t="s">
        <v>538</v>
      </c>
      <c r="AB201" s="74" t="s">
        <v>182</v>
      </c>
      <c r="AC201" s="74" t="s">
        <v>183</v>
      </c>
      <c r="AD201" s="74" t="s">
        <v>158</v>
      </c>
      <c r="AG201" s="74" t="s">
        <v>539</v>
      </c>
      <c r="AH201" s="74">
        <v>0</v>
      </c>
      <c r="AI201" s="74">
        <v>230</v>
      </c>
      <c r="AJ201" s="74">
        <v>47</v>
      </c>
      <c r="AK201" s="74">
        <v>0</v>
      </c>
      <c r="AL201" s="74">
        <v>0</v>
      </c>
    </row>
    <row r="202" spans="1:38" x14ac:dyDescent="0.3">
      <c r="A202" s="74" t="s">
        <v>261</v>
      </c>
      <c r="B202" s="74">
        <v>136405</v>
      </c>
      <c r="C202" s="74">
        <v>3</v>
      </c>
      <c r="D202" s="74" t="s">
        <v>535</v>
      </c>
      <c r="E202" s="74" t="s">
        <v>536</v>
      </c>
      <c r="F202" s="74">
        <v>18</v>
      </c>
      <c r="G202" s="74">
        <v>30.05</v>
      </c>
      <c r="H202" s="74">
        <v>99.36</v>
      </c>
      <c r="I202" s="74">
        <v>24.81</v>
      </c>
      <c r="J202" s="74">
        <v>82.02</v>
      </c>
      <c r="K202" s="74">
        <v>1</v>
      </c>
      <c r="T202" s="74">
        <v>3</v>
      </c>
      <c r="U202" s="74">
        <v>2</v>
      </c>
      <c r="V202" s="74" t="s">
        <v>186</v>
      </c>
      <c r="W202" s="74" t="s">
        <v>540</v>
      </c>
      <c r="X202" s="74">
        <v>5</v>
      </c>
      <c r="Y202" s="74">
        <v>5</v>
      </c>
      <c r="Z202" s="74" t="s">
        <v>537</v>
      </c>
      <c r="AA202" s="74" t="s">
        <v>538</v>
      </c>
      <c r="AB202" s="74" t="s">
        <v>182</v>
      </c>
      <c r="AC202" s="74" t="s">
        <v>183</v>
      </c>
      <c r="AD202" s="74" t="s">
        <v>158</v>
      </c>
      <c r="AG202" s="74" t="s">
        <v>539</v>
      </c>
      <c r="AH202" s="74">
        <v>0</v>
      </c>
      <c r="AI202" s="74">
        <v>230</v>
      </c>
      <c r="AJ202" s="74">
        <v>47</v>
      </c>
      <c r="AK202" s="74">
        <v>0</v>
      </c>
      <c r="AL202" s="74">
        <v>0</v>
      </c>
    </row>
    <row r="203" spans="1:38" x14ac:dyDescent="0.3">
      <c r="A203" s="74" t="s">
        <v>261</v>
      </c>
      <c r="B203" s="74">
        <v>136405</v>
      </c>
      <c r="C203" s="74">
        <v>4</v>
      </c>
      <c r="D203" s="74" t="s">
        <v>535</v>
      </c>
      <c r="E203" s="74" t="s">
        <v>536</v>
      </c>
      <c r="F203" s="74">
        <v>18</v>
      </c>
      <c r="G203" s="74">
        <v>30.51</v>
      </c>
      <c r="H203" s="74">
        <v>100.89</v>
      </c>
      <c r="I203" s="74">
        <v>25.24</v>
      </c>
      <c r="J203" s="74">
        <v>83.45</v>
      </c>
      <c r="K203" s="74">
        <v>4</v>
      </c>
      <c r="T203" s="74">
        <v>3</v>
      </c>
      <c r="U203" s="74">
        <v>2</v>
      </c>
      <c r="V203" s="74" t="s">
        <v>186</v>
      </c>
      <c r="W203" s="74" t="s">
        <v>116</v>
      </c>
      <c r="X203" s="74">
        <v>5</v>
      </c>
      <c r="Y203" s="74">
        <v>5</v>
      </c>
      <c r="Z203" s="74" t="s">
        <v>537</v>
      </c>
      <c r="AA203" s="74" t="s">
        <v>538</v>
      </c>
      <c r="AB203" s="74" t="s">
        <v>182</v>
      </c>
      <c r="AC203" s="74" t="s">
        <v>183</v>
      </c>
      <c r="AD203" s="74" t="s">
        <v>158</v>
      </c>
      <c r="AG203" s="74" t="s">
        <v>539</v>
      </c>
      <c r="AH203" s="74">
        <v>0</v>
      </c>
      <c r="AI203" s="74">
        <v>230</v>
      </c>
      <c r="AJ203" s="74">
        <v>47</v>
      </c>
      <c r="AK203" s="74">
        <v>0</v>
      </c>
      <c r="AL203" s="74">
        <v>0</v>
      </c>
    </row>
    <row r="204" spans="1:38" x14ac:dyDescent="0.3">
      <c r="A204" s="74" t="s">
        <v>261</v>
      </c>
      <c r="B204" s="74">
        <v>136405</v>
      </c>
      <c r="C204" s="74">
        <v>5</v>
      </c>
      <c r="D204" s="74" t="s">
        <v>535</v>
      </c>
      <c r="E204" s="74" t="s">
        <v>536</v>
      </c>
      <c r="F204" s="74">
        <v>18</v>
      </c>
      <c r="G204" s="74">
        <v>30.64</v>
      </c>
      <c r="H204" s="74">
        <v>101.29</v>
      </c>
      <c r="I204" s="74">
        <v>25.34</v>
      </c>
      <c r="J204" s="74">
        <v>83.79</v>
      </c>
      <c r="K204" s="74">
        <v>4</v>
      </c>
      <c r="T204" s="74">
        <v>3</v>
      </c>
      <c r="U204" s="74">
        <v>2</v>
      </c>
      <c r="V204" s="74" t="s">
        <v>186</v>
      </c>
      <c r="W204" s="74" t="s">
        <v>114</v>
      </c>
      <c r="X204" s="74">
        <v>5</v>
      </c>
      <c r="Y204" s="74">
        <v>5</v>
      </c>
      <c r="Z204" s="74" t="s">
        <v>537</v>
      </c>
      <c r="AA204" s="74" t="s">
        <v>538</v>
      </c>
      <c r="AB204" s="74" t="s">
        <v>182</v>
      </c>
      <c r="AC204" s="74" t="s">
        <v>183</v>
      </c>
      <c r="AD204" s="74" t="s">
        <v>158</v>
      </c>
      <c r="AG204" s="74" t="s">
        <v>539</v>
      </c>
      <c r="AH204" s="74">
        <v>0</v>
      </c>
      <c r="AI204" s="74">
        <v>230</v>
      </c>
      <c r="AJ204" s="74">
        <v>47</v>
      </c>
      <c r="AK204" s="74">
        <v>0</v>
      </c>
      <c r="AL204" s="74">
        <v>0</v>
      </c>
    </row>
    <row r="205" spans="1:38" x14ac:dyDescent="0.3">
      <c r="A205" s="74" t="s">
        <v>261</v>
      </c>
      <c r="B205" s="74">
        <v>136405</v>
      </c>
      <c r="C205" s="74">
        <v>6</v>
      </c>
      <c r="D205" s="74" t="s">
        <v>535</v>
      </c>
      <c r="E205" s="74" t="s">
        <v>536</v>
      </c>
      <c r="F205" s="74">
        <v>18</v>
      </c>
      <c r="G205" s="74">
        <v>30.65</v>
      </c>
      <c r="H205" s="74">
        <v>101.34</v>
      </c>
      <c r="I205" s="74">
        <v>25.34</v>
      </c>
      <c r="J205" s="74">
        <v>83.79</v>
      </c>
      <c r="K205" s="74">
        <v>1</v>
      </c>
      <c r="T205" s="74">
        <v>3</v>
      </c>
      <c r="U205" s="74">
        <v>2</v>
      </c>
      <c r="V205" s="74" t="s">
        <v>186</v>
      </c>
      <c r="W205" s="74" t="s">
        <v>541</v>
      </c>
      <c r="X205" s="74">
        <v>5</v>
      </c>
      <c r="Y205" s="74">
        <v>5</v>
      </c>
      <c r="Z205" s="74" t="s">
        <v>537</v>
      </c>
      <c r="AA205" s="74" t="s">
        <v>538</v>
      </c>
      <c r="AB205" s="74" t="s">
        <v>182</v>
      </c>
      <c r="AC205" s="74" t="s">
        <v>183</v>
      </c>
      <c r="AD205" s="74" t="s">
        <v>158</v>
      </c>
      <c r="AG205" s="74" t="s">
        <v>539</v>
      </c>
      <c r="AH205" s="74">
        <v>0</v>
      </c>
      <c r="AI205" s="74">
        <v>230</v>
      </c>
      <c r="AJ205" s="74">
        <v>47</v>
      </c>
      <c r="AK205" s="74">
        <v>0</v>
      </c>
      <c r="AL205" s="74">
        <v>0</v>
      </c>
    </row>
    <row r="206" spans="1:38" x14ac:dyDescent="0.3">
      <c r="A206" s="74" t="s">
        <v>261</v>
      </c>
      <c r="B206" s="74">
        <v>133504</v>
      </c>
      <c r="C206" s="74">
        <v>1</v>
      </c>
      <c r="D206" s="74" t="s">
        <v>542</v>
      </c>
      <c r="E206" s="74" t="s">
        <v>543</v>
      </c>
      <c r="F206" s="74">
        <v>35</v>
      </c>
      <c r="G206" s="74">
        <v>32.4</v>
      </c>
      <c r="H206" s="74">
        <v>107.12</v>
      </c>
      <c r="I206" s="74">
        <v>27.99</v>
      </c>
      <c r="J206" s="74">
        <v>92.53</v>
      </c>
      <c r="K206" s="74">
        <v>30</v>
      </c>
      <c r="T206" s="74">
        <v>3</v>
      </c>
      <c r="U206" s="74">
        <v>2</v>
      </c>
      <c r="V206" s="74" t="s">
        <v>186</v>
      </c>
      <c r="W206" s="74">
        <v>107</v>
      </c>
      <c r="X206" s="74">
        <v>5</v>
      </c>
      <c r="Y206" s="74">
        <v>5</v>
      </c>
      <c r="Z206" s="74" t="s">
        <v>544</v>
      </c>
      <c r="AA206" s="74" t="s">
        <v>545</v>
      </c>
      <c r="AB206" s="74" t="s">
        <v>182</v>
      </c>
      <c r="AC206" s="74" t="s">
        <v>183</v>
      </c>
      <c r="AD206" s="74" t="s">
        <v>158</v>
      </c>
      <c r="AG206" s="74" t="s">
        <v>546</v>
      </c>
      <c r="AH206" s="74">
        <v>0</v>
      </c>
      <c r="AI206" s="74">
        <v>164</v>
      </c>
      <c r="AJ206" s="74">
        <v>32</v>
      </c>
      <c r="AK206" s="74">
        <v>0</v>
      </c>
      <c r="AL206" s="74">
        <v>0</v>
      </c>
    </row>
    <row r="207" spans="1:38" x14ac:dyDescent="0.3">
      <c r="A207" s="74" t="s">
        <v>261</v>
      </c>
      <c r="B207" s="74">
        <v>133504</v>
      </c>
      <c r="C207" s="74">
        <v>2</v>
      </c>
      <c r="D207" s="74" t="s">
        <v>542</v>
      </c>
      <c r="E207" s="74" t="s">
        <v>543</v>
      </c>
      <c r="F207" s="74">
        <v>35</v>
      </c>
      <c r="G207" s="74">
        <v>35.96</v>
      </c>
      <c r="H207" s="74">
        <v>118.88</v>
      </c>
      <c r="I207" s="74">
        <v>29.91</v>
      </c>
      <c r="J207" s="74">
        <v>98.89</v>
      </c>
      <c r="K207" s="74">
        <v>5</v>
      </c>
      <c r="T207" s="74">
        <v>3</v>
      </c>
      <c r="U207" s="74">
        <v>2</v>
      </c>
      <c r="V207" s="74" t="s">
        <v>186</v>
      </c>
      <c r="W207" s="74">
        <v>118</v>
      </c>
      <c r="X207" s="74">
        <v>5</v>
      </c>
      <c r="Y207" s="74">
        <v>5</v>
      </c>
      <c r="Z207" s="74" t="s">
        <v>544</v>
      </c>
      <c r="AA207" s="74" t="s">
        <v>545</v>
      </c>
      <c r="AB207" s="74" t="s">
        <v>182</v>
      </c>
      <c r="AC207" s="74" t="s">
        <v>183</v>
      </c>
      <c r="AD207" s="74" t="s">
        <v>158</v>
      </c>
      <c r="AG207" s="74" t="s">
        <v>546</v>
      </c>
      <c r="AH207" s="74">
        <v>0</v>
      </c>
      <c r="AI207" s="74">
        <v>164</v>
      </c>
      <c r="AJ207" s="74">
        <v>32</v>
      </c>
      <c r="AK207" s="74">
        <v>0</v>
      </c>
      <c r="AL207" s="74">
        <v>0</v>
      </c>
    </row>
    <row r="208" spans="1:38" x14ac:dyDescent="0.3">
      <c r="A208" s="74" t="s">
        <v>261</v>
      </c>
      <c r="B208" s="74">
        <v>125674</v>
      </c>
      <c r="C208" s="74">
        <v>1</v>
      </c>
      <c r="D208" s="74" t="s">
        <v>547</v>
      </c>
      <c r="E208" s="74" t="s">
        <v>548</v>
      </c>
      <c r="F208" s="74">
        <v>78</v>
      </c>
      <c r="G208" s="74">
        <v>18.239999999999998</v>
      </c>
      <c r="H208" s="74">
        <v>60.3</v>
      </c>
      <c r="I208" s="74">
        <v>16.52</v>
      </c>
      <c r="J208" s="74">
        <v>54.63</v>
      </c>
      <c r="K208" s="74">
        <v>1</v>
      </c>
      <c r="T208" s="74">
        <v>3</v>
      </c>
      <c r="U208" s="74">
        <v>1</v>
      </c>
      <c r="V208" s="74" t="s">
        <v>186</v>
      </c>
      <c r="W208" s="74">
        <v>60</v>
      </c>
      <c r="X208" s="74">
        <v>3</v>
      </c>
      <c r="Y208" s="74">
        <v>3</v>
      </c>
      <c r="Z208" s="74" t="s">
        <v>549</v>
      </c>
      <c r="AA208" s="74" t="s">
        <v>550</v>
      </c>
      <c r="AB208" s="74" t="s">
        <v>182</v>
      </c>
      <c r="AC208" s="74" t="s">
        <v>183</v>
      </c>
      <c r="AD208" s="74" t="s">
        <v>158</v>
      </c>
      <c r="AG208" s="74" t="s">
        <v>551</v>
      </c>
      <c r="AH208" s="74">
        <v>0</v>
      </c>
      <c r="AI208" s="74">
        <v>0</v>
      </c>
      <c r="AJ208" s="74">
        <v>0</v>
      </c>
      <c r="AK208" s="74">
        <v>0</v>
      </c>
      <c r="AL208" s="74">
        <v>0</v>
      </c>
    </row>
    <row r="209" spans="1:38" x14ac:dyDescent="0.3">
      <c r="A209" s="74" t="s">
        <v>261</v>
      </c>
      <c r="B209" s="74">
        <v>125674</v>
      </c>
      <c r="C209" s="74">
        <v>2</v>
      </c>
      <c r="D209" s="74" t="s">
        <v>547</v>
      </c>
      <c r="E209" s="74" t="s">
        <v>548</v>
      </c>
      <c r="F209" s="74">
        <v>78</v>
      </c>
      <c r="G209" s="74">
        <v>21.61</v>
      </c>
      <c r="H209" s="74">
        <v>71.459999999999994</v>
      </c>
      <c r="I209" s="74">
        <v>19.899999999999999</v>
      </c>
      <c r="J209" s="74">
        <v>65.790000000000006</v>
      </c>
      <c r="K209" s="74">
        <v>35</v>
      </c>
      <c r="T209" s="74">
        <v>3</v>
      </c>
      <c r="U209" s="74">
        <v>1</v>
      </c>
      <c r="V209" s="74" t="s">
        <v>186</v>
      </c>
      <c r="W209" s="74">
        <v>71</v>
      </c>
      <c r="X209" s="74">
        <v>3</v>
      </c>
      <c r="Y209" s="74">
        <v>3</v>
      </c>
      <c r="Z209" s="74" t="s">
        <v>549</v>
      </c>
      <c r="AA209" s="74" t="s">
        <v>550</v>
      </c>
      <c r="AB209" s="74" t="s">
        <v>182</v>
      </c>
      <c r="AC209" s="74" t="s">
        <v>183</v>
      </c>
      <c r="AD209" s="74" t="s">
        <v>158</v>
      </c>
      <c r="AG209" s="74" t="s">
        <v>551</v>
      </c>
      <c r="AH209" s="74">
        <v>0</v>
      </c>
      <c r="AI209" s="74">
        <v>0</v>
      </c>
      <c r="AJ209" s="74">
        <v>0</v>
      </c>
      <c r="AK209" s="74">
        <v>0</v>
      </c>
      <c r="AL209" s="74">
        <v>0</v>
      </c>
    </row>
    <row r="210" spans="1:38" x14ac:dyDescent="0.3">
      <c r="A210" s="74" t="s">
        <v>261</v>
      </c>
      <c r="B210" s="74">
        <v>125674</v>
      </c>
      <c r="C210" s="74">
        <v>3</v>
      </c>
      <c r="D210" s="74" t="s">
        <v>547</v>
      </c>
      <c r="E210" s="74" t="s">
        <v>548</v>
      </c>
      <c r="F210" s="74">
        <v>78</v>
      </c>
      <c r="G210" s="74">
        <v>25.07</v>
      </c>
      <c r="H210" s="74">
        <v>82.89</v>
      </c>
      <c r="I210" s="74">
        <v>23.35</v>
      </c>
      <c r="J210" s="74">
        <v>77.22</v>
      </c>
      <c r="K210" s="74">
        <v>18</v>
      </c>
      <c r="T210" s="74">
        <v>3</v>
      </c>
      <c r="U210" s="74">
        <v>1</v>
      </c>
      <c r="V210" s="74" t="s">
        <v>186</v>
      </c>
      <c r="W210" s="74">
        <v>82</v>
      </c>
      <c r="X210" s="74">
        <v>3</v>
      </c>
      <c r="Y210" s="74">
        <v>3</v>
      </c>
      <c r="Z210" s="74" t="s">
        <v>549</v>
      </c>
      <c r="AA210" s="74" t="s">
        <v>550</v>
      </c>
      <c r="AB210" s="74" t="s">
        <v>182</v>
      </c>
      <c r="AC210" s="74" t="s">
        <v>183</v>
      </c>
      <c r="AD210" s="74" t="s">
        <v>158</v>
      </c>
      <c r="AG210" s="74" t="s">
        <v>551</v>
      </c>
      <c r="AH210" s="74">
        <v>0</v>
      </c>
      <c r="AI210" s="74">
        <v>0</v>
      </c>
      <c r="AJ210" s="74">
        <v>0</v>
      </c>
      <c r="AK210" s="74">
        <v>0</v>
      </c>
      <c r="AL210" s="74">
        <v>0</v>
      </c>
    </row>
    <row r="211" spans="1:38" x14ac:dyDescent="0.3">
      <c r="A211" s="74" t="s">
        <v>261</v>
      </c>
      <c r="B211" s="74">
        <v>125674</v>
      </c>
      <c r="C211" s="74">
        <v>4</v>
      </c>
      <c r="D211" s="74" t="s">
        <v>547</v>
      </c>
      <c r="E211" s="74" t="s">
        <v>548</v>
      </c>
      <c r="F211" s="74">
        <v>78</v>
      </c>
      <c r="G211" s="74">
        <v>33.159999999999997</v>
      </c>
      <c r="H211" s="74">
        <v>109.65</v>
      </c>
      <c r="I211" s="74">
        <v>33.159999999999997</v>
      </c>
      <c r="J211" s="74">
        <v>109.65</v>
      </c>
      <c r="K211" s="74">
        <v>12</v>
      </c>
      <c r="T211" s="74">
        <v>3</v>
      </c>
      <c r="U211" s="74">
        <v>2</v>
      </c>
      <c r="V211" s="74" t="s">
        <v>186</v>
      </c>
      <c r="W211" s="74">
        <v>109</v>
      </c>
      <c r="X211" s="74">
        <v>3</v>
      </c>
      <c r="Y211" s="74">
        <v>3</v>
      </c>
      <c r="Z211" s="74" t="s">
        <v>549</v>
      </c>
      <c r="AA211" s="74" t="s">
        <v>550</v>
      </c>
      <c r="AB211" s="74" t="s">
        <v>182</v>
      </c>
      <c r="AC211" s="74" t="s">
        <v>183</v>
      </c>
      <c r="AD211" s="74" t="s">
        <v>158</v>
      </c>
      <c r="AG211" s="74" t="s">
        <v>551</v>
      </c>
      <c r="AH211" s="74">
        <v>0</v>
      </c>
      <c r="AI211" s="74">
        <v>0</v>
      </c>
      <c r="AJ211" s="74">
        <v>0</v>
      </c>
      <c r="AK211" s="74">
        <v>0</v>
      </c>
      <c r="AL211" s="74">
        <v>0</v>
      </c>
    </row>
    <row r="212" spans="1:38" x14ac:dyDescent="0.3">
      <c r="A212" s="74" t="s">
        <v>261</v>
      </c>
      <c r="B212" s="74">
        <v>125674</v>
      </c>
      <c r="C212" s="74">
        <v>5</v>
      </c>
      <c r="D212" s="74" t="s">
        <v>547</v>
      </c>
      <c r="E212" s="74" t="s">
        <v>548</v>
      </c>
      <c r="F212" s="74">
        <v>78</v>
      </c>
      <c r="G212" s="74">
        <v>37.79</v>
      </c>
      <c r="H212" s="74">
        <v>124.95</v>
      </c>
      <c r="I212" s="74">
        <v>37.79</v>
      </c>
      <c r="J212" s="74">
        <v>124.95</v>
      </c>
      <c r="K212" s="74">
        <v>12</v>
      </c>
      <c r="T212" s="74">
        <v>3</v>
      </c>
      <c r="U212" s="74">
        <v>2</v>
      </c>
      <c r="V212" s="74" t="s">
        <v>186</v>
      </c>
      <c r="W212" s="74">
        <v>124</v>
      </c>
      <c r="X212" s="74">
        <v>3</v>
      </c>
      <c r="Y212" s="74">
        <v>3</v>
      </c>
      <c r="Z212" s="74" t="s">
        <v>549</v>
      </c>
      <c r="AA212" s="74" t="s">
        <v>550</v>
      </c>
      <c r="AB212" s="74" t="s">
        <v>182</v>
      </c>
      <c r="AC212" s="74" t="s">
        <v>183</v>
      </c>
      <c r="AD212" s="74" t="s">
        <v>158</v>
      </c>
      <c r="AG212" s="74" t="s">
        <v>551</v>
      </c>
      <c r="AH212" s="74">
        <v>0</v>
      </c>
      <c r="AI212" s="74">
        <v>0</v>
      </c>
      <c r="AJ212" s="74">
        <v>0</v>
      </c>
      <c r="AK212" s="74">
        <v>0</v>
      </c>
      <c r="AL212" s="74">
        <v>0</v>
      </c>
    </row>
    <row r="213" spans="1:38" x14ac:dyDescent="0.3">
      <c r="A213" s="74" t="s">
        <v>261</v>
      </c>
      <c r="B213" s="74">
        <v>136392</v>
      </c>
      <c r="C213" s="74">
        <v>1</v>
      </c>
      <c r="D213" s="74" t="s">
        <v>552</v>
      </c>
      <c r="E213" s="74" t="s">
        <v>553</v>
      </c>
      <c r="F213" s="74">
        <v>24</v>
      </c>
      <c r="G213" s="74">
        <v>11.39</v>
      </c>
      <c r="H213" s="74">
        <v>37.67</v>
      </c>
      <c r="I213" s="74">
        <v>9.61</v>
      </c>
      <c r="J213" s="74">
        <v>31.78</v>
      </c>
      <c r="K213" s="74">
        <v>4</v>
      </c>
      <c r="T213" s="74">
        <v>1</v>
      </c>
      <c r="U213" s="74">
        <v>1</v>
      </c>
      <c r="V213" s="74" t="s">
        <v>186</v>
      </c>
      <c r="W213" s="74">
        <v>37</v>
      </c>
      <c r="X213" s="74">
        <v>5</v>
      </c>
      <c r="Y213" s="74">
        <v>5</v>
      </c>
      <c r="Z213" s="74" t="s">
        <v>554</v>
      </c>
      <c r="AA213" s="74" t="s">
        <v>555</v>
      </c>
      <c r="AB213" s="74" t="s">
        <v>182</v>
      </c>
      <c r="AC213" s="74" t="s">
        <v>183</v>
      </c>
      <c r="AD213" s="74" t="s">
        <v>158</v>
      </c>
      <c r="AG213" s="74" t="s">
        <v>556</v>
      </c>
      <c r="AH213" s="74">
        <v>0</v>
      </c>
      <c r="AI213" s="74">
        <v>186</v>
      </c>
      <c r="AJ213" s="74">
        <v>50</v>
      </c>
      <c r="AK213" s="74">
        <v>19</v>
      </c>
      <c r="AL213" s="74">
        <v>0.79</v>
      </c>
    </row>
    <row r="214" spans="1:38" x14ac:dyDescent="0.3">
      <c r="A214" s="74" t="s">
        <v>261</v>
      </c>
      <c r="B214" s="74">
        <v>136392</v>
      </c>
      <c r="C214" s="74">
        <v>2</v>
      </c>
      <c r="D214" s="74" t="s">
        <v>552</v>
      </c>
      <c r="E214" s="74" t="s">
        <v>553</v>
      </c>
      <c r="F214" s="74">
        <v>24</v>
      </c>
      <c r="G214" s="74">
        <v>17.68</v>
      </c>
      <c r="H214" s="74">
        <v>58.47</v>
      </c>
      <c r="I214" s="74">
        <v>14.92</v>
      </c>
      <c r="J214" s="74">
        <v>49.33</v>
      </c>
      <c r="K214" s="74">
        <v>20</v>
      </c>
      <c r="T214" s="74">
        <v>1</v>
      </c>
      <c r="U214" s="74">
        <v>1</v>
      </c>
      <c r="V214" s="74" t="s">
        <v>186</v>
      </c>
      <c r="W214" s="74">
        <v>58</v>
      </c>
      <c r="X214" s="74">
        <v>5</v>
      </c>
      <c r="Y214" s="74">
        <v>5</v>
      </c>
      <c r="Z214" s="74" t="s">
        <v>554</v>
      </c>
      <c r="AA214" s="74" t="s">
        <v>555</v>
      </c>
      <c r="AB214" s="74" t="s">
        <v>182</v>
      </c>
      <c r="AC214" s="74" t="s">
        <v>183</v>
      </c>
      <c r="AD214" s="74" t="s">
        <v>158</v>
      </c>
      <c r="AG214" s="74" t="s">
        <v>556</v>
      </c>
      <c r="AH214" s="74">
        <v>0</v>
      </c>
      <c r="AI214" s="74">
        <v>186</v>
      </c>
      <c r="AJ214" s="74">
        <v>50</v>
      </c>
      <c r="AK214" s="74">
        <v>19</v>
      </c>
      <c r="AL214" s="74">
        <v>0.79</v>
      </c>
    </row>
    <row r="215" spans="1:38" x14ac:dyDescent="0.3">
      <c r="A215" s="74" t="s">
        <v>261</v>
      </c>
      <c r="B215" s="74">
        <v>14966</v>
      </c>
      <c r="C215" s="74">
        <v>1</v>
      </c>
      <c r="D215" s="74" t="s">
        <v>557</v>
      </c>
      <c r="E215" s="74" t="s">
        <v>205</v>
      </c>
      <c r="F215" s="74">
        <v>636</v>
      </c>
      <c r="G215" s="74">
        <v>22.61</v>
      </c>
      <c r="H215" s="74">
        <v>74.77</v>
      </c>
      <c r="I215" s="74">
        <v>18.14</v>
      </c>
      <c r="J215" s="74">
        <v>59.99</v>
      </c>
      <c r="K215" s="74">
        <v>64</v>
      </c>
      <c r="T215" s="74">
        <v>3</v>
      </c>
      <c r="U215" s="74">
        <v>1</v>
      </c>
      <c r="V215" s="74" t="s">
        <v>186</v>
      </c>
      <c r="W215" s="74">
        <v>74</v>
      </c>
      <c r="X215" s="74">
        <v>20</v>
      </c>
      <c r="Y215" s="74">
        <v>12</v>
      </c>
      <c r="Z215" s="74" t="s">
        <v>558</v>
      </c>
      <c r="AA215" s="74" t="s">
        <v>559</v>
      </c>
      <c r="AB215" s="74" t="s">
        <v>182</v>
      </c>
      <c r="AC215" s="74" t="s">
        <v>183</v>
      </c>
      <c r="AD215" s="74" t="s">
        <v>158</v>
      </c>
      <c r="AG215" s="74" t="s">
        <v>560</v>
      </c>
      <c r="AH215" s="74">
        <v>0</v>
      </c>
      <c r="AI215" s="74">
        <v>217</v>
      </c>
      <c r="AJ215" s="74">
        <v>17</v>
      </c>
      <c r="AK215" s="74">
        <v>617</v>
      </c>
      <c r="AL215" s="74">
        <v>0.97</v>
      </c>
    </row>
    <row r="216" spans="1:38" x14ac:dyDescent="0.3">
      <c r="A216" s="74" t="s">
        <v>261</v>
      </c>
      <c r="B216" s="74">
        <v>14966</v>
      </c>
      <c r="C216" s="74">
        <v>2</v>
      </c>
      <c r="D216" s="74" t="s">
        <v>557</v>
      </c>
      <c r="E216" s="74" t="s">
        <v>205</v>
      </c>
      <c r="F216" s="74">
        <v>636</v>
      </c>
      <c r="G216" s="74">
        <v>28.34</v>
      </c>
      <c r="H216" s="74">
        <v>93.71</v>
      </c>
      <c r="I216" s="74">
        <v>22.74</v>
      </c>
      <c r="J216" s="74">
        <v>75.180000000000007</v>
      </c>
      <c r="K216" s="74">
        <v>68</v>
      </c>
      <c r="T216" s="74">
        <v>3</v>
      </c>
      <c r="U216" s="74">
        <v>1</v>
      </c>
      <c r="V216" s="74" t="s">
        <v>186</v>
      </c>
      <c r="W216" s="74">
        <v>93</v>
      </c>
      <c r="X216" s="74">
        <v>20</v>
      </c>
      <c r="Y216" s="74">
        <v>12</v>
      </c>
      <c r="Z216" s="74" t="s">
        <v>558</v>
      </c>
      <c r="AA216" s="74" t="s">
        <v>559</v>
      </c>
      <c r="AB216" s="74" t="s">
        <v>182</v>
      </c>
      <c r="AC216" s="74" t="s">
        <v>183</v>
      </c>
      <c r="AD216" s="74" t="s">
        <v>158</v>
      </c>
      <c r="AG216" s="74" t="s">
        <v>560</v>
      </c>
      <c r="AH216" s="74">
        <v>0</v>
      </c>
      <c r="AI216" s="74">
        <v>217</v>
      </c>
      <c r="AJ216" s="74">
        <v>17</v>
      </c>
      <c r="AK216" s="74">
        <v>617</v>
      </c>
      <c r="AL216" s="74">
        <v>0.97</v>
      </c>
    </row>
    <row r="217" spans="1:38" x14ac:dyDescent="0.3">
      <c r="A217" s="74" t="s">
        <v>261</v>
      </c>
      <c r="B217" s="74">
        <v>14966</v>
      </c>
      <c r="C217" s="74">
        <v>3</v>
      </c>
      <c r="D217" s="74" t="s">
        <v>557</v>
      </c>
      <c r="E217" s="74" t="s">
        <v>205</v>
      </c>
      <c r="F217" s="74">
        <v>636</v>
      </c>
      <c r="G217" s="74">
        <v>32.03</v>
      </c>
      <c r="H217" s="74">
        <v>105.9</v>
      </c>
      <c r="I217" s="74">
        <v>25.7</v>
      </c>
      <c r="J217" s="74">
        <v>84.96</v>
      </c>
      <c r="K217" s="74">
        <v>386</v>
      </c>
      <c r="T217" s="74">
        <v>3</v>
      </c>
      <c r="U217" s="74">
        <v>2</v>
      </c>
      <c r="V217" s="74" t="s">
        <v>186</v>
      </c>
      <c r="W217" s="74">
        <v>105</v>
      </c>
      <c r="X217" s="74">
        <v>20</v>
      </c>
      <c r="Y217" s="74">
        <v>12</v>
      </c>
      <c r="Z217" s="74" t="s">
        <v>558</v>
      </c>
      <c r="AA217" s="74" t="s">
        <v>559</v>
      </c>
      <c r="AB217" s="74" t="s">
        <v>182</v>
      </c>
      <c r="AC217" s="74" t="s">
        <v>183</v>
      </c>
      <c r="AD217" s="74" t="s">
        <v>158</v>
      </c>
      <c r="AG217" s="74" t="s">
        <v>560</v>
      </c>
      <c r="AH217" s="74">
        <v>0</v>
      </c>
      <c r="AI217" s="74">
        <v>217</v>
      </c>
      <c r="AJ217" s="74">
        <v>17</v>
      </c>
      <c r="AK217" s="74">
        <v>617</v>
      </c>
      <c r="AL217" s="74">
        <v>0.97</v>
      </c>
    </row>
    <row r="218" spans="1:38" x14ac:dyDescent="0.3">
      <c r="A218" s="74" t="s">
        <v>261</v>
      </c>
      <c r="B218" s="74">
        <v>14966</v>
      </c>
      <c r="C218" s="74">
        <v>4</v>
      </c>
      <c r="D218" s="74" t="s">
        <v>557</v>
      </c>
      <c r="E218" s="74" t="s">
        <v>205</v>
      </c>
      <c r="F218" s="74">
        <v>636</v>
      </c>
      <c r="G218" s="74">
        <v>37.67</v>
      </c>
      <c r="H218" s="74">
        <v>124.56</v>
      </c>
      <c r="I218" s="74">
        <v>30.22</v>
      </c>
      <c r="J218" s="74">
        <v>99.93</v>
      </c>
      <c r="K218" s="74">
        <v>78</v>
      </c>
      <c r="T218" s="74">
        <v>3</v>
      </c>
      <c r="U218" s="74">
        <v>2</v>
      </c>
      <c r="V218" s="74" t="s">
        <v>186</v>
      </c>
      <c r="W218" s="74">
        <v>124</v>
      </c>
      <c r="X218" s="74">
        <v>20</v>
      </c>
      <c r="Y218" s="74">
        <v>12</v>
      </c>
      <c r="Z218" s="74" t="s">
        <v>558</v>
      </c>
      <c r="AA218" s="74" t="s">
        <v>559</v>
      </c>
      <c r="AB218" s="74" t="s">
        <v>182</v>
      </c>
      <c r="AC218" s="74" t="s">
        <v>183</v>
      </c>
      <c r="AD218" s="74" t="s">
        <v>158</v>
      </c>
      <c r="AG218" s="74" t="s">
        <v>560</v>
      </c>
      <c r="AH218" s="74">
        <v>0</v>
      </c>
      <c r="AI218" s="74">
        <v>217</v>
      </c>
      <c r="AJ218" s="74">
        <v>17</v>
      </c>
      <c r="AK218" s="74">
        <v>617</v>
      </c>
      <c r="AL218" s="74">
        <v>0.97</v>
      </c>
    </row>
    <row r="219" spans="1:38" x14ac:dyDescent="0.3">
      <c r="A219" s="74" t="s">
        <v>261</v>
      </c>
      <c r="B219" s="74">
        <v>14966</v>
      </c>
      <c r="C219" s="74">
        <v>5</v>
      </c>
      <c r="D219" s="74" t="s">
        <v>557</v>
      </c>
      <c r="E219" s="74" t="s">
        <v>205</v>
      </c>
      <c r="F219" s="74">
        <v>636</v>
      </c>
      <c r="G219" s="74">
        <v>44.57</v>
      </c>
      <c r="H219" s="74">
        <v>147.34</v>
      </c>
      <c r="I219" s="74">
        <v>35.75</v>
      </c>
      <c r="J219" s="74">
        <v>118.21</v>
      </c>
      <c r="K219" s="74">
        <v>40</v>
      </c>
      <c r="T219" s="74">
        <v>4</v>
      </c>
      <c r="U219" s="74">
        <v>2</v>
      </c>
      <c r="V219" s="74" t="s">
        <v>186</v>
      </c>
      <c r="W219" s="74">
        <v>147</v>
      </c>
      <c r="X219" s="74">
        <v>20</v>
      </c>
      <c r="Y219" s="74">
        <v>12</v>
      </c>
      <c r="Z219" s="74" t="s">
        <v>558</v>
      </c>
      <c r="AA219" s="74" t="s">
        <v>559</v>
      </c>
      <c r="AB219" s="74" t="s">
        <v>182</v>
      </c>
      <c r="AC219" s="74" t="s">
        <v>183</v>
      </c>
      <c r="AD219" s="74" t="s">
        <v>158</v>
      </c>
      <c r="AG219" s="74" t="s">
        <v>560</v>
      </c>
      <c r="AH219" s="74">
        <v>0</v>
      </c>
      <c r="AI219" s="74">
        <v>217</v>
      </c>
      <c r="AJ219" s="74">
        <v>17</v>
      </c>
      <c r="AK219" s="74">
        <v>617</v>
      </c>
      <c r="AL219" s="74">
        <v>0.97</v>
      </c>
    </row>
    <row r="220" spans="1:38" x14ac:dyDescent="0.3">
      <c r="A220" s="74" t="s">
        <v>261</v>
      </c>
      <c r="B220" s="74">
        <v>4990</v>
      </c>
      <c r="C220" s="74">
        <v>1</v>
      </c>
      <c r="D220" s="74" t="s">
        <v>561</v>
      </c>
      <c r="E220" s="74" t="s">
        <v>562</v>
      </c>
      <c r="F220" s="74">
        <v>670</v>
      </c>
      <c r="G220" s="74">
        <v>28.87</v>
      </c>
      <c r="H220" s="74">
        <v>95.46</v>
      </c>
      <c r="I220" s="74">
        <v>22.36</v>
      </c>
      <c r="J220" s="74">
        <v>73.92</v>
      </c>
      <c r="K220" s="74">
        <v>128</v>
      </c>
      <c r="T220" s="74">
        <v>3</v>
      </c>
      <c r="U220" s="74">
        <v>1</v>
      </c>
      <c r="V220" s="74" t="s">
        <v>186</v>
      </c>
      <c r="W220" s="74">
        <v>95</v>
      </c>
      <c r="X220" s="74">
        <v>20</v>
      </c>
      <c r="Y220" s="74">
        <v>16</v>
      </c>
      <c r="Z220" s="74" t="s">
        <v>563</v>
      </c>
      <c r="AA220" s="74" t="s">
        <v>564</v>
      </c>
      <c r="AB220" s="74" t="s">
        <v>182</v>
      </c>
      <c r="AC220" s="74" t="s">
        <v>183</v>
      </c>
      <c r="AD220" s="74" t="s">
        <v>158</v>
      </c>
      <c r="AG220" s="74" t="s">
        <v>565</v>
      </c>
      <c r="AH220" s="74">
        <v>0</v>
      </c>
      <c r="AI220" s="74">
        <v>234</v>
      </c>
      <c r="AJ220" s="74">
        <v>19</v>
      </c>
      <c r="AK220" s="74">
        <v>746</v>
      </c>
      <c r="AL220" s="74">
        <v>1.1100000000000001</v>
      </c>
    </row>
    <row r="221" spans="1:38" x14ac:dyDescent="0.3">
      <c r="A221" s="74" t="s">
        <v>261</v>
      </c>
      <c r="B221" s="74">
        <v>4990</v>
      </c>
      <c r="C221" s="74">
        <v>2</v>
      </c>
      <c r="D221" s="74" t="s">
        <v>561</v>
      </c>
      <c r="E221" s="74" t="s">
        <v>562</v>
      </c>
      <c r="F221" s="74">
        <v>670</v>
      </c>
      <c r="G221" s="74">
        <v>32.47</v>
      </c>
      <c r="H221" s="74">
        <v>107.36</v>
      </c>
      <c r="I221" s="74">
        <v>25.7</v>
      </c>
      <c r="J221" s="74">
        <v>84.99</v>
      </c>
      <c r="K221" s="74">
        <v>422</v>
      </c>
      <c r="T221" s="74">
        <v>3</v>
      </c>
      <c r="U221" s="74">
        <v>2</v>
      </c>
      <c r="V221" s="74" t="s">
        <v>186</v>
      </c>
      <c r="W221" s="74">
        <v>107</v>
      </c>
      <c r="X221" s="74">
        <v>20</v>
      </c>
      <c r="Y221" s="74">
        <v>16</v>
      </c>
      <c r="Z221" s="74" t="s">
        <v>563</v>
      </c>
      <c r="AA221" s="74" t="s">
        <v>564</v>
      </c>
      <c r="AB221" s="74" t="s">
        <v>182</v>
      </c>
      <c r="AC221" s="74" t="s">
        <v>183</v>
      </c>
      <c r="AD221" s="74" t="s">
        <v>158</v>
      </c>
      <c r="AG221" s="74" t="s">
        <v>565</v>
      </c>
      <c r="AH221" s="74">
        <v>0</v>
      </c>
      <c r="AI221" s="74">
        <v>234</v>
      </c>
      <c r="AJ221" s="74">
        <v>19</v>
      </c>
      <c r="AK221" s="74">
        <v>746</v>
      </c>
      <c r="AL221" s="74">
        <v>1.1100000000000001</v>
      </c>
    </row>
    <row r="222" spans="1:38" x14ac:dyDescent="0.3">
      <c r="A222" s="74" t="s">
        <v>261</v>
      </c>
      <c r="B222" s="74">
        <v>4990</v>
      </c>
      <c r="C222" s="74">
        <v>3</v>
      </c>
      <c r="D222" s="74" t="s">
        <v>561</v>
      </c>
      <c r="E222" s="74" t="s">
        <v>562</v>
      </c>
      <c r="F222" s="74">
        <v>670</v>
      </c>
      <c r="G222" s="74">
        <v>42.24</v>
      </c>
      <c r="H222" s="74">
        <v>139.65</v>
      </c>
      <c r="I222" s="74">
        <v>34.78</v>
      </c>
      <c r="J222" s="74">
        <v>114.99</v>
      </c>
      <c r="K222" s="74">
        <v>40</v>
      </c>
      <c r="T222" s="74">
        <v>4</v>
      </c>
      <c r="U222" s="74">
        <v>2</v>
      </c>
      <c r="V222" s="74" t="s">
        <v>186</v>
      </c>
      <c r="W222" s="74">
        <v>139</v>
      </c>
      <c r="X222" s="74">
        <v>20</v>
      </c>
      <c r="Y222" s="74">
        <v>16</v>
      </c>
      <c r="Z222" s="74" t="s">
        <v>563</v>
      </c>
      <c r="AA222" s="74" t="s">
        <v>564</v>
      </c>
      <c r="AB222" s="74" t="s">
        <v>182</v>
      </c>
      <c r="AC222" s="74" t="s">
        <v>183</v>
      </c>
      <c r="AD222" s="74" t="s">
        <v>158</v>
      </c>
      <c r="AG222" s="74" t="s">
        <v>565</v>
      </c>
      <c r="AH222" s="74">
        <v>0</v>
      </c>
      <c r="AI222" s="74">
        <v>234</v>
      </c>
      <c r="AJ222" s="74">
        <v>19</v>
      </c>
      <c r="AK222" s="74">
        <v>746</v>
      </c>
      <c r="AL222" s="74">
        <v>1.1100000000000001</v>
      </c>
    </row>
    <row r="223" spans="1:38" x14ac:dyDescent="0.3">
      <c r="A223" s="74" t="s">
        <v>261</v>
      </c>
      <c r="B223" s="74">
        <v>4990</v>
      </c>
      <c r="C223" s="74">
        <v>4</v>
      </c>
      <c r="D223" s="74" t="s">
        <v>561</v>
      </c>
      <c r="E223" s="74" t="s">
        <v>562</v>
      </c>
      <c r="F223" s="74">
        <v>670</v>
      </c>
      <c r="G223" s="74">
        <v>48.75</v>
      </c>
      <c r="H223" s="74">
        <v>161.19</v>
      </c>
      <c r="I223" s="74">
        <v>40.82</v>
      </c>
      <c r="J223" s="74">
        <v>134.97</v>
      </c>
      <c r="K223" s="74">
        <v>80</v>
      </c>
      <c r="T223" s="74">
        <v>4</v>
      </c>
      <c r="U223" s="74">
        <v>2</v>
      </c>
      <c r="V223" s="74" t="s">
        <v>186</v>
      </c>
      <c r="W223" s="74">
        <v>161</v>
      </c>
      <c r="X223" s="74">
        <v>20</v>
      </c>
      <c r="Y223" s="74">
        <v>16</v>
      </c>
      <c r="Z223" s="74" t="s">
        <v>563</v>
      </c>
      <c r="AA223" s="74" t="s">
        <v>564</v>
      </c>
      <c r="AB223" s="74" t="s">
        <v>182</v>
      </c>
      <c r="AC223" s="74" t="s">
        <v>183</v>
      </c>
      <c r="AD223" s="74" t="s">
        <v>158</v>
      </c>
      <c r="AG223" s="74" t="s">
        <v>565</v>
      </c>
      <c r="AH223" s="74">
        <v>0</v>
      </c>
      <c r="AI223" s="74">
        <v>234</v>
      </c>
      <c r="AJ223" s="74">
        <v>19</v>
      </c>
      <c r="AK223" s="74">
        <v>746</v>
      </c>
      <c r="AL223" s="74">
        <v>1.1100000000000001</v>
      </c>
    </row>
    <row r="224" spans="1:38" x14ac:dyDescent="0.3">
      <c r="A224" s="74" t="s">
        <v>261</v>
      </c>
      <c r="B224" s="74">
        <v>4965</v>
      </c>
      <c r="C224" s="74">
        <v>1</v>
      </c>
      <c r="D224" s="74" t="s">
        <v>566</v>
      </c>
      <c r="E224" s="74" t="s">
        <v>567</v>
      </c>
      <c r="F224" s="74">
        <v>114</v>
      </c>
      <c r="G224" s="74">
        <v>22.5</v>
      </c>
      <c r="H224" s="74">
        <v>74.39</v>
      </c>
      <c r="I224" s="74">
        <v>18.100000000000001</v>
      </c>
      <c r="J224" s="74">
        <v>59.84</v>
      </c>
      <c r="K224" s="74">
        <v>114</v>
      </c>
      <c r="T224" s="74">
        <v>2</v>
      </c>
      <c r="U224" s="74">
        <v>1</v>
      </c>
      <c r="V224" s="74" t="s">
        <v>186</v>
      </c>
      <c r="W224" s="74">
        <v>74</v>
      </c>
      <c r="X224" s="74">
        <v>15</v>
      </c>
      <c r="Y224" s="74">
        <v>12</v>
      </c>
      <c r="Z224" s="74" t="s">
        <v>568</v>
      </c>
      <c r="AA224" s="74" t="s">
        <v>569</v>
      </c>
      <c r="AB224" s="74" t="s">
        <v>182</v>
      </c>
      <c r="AC224" s="74" t="s">
        <v>183</v>
      </c>
      <c r="AD224" s="74" t="s">
        <v>158</v>
      </c>
      <c r="AG224" s="74" t="s">
        <v>570</v>
      </c>
      <c r="AH224" s="74">
        <v>0</v>
      </c>
      <c r="AI224" s="74">
        <v>242</v>
      </c>
      <c r="AJ224" s="74">
        <v>22</v>
      </c>
      <c r="AK224" s="74">
        <v>104</v>
      </c>
      <c r="AL224" s="74">
        <v>0.91</v>
      </c>
    </row>
    <row r="225" spans="1:38" x14ac:dyDescent="0.3">
      <c r="A225" s="74" t="s">
        <v>261</v>
      </c>
      <c r="B225" s="74">
        <v>4984</v>
      </c>
      <c r="C225" s="74">
        <v>1</v>
      </c>
      <c r="D225" s="74" t="s">
        <v>571</v>
      </c>
      <c r="E225" s="74" t="s">
        <v>572</v>
      </c>
      <c r="F225" s="74">
        <v>572</v>
      </c>
      <c r="G225" s="74">
        <v>27.39</v>
      </c>
      <c r="H225" s="74">
        <v>90.55</v>
      </c>
      <c r="I225" s="74">
        <v>22.39</v>
      </c>
      <c r="J225" s="74">
        <v>74.02</v>
      </c>
      <c r="K225" s="74">
        <v>234</v>
      </c>
      <c r="T225" s="74">
        <v>3</v>
      </c>
      <c r="U225" s="74">
        <v>1</v>
      </c>
      <c r="V225" s="74" t="s">
        <v>186</v>
      </c>
      <c r="W225" s="74">
        <v>90</v>
      </c>
      <c r="X225" s="74">
        <v>13</v>
      </c>
      <c r="Y225" s="74">
        <v>13</v>
      </c>
      <c r="Z225" s="74" t="s">
        <v>573</v>
      </c>
      <c r="AA225" s="74" t="s">
        <v>574</v>
      </c>
      <c r="AB225" s="74" t="s">
        <v>182</v>
      </c>
      <c r="AC225" s="74" t="s">
        <v>183</v>
      </c>
      <c r="AD225" s="74" t="s">
        <v>158</v>
      </c>
      <c r="AG225" s="74" t="s">
        <v>575</v>
      </c>
      <c r="AH225" s="74">
        <v>0</v>
      </c>
      <c r="AI225" s="74">
        <v>200</v>
      </c>
      <c r="AJ225" s="74">
        <v>17</v>
      </c>
      <c r="AK225" s="74">
        <v>312</v>
      </c>
      <c r="AL225" s="74">
        <v>0.55000000000000004</v>
      </c>
    </row>
    <row r="226" spans="1:38" x14ac:dyDescent="0.3">
      <c r="A226" s="74" t="s">
        <v>261</v>
      </c>
      <c r="B226" s="74">
        <v>4984</v>
      </c>
      <c r="C226" s="74">
        <v>2</v>
      </c>
      <c r="D226" s="74" t="s">
        <v>571</v>
      </c>
      <c r="E226" s="74" t="s">
        <v>572</v>
      </c>
      <c r="F226" s="74">
        <v>572</v>
      </c>
      <c r="G226" s="74">
        <v>31.59</v>
      </c>
      <c r="H226" s="74">
        <v>104.46</v>
      </c>
      <c r="I226" s="74">
        <v>25.66</v>
      </c>
      <c r="J226" s="74">
        <v>84.84</v>
      </c>
      <c r="K226" s="74">
        <v>286</v>
      </c>
      <c r="T226" s="74">
        <v>3</v>
      </c>
      <c r="U226" s="74">
        <v>2</v>
      </c>
      <c r="V226" s="74" t="s">
        <v>186</v>
      </c>
      <c r="W226" s="74">
        <v>104</v>
      </c>
      <c r="X226" s="74">
        <v>13</v>
      </c>
      <c r="Y226" s="74">
        <v>13</v>
      </c>
      <c r="Z226" s="74" t="s">
        <v>573</v>
      </c>
      <c r="AA226" s="74" t="s">
        <v>574</v>
      </c>
      <c r="AB226" s="74" t="s">
        <v>182</v>
      </c>
      <c r="AC226" s="74" t="s">
        <v>183</v>
      </c>
      <c r="AD226" s="74" t="s">
        <v>158</v>
      </c>
      <c r="AG226" s="74" t="s">
        <v>575</v>
      </c>
      <c r="AH226" s="74">
        <v>0</v>
      </c>
      <c r="AI226" s="74">
        <v>200</v>
      </c>
      <c r="AJ226" s="74">
        <v>17</v>
      </c>
      <c r="AK226" s="74">
        <v>312</v>
      </c>
      <c r="AL226" s="74">
        <v>0.55000000000000004</v>
      </c>
    </row>
    <row r="227" spans="1:38" x14ac:dyDescent="0.3">
      <c r="A227" s="74" t="s">
        <v>261</v>
      </c>
      <c r="B227" s="74">
        <v>4984</v>
      </c>
      <c r="C227" s="74">
        <v>3</v>
      </c>
      <c r="D227" s="74" t="s">
        <v>571</v>
      </c>
      <c r="E227" s="74" t="s">
        <v>572</v>
      </c>
      <c r="F227" s="74">
        <v>572</v>
      </c>
      <c r="G227" s="74">
        <v>46.4</v>
      </c>
      <c r="H227" s="74">
        <v>153.41999999999999</v>
      </c>
      <c r="I227" s="74">
        <v>39.85</v>
      </c>
      <c r="J227" s="74">
        <v>131.75</v>
      </c>
      <c r="K227" s="74">
        <v>52</v>
      </c>
      <c r="T227" s="74">
        <v>4</v>
      </c>
      <c r="U227" s="74">
        <v>2</v>
      </c>
      <c r="V227" s="74" t="s">
        <v>186</v>
      </c>
      <c r="W227" s="74">
        <v>153</v>
      </c>
      <c r="X227" s="74">
        <v>13</v>
      </c>
      <c r="Y227" s="74">
        <v>13</v>
      </c>
      <c r="Z227" s="74" t="s">
        <v>573</v>
      </c>
      <c r="AA227" s="74" t="s">
        <v>574</v>
      </c>
      <c r="AB227" s="74" t="s">
        <v>182</v>
      </c>
      <c r="AC227" s="74" t="s">
        <v>183</v>
      </c>
      <c r="AD227" s="74" t="s">
        <v>158</v>
      </c>
      <c r="AG227" s="74" t="s">
        <v>575</v>
      </c>
      <c r="AH227" s="74">
        <v>0</v>
      </c>
      <c r="AI227" s="74">
        <v>200</v>
      </c>
      <c r="AJ227" s="74">
        <v>17</v>
      </c>
      <c r="AK227" s="74">
        <v>312</v>
      </c>
      <c r="AL227" s="74">
        <v>0.55000000000000004</v>
      </c>
    </row>
    <row r="228" spans="1:38" x14ac:dyDescent="0.3">
      <c r="A228" s="74" t="s">
        <v>261</v>
      </c>
      <c r="B228" s="74">
        <v>139522</v>
      </c>
      <c r="C228" s="74">
        <v>1</v>
      </c>
      <c r="D228" s="74" t="s">
        <v>576</v>
      </c>
      <c r="E228" s="74" t="s">
        <v>577</v>
      </c>
      <c r="F228" s="74">
        <v>16</v>
      </c>
      <c r="G228" s="74">
        <v>22.5</v>
      </c>
      <c r="H228" s="74">
        <v>74.400000000000006</v>
      </c>
      <c r="I228" s="74">
        <v>17.920000000000002</v>
      </c>
      <c r="J228" s="74">
        <v>59.25</v>
      </c>
      <c r="K228" s="74">
        <v>4</v>
      </c>
      <c r="T228" s="74">
        <v>3</v>
      </c>
      <c r="U228" s="74">
        <v>1</v>
      </c>
      <c r="V228" s="74" t="s">
        <v>186</v>
      </c>
      <c r="W228" s="74" t="s">
        <v>228</v>
      </c>
      <c r="X228" s="74">
        <v>5</v>
      </c>
      <c r="Y228" s="74">
        <v>5</v>
      </c>
      <c r="Z228" s="74" t="s">
        <v>578</v>
      </c>
      <c r="AA228" s="74" t="s">
        <v>579</v>
      </c>
      <c r="AB228" s="74" t="s">
        <v>182</v>
      </c>
      <c r="AC228" s="74" t="s">
        <v>183</v>
      </c>
      <c r="AD228" s="74" t="s">
        <v>158</v>
      </c>
      <c r="AG228" s="74" t="s">
        <v>580</v>
      </c>
      <c r="AH228" s="74">
        <v>0</v>
      </c>
      <c r="AI228" s="74">
        <v>158</v>
      </c>
      <c r="AJ228" s="74">
        <v>50</v>
      </c>
      <c r="AK228" s="74">
        <v>13</v>
      </c>
      <c r="AL228" s="74">
        <v>0.81</v>
      </c>
    </row>
    <row r="229" spans="1:38" x14ac:dyDescent="0.3">
      <c r="A229" s="74" t="s">
        <v>261</v>
      </c>
      <c r="B229" s="74">
        <v>139522</v>
      </c>
      <c r="C229" s="74">
        <v>2</v>
      </c>
      <c r="D229" s="74" t="s">
        <v>576</v>
      </c>
      <c r="E229" s="74" t="s">
        <v>577</v>
      </c>
      <c r="F229" s="74">
        <v>16</v>
      </c>
      <c r="G229" s="74">
        <v>22.59</v>
      </c>
      <c r="H229" s="74">
        <v>74.7</v>
      </c>
      <c r="I229" s="74">
        <v>17.989999999999998</v>
      </c>
      <c r="J229" s="74">
        <v>59.49</v>
      </c>
      <c r="K229" s="74">
        <v>4</v>
      </c>
      <c r="T229" s="74">
        <v>3</v>
      </c>
      <c r="U229" s="74">
        <v>1</v>
      </c>
      <c r="V229" s="74" t="s">
        <v>186</v>
      </c>
      <c r="W229" s="74" t="s">
        <v>139</v>
      </c>
      <c r="X229" s="74">
        <v>5</v>
      </c>
      <c r="Y229" s="74">
        <v>5</v>
      </c>
      <c r="Z229" s="74" t="s">
        <v>578</v>
      </c>
      <c r="AA229" s="74" t="s">
        <v>579</v>
      </c>
      <c r="AB229" s="74" t="s">
        <v>182</v>
      </c>
      <c r="AC229" s="74" t="s">
        <v>183</v>
      </c>
      <c r="AD229" s="74" t="s">
        <v>158</v>
      </c>
      <c r="AG229" s="74" t="s">
        <v>580</v>
      </c>
      <c r="AH229" s="74">
        <v>0</v>
      </c>
      <c r="AI229" s="74">
        <v>158</v>
      </c>
      <c r="AJ229" s="74">
        <v>50</v>
      </c>
      <c r="AK229" s="74">
        <v>13</v>
      </c>
      <c r="AL229" s="74">
        <v>0.81</v>
      </c>
    </row>
    <row r="230" spans="1:38" x14ac:dyDescent="0.3">
      <c r="A230" s="74" t="s">
        <v>261</v>
      </c>
      <c r="B230" s="74">
        <v>139522</v>
      </c>
      <c r="C230" s="74">
        <v>3</v>
      </c>
      <c r="D230" s="74" t="s">
        <v>576</v>
      </c>
      <c r="E230" s="74" t="s">
        <v>577</v>
      </c>
      <c r="F230" s="74">
        <v>16</v>
      </c>
      <c r="G230" s="74">
        <v>22.72</v>
      </c>
      <c r="H230" s="74">
        <v>75.11</v>
      </c>
      <c r="I230" s="74">
        <v>18.09</v>
      </c>
      <c r="J230" s="74">
        <v>59.81</v>
      </c>
      <c r="K230" s="74">
        <v>4</v>
      </c>
      <c r="T230" s="74">
        <v>3</v>
      </c>
      <c r="U230" s="74">
        <v>1</v>
      </c>
      <c r="V230" s="74" t="s">
        <v>186</v>
      </c>
      <c r="W230" s="74" t="s">
        <v>581</v>
      </c>
      <c r="X230" s="74">
        <v>5</v>
      </c>
      <c r="Y230" s="74">
        <v>5</v>
      </c>
      <c r="Z230" s="74" t="s">
        <v>578</v>
      </c>
      <c r="AA230" s="74" t="s">
        <v>579</v>
      </c>
      <c r="AB230" s="74" t="s">
        <v>182</v>
      </c>
      <c r="AC230" s="74" t="s">
        <v>183</v>
      </c>
      <c r="AD230" s="74" t="s">
        <v>158</v>
      </c>
      <c r="AG230" s="74" t="s">
        <v>580</v>
      </c>
      <c r="AH230" s="74">
        <v>0</v>
      </c>
      <c r="AI230" s="74">
        <v>158</v>
      </c>
      <c r="AJ230" s="74">
        <v>50</v>
      </c>
      <c r="AK230" s="74">
        <v>13</v>
      </c>
      <c r="AL230" s="74">
        <v>0.81</v>
      </c>
    </row>
    <row r="231" spans="1:38" x14ac:dyDescent="0.3">
      <c r="A231" s="74" t="s">
        <v>261</v>
      </c>
      <c r="B231" s="74">
        <v>139522</v>
      </c>
      <c r="C231" s="74">
        <v>4</v>
      </c>
      <c r="D231" s="74" t="s">
        <v>576</v>
      </c>
      <c r="E231" s="74" t="s">
        <v>577</v>
      </c>
      <c r="F231" s="74">
        <v>16</v>
      </c>
      <c r="G231" s="74">
        <v>22.76</v>
      </c>
      <c r="H231" s="74">
        <v>75.260000000000005</v>
      </c>
      <c r="I231" s="74">
        <v>18.12</v>
      </c>
      <c r="J231" s="74">
        <v>59.93</v>
      </c>
      <c r="K231" s="74">
        <v>4</v>
      </c>
      <c r="T231" s="74">
        <v>3</v>
      </c>
      <c r="U231" s="74">
        <v>1</v>
      </c>
      <c r="V231" s="74" t="s">
        <v>186</v>
      </c>
      <c r="W231" s="74" t="s">
        <v>582</v>
      </c>
      <c r="X231" s="74">
        <v>5</v>
      </c>
      <c r="Y231" s="74">
        <v>5</v>
      </c>
      <c r="Z231" s="74" t="s">
        <v>578</v>
      </c>
      <c r="AA231" s="74" t="s">
        <v>579</v>
      </c>
      <c r="AB231" s="74" t="s">
        <v>182</v>
      </c>
      <c r="AC231" s="74" t="s">
        <v>183</v>
      </c>
      <c r="AD231" s="74" t="s">
        <v>158</v>
      </c>
      <c r="AG231" s="74" t="s">
        <v>580</v>
      </c>
      <c r="AH231" s="74">
        <v>0</v>
      </c>
      <c r="AI231" s="74">
        <v>158</v>
      </c>
      <c r="AJ231" s="74">
        <v>50</v>
      </c>
      <c r="AK231" s="74">
        <v>13</v>
      </c>
      <c r="AL231" s="74">
        <v>0.81</v>
      </c>
    </row>
    <row r="232" spans="1:38" x14ac:dyDescent="0.3">
      <c r="A232" s="74" t="s">
        <v>261</v>
      </c>
      <c r="B232" s="74">
        <v>142718</v>
      </c>
      <c r="C232" s="74">
        <v>1</v>
      </c>
      <c r="D232" s="74" t="s">
        <v>583</v>
      </c>
      <c r="E232" s="74" t="s">
        <v>584</v>
      </c>
      <c r="F232" s="74">
        <v>12</v>
      </c>
      <c r="G232" s="74">
        <v>16.11</v>
      </c>
      <c r="H232" s="74">
        <v>53.27</v>
      </c>
      <c r="I232" s="74">
        <v>13.68</v>
      </c>
      <c r="J232" s="74">
        <v>45.23</v>
      </c>
      <c r="K232" s="74">
        <v>4</v>
      </c>
      <c r="T232" s="74">
        <v>2</v>
      </c>
      <c r="U232" s="74">
        <v>1</v>
      </c>
      <c r="V232" s="74" t="s">
        <v>186</v>
      </c>
      <c r="W232" s="74">
        <v>53</v>
      </c>
      <c r="X232" s="74">
        <v>8</v>
      </c>
      <c r="Y232" s="74">
        <v>8</v>
      </c>
      <c r="Z232" s="74" t="s">
        <v>585</v>
      </c>
      <c r="AA232" s="74" t="s">
        <v>586</v>
      </c>
      <c r="AB232" s="74" t="s">
        <v>182</v>
      </c>
      <c r="AC232" s="74" t="s">
        <v>183</v>
      </c>
      <c r="AD232" s="74" t="s">
        <v>158</v>
      </c>
      <c r="AG232" s="74" t="s">
        <v>587</v>
      </c>
      <c r="AH232" s="74">
        <v>0</v>
      </c>
      <c r="AI232" s="74">
        <v>249</v>
      </c>
      <c r="AJ232" s="74">
        <v>54</v>
      </c>
      <c r="AK232" s="74">
        <v>9</v>
      </c>
      <c r="AL232" s="74">
        <v>0.75</v>
      </c>
    </row>
    <row r="233" spans="1:38" x14ac:dyDescent="0.3">
      <c r="A233" s="74" t="s">
        <v>261</v>
      </c>
      <c r="B233" s="74">
        <v>142718</v>
      </c>
      <c r="C233" s="74">
        <v>2</v>
      </c>
      <c r="D233" s="74" t="s">
        <v>583</v>
      </c>
      <c r="E233" s="74" t="s">
        <v>584</v>
      </c>
      <c r="F233" s="74">
        <v>12</v>
      </c>
      <c r="G233" s="74">
        <v>16.579999999999998</v>
      </c>
      <c r="H233" s="74">
        <v>54.83</v>
      </c>
      <c r="I233" s="74">
        <v>14.08</v>
      </c>
      <c r="J233" s="74">
        <v>46.55</v>
      </c>
      <c r="K233" s="74">
        <v>4</v>
      </c>
      <c r="T233" s="74">
        <v>2</v>
      </c>
      <c r="U233" s="74">
        <v>1</v>
      </c>
      <c r="V233" s="74" t="s">
        <v>186</v>
      </c>
      <c r="W233" s="74" t="s">
        <v>588</v>
      </c>
      <c r="X233" s="74">
        <v>8</v>
      </c>
      <c r="Y233" s="74">
        <v>8</v>
      </c>
      <c r="Z233" s="74" t="s">
        <v>585</v>
      </c>
      <c r="AA233" s="74" t="s">
        <v>586</v>
      </c>
      <c r="AB233" s="74" t="s">
        <v>182</v>
      </c>
      <c r="AC233" s="74" t="s">
        <v>183</v>
      </c>
      <c r="AD233" s="74" t="s">
        <v>158</v>
      </c>
      <c r="AG233" s="74" t="s">
        <v>587</v>
      </c>
      <c r="AH233" s="74">
        <v>0</v>
      </c>
      <c r="AI233" s="74">
        <v>249</v>
      </c>
      <c r="AJ233" s="74">
        <v>54</v>
      </c>
      <c r="AK233" s="74">
        <v>9</v>
      </c>
      <c r="AL233" s="74">
        <v>0.75</v>
      </c>
    </row>
    <row r="234" spans="1:38" x14ac:dyDescent="0.3">
      <c r="A234" s="74" t="s">
        <v>261</v>
      </c>
      <c r="B234" s="74">
        <v>142718</v>
      </c>
      <c r="C234" s="74">
        <v>3</v>
      </c>
      <c r="D234" s="74" t="s">
        <v>583</v>
      </c>
      <c r="E234" s="74" t="s">
        <v>584</v>
      </c>
      <c r="F234" s="74">
        <v>12</v>
      </c>
      <c r="G234" s="74">
        <v>17.16</v>
      </c>
      <c r="H234" s="74">
        <v>56.76</v>
      </c>
      <c r="I234" s="74">
        <v>14.57</v>
      </c>
      <c r="J234" s="74">
        <v>48.19</v>
      </c>
      <c r="K234" s="74">
        <v>4</v>
      </c>
      <c r="T234" s="74">
        <v>2</v>
      </c>
      <c r="U234" s="74">
        <v>1</v>
      </c>
      <c r="V234" s="74" t="s">
        <v>186</v>
      </c>
      <c r="W234" s="74" t="s">
        <v>313</v>
      </c>
      <c r="X234" s="74">
        <v>8</v>
      </c>
      <c r="Y234" s="74">
        <v>8</v>
      </c>
      <c r="Z234" s="74" t="s">
        <v>585</v>
      </c>
      <c r="AA234" s="74" t="s">
        <v>586</v>
      </c>
      <c r="AB234" s="74" t="s">
        <v>182</v>
      </c>
      <c r="AC234" s="74" t="s">
        <v>183</v>
      </c>
      <c r="AD234" s="74" t="s">
        <v>158</v>
      </c>
      <c r="AG234" s="74" t="s">
        <v>587</v>
      </c>
      <c r="AH234" s="74">
        <v>0</v>
      </c>
      <c r="AI234" s="74">
        <v>249</v>
      </c>
      <c r="AJ234" s="74">
        <v>54</v>
      </c>
      <c r="AK234" s="74">
        <v>9</v>
      </c>
      <c r="AL234" s="74">
        <v>0.75</v>
      </c>
    </row>
    <row r="235" spans="1:38" x14ac:dyDescent="0.3">
      <c r="A235" s="74" t="s">
        <v>261</v>
      </c>
      <c r="B235" s="74">
        <v>14967</v>
      </c>
      <c r="C235" s="74">
        <v>1</v>
      </c>
      <c r="D235" s="74" t="s">
        <v>589</v>
      </c>
      <c r="E235" s="74" t="s">
        <v>590</v>
      </c>
      <c r="F235" s="74">
        <v>390</v>
      </c>
      <c r="G235" s="74">
        <v>18.29</v>
      </c>
      <c r="H235" s="74">
        <v>60.49</v>
      </c>
      <c r="I235" s="74">
        <v>16.78</v>
      </c>
      <c r="J235" s="74">
        <v>55.48</v>
      </c>
      <c r="K235" s="74">
        <v>100</v>
      </c>
      <c r="T235" s="74">
        <v>3</v>
      </c>
      <c r="U235" s="74">
        <v>1</v>
      </c>
      <c r="V235" s="74" t="s">
        <v>186</v>
      </c>
      <c r="W235" s="74">
        <v>60</v>
      </c>
      <c r="X235" s="74">
        <v>5</v>
      </c>
      <c r="Y235" s="74">
        <v>5</v>
      </c>
      <c r="Z235" s="74" t="s">
        <v>591</v>
      </c>
      <c r="AA235" s="74" t="s">
        <v>592</v>
      </c>
      <c r="AB235" s="74" t="s">
        <v>182</v>
      </c>
      <c r="AC235" s="74" t="s">
        <v>183</v>
      </c>
      <c r="AD235" s="74" t="s">
        <v>158</v>
      </c>
      <c r="AG235" s="74" t="s">
        <v>593</v>
      </c>
      <c r="AH235" s="74">
        <v>0</v>
      </c>
      <c r="AI235" s="74">
        <v>0</v>
      </c>
      <c r="AJ235" s="74">
        <v>0</v>
      </c>
      <c r="AK235" s="74">
        <v>0</v>
      </c>
      <c r="AL235" s="74">
        <v>0</v>
      </c>
    </row>
    <row r="236" spans="1:38" x14ac:dyDescent="0.3">
      <c r="A236" s="74" t="s">
        <v>261</v>
      </c>
      <c r="B236" s="74">
        <v>14967</v>
      </c>
      <c r="C236" s="74">
        <v>2</v>
      </c>
      <c r="D236" s="74" t="s">
        <v>589</v>
      </c>
      <c r="E236" s="74" t="s">
        <v>590</v>
      </c>
      <c r="F236" s="74">
        <v>390</v>
      </c>
      <c r="G236" s="74">
        <v>18.5</v>
      </c>
      <c r="H236" s="74">
        <v>61.18</v>
      </c>
      <c r="I236" s="74">
        <v>16.739999999999998</v>
      </c>
      <c r="J236" s="74">
        <v>55.36</v>
      </c>
      <c r="K236" s="74">
        <v>170</v>
      </c>
      <c r="T236" s="74">
        <v>2</v>
      </c>
      <c r="U236" s="74">
        <v>1</v>
      </c>
      <c r="V236" s="74" t="s">
        <v>179</v>
      </c>
      <c r="W236" s="74">
        <v>61</v>
      </c>
      <c r="X236" s="74">
        <v>5</v>
      </c>
      <c r="Y236" s="74">
        <v>5</v>
      </c>
      <c r="Z236" s="74" t="s">
        <v>591</v>
      </c>
      <c r="AA236" s="74" t="s">
        <v>592</v>
      </c>
      <c r="AB236" s="74" t="s">
        <v>182</v>
      </c>
      <c r="AC236" s="74" t="s">
        <v>183</v>
      </c>
      <c r="AD236" s="74" t="s">
        <v>158</v>
      </c>
      <c r="AG236" s="74" t="s">
        <v>593</v>
      </c>
      <c r="AH236" s="74">
        <v>0</v>
      </c>
      <c r="AI236" s="74">
        <v>0</v>
      </c>
      <c r="AJ236" s="74">
        <v>0</v>
      </c>
      <c r="AK236" s="74">
        <v>0</v>
      </c>
      <c r="AL236" s="74">
        <v>0</v>
      </c>
    </row>
    <row r="237" spans="1:38" x14ac:dyDescent="0.3">
      <c r="A237" s="74" t="s">
        <v>261</v>
      </c>
      <c r="B237" s="74">
        <v>14967</v>
      </c>
      <c r="C237" s="74">
        <v>3</v>
      </c>
      <c r="D237" s="74" t="s">
        <v>589</v>
      </c>
      <c r="E237" s="74" t="s">
        <v>590</v>
      </c>
      <c r="F237" s="74">
        <v>390</v>
      </c>
      <c r="G237" s="74">
        <v>21.99</v>
      </c>
      <c r="H237" s="74">
        <v>72.7</v>
      </c>
      <c r="I237" s="74">
        <v>19.89</v>
      </c>
      <c r="J237" s="74">
        <v>65.78</v>
      </c>
      <c r="K237" s="74">
        <v>120</v>
      </c>
      <c r="T237" s="74">
        <v>3</v>
      </c>
      <c r="U237" s="74">
        <v>1</v>
      </c>
      <c r="V237" s="74" t="s">
        <v>186</v>
      </c>
      <c r="W237" s="74">
        <v>72</v>
      </c>
      <c r="X237" s="74">
        <v>5</v>
      </c>
      <c r="Y237" s="74">
        <v>5</v>
      </c>
      <c r="Z237" s="74" t="s">
        <v>591</v>
      </c>
      <c r="AA237" s="74" t="s">
        <v>592</v>
      </c>
      <c r="AB237" s="74" t="s">
        <v>182</v>
      </c>
      <c r="AC237" s="74" t="s">
        <v>183</v>
      </c>
      <c r="AD237" s="74" t="s">
        <v>158</v>
      </c>
      <c r="AG237" s="74" t="s">
        <v>593</v>
      </c>
      <c r="AH237" s="74">
        <v>0</v>
      </c>
      <c r="AI237" s="74">
        <v>0</v>
      </c>
      <c r="AJ237" s="74">
        <v>0</v>
      </c>
      <c r="AK237" s="74">
        <v>0</v>
      </c>
      <c r="AL237" s="74">
        <v>0</v>
      </c>
    </row>
    <row r="238" spans="1:38" x14ac:dyDescent="0.3">
      <c r="A238" s="74" t="s">
        <v>261</v>
      </c>
      <c r="B238" s="74">
        <v>130728</v>
      </c>
      <c r="C238" s="74">
        <v>1</v>
      </c>
      <c r="D238" s="74" t="s">
        <v>594</v>
      </c>
      <c r="E238" s="74" t="s">
        <v>595</v>
      </c>
      <c r="F238" s="74">
        <v>36</v>
      </c>
      <c r="G238" s="74">
        <v>24.73</v>
      </c>
      <c r="H238" s="74">
        <v>81.77</v>
      </c>
      <c r="I238" s="74">
        <v>18.87</v>
      </c>
      <c r="J238" s="74">
        <v>62.4</v>
      </c>
      <c r="K238" s="74">
        <v>2</v>
      </c>
      <c r="T238" s="74">
        <v>3</v>
      </c>
      <c r="U238" s="74">
        <v>2</v>
      </c>
      <c r="V238" s="74" t="s">
        <v>186</v>
      </c>
      <c r="W238" s="74">
        <v>81</v>
      </c>
      <c r="X238" s="74">
        <v>13</v>
      </c>
      <c r="Y238" s="74">
        <v>13</v>
      </c>
      <c r="Z238" s="74" t="s">
        <v>596</v>
      </c>
      <c r="AA238" s="74" t="s">
        <v>597</v>
      </c>
      <c r="AB238" s="74" t="s">
        <v>182</v>
      </c>
      <c r="AC238" s="74" t="s">
        <v>183</v>
      </c>
      <c r="AD238" s="74" t="s">
        <v>158</v>
      </c>
      <c r="AG238" s="74" t="s">
        <v>598</v>
      </c>
      <c r="AH238" s="74">
        <v>0</v>
      </c>
      <c r="AI238" s="74">
        <v>397</v>
      </c>
      <c r="AJ238" s="74">
        <v>46</v>
      </c>
      <c r="AK238" s="74">
        <v>17</v>
      </c>
      <c r="AL238" s="74">
        <v>0.47</v>
      </c>
    </row>
    <row r="239" spans="1:38" x14ac:dyDescent="0.3">
      <c r="A239" s="74" t="s">
        <v>261</v>
      </c>
      <c r="B239" s="74">
        <v>130728</v>
      </c>
      <c r="C239" s="74">
        <v>2</v>
      </c>
      <c r="D239" s="74" t="s">
        <v>594</v>
      </c>
      <c r="E239" s="74" t="s">
        <v>595</v>
      </c>
      <c r="F239" s="74">
        <v>36</v>
      </c>
      <c r="G239" s="74">
        <v>29.96</v>
      </c>
      <c r="H239" s="74">
        <v>99.06</v>
      </c>
      <c r="I239" s="74">
        <v>22.86</v>
      </c>
      <c r="J239" s="74">
        <v>75.599999999999994</v>
      </c>
      <c r="K239" s="74">
        <v>2</v>
      </c>
      <c r="T239" s="74">
        <v>3</v>
      </c>
      <c r="U239" s="74">
        <v>2</v>
      </c>
      <c r="V239" s="74" t="s">
        <v>186</v>
      </c>
      <c r="W239" s="74">
        <v>99</v>
      </c>
      <c r="X239" s="74">
        <v>13</v>
      </c>
      <c r="Y239" s="74">
        <v>13</v>
      </c>
      <c r="Z239" s="74" t="s">
        <v>596</v>
      </c>
      <c r="AA239" s="74" t="s">
        <v>597</v>
      </c>
      <c r="AB239" s="74" t="s">
        <v>182</v>
      </c>
      <c r="AC239" s="74" t="s">
        <v>183</v>
      </c>
      <c r="AD239" s="74" t="s">
        <v>158</v>
      </c>
      <c r="AG239" s="74" t="s">
        <v>598</v>
      </c>
      <c r="AH239" s="74">
        <v>0</v>
      </c>
      <c r="AI239" s="74">
        <v>397</v>
      </c>
      <c r="AJ239" s="74">
        <v>46</v>
      </c>
      <c r="AK239" s="74">
        <v>17</v>
      </c>
      <c r="AL239" s="74">
        <v>0.47</v>
      </c>
    </row>
    <row r="240" spans="1:38" x14ac:dyDescent="0.3">
      <c r="A240" s="74" t="s">
        <v>261</v>
      </c>
      <c r="B240" s="74">
        <v>130728</v>
      </c>
      <c r="C240" s="74">
        <v>3</v>
      </c>
      <c r="D240" s="74" t="s">
        <v>594</v>
      </c>
      <c r="E240" s="74" t="s">
        <v>595</v>
      </c>
      <c r="F240" s="74">
        <v>36</v>
      </c>
      <c r="G240" s="74">
        <v>33.6</v>
      </c>
      <c r="H240" s="74">
        <v>111.09</v>
      </c>
      <c r="I240" s="74">
        <v>25.64</v>
      </c>
      <c r="J240" s="74">
        <v>84.78</v>
      </c>
      <c r="K240" s="74">
        <v>26</v>
      </c>
      <c r="T240" s="74">
        <v>3</v>
      </c>
      <c r="U240" s="74">
        <v>2</v>
      </c>
      <c r="V240" s="74" t="s">
        <v>186</v>
      </c>
      <c r="W240" s="74">
        <v>111</v>
      </c>
      <c r="X240" s="74">
        <v>13</v>
      </c>
      <c r="Y240" s="74">
        <v>13</v>
      </c>
      <c r="Z240" s="74" t="s">
        <v>596</v>
      </c>
      <c r="AA240" s="74" t="s">
        <v>597</v>
      </c>
      <c r="AB240" s="74" t="s">
        <v>182</v>
      </c>
      <c r="AC240" s="74" t="s">
        <v>183</v>
      </c>
      <c r="AD240" s="74" t="s">
        <v>158</v>
      </c>
      <c r="AG240" s="74" t="s">
        <v>598</v>
      </c>
      <c r="AH240" s="74">
        <v>0</v>
      </c>
      <c r="AI240" s="74">
        <v>397</v>
      </c>
      <c r="AJ240" s="74">
        <v>46</v>
      </c>
      <c r="AK240" s="74">
        <v>17</v>
      </c>
      <c r="AL240" s="74">
        <v>0.47</v>
      </c>
    </row>
    <row r="241" spans="1:38" x14ac:dyDescent="0.3">
      <c r="A241" s="74" t="s">
        <v>261</v>
      </c>
      <c r="B241" s="74">
        <v>130728</v>
      </c>
      <c r="C241" s="74">
        <v>4</v>
      </c>
      <c r="D241" s="74" t="s">
        <v>594</v>
      </c>
      <c r="E241" s="74" t="s">
        <v>595</v>
      </c>
      <c r="F241" s="74">
        <v>36</v>
      </c>
      <c r="G241" s="74">
        <v>56.74</v>
      </c>
      <c r="H241" s="74">
        <v>187.58</v>
      </c>
      <c r="I241" s="74">
        <v>43.29</v>
      </c>
      <c r="J241" s="74">
        <v>143.13</v>
      </c>
      <c r="K241" s="74">
        <v>6</v>
      </c>
      <c r="T241" s="74">
        <v>3</v>
      </c>
      <c r="U241" s="74">
        <v>2</v>
      </c>
      <c r="V241" s="74" t="s">
        <v>186</v>
      </c>
      <c r="W241" s="74">
        <v>187</v>
      </c>
      <c r="X241" s="74">
        <v>13</v>
      </c>
      <c r="Y241" s="74">
        <v>13</v>
      </c>
      <c r="Z241" s="74" t="s">
        <v>596</v>
      </c>
      <c r="AA241" s="74" t="s">
        <v>597</v>
      </c>
      <c r="AB241" s="74" t="s">
        <v>182</v>
      </c>
      <c r="AC241" s="74" t="s">
        <v>183</v>
      </c>
      <c r="AD241" s="74" t="s">
        <v>158</v>
      </c>
      <c r="AG241" s="74" t="s">
        <v>598</v>
      </c>
      <c r="AH241" s="74">
        <v>0</v>
      </c>
      <c r="AI241" s="74">
        <v>397</v>
      </c>
      <c r="AJ241" s="74">
        <v>46</v>
      </c>
      <c r="AK241" s="74">
        <v>17</v>
      </c>
      <c r="AL241" s="74">
        <v>0.47</v>
      </c>
    </row>
    <row r="242" spans="1:38" x14ac:dyDescent="0.3">
      <c r="A242" s="74" t="s">
        <v>261</v>
      </c>
      <c r="B242" s="74">
        <v>5016</v>
      </c>
      <c r="C242" s="74">
        <v>1</v>
      </c>
      <c r="D242" s="74" t="s">
        <v>599</v>
      </c>
      <c r="E242" s="74" t="s">
        <v>269</v>
      </c>
      <c r="F242" s="74">
        <v>100</v>
      </c>
      <c r="G242" s="74">
        <v>21.1</v>
      </c>
      <c r="H242" s="74">
        <v>69.77</v>
      </c>
      <c r="I242" s="74">
        <v>17.579999999999998</v>
      </c>
      <c r="J242" s="74">
        <v>58.14</v>
      </c>
      <c r="K242" s="74">
        <v>50</v>
      </c>
      <c r="T242" s="74">
        <v>3</v>
      </c>
      <c r="U242" s="74">
        <v>1</v>
      </c>
      <c r="V242" s="74" t="s">
        <v>186</v>
      </c>
      <c r="W242" s="74" t="s">
        <v>144</v>
      </c>
      <c r="X242" s="74">
        <v>5</v>
      </c>
      <c r="Y242" s="74">
        <v>5</v>
      </c>
      <c r="Z242" s="74" t="s">
        <v>600</v>
      </c>
      <c r="AA242" s="74" t="s">
        <v>601</v>
      </c>
      <c r="AB242" s="74" t="s">
        <v>182</v>
      </c>
      <c r="AC242" s="74" t="s">
        <v>183</v>
      </c>
      <c r="AD242" s="74" t="s">
        <v>158</v>
      </c>
      <c r="AG242" s="74" t="s">
        <v>602</v>
      </c>
      <c r="AH242" s="74">
        <v>0</v>
      </c>
      <c r="AI242" s="74">
        <v>78</v>
      </c>
      <c r="AJ242" s="74">
        <v>15</v>
      </c>
      <c r="AK242" s="74">
        <v>0</v>
      </c>
      <c r="AL242" s="74">
        <v>0</v>
      </c>
    </row>
    <row r="243" spans="1:38" x14ac:dyDescent="0.3">
      <c r="A243" s="74" t="s">
        <v>261</v>
      </c>
      <c r="B243" s="74">
        <v>5016</v>
      </c>
      <c r="C243" s="74">
        <v>2</v>
      </c>
      <c r="D243" s="74" t="s">
        <v>599</v>
      </c>
      <c r="E243" s="74" t="s">
        <v>269</v>
      </c>
      <c r="F243" s="74">
        <v>100</v>
      </c>
      <c r="G243" s="74">
        <v>21.47</v>
      </c>
      <c r="H243" s="74">
        <v>71</v>
      </c>
      <c r="I243" s="74">
        <v>18.059999999999999</v>
      </c>
      <c r="J243" s="74">
        <v>59.72</v>
      </c>
      <c r="K243" s="74">
        <v>50</v>
      </c>
      <c r="T243" s="74">
        <v>3</v>
      </c>
      <c r="U243" s="74">
        <v>1</v>
      </c>
      <c r="V243" s="74" t="s">
        <v>186</v>
      </c>
      <c r="W243" s="74" t="s">
        <v>270</v>
      </c>
      <c r="X243" s="74">
        <v>5</v>
      </c>
      <c r="Y243" s="74">
        <v>5</v>
      </c>
      <c r="Z243" s="74" t="s">
        <v>600</v>
      </c>
      <c r="AA243" s="74" t="s">
        <v>601</v>
      </c>
      <c r="AB243" s="74" t="s">
        <v>182</v>
      </c>
      <c r="AC243" s="74" t="s">
        <v>183</v>
      </c>
      <c r="AD243" s="74" t="s">
        <v>158</v>
      </c>
      <c r="AG243" s="74" t="s">
        <v>602</v>
      </c>
      <c r="AH243" s="74">
        <v>0</v>
      </c>
      <c r="AI243" s="74">
        <v>78</v>
      </c>
      <c r="AJ243" s="74">
        <v>15</v>
      </c>
      <c r="AK243" s="74">
        <v>0</v>
      </c>
      <c r="AL243" s="74">
        <v>0</v>
      </c>
    </row>
    <row r="244" spans="1:38" x14ac:dyDescent="0.3">
      <c r="A244" s="74" t="s">
        <v>261</v>
      </c>
      <c r="B244" s="74">
        <v>24067</v>
      </c>
      <c r="C244" s="74">
        <v>1</v>
      </c>
      <c r="D244" s="74" t="s">
        <v>603</v>
      </c>
      <c r="E244" s="74" t="s">
        <v>604</v>
      </c>
      <c r="F244" s="74">
        <v>65</v>
      </c>
      <c r="G244" s="74">
        <v>23.18</v>
      </c>
      <c r="H244" s="74">
        <v>76.66</v>
      </c>
      <c r="I244" s="74">
        <v>19.809999999999999</v>
      </c>
      <c r="J244" s="74">
        <v>65.489999999999995</v>
      </c>
      <c r="K244" s="74">
        <v>25</v>
      </c>
      <c r="T244" s="74">
        <v>2</v>
      </c>
      <c r="U244" s="74">
        <v>1</v>
      </c>
      <c r="V244" s="74" t="s">
        <v>186</v>
      </c>
      <c r="W244" s="74">
        <v>76</v>
      </c>
      <c r="X244" s="74">
        <v>5</v>
      </c>
      <c r="Y244" s="74">
        <v>5</v>
      </c>
      <c r="Z244" s="74" t="s">
        <v>605</v>
      </c>
      <c r="AA244" s="74" t="s">
        <v>606</v>
      </c>
      <c r="AB244" s="74" t="s">
        <v>182</v>
      </c>
      <c r="AC244" s="74" t="s">
        <v>183</v>
      </c>
      <c r="AD244" s="74" t="s">
        <v>158</v>
      </c>
      <c r="AG244" s="74" t="s">
        <v>607</v>
      </c>
      <c r="AH244" s="74">
        <v>0</v>
      </c>
      <c r="AI244" s="74">
        <v>0</v>
      </c>
      <c r="AJ244" s="74">
        <v>0</v>
      </c>
      <c r="AK244" s="74">
        <v>0</v>
      </c>
      <c r="AL244" s="74">
        <v>0</v>
      </c>
    </row>
    <row r="245" spans="1:38" x14ac:dyDescent="0.3">
      <c r="A245" s="74" t="s">
        <v>261</v>
      </c>
      <c r="B245" s="74">
        <v>24067</v>
      </c>
      <c r="C245" s="74">
        <v>2</v>
      </c>
      <c r="D245" s="74" t="s">
        <v>603</v>
      </c>
      <c r="E245" s="74" t="s">
        <v>604</v>
      </c>
      <c r="F245" s="74">
        <v>65</v>
      </c>
      <c r="G245" s="74">
        <v>26.44</v>
      </c>
      <c r="H245" s="74">
        <v>87.42</v>
      </c>
      <c r="I245" s="74">
        <v>23.06</v>
      </c>
      <c r="J245" s="74">
        <v>76.25</v>
      </c>
      <c r="K245" s="74">
        <v>15</v>
      </c>
      <c r="T245" s="74">
        <v>3</v>
      </c>
      <c r="U245" s="74">
        <v>1</v>
      </c>
      <c r="V245" s="74" t="s">
        <v>186</v>
      </c>
      <c r="W245" s="74">
        <v>87</v>
      </c>
      <c r="X245" s="74">
        <v>5</v>
      </c>
      <c r="Y245" s="74">
        <v>5</v>
      </c>
      <c r="Z245" s="74" t="s">
        <v>605</v>
      </c>
      <c r="AA245" s="74" t="s">
        <v>606</v>
      </c>
      <c r="AB245" s="74" t="s">
        <v>182</v>
      </c>
      <c r="AC245" s="74" t="s">
        <v>183</v>
      </c>
      <c r="AD245" s="74" t="s">
        <v>158</v>
      </c>
      <c r="AG245" s="74" t="s">
        <v>607</v>
      </c>
      <c r="AH245" s="74">
        <v>0</v>
      </c>
      <c r="AI245" s="74">
        <v>0</v>
      </c>
      <c r="AJ245" s="74">
        <v>0</v>
      </c>
      <c r="AK245" s="74">
        <v>0</v>
      </c>
      <c r="AL245" s="74">
        <v>0</v>
      </c>
    </row>
    <row r="246" spans="1:38" x14ac:dyDescent="0.3">
      <c r="A246" s="74" t="s">
        <v>261</v>
      </c>
      <c r="B246" s="74">
        <v>24067</v>
      </c>
      <c r="C246" s="74">
        <v>3</v>
      </c>
      <c r="D246" s="74" t="s">
        <v>603</v>
      </c>
      <c r="E246" s="74" t="s">
        <v>604</v>
      </c>
      <c r="F246" s="74">
        <v>65</v>
      </c>
      <c r="G246" s="74">
        <v>27.04</v>
      </c>
      <c r="H246" s="74">
        <v>89.42</v>
      </c>
      <c r="I246" s="74">
        <v>23.55</v>
      </c>
      <c r="J246" s="74">
        <v>77.86</v>
      </c>
      <c r="K246" s="74">
        <v>25</v>
      </c>
      <c r="T246" s="74">
        <v>3</v>
      </c>
      <c r="U246" s="74">
        <v>1</v>
      </c>
      <c r="V246" s="74" t="s">
        <v>186</v>
      </c>
      <c r="W246" s="74">
        <v>89</v>
      </c>
      <c r="X246" s="74">
        <v>5</v>
      </c>
      <c r="Y246" s="74">
        <v>5</v>
      </c>
      <c r="Z246" s="74" t="s">
        <v>605</v>
      </c>
      <c r="AA246" s="74" t="s">
        <v>606</v>
      </c>
      <c r="AB246" s="74" t="s">
        <v>182</v>
      </c>
      <c r="AC246" s="74" t="s">
        <v>183</v>
      </c>
      <c r="AD246" s="74" t="s">
        <v>158</v>
      </c>
      <c r="AG246" s="74" t="s">
        <v>607</v>
      </c>
      <c r="AH246" s="74">
        <v>0</v>
      </c>
      <c r="AI246" s="74">
        <v>0</v>
      </c>
      <c r="AJ246" s="74">
        <v>0</v>
      </c>
      <c r="AK246" s="74">
        <v>0</v>
      </c>
      <c r="AL246" s="74">
        <v>0</v>
      </c>
    </row>
    <row r="247" spans="1:38" x14ac:dyDescent="0.3">
      <c r="A247" s="74" t="s">
        <v>608</v>
      </c>
      <c r="B247" s="74">
        <v>115362</v>
      </c>
      <c r="C247" s="74">
        <v>1</v>
      </c>
      <c r="D247" s="74" t="s">
        <v>609</v>
      </c>
      <c r="E247" s="74" t="s">
        <v>610</v>
      </c>
      <c r="F247" s="74">
        <v>942</v>
      </c>
      <c r="G247" s="74">
        <v>34.89</v>
      </c>
      <c r="H247" s="74">
        <v>115.34</v>
      </c>
      <c r="I247" s="74">
        <v>25.69</v>
      </c>
      <c r="J247" s="74">
        <v>84.93</v>
      </c>
      <c r="K247" s="74">
        <v>318</v>
      </c>
      <c r="T247" s="74">
        <v>3</v>
      </c>
      <c r="U247" s="74">
        <v>2</v>
      </c>
      <c r="V247" s="74" t="s">
        <v>186</v>
      </c>
      <c r="W247" s="74" t="s">
        <v>141</v>
      </c>
      <c r="X247" s="74">
        <v>40</v>
      </c>
      <c r="Y247" s="74">
        <v>30</v>
      </c>
      <c r="Z247" s="74" t="s">
        <v>611</v>
      </c>
      <c r="AA247" s="74" t="s">
        <v>612</v>
      </c>
      <c r="AB247" s="74" t="s">
        <v>182</v>
      </c>
      <c r="AC247" s="74" t="s">
        <v>183</v>
      </c>
      <c r="AD247" s="74" t="s">
        <v>613</v>
      </c>
      <c r="AG247" s="74" t="s">
        <v>614</v>
      </c>
      <c r="AH247" s="74">
        <v>0</v>
      </c>
      <c r="AI247" s="74">
        <v>422</v>
      </c>
      <c r="AJ247" s="74">
        <v>71</v>
      </c>
      <c r="AK247" s="74">
        <v>1206</v>
      </c>
      <c r="AL247" s="74">
        <v>1.28</v>
      </c>
    </row>
    <row r="248" spans="1:38" x14ac:dyDescent="0.3">
      <c r="A248" s="74" t="s">
        <v>608</v>
      </c>
      <c r="B248" s="74">
        <v>115362</v>
      </c>
      <c r="C248" s="74">
        <v>2</v>
      </c>
      <c r="D248" s="74" t="s">
        <v>609</v>
      </c>
      <c r="E248" s="74" t="s">
        <v>610</v>
      </c>
      <c r="F248" s="74">
        <v>942</v>
      </c>
      <c r="G248" s="74">
        <v>34.94</v>
      </c>
      <c r="H248" s="74">
        <v>115.52</v>
      </c>
      <c r="I248" s="74">
        <v>25.7</v>
      </c>
      <c r="J248" s="74">
        <v>84.96</v>
      </c>
      <c r="K248" s="74">
        <v>316</v>
      </c>
      <c r="T248" s="74">
        <v>3</v>
      </c>
      <c r="U248" s="74">
        <v>2</v>
      </c>
      <c r="V248" s="74" t="s">
        <v>186</v>
      </c>
      <c r="W248" s="74" t="s">
        <v>94</v>
      </c>
      <c r="X248" s="74">
        <v>40</v>
      </c>
      <c r="Y248" s="74">
        <v>30</v>
      </c>
      <c r="Z248" s="74" t="s">
        <v>611</v>
      </c>
      <c r="AA248" s="74" t="s">
        <v>612</v>
      </c>
      <c r="AB248" s="74" t="s">
        <v>182</v>
      </c>
      <c r="AC248" s="74" t="s">
        <v>183</v>
      </c>
      <c r="AD248" s="74" t="s">
        <v>613</v>
      </c>
      <c r="AG248" s="74" t="s">
        <v>614</v>
      </c>
      <c r="AH248" s="74">
        <v>0</v>
      </c>
      <c r="AI248" s="74">
        <v>422</v>
      </c>
      <c r="AJ248" s="74">
        <v>71</v>
      </c>
      <c r="AK248" s="74">
        <v>1206</v>
      </c>
      <c r="AL248" s="74">
        <v>1.28</v>
      </c>
    </row>
    <row r="249" spans="1:38" x14ac:dyDescent="0.3">
      <c r="A249" s="74" t="s">
        <v>608</v>
      </c>
      <c r="B249" s="74">
        <v>115362</v>
      </c>
      <c r="C249" s="74">
        <v>3</v>
      </c>
      <c r="D249" s="74" t="s">
        <v>609</v>
      </c>
      <c r="E249" s="74" t="s">
        <v>610</v>
      </c>
      <c r="F249" s="74">
        <v>942</v>
      </c>
      <c r="G249" s="74">
        <v>34.869999999999997</v>
      </c>
      <c r="H249" s="74">
        <v>115.3</v>
      </c>
      <c r="I249" s="74">
        <v>25.7</v>
      </c>
      <c r="J249" s="74">
        <v>84.98</v>
      </c>
      <c r="K249" s="74">
        <v>308</v>
      </c>
      <c r="T249" s="74">
        <v>3</v>
      </c>
      <c r="U249" s="74">
        <v>2</v>
      </c>
      <c r="V249" s="74" t="s">
        <v>186</v>
      </c>
      <c r="W249" s="74" t="s">
        <v>93</v>
      </c>
      <c r="X249" s="74">
        <v>40</v>
      </c>
      <c r="Y249" s="74">
        <v>30</v>
      </c>
      <c r="Z249" s="74" t="s">
        <v>611</v>
      </c>
      <c r="AA249" s="74" t="s">
        <v>612</v>
      </c>
      <c r="AB249" s="74" t="s">
        <v>182</v>
      </c>
      <c r="AC249" s="74" t="s">
        <v>183</v>
      </c>
      <c r="AD249" s="74" t="s">
        <v>613</v>
      </c>
      <c r="AG249" s="74" t="s">
        <v>614</v>
      </c>
      <c r="AH249" s="74">
        <v>0</v>
      </c>
      <c r="AI249" s="74">
        <v>422</v>
      </c>
      <c r="AJ249" s="74">
        <v>71</v>
      </c>
      <c r="AK249" s="74">
        <v>1206</v>
      </c>
      <c r="AL249" s="74">
        <v>1.28</v>
      </c>
    </row>
    <row r="250" spans="1:38" x14ac:dyDescent="0.3">
      <c r="A250" s="74" t="s">
        <v>608</v>
      </c>
      <c r="B250" s="74">
        <v>103553</v>
      </c>
      <c r="C250" s="74">
        <v>1</v>
      </c>
      <c r="D250" s="74" t="s">
        <v>615</v>
      </c>
      <c r="E250" s="74" t="s">
        <v>616</v>
      </c>
      <c r="F250" s="74">
        <v>614</v>
      </c>
      <c r="G250" s="74">
        <v>32.89</v>
      </c>
      <c r="H250" s="74">
        <v>108.74</v>
      </c>
      <c r="I250" s="74">
        <v>23.06</v>
      </c>
      <c r="J250" s="74">
        <v>76.260000000000005</v>
      </c>
      <c r="K250" s="74">
        <v>248</v>
      </c>
      <c r="T250" s="74">
        <v>3</v>
      </c>
      <c r="U250" s="74">
        <v>2</v>
      </c>
      <c r="V250" s="74" t="s">
        <v>186</v>
      </c>
      <c r="W250" s="74">
        <v>108</v>
      </c>
      <c r="X250" s="74">
        <v>33</v>
      </c>
      <c r="Y250" s="74">
        <v>31</v>
      </c>
      <c r="Z250" s="74" t="s">
        <v>617</v>
      </c>
      <c r="AA250" s="74" t="s">
        <v>618</v>
      </c>
      <c r="AB250" s="74" t="s">
        <v>182</v>
      </c>
      <c r="AC250" s="74" t="s">
        <v>183</v>
      </c>
      <c r="AD250" s="74" t="s">
        <v>613</v>
      </c>
      <c r="AG250" s="74" t="s">
        <v>619</v>
      </c>
      <c r="AH250" s="74">
        <v>0</v>
      </c>
      <c r="AI250" s="74">
        <v>419</v>
      </c>
      <c r="AJ250" s="74">
        <v>70</v>
      </c>
      <c r="AK250" s="74">
        <v>770</v>
      </c>
      <c r="AL250" s="74">
        <v>1.25</v>
      </c>
    </row>
    <row r="251" spans="1:38" x14ac:dyDescent="0.3">
      <c r="A251" s="74" t="s">
        <v>608</v>
      </c>
      <c r="B251" s="74">
        <v>103553</v>
      </c>
      <c r="C251" s="74">
        <v>2</v>
      </c>
      <c r="D251" s="74" t="s">
        <v>615</v>
      </c>
      <c r="E251" s="74" t="s">
        <v>616</v>
      </c>
      <c r="F251" s="74">
        <v>614</v>
      </c>
      <c r="G251" s="74">
        <v>36.44</v>
      </c>
      <c r="H251" s="74">
        <v>120.47</v>
      </c>
      <c r="I251" s="74">
        <v>25.69</v>
      </c>
      <c r="J251" s="74">
        <v>84.93</v>
      </c>
      <c r="K251" s="74">
        <v>244</v>
      </c>
      <c r="T251" s="74">
        <v>3</v>
      </c>
      <c r="U251" s="74">
        <v>2</v>
      </c>
      <c r="V251" s="74" t="s">
        <v>186</v>
      </c>
      <c r="W251" s="74">
        <v>120</v>
      </c>
      <c r="X251" s="74">
        <v>33</v>
      </c>
      <c r="Y251" s="74">
        <v>31</v>
      </c>
      <c r="Z251" s="74" t="s">
        <v>617</v>
      </c>
      <c r="AA251" s="74" t="s">
        <v>618</v>
      </c>
      <c r="AB251" s="74" t="s">
        <v>182</v>
      </c>
      <c r="AC251" s="74" t="s">
        <v>183</v>
      </c>
      <c r="AD251" s="74" t="s">
        <v>613</v>
      </c>
      <c r="AG251" s="74" t="s">
        <v>619</v>
      </c>
      <c r="AH251" s="74">
        <v>0</v>
      </c>
      <c r="AI251" s="74">
        <v>419</v>
      </c>
      <c r="AJ251" s="74">
        <v>70</v>
      </c>
      <c r="AK251" s="74">
        <v>770</v>
      </c>
      <c r="AL251" s="74">
        <v>1.25</v>
      </c>
    </row>
    <row r="252" spans="1:38" x14ac:dyDescent="0.3">
      <c r="A252" s="74" t="s">
        <v>608</v>
      </c>
      <c r="B252" s="74">
        <v>103553</v>
      </c>
      <c r="C252" s="74">
        <v>3</v>
      </c>
      <c r="D252" s="74" t="s">
        <v>615</v>
      </c>
      <c r="E252" s="74" t="s">
        <v>616</v>
      </c>
      <c r="F252" s="74">
        <v>614</v>
      </c>
      <c r="G252" s="74">
        <v>36.51</v>
      </c>
      <c r="H252" s="74">
        <v>120.7</v>
      </c>
      <c r="I252" s="74">
        <v>25.69</v>
      </c>
      <c r="J252" s="74">
        <v>84.93</v>
      </c>
      <c r="K252" s="74">
        <v>122</v>
      </c>
      <c r="T252" s="74">
        <v>3</v>
      </c>
      <c r="U252" s="74">
        <v>2</v>
      </c>
      <c r="V252" s="74" t="s">
        <v>186</v>
      </c>
      <c r="W252" s="74">
        <v>120</v>
      </c>
      <c r="X252" s="74">
        <v>33</v>
      </c>
      <c r="Y252" s="74">
        <v>31</v>
      </c>
      <c r="Z252" s="74" t="s">
        <v>617</v>
      </c>
      <c r="AA252" s="74" t="s">
        <v>618</v>
      </c>
      <c r="AB252" s="74" t="s">
        <v>182</v>
      </c>
      <c r="AC252" s="74" t="s">
        <v>183</v>
      </c>
      <c r="AD252" s="74" t="s">
        <v>613</v>
      </c>
      <c r="AG252" s="74" t="s">
        <v>619</v>
      </c>
      <c r="AH252" s="74">
        <v>0</v>
      </c>
      <c r="AI252" s="74">
        <v>419</v>
      </c>
      <c r="AJ252" s="74">
        <v>70</v>
      </c>
      <c r="AK252" s="74">
        <v>770</v>
      </c>
      <c r="AL252" s="74">
        <v>1.25</v>
      </c>
    </row>
    <row r="253" spans="1:38" x14ac:dyDescent="0.3">
      <c r="A253" s="74" t="s">
        <v>608</v>
      </c>
      <c r="B253" s="74">
        <v>119697</v>
      </c>
      <c r="C253" s="74">
        <v>1</v>
      </c>
      <c r="D253" s="74" t="s">
        <v>620</v>
      </c>
      <c r="E253" s="74" t="s">
        <v>621</v>
      </c>
      <c r="F253" s="74">
        <v>101</v>
      </c>
      <c r="G253" s="74">
        <v>9.92</v>
      </c>
      <c r="H253" s="74">
        <v>32.82</v>
      </c>
      <c r="I253" s="74">
        <v>8.07</v>
      </c>
      <c r="J253" s="74">
        <v>26.68</v>
      </c>
      <c r="K253" s="74">
        <v>1</v>
      </c>
      <c r="T253" s="74">
        <v>1</v>
      </c>
      <c r="U253" s="74">
        <v>1</v>
      </c>
      <c r="V253" s="74" t="s">
        <v>186</v>
      </c>
      <c r="W253" s="74">
        <v>32</v>
      </c>
      <c r="X253" s="74">
        <v>10</v>
      </c>
      <c r="Y253" s="74">
        <v>7</v>
      </c>
      <c r="Z253" s="74" t="s">
        <v>622</v>
      </c>
      <c r="AA253" s="74" t="s">
        <v>623</v>
      </c>
      <c r="AB253" s="74" t="s">
        <v>182</v>
      </c>
      <c r="AC253" s="74" t="s">
        <v>183</v>
      </c>
      <c r="AD253" s="74" t="s">
        <v>613</v>
      </c>
      <c r="AG253" s="74" t="s">
        <v>624</v>
      </c>
      <c r="AH253" s="74">
        <v>0</v>
      </c>
      <c r="AI253" s="74">
        <v>0</v>
      </c>
      <c r="AJ253" s="74">
        <v>0</v>
      </c>
      <c r="AK253" s="74">
        <v>52</v>
      </c>
      <c r="AL253" s="74">
        <v>0.51</v>
      </c>
    </row>
    <row r="254" spans="1:38" x14ac:dyDescent="0.3">
      <c r="A254" s="74" t="s">
        <v>608</v>
      </c>
      <c r="B254" s="74">
        <v>119697</v>
      </c>
      <c r="C254" s="74">
        <v>2</v>
      </c>
      <c r="D254" s="74" t="s">
        <v>620</v>
      </c>
      <c r="E254" s="74" t="s">
        <v>621</v>
      </c>
      <c r="F254" s="74">
        <v>101</v>
      </c>
      <c r="G254" s="74">
        <v>18.32</v>
      </c>
      <c r="H254" s="74">
        <v>60.58</v>
      </c>
      <c r="I254" s="74">
        <v>14.89</v>
      </c>
      <c r="J254" s="74">
        <v>49.24</v>
      </c>
      <c r="K254" s="74">
        <v>1</v>
      </c>
      <c r="T254" s="74">
        <v>1</v>
      </c>
      <c r="U254" s="74">
        <v>1</v>
      </c>
      <c r="V254" s="74" t="s">
        <v>186</v>
      </c>
      <c r="W254" s="74">
        <v>60</v>
      </c>
      <c r="X254" s="74">
        <v>10</v>
      </c>
      <c r="Y254" s="74">
        <v>7</v>
      </c>
      <c r="Z254" s="74" t="s">
        <v>622</v>
      </c>
      <c r="AA254" s="74" t="s">
        <v>623</v>
      </c>
      <c r="AB254" s="74" t="s">
        <v>182</v>
      </c>
      <c r="AC254" s="74" t="s">
        <v>183</v>
      </c>
      <c r="AD254" s="74" t="s">
        <v>613</v>
      </c>
      <c r="AG254" s="74" t="s">
        <v>624</v>
      </c>
      <c r="AH254" s="74">
        <v>0</v>
      </c>
      <c r="AI254" s="74">
        <v>0</v>
      </c>
      <c r="AJ254" s="74">
        <v>0</v>
      </c>
      <c r="AK254" s="74">
        <v>52</v>
      </c>
      <c r="AL254" s="74">
        <v>0.51</v>
      </c>
    </row>
    <row r="255" spans="1:38" x14ac:dyDescent="0.3">
      <c r="A255" s="74" t="s">
        <v>608</v>
      </c>
      <c r="B255" s="74">
        <v>119697</v>
      </c>
      <c r="C255" s="74">
        <v>3</v>
      </c>
      <c r="D255" s="74" t="s">
        <v>620</v>
      </c>
      <c r="E255" s="74" t="s">
        <v>621</v>
      </c>
      <c r="F255" s="74">
        <v>101</v>
      </c>
      <c r="G255" s="74">
        <v>18.739999999999998</v>
      </c>
      <c r="H255" s="74">
        <v>61.97</v>
      </c>
      <c r="I255" s="74">
        <v>15.06</v>
      </c>
      <c r="J255" s="74">
        <v>49.8</v>
      </c>
      <c r="K255" s="74">
        <v>9</v>
      </c>
      <c r="T255" s="74">
        <v>1</v>
      </c>
      <c r="U255" s="74">
        <v>1</v>
      </c>
      <c r="V255" s="74" t="s">
        <v>186</v>
      </c>
      <c r="W255" s="74" t="s">
        <v>625</v>
      </c>
      <c r="X255" s="74">
        <v>10</v>
      </c>
      <c r="Y255" s="74">
        <v>7</v>
      </c>
      <c r="Z255" s="74" t="s">
        <v>622</v>
      </c>
      <c r="AA255" s="74" t="s">
        <v>623</v>
      </c>
      <c r="AB255" s="74" t="s">
        <v>182</v>
      </c>
      <c r="AC255" s="74" t="s">
        <v>183</v>
      </c>
      <c r="AD255" s="74" t="s">
        <v>613</v>
      </c>
      <c r="AG255" s="74" t="s">
        <v>624</v>
      </c>
      <c r="AH255" s="74">
        <v>0</v>
      </c>
      <c r="AI255" s="74">
        <v>0</v>
      </c>
      <c r="AJ255" s="74">
        <v>0</v>
      </c>
      <c r="AK255" s="74">
        <v>52</v>
      </c>
      <c r="AL255" s="74">
        <v>0.51</v>
      </c>
    </row>
    <row r="256" spans="1:38" x14ac:dyDescent="0.3">
      <c r="A256" s="74" t="s">
        <v>608</v>
      </c>
      <c r="B256" s="74">
        <v>119697</v>
      </c>
      <c r="C256" s="74">
        <v>4</v>
      </c>
      <c r="D256" s="74" t="s">
        <v>620</v>
      </c>
      <c r="E256" s="74" t="s">
        <v>621</v>
      </c>
      <c r="F256" s="74">
        <v>101</v>
      </c>
      <c r="G256" s="74">
        <v>18.57</v>
      </c>
      <c r="H256" s="74">
        <v>61.39</v>
      </c>
      <c r="I256" s="74">
        <v>15.09</v>
      </c>
      <c r="J256" s="74">
        <v>49.9</v>
      </c>
      <c r="K256" s="74">
        <v>7</v>
      </c>
      <c r="T256" s="74">
        <v>3</v>
      </c>
      <c r="U256" s="74">
        <v>1</v>
      </c>
      <c r="V256" s="74" t="s">
        <v>186</v>
      </c>
      <c r="W256" s="74" t="s">
        <v>626</v>
      </c>
      <c r="X256" s="74">
        <v>10</v>
      </c>
      <c r="Y256" s="74">
        <v>7</v>
      </c>
      <c r="Z256" s="74" t="s">
        <v>622</v>
      </c>
      <c r="AA256" s="74" t="s">
        <v>623</v>
      </c>
      <c r="AB256" s="74" t="s">
        <v>182</v>
      </c>
      <c r="AC256" s="74" t="s">
        <v>183</v>
      </c>
      <c r="AD256" s="74" t="s">
        <v>613</v>
      </c>
      <c r="AG256" s="74" t="s">
        <v>624</v>
      </c>
      <c r="AH256" s="74">
        <v>0</v>
      </c>
      <c r="AI256" s="74">
        <v>0</v>
      </c>
      <c r="AJ256" s="74">
        <v>0</v>
      </c>
      <c r="AK256" s="74">
        <v>52</v>
      </c>
      <c r="AL256" s="74">
        <v>0.51</v>
      </c>
    </row>
    <row r="257" spans="1:38" x14ac:dyDescent="0.3">
      <c r="A257" s="74" t="s">
        <v>608</v>
      </c>
      <c r="B257" s="74">
        <v>119697</v>
      </c>
      <c r="C257" s="74">
        <v>5</v>
      </c>
      <c r="D257" s="74" t="s">
        <v>620</v>
      </c>
      <c r="E257" s="74" t="s">
        <v>621</v>
      </c>
      <c r="F257" s="74">
        <v>101</v>
      </c>
      <c r="G257" s="74">
        <v>18.55</v>
      </c>
      <c r="H257" s="74">
        <v>61.33</v>
      </c>
      <c r="I257" s="74">
        <v>15.07</v>
      </c>
      <c r="J257" s="74">
        <v>49.85</v>
      </c>
      <c r="K257" s="74">
        <v>6</v>
      </c>
      <c r="T257" s="74">
        <v>3</v>
      </c>
      <c r="U257" s="74">
        <v>1</v>
      </c>
      <c r="V257" s="74" t="s">
        <v>186</v>
      </c>
      <c r="W257" s="74" t="s">
        <v>627</v>
      </c>
      <c r="X257" s="74">
        <v>10</v>
      </c>
      <c r="Y257" s="74">
        <v>7</v>
      </c>
      <c r="Z257" s="74" t="s">
        <v>622</v>
      </c>
      <c r="AA257" s="74" t="s">
        <v>623</v>
      </c>
      <c r="AB257" s="74" t="s">
        <v>182</v>
      </c>
      <c r="AC257" s="74" t="s">
        <v>183</v>
      </c>
      <c r="AD257" s="74" t="s">
        <v>613</v>
      </c>
      <c r="AG257" s="74" t="s">
        <v>624</v>
      </c>
      <c r="AH257" s="74">
        <v>0</v>
      </c>
      <c r="AI257" s="74">
        <v>0</v>
      </c>
      <c r="AJ257" s="74">
        <v>0</v>
      </c>
      <c r="AK257" s="74">
        <v>52</v>
      </c>
      <c r="AL257" s="74">
        <v>0.51</v>
      </c>
    </row>
    <row r="258" spans="1:38" x14ac:dyDescent="0.3">
      <c r="A258" s="74" t="s">
        <v>608</v>
      </c>
      <c r="B258" s="74">
        <v>119697</v>
      </c>
      <c r="C258" s="74">
        <v>6</v>
      </c>
      <c r="D258" s="74" t="s">
        <v>620</v>
      </c>
      <c r="E258" s="74" t="s">
        <v>621</v>
      </c>
      <c r="F258" s="74">
        <v>101</v>
      </c>
      <c r="G258" s="74">
        <v>18.59</v>
      </c>
      <c r="H258" s="74">
        <v>61.48</v>
      </c>
      <c r="I258" s="74">
        <v>15.11</v>
      </c>
      <c r="J258" s="74">
        <v>49.97</v>
      </c>
      <c r="K258" s="74">
        <v>6</v>
      </c>
      <c r="T258" s="74">
        <v>3</v>
      </c>
      <c r="U258" s="74">
        <v>1</v>
      </c>
      <c r="V258" s="74" t="s">
        <v>186</v>
      </c>
      <c r="W258" s="74" t="s">
        <v>628</v>
      </c>
      <c r="X258" s="74">
        <v>10</v>
      </c>
      <c r="Y258" s="74">
        <v>7</v>
      </c>
      <c r="Z258" s="74" t="s">
        <v>622</v>
      </c>
      <c r="AA258" s="74" t="s">
        <v>623</v>
      </c>
      <c r="AB258" s="74" t="s">
        <v>182</v>
      </c>
      <c r="AC258" s="74" t="s">
        <v>183</v>
      </c>
      <c r="AD258" s="74" t="s">
        <v>613</v>
      </c>
      <c r="AG258" s="74" t="s">
        <v>624</v>
      </c>
      <c r="AH258" s="74">
        <v>0</v>
      </c>
      <c r="AI258" s="74">
        <v>0</v>
      </c>
      <c r="AJ258" s="74">
        <v>0</v>
      </c>
      <c r="AK258" s="74">
        <v>52</v>
      </c>
      <c r="AL258" s="74">
        <v>0.51</v>
      </c>
    </row>
    <row r="259" spans="1:38" x14ac:dyDescent="0.3">
      <c r="A259" s="74" t="s">
        <v>608</v>
      </c>
      <c r="B259" s="74">
        <v>119697</v>
      </c>
      <c r="C259" s="74">
        <v>7</v>
      </c>
      <c r="D259" s="74" t="s">
        <v>620</v>
      </c>
      <c r="E259" s="74" t="s">
        <v>621</v>
      </c>
      <c r="F259" s="74">
        <v>101</v>
      </c>
      <c r="G259" s="74">
        <v>18.57</v>
      </c>
      <c r="H259" s="74">
        <v>61.42</v>
      </c>
      <c r="I259" s="74">
        <v>15.1</v>
      </c>
      <c r="J259" s="74">
        <v>49.92</v>
      </c>
      <c r="K259" s="74">
        <v>2</v>
      </c>
      <c r="T259" s="74">
        <v>3</v>
      </c>
      <c r="U259" s="74">
        <v>1</v>
      </c>
      <c r="V259" s="74" t="s">
        <v>186</v>
      </c>
      <c r="W259" s="74" t="s">
        <v>629</v>
      </c>
      <c r="X259" s="74">
        <v>10</v>
      </c>
      <c r="Y259" s="74">
        <v>7</v>
      </c>
      <c r="Z259" s="74" t="s">
        <v>622</v>
      </c>
      <c r="AA259" s="74" t="s">
        <v>623</v>
      </c>
      <c r="AB259" s="74" t="s">
        <v>182</v>
      </c>
      <c r="AC259" s="74" t="s">
        <v>183</v>
      </c>
      <c r="AD259" s="74" t="s">
        <v>613</v>
      </c>
      <c r="AG259" s="74" t="s">
        <v>624</v>
      </c>
      <c r="AH259" s="74">
        <v>0</v>
      </c>
      <c r="AI259" s="74">
        <v>0</v>
      </c>
      <c r="AJ259" s="74">
        <v>0</v>
      </c>
      <c r="AK259" s="74">
        <v>52</v>
      </c>
      <c r="AL259" s="74">
        <v>0.51</v>
      </c>
    </row>
    <row r="260" spans="1:38" x14ac:dyDescent="0.3">
      <c r="A260" s="74" t="s">
        <v>608</v>
      </c>
      <c r="B260" s="74">
        <v>119697</v>
      </c>
      <c r="C260" s="74">
        <v>8</v>
      </c>
      <c r="D260" s="74" t="s">
        <v>620</v>
      </c>
      <c r="E260" s="74" t="s">
        <v>621</v>
      </c>
      <c r="F260" s="74">
        <v>101</v>
      </c>
      <c r="G260" s="74">
        <v>18.579999999999998</v>
      </c>
      <c r="H260" s="74">
        <v>61.43</v>
      </c>
      <c r="I260" s="74">
        <v>15.1</v>
      </c>
      <c r="J260" s="74">
        <v>49.93</v>
      </c>
      <c r="K260" s="74">
        <v>1</v>
      </c>
      <c r="T260" s="74">
        <v>3</v>
      </c>
      <c r="U260" s="74">
        <v>1</v>
      </c>
      <c r="V260" s="74" t="s">
        <v>186</v>
      </c>
      <c r="W260" s="74" t="s">
        <v>630</v>
      </c>
      <c r="X260" s="74">
        <v>10</v>
      </c>
      <c r="Y260" s="74">
        <v>7</v>
      </c>
      <c r="Z260" s="74" t="s">
        <v>622</v>
      </c>
      <c r="AA260" s="74" t="s">
        <v>623</v>
      </c>
      <c r="AB260" s="74" t="s">
        <v>182</v>
      </c>
      <c r="AC260" s="74" t="s">
        <v>183</v>
      </c>
      <c r="AD260" s="74" t="s">
        <v>613</v>
      </c>
      <c r="AG260" s="74" t="s">
        <v>624</v>
      </c>
      <c r="AH260" s="74">
        <v>0</v>
      </c>
      <c r="AI260" s="74">
        <v>0</v>
      </c>
      <c r="AJ260" s="74">
        <v>0</v>
      </c>
      <c r="AK260" s="74">
        <v>52</v>
      </c>
      <c r="AL260" s="74">
        <v>0.51</v>
      </c>
    </row>
    <row r="261" spans="1:38" x14ac:dyDescent="0.3">
      <c r="A261" s="74" t="s">
        <v>608</v>
      </c>
      <c r="B261" s="74">
        <v>119697</v>
      </c>
      <c r="C261" s="74">
        <v>9</v>
      </c>
      <c r="D261" s="74" t="s">
        <v>620</v>
      </c>
      <c r="E261" s="74" t="s">
        <v>621</v>
      </c>
      <c r="F261" s="74">
        <v>101</v>
      </c>
      <c r="G261" s="74">
        <v>18.77</v>
      </c>
      <c r="H261" s="74">
        <v>62.08</v>
      </c>
      <c r="I261" s="74">
        <v>15.08</v>
      </c>
      <c r="J261" s="74">
        <v>49.88</v>
      </c>
      <c r="K261" s="74">
        <v>9</v>
      </c>
      <c r="T261" s="74">
        <v>3</v>
      </c>
      <c r="U261" s="74">
        <v>1</v>
      </c>
      <c r="V261" s="74" t="s">
        <v>186</v>
      </c>
      <c r="W261" s="74" t="s">
        <v>631</v>
      </c>
      <c r="X261" s="74">
        <v>10</v>
      </c>
      <c r="Y261" s="74">
        <v>7</v>
      </c>
      <c r="Z261" s="74" t="s">
        <v>622</v>
      </c>
      <c r="AA261" s="74" t="s">
        <v>623</v>
      </c>
      <c r="AB261" s="74" t="s">
        <v>182</v>
      </c>
      <c r="AC261" s="74" t="s">
        <v>183</v>
      </c>
      <c r="AD261" s="74" t="s">
        <v>613</v>
      </c>
      <c r="AG261" s="74" t="s">
        <v>624</v>
      </c>
      <c r="AH261" s="74">
        <v>0</v>
      </c>
      <c r="AI261" s="74">
        <v>0</v>
      </c>
      <c r="AJ261" s="74">
        <v>0</v>
      </c>
      <c r="AK261" s="74">
        <v>52</v>
      </c>
      <c r="AL261" s="74">
        <v>0.51</v>
      </c>
    </row>
    <row r="262" spans="1:38" x14ac:dyDescent="0.3">
      <c r="A262" s="74" t="s">
        <v>608</v>
      </c>
      <c r="B262" s="74">
        <v>119697</v>
      </c>
      <c r="C262" s="74">
        <v>10</v>
      </c>
      <c r="D262" s="74" t="s">
        <v>620</v>
      </c>
      <c r="E262" s="74" t="s">
        <v>621</v>
      </c>
      <c r="F262" s="74">
        <v>101</v>
      </c>
      <c r="G262" s="74">
        <v>18.8</v>
      </c>
      <c r="H262" s="74">
        <v>62.16</v>
      </c>
      <c r="I262" s="74">
        <v>15.1</v>
      </c>
      <c r="J262" s="74">
        <v>49.95</v>
      </c>
      <c r="K262" s="74">
        <v>8</v>
      </c>
      <c r="T262" s="74">
        <v>3</v>
      </c>
      <c r="U262" s="74">
        <v>1</v>
      </c>
      <c r="V262" s="74" t="s">
        <v>186</v>
      </c>
      <c r="W262" s="74" t="s">
        <v>632</v>
      </c>
      <c r="X262" s="74">
        <v>10</v>
      </c>
      <c r="Y262" s="74">
        <v>7</v>
      </c>
      <c r="Z262" s="74" t="s">
        <v>622</v>
      </c>
      <c r="AA262" s="74" t="s">
        <v>623</v>
      </c>
      <c r="AB262" s="74" t="s">
        <v>182</v>
      </c>
      <c r="AC262" s="74" t="s">
        <v>183</v>
      </c>
      <c r="AD262" s="74" t="s">
        <v>613</v>
      </c>
      <c r="AG262" s="74" t="s">
        <v>624</v>
      </c>
      <c r="AH262" s="74">
        <v>0</v>
      </c>
      <c r="AI262" s="74">
        <v>0</v>
      </c>
      <c r="AJ262" s="74">
        <v>0</v>
      </c>
      <c r="AK262" s="74">
        <v>52</v>
      </c>
      <c r="AL262" s="74">
        <v>0.51</v>
      </c>
    </row>
    <row r="263" spans="1:38" x14ac:dyDescent="0.3">
      <c r="A263" s="74" t="s">
        <v>608</v>
      </c>
      <c r="B263" s="74">
        <v>119697</v>
      </c>
      <c r="C263" s="74">
        <v>11</v>
      </c>
      <c r="D263" s="74" t="s">
        <v>620</v>
      </c>
      <c r="E263" s="74" t="s">
        <v>621</v>
      </c>
      <c r="F263" s="74">
        <v>101</v>
      </c>
      <c r="G263" s="74">
        <v>18.98</v>
      </c>
      <c r="H263" s="74">
        <v>62.75</v>
      </c>
      <c r="I263" s="74">
        <v>14.06</v>
      </c>
      <c r="J263" s="74">
        <v>46.5</v>
      </c>
      <c r="K263" s="74">
        <v>1</v>
      </c>
      <c r="T263" s="74">
        <v>3</v>
      </c>
      <c r="U263" s="74">
        <v>1</v>
      </c>
      <c r="V263" s="74" t="s">
        <v>186</v>
      </c>
      <c r="W263" s="74" t="s">
        <v>633</v>
      </c>
      <c r="X263" s="74">
        <v>10</v>
      </c>
      <c r="Y263" s="74">
        <v>7</v>
      </c>
      <c r="Z263" s="74" t="s">
        <v>622</v>
      </c>
      <c r="AA263" s="74" t="s">
        <v>623</v>
      </c>
      <c r="AB263" s="74" t="s">
        <v>182</v>
      </c>
      <c r="AC263" s="74" t="s">
        <v>183</v>
      </c>
      <c r="AD263" s="74" t="s">
        <v>613</v>
      </c>
      <c r="AG263" s="74" t="s">
        <v>624</v>
      </c>
      <c r="AH263" s="74">
        <v>0</v>
      </c>
      <c r="AI263" s="74">
        <v>0</v>
      </c>
      <c r="AJ263" s="74">
        <v>0</v>
      </c>
      <c r="AK263" s="74">
        <v>52</v>
      </c>
      <c r="AL263" s="74">
        <v>0.51</v>
      </c>
    </row>
    <row r="264" spans="1:38" x14ac:dyDescent="0.3">
      <c r="A264" s="74" t="s">
        <v>608</v>
      </c>
      <c r="B264" s="74">
        <v>119697</v>
      </c>
      <c r="C264" s="74">
        <v>12</v>
      </c>
      <c r="D264" s="74" t="s">
        <v>620</v>
      </c>
      <c r="E264" s="74" t="s">
        <v>621</v>
      </c>
      <c r="F264" s="74">
        <v>101</v>
      </c>
      <c r="G264" s="74">
        <v>19.25</v>
      </c>
      <c r="H264" s="74">
        <v>63.64</v>
      </c>
      <c r="I264" s="74">
        <v>15.04</v>
      </c>
      <c r="J264" s="74">
        <v>49.74</v>
      </c>
      <c r="K264" s="74">
        <v>9</v>
      </c>
      <c r="T264" s="74">
        <v>1</v>
      </c>
      <c r="U264" s="74">
        <v>1</v>
      </c>
      <c r="V264" s="74" t="s">
        <v>186</v>
      </c>
      <c r="W264" s="74" t="s">
        <v>634</v>
      </c>
      <c r="X264" s="74">
        <v>10</v>
      </c>
      <c r="Y264" s="74">
        <v>7</v>
      </c>
      <c r="Z264" s="74" t="s">
        <v>622</v>
      </c>
      <c r="AA264" s="74" t="s">
        <v>623</v>
      </c>
      <c r="AB264" s="74" t="s">
        <v>182</v>
      </c>
      <c r="AC264" s="74" t="s">
        <v>183</v>
      </c>
      <c r="AD264" s="74" t="s">
        <v>613</v>
      </c>
      <c r="AG264" s="74" t="s">
        <v>624</v>
      </c>
      <c r="AH264" s="74">
        <v>0</v>
      </c>
      <c r="AI264" s="74">
        <v>0</v>
      </c>
      <c r="AJ264" s="74">
        <v>0</v>
      </c>
      <c r="AK264" s="74">
        <v>52</v>
      </c>
      <c r="AL264" s="74">
        <v>0.51</v>
      </c>
    </row>
    <row r="265" spans="1:38" x14ac:dyDescent="0.3">
      <c r="A265" s="74" t="s">
        <v>608</v>
      </c>
      <c r="B265" s="74">
        <v>119697</v>
      </c>
      <c r="C265" s="74">
        <v>13</v>
      </c>
      <c r="D265" s="74" t="s">
        <v>620</v>
      </c>
      <c r="E265" s="74" t="s">
        <v>621</v>
      </c>
      <c r="F265" s="74">
        <v>101</v>
      </c>
      <c r="G265" s="74">
        <v>19.29</v>
      </c>
      <c r="H265" s="74">
        <v>63.78</v>
      </c>
      <c r="I265" s="74">
        <v>15.07</v>
      </c>
      <c r="J265" s="74">
        <v>49.85</v>
      </c>
      <c r="K265" s="74">
        <v>9</v>
      </c>
      <c r="T265" s="74">
        <v>3</v>
      </c>
      <c r="U265" s="74">
        <v>1</v>
      </c>
      <c r="V265" s="74" t="s">
        <v>186</v>
      </c>
      <c r="W265" s="74" t="s">
        <v>635</v>
      </c>
      <c r="X265" s="74">
        <v>10</v>
      </c>
      <c r="Y265" s="74">
        <v>7</v>
      </c>
      <c r="Z265" s="74" t="s">
        <v>622</v>
      </c>
      <c r="AA265" s="74" t="s">
        <v>623</v>
      </c>
      <c r="AB265" s="74" t="s">
        <v>182</v>
      </c>
      <c r="AC265" s="74" t="s">
        <v>183</v>
      </c>
      <c r="AD265" s="74" t="s">
        <v>613</v>
      </c>
      <c r="AG265" s="74" t="s">
        <v>624</v>
      </c>
      <c r="AH265" s="74">
        <v>0</v>
      </c>
      <c r="AI265" s="74">
        <v>0</v>
      </c>
      <c r="AJ265" s="74">
        <v>0</v>
      </c>
      <c r="AK265" s="74">
        <v>52</v>
      </c>
      <c r="AL265" s="74">
        <v>0.51</v>
      </c>
    </row>
    <row r="266" spans="1:38" x14ac:dyDescent="0.3">
      <c r="A266" s="74" t="s">
        <v>608</v>
      </c>
      <c r="B266" s="74">
        <v>119697</v>
      </c>
      <c r="C266" s="74">
        <v>14</v>
      </c>
      <c r="D266" s="74" t="s">
        <v>620</v>
      </c>
      <c r="E266" s="74" t="s">
        <v>621</v>
      </c>
      <c r="F266" s="74">
        <v>101</v>
      </c>
      <c r="G266" s="74">
        <v>19.3</v>
      </c>
      <c r="H266" s="74">
        <v>63.82</v>
      </c>
      <c r="I266" s="74">
        <v>15.08</v>
      </c>
      <c r="J266" s="74">
        <v>49.88</v>
      </c>
      <c r="K266" s="74">
        <v>9</v>
      </c>
      <c r="T266" s="74">
        <v>3</v>
      </c>
      <c r="U266" s="74">
        <v>1</v>
      </c>
      <c r="V266" s="74" t="s">
        <v>186</v>
      </c>
      <c r="W266" s="74" t="s">
        <v>636</v>
      </c>
      <c r="X266" s="74">
        <v>10</v>
      </c>
      <c r="Y266" s="74">
        <v>7</v>
      </c>
      <c r="Z266" s="74" t="s">
        <v>622</v>
      </c>
      <c r="AA266" s="74" t="s">
        <v>623</v>
      </c>
      <c r="AB266" s="74" t="s">
        <v>182</v>
      </c>
      <c r="AC266" s="74" t="s">
        <v>183</v>
      </c>
      <c r="AD266" s="74" t="s">
        <v>613</v>
      </c>
      <c r="AG266" s="74" t="s">
        <v>624</v>
      </c>
      <c r="AH266" s="74">
        <v>0</v>
      </c>
      <c r="AI266" s="74">
        <v>0</v>
      </c>
      <c r="AJ266" s="74">
        <v>0</v>
      </c>
      <c r="AK266" s="74">
        <v>52</v>
      </c>
      <c r="AL266" s="74">
        <v>0.51</v>
      </c>
    </row>
    <row r="267" spans="1:38" x14ac:dyDescent="0.3">
      <c r="A267" s="74" t="s">
        <v>608</v>
      </c>
      <c r="B267" s="74">
        <v>119697</v>
      </c>
      <c r="C267" s="74">
        <v>15</v>
      </c>
      <c r="D267" s="74" t="s">
        <v>620</v>
      </c>
      <c r="E267" s="74" t="s">
        <v>621</v>
      </c>
      <c r="F267" s="74">
        <v>101</v>
      </c>
      <c r="G267" s="74">
        <v>19.059999999999999</v>
      </c>
      <c r="H267" s="74">
        <v>63.03</v>
      </c>
      <c r="I267" s="74">
        <v>14.13</v>
      </c>
      <c r="J267" s="74">
        <v>46.72</v>
      </c>
      <c r="K267" s="74">
        <v>1</v>
      </c>
      <c r="T267" s="74">
        <v>1</v>
      </c>
      <c r="U267" s="74">
        <v>1</v>
      </c>
      <c r="V267" s="74" t="s">
        <v>186</v>
      </c>
      <c r="W267" s="74" t="s">
        <v>637</v>
      </c>
      <c r="X267" s="74">
        <v>10</v>
      </c>
      <c r="Y267" s="74">
        <v>7</v>
      </c>
      <c r="Z267" s="74" t="s">
        <v>622</v>
      </c>
      <c r="AA267" s="74" t="s">
        <v>623</v>
      </c>
      <c r="AB267" s="74" t="s">
        <v>182</v>
      </c>
      <c r="AC267" s="74" t="s">
        <v>183</v>
      </c>
      <c r="AD267" s="74" t="s">
        <v>613</v>
      </c>
      <c r="AG267" s="74" t="s">
        <v>624</v>
      </c>
      <c r="AH267" s="74">
        <v>0</v>
      </c>
      <c r="AI267" s="74">
        <v>0</v>
      </c>
      <c r="AJ267" s="74">
        <v>0</v>
      </c>
      <c r="AK267" s="74">
        <v>52</v>
      </c>
      <c r="AL267" s="74">
        <v>0.51</v>
      </c>
    </row>
    <row r="268" spans="1:38" x14ac:dyDescent="0.3">
      <c r="A268" s="74" t="s">
        <v>608</v>
      </c>
      <c r="B268" s="74">
        <v>119697</v>
      </c>
      <c r="C268" s="74">
        <v>16</v>
      </c>
      <c r="D268" s="74" t="s">
        <v>620</v>
      </c>
      <c r="E268" s="74" t="s">
        <v>621</v>
      </c>
      <c r="F268" s="74">
        <v>101</v>
      </c>
      <c r="G268" s="74">
        <v>19.649999999999999</v>
      </c>
      <c r="H268" s="74">
        <v>64.98</v>
      </c>
      <c r="I268" s="74">
        <v>14.56</v>
      </c>
      <c r="J268" s="74">
        <v>48.16</v>
      </c>
      <c r="K268" s="74">
        <v>1</v>
      </c>
      <c r="T268" s="74">
        <v>1</v>
      </c>
      <c r="U268" s="74">
        <v>1</v>
      </c>
      <c r="V268" s="74" t="s">
        <v>186</v>
      </c>
      <c r="W268" s="74" t="s">
        <v>472</v>
      </c>
      <c r="X268" s="74">
        <v>10</v>
      </c>
      <c r="Y268" s="74">
        <v>7</v>
      </c>
      <c r="Z268" s="74" t="s">
        <v>622</v>
      </c>
      <c r="AA268" s="74" t="s">
        <v>623</v>
      </c>
      <c r="AB268" s="74" t="s">
        <v>182</v>
      </c>
      <c r="AC268" s="74" t="s">
        <v>183</v>
      </c>
      <c r="AD268" s="74" t="s">
        <v>613</v>
      </c>
      <c r="AG268" s="74" t="s">
        <v>624</v>
      </c>
      <c r="AH268" s="74">
        <v>0</v>
      </c>
      <c r="AI268" s="74">
        <v>0</v>
      </c>
      <c r="AJ268" s="74">
        <v>0</v>
      </c>
      <c r="AK268" s="74">
        <v>52</v>
      </c>
      <c r="AL268" s="74">
        <v>0.51</v>
      </c>
    </row>
    <row r="269" spans="1:38" x14ac:dyDescent="0.3">
      <c r="A269" s="74" t="s">
        <v>608</v>
      </c>
      <c r="B269" s="74">
        <v>119697</v>
      </c>
      <c r="C269" s="74">
        <v>17</v>
      </c>
      <c r="D269" s="74" t="s">
        <v>620</v>
      </c>
      <c r="E269" s="74" t="s">
        <v>621</v>
      </c>
      <c r="F269" s="74">
        <v>101</v>
      </c>
      <c r="G269" s="74">
        <v>20.34</v>
      </c>
      <c r="H269" s="74">
        <v>67.239999999999995</v>
      </c>
      <c r="I269" s="74">
        <v>15.07</v>
      </c>
      <c r="J269" s="74">
        <v>49.84</v>
      </c>
      <c r="K269" s="74">
        <v>9</v>
      </c>
      <c r="T269" s="74">
        <v>1</v>
      </c>
      <c r="U269" s="74">
        <v>1</v>
      </c>
      <c r="V269" s="74" t="s">
        <v>186</v>
      </c>
      <c r="W269" s="74" t="s">
        <v>236</v>
      </c>
      <c r="X269" s="74">
        <v>10</v>
      </c>
      <c r="Y269" s="74">
        <v>7</v>
      </c>
      <c r="Z269" s="74" t="s">
        <v>622</v>
      </c>
      <c r="AA269" s="74" t="s">
        <v>623</v>
      </c>
      <c r="AB269" s="74" t="s">
        <v>182</v>
      </c>
      <c r="AC269" s="74" t="s">
        <v>183</v>
      </c>
      <c r="AD269" s="74" t="s">
        <v>613</v>
      </c>
      <c r="AG269" s="74" t="s">
        <v>624</v>
      </c>
      <c r="AH269" s="74">
        <v>0</v>
      </c>
      <c r="AI269" s="74">
        <v>0</v>
      </c>
      <c r="AJ269" s="74">
        <v>0</v>
      </c>
      <c r="AK269" s="74">
        <v>52</v>
      </c>
      <c r="AL269" s="74">
        <v>0.51</v>
      </c>
    </row>
    <row r="270" spans="1:38" x14ac:dyDescent="0.3">
      <c r="A270" s="74" t="s">
        <v>608</v>
      </c>
      <c r="B270" s="74">
        <v>119697</v>
      </c>
      <c r="C270" s="74">
        <v>18</v>
      </c>
      <c r="D270" s="74" t="s">
        <v>620</v>
      </c>
      <c r="E270" s="74" t="s">
        <v>621</v>
      </c>
      <c r="F270" s="74">
        <v>101</v>
      </c>
      <c r="G270" s="74">
        <v>20.309999999999999</v>
      </c>
      <c r="H270" s="74">
        <v>67.150000000000006</v>
      </c>
      <c r="I270" s="74">
        <v>15.05</v>
      </c>
      <c r="J270" s="74">
        <v>49.77</v>
      </c>
      <c r="K270" s="74">
        <v>6</v>
      </c>
      <c r="T270" s="74">
        <v>3</v>
      </c>
      <c r="U270" s="74">
        <v>1</v>
      </c>
      <c r="V270" s="74" t="s">
        <v>186</v>
      </c>
      <c r="W270" s="74" t="s">
        <v>638</v>
      </c>
      <c r="X270" s="74">
        <v>10</v>
      </c>
      <c r="Y270" s="74">
        <v>7</v>
      </c>
      <c r="Z270" s="74" t="s">
        <v>622</v>
      </c>
      <c r="AA270" s="74" t="s">
        <v>623</v>
      </c>
      <c r="AB270" s="74" t="s">
        <v>182</v>
      </c>
      <c r="AC270" s="74" t="s">
        <v>183</v>
      </c>
      <c r="AD270" s="74" t="s">
        <v>613</v>
      </c>
      <c r="AG270" s="74" t="s">
        <v>624</v>
      </c>
      <c r="AH270" s="74">
        <v>0</v>
      </c>
      <c r="AI270" s="74">
        <v>0</v>
      </c>
      <c r="AJ270" s="74">
        <v>0</v>
      </c>
      <c r="AK270" s="74">
        <v>52</v>
      </c>
      <c r="AL270" s="74">
        <v>0.51</v>
      </c>
    </row>
    <row r="271" spans="1:38" x14ac:dyDescent="0.3">
      <c r="A271" s="74" t="s">
        <v>608</v>
      </c>
      <c r="B271" s="74">
        <v>119697</v>
      </c>
      <c r="C271" s="74">
        <v>19</v>
      </c>
      <c r="D271" s="74" t="s">
        <v>620</v>
      </c>
      <c r="E271" s="74" t="s">
        <v>621</v>
      </c>
      <c r="F271" s="74">
        <v>101</v>
      </c>
      <c r="G271" s="74">
        <v>20.350000000000001</v>
      </c>
      <c r="H271" s="74">
        <v>67.28</v>
      </c>
      <c r="I271" s="74">
        <v>15.08</v>
      </c>
      <c r="J271" s="74">
        <v>49.87</v>
      </c>
      <c r="K271" s="74">
        <v>6</v>
      </c>
      <c r="T271" s="74">
        <v>3</v>
      </c>
      <c r="U271" s="74">
        <v>1</v>
      </c>
      <c r="V271" s="74" t="s">
        <v>186</v>
      </c>
      <c r="W271" s="74" t="s">
        <v>639</v>
      </c>
      <c r="X271" s="74">
        <v>10</v>
      </c>
      <c r="Y271" s="74">
        <v>7</v>
      </c>
      <c r="Z271" s="74" t="s">
        <v>622</v>
      </c>
      <c r="AA271" s="74" t="s">
        <v>623</v>
      </c>
      <c r="AB271" s="74" t="s">
        <v>182</v>
      </c>
      <c r="AC271" s="74" t="s">
        <v>183</v>
      </c>
      <c r="AD271" s="74" t="s">
        <v>613</v>
      </c>
      <c r="AG271" s="74" t="s">
        <v>624</v>
      </c>
      <c r="AH271" s="74">
        <v>0</v>
      </c>
      <c r="AI271" s="74">
        <v>0</v>
      </c>
      <c r="AJ271" s="74">
        <v>0</v>
      </c>
      <c r="AK271" s="74">
        <v>52</v>
      </c>
      <c r="AL271" s="74">
        <v>0.51</v>
      </c>
    </row>
    <row r="272" spans="1:38" x14ac:dyDescent="0.3">
      <c r="A272" s="74" t="s">
        <v>640</v>
      </c>
      <c r="B272" s="74">
        <v>128332</v>
      </c>
      <c r="C272" s="74">
        <v>1</v>
      </c>
      <c r="D272" s="74" t="s">
        <v>641</v>
      </c>
      <c r="E272" s="74" t="s">
        <v>536</v>
      </c>
      <c r="F272" s="74">
        <v>126</v>
      </c>
      <c r="G272" s="74">
        <v>20.91</v>
      </c>
      <c r="H272" s="74">
        <v>69.150000000000006</v>
      </c>
      <c r="I272" s="74">
        <v>17.899999999999999</v>
      </c>
      <c r="J272" s="74">
        <v>59.19</v>
      </c>
      <c r="K272" s="74">
        <v>36</v>
      </c>
      <c r="T272" s="74">
        <v>3</v>
      </c>
      <c r="U272" s="74">
        <v>1</v>
      </c>
      <c r="V272" s="74" t="s">
        <v>186</v>
      </c>
      <c r="W272" s="74">
        <v>69</v>
      </c>
      <c r="X272" s="74">
        <v>15</v>
      </c>
      <c r="Y272" s="74">
        <v>10</v>
      </c>
      <c r="Z272" s="74" t="s">
        <v>642</v>
      </c>
      <c r="AA272" s="74" t="s">
        <v>643</v>
      </c>
      <c r="AB272" s="74" t="s">
        <v>182</v>
      </c>
      <c r="AC272" s="74" t="s">
        <v>183</v>
      </c>
      <c r="AD272" s="74" t="s">
        <v>644</v>
      </c>
      <c r="AG272" s="74" t="s">
        <v>645</v>
      </c>
      <c r="AH272" s="74">
        <v>0</v>
      </c>
      <c r="AI272" s="74">
        <v>26</v>
      </c>
      <c r="AJ272" s="74">
        <v>23</v>
      </c>
      <c r="AK272" s="74">
        <v>64</v>
      </c>
      <c r="AL272" s="74">
        <v>0.51</v>
      </c>
    </row>
    <row r="273" spans="1:38" x14ac:dyDescent="0.3">
      <c r="A273" s="74" t="s">
        <v>640</v>
      </c>
      <c r="B273" s="74">
        <v>128332</v>
      </c>
      <c r="C273" s="74">
        <v>2</v>
      </c>
      <c r="D273" s="74" t="s">
        <v>641</v>
      </c>
      <c r="E273" s="74" t="s">
        <v>536</v>
      </c>
      <c r="F273" s="74">
        <v>126</v>
      </c>
      <c r="G273" s="74">
        <v>21.56</v>
      </c>
      <c r="H273" s="74">
        <v>71.3</v>
      </c>
      <c r="I273" s="74">
        <v>18.059999999999999</v>
      </c>
      <c r="J273" s="74">
        <v>59.73</v>
      </c>
      <c r="K273" s="74">
        <v>15</v>
      </c>
      <c r="T273" s="74">
        <v>3</v>
      </c>
      <c r="U273" s="74">
        <v>1</v>
      </c>
      <c r="V273" s="74" t="s">
        <v>186</v>
      </c>
      <c r="W273" s="74">
        <v>71</v>
      </c>
      <c r="X273" s="74">
        <v>15</v>
      </c>
      <c r="Y273" s="74">
        <v>10</v>
      </c>
      <c r="Z273" s="74" t="s">
        <v>642</v>
      </c>
      <c r="AA273" s="74" t="s">
        <v>643</v>
      </c>
      <c r="AB273" s="74" t="s">
        <v>182</v>
      </c>
      <c r="AC273" s="74" t="s">
        <v>183</v>
      </c>
      <c r="AD273" s="74" t="s">
        <v>644</v>
      </c>
      <c r="AG273" s="74" t="s">
        <v>645</v>
      </c>
      <c r="AH273" s="74">
        <v>0</v>
      </c>
      <c r="AI273" s="74">
        <v>26</v>
      </c>
      <c r="AJ273" s="74">
        <v>23</v>
      </c>
      <c r="AK273" s="74">
        <v>64</v>
      </c>
      <c r="AL273" s="74">
        <v>0.51</v>
      </c>
    </row>
    <row r="274" spans="1:38" x14ac:dyDescent="0.3">
      <c r="A274" s="74" t="s">
        <v>640</v>
      </c>
      <c r="B274" s="74">
        <v>128332</v>
      </c>
      <c r="C274" s="74">
        <v>3</v>
      </c>
      <c r="D274" s="74" t="s">
        <v>641</v>
      </c>
      <c r="E274" s="74" t="s">
        <v>536</v>
      </c>
      <c r="F274" s="74">
        <v>126</v>
      </c>
      <c r="G274" s="74">
        <v>29.19</v>
      </c>
      <c r="H274" s="74">
        <v>96.5</v>
      </c>
      <c r="I274" s="74">
        <v>25.69</v>
      </c>
      <c r="J274" s="74">
        <v>84.93</v>
      </c>
      <c r="K274" s="74">
        <v>75</v>
      </c>
      <c r="T274" s="74">
        <v>3</v>
      </c>
      <c r="U274" s="74">
        <v>2</v>
      </c>
      <c r="V274" s="74" t="s">
        <v>186</v>
      </c>
      <c r="W274" s="74">
        <v>96</v>
      </c>
      <c r="X274" s="74">
        <v>15</v>
      </c>
      <c r="Y274" s="74">
        <v>10</v>
      </c>
      <c r="Z274" s="74" t="s">
        <v>642</v>
      </c>
      <c r="AA274" s="74" t="s">
        <v>643</v>
      </c>
      <c r="AB274" s="74" t="s">
        <v>182</v>
      </c>
      <c r="AC274" s="74" t="s">
        <v>183</v>
      </c>
      <c r="AD274" s="74" t="s">
        <v>644</v>
      </c>
      <c r="AG274" s="74" t="s">
        <v>645</v>
      </c>
      <c r="AH274" s="74">
        <v>0</v>
      </c>
      <c r="AI274" s="74">
        <v>26</v>
      </c>
      <c r="AJ274" s="74">
        <v>23</v>
      </c>
      <c r="AK274" s="74">
        <v>64</v>
      </c>
      <c r="AL274" s="74">
        <v>0.51</v>
      </c>
    </row>
    <row r="275" spans="1:38" x14ac:dyDescent="0.3">
      <c r="A275" s="74" t="s">
        <v>640</v>
      </c>
      <c r="B275" s="74">
        <v>116583</v>
      </c>
      <c r="C275" s="74">
        <v>1</v>
      </c>
      <c r="D275" s="74" t="s">
        <v>646</v>
      </c>
      <c r="E275" s="74" t="s">
        <v>647</v>
      </c>
      <c r="F275" s="74">
        <v>105</v>
      </c>
      <c r="G275" s="74">
        <v>22.71</v>
      </c>
      <c r="H275" s="74">
        <v>75.08</v>
      </c>
      <c r="I275" s="74">
        <v>17.61</v>
      </c>
      <c r="J275" s="74">
        <v>58.24</v>
      </c>
      <c r="K275" s="74">
        <v>90</v>
      </c>
      <c r="T275" s="74">
        <v>3</v>
      </c>
      <c r="U275" s="74">
        <v>1</v>
      </c>
      <c r="V275" s="74" t="s">
        <v>186</v>
      </c>
      <c r="W275" s="74">
        <v>75</v>
      </c>
      <c r="X275" s="74">
        <v>15</v>
      </c>
      <c r="Y275" s="74">
        <v>15</v>
      </c>
      <c r="Z275" s="74" t="s">
        <v>648</v>
      </c>
      <c r="AA275" s="74" t="s">
        <v>649</v>
      </c>
      <c r="AB275" s="74" t="s">
        <v>182</v>
      </c>
      <c r="AC275" s="74" t="s">
        <v>183</v>
      </c>
      <c r="AD275" s="74" t="s">
        <v>644</v>
      </c>
      <c r="AG275" s="74" t="s">
        <v>650</v>
      </c>
      <c r="AH275" s="74">
        <v>0</v>
      </c>
      <c r="AI275" s="74">
        <v>249</v>
      </c>
      <c r="AJ275" s="74">
        <v>20</v>
      </c>
      <c r="AK275" s="74">
        <v>79</v>
      </c>
      <c r="AL275" s="74">
        <v>0.75</v>
      </c>
    </row>
    <row r="276" spans="1:38" x14ac:dyDescent="0.3">
      <c r="A276" s="74" t="s">
        <v>640</v>
      </c>
      <c r="B276" s="74">
        <v>116583</v>
      </c>
      <c r="C276" s="74">
        <v>2</v>
      </c>
      <c r="D276" s="74" t="s">
        <v>646</v>
      </c>
      <c r="E276" s="74" t="s">
        <v>647</v>
      </c>
      <c r="F276" s="74">
        <v>105</v>
      </c>
      <c r="G276" s="74">
        <v>31.66</v>
      </c>
      <c r="H276" s="74">
        <v>104.68</v>
      </c>
      <c r="I276" s="74">
        <v>22.76</v>
      </c>
      <c r="J276" s="74">
        <v>75.260000000000005</v>
      </c>
      <c r="K276" s="74">
        <v>15</v>
      </c>
      <c r="T276" s="74">
        <v>3</v>
      </c>
      <c r="U276" s="74">
        <v>2</v>
      </c>
      <c r="V276" s="74" t="s">
        <v>186</v>
      </c>
      <c r="W276" s="74">
        <v>104</v>
      </c>
      <c r="X276" s="74">
        <v>15</v>
      </c>
      <c r="Y276" s="74">
        <v>15</v>
      </c>
      <c r="Z276" s="74" t="s">
        <v>648</v>
      </c>
      <c r="AA276" s="74" t="s">
        <v>649</v>
      </c>
      <c r="AB276" s="74" t="s">
        <v>182</v>
      </c>
      <c r="AC276" s="74" t="s">
        <v>183</v>
      </c>
      <c r="AD276" s="74" t="s">
        <v>644</v>
      </c>
      <c r="AG276" s="74" t="s">
        <v>650</v>
      </c>
      <c r="AH276" s="74">
        <v>0</v>
      </c>
      <c r="AI276" s="74">
        <v>249</v>
      </c>
      <c r="AJ276" s="74">
        <v>20</v>
      </c>
      <c r="AK276" s="74">
        <v>79</v>
      </c>
      <c r="AL276" s="74">
        <v>0.75</v>
      </c>
    </row>
    <row r="277" spans="1:38" x14ac:dyDescent="0.3">
      <c r="A277" s="74" t="s">
        <v>651</v>
      </c>
      <c r="B277" s="74">
        <v>105137</v>
      </c>
      <c r="C277" s="74">
        <v>1</v>
      </c>
      <c r="D277" s="74" t="s">
        <v>652</v>
      </c>
      <c r="E277" s="74" t="s">
        <v>653</v>
      </c>
      <c r="F277" s="74">
        <v>318</v>
      </c>
      <c r="G277" s="74">
        <v>28.71</v>
      </c>
      <c r="H277" s="74">
        <v>94.91</v>
      </c>
      <c r="I277" s="74">
        <v>22.78</v>
      </c>
      <c r="J277" s="74">
        <v>75.319999999999993</v>
      </c>
      <c r="K277" s="74">
        <v>90</v>
      </c>
      <c r="T277" s="74">
        <v>3</v>
      </c>
      <c r="U277" s="74">
        <v>2</v>
      </c>
      <c r="V277" s="74" t="s">
        <v>186</v>
      </c>
      <c r="W277" s="74">
        <v>94</v>
      </c>
      <c r="X277" s="74">
        <v>15</v>
      </c>
      <c r="Y277" s="74">
        <v>13</v>
      </c>
      <c r="Z277" s="74" t="s">
        <v>654</v>
      </c>
      <c r="AA277" s="74" t="s">
        <v>655</v>
      </c>
      <c r="AB277" s="74" t="s">
        <v>182</v>
      </c>
      <c r="AC277" s="74" t="s">
        <v>183</v>
      </c>
      <c r="AD277" s="74" t="s">
        <v>656</v>
      </c>
      <c r="AG277" s="74" t="s">
        <v>657</v>
      </c>
      <c r="AH277" s="74">
        <v>0</v>
      </c>
      <c r="AI277" s="74">
        <v>141</v>
      </c>
      <c r="AJ277" s="74">
        <v>13</v>
      </c>
      <c r="AK277" s="74">
        <v>323</v>
      </c>
      <c r="AL277" s="74">
        <v>1.02</v>
      </c>
    </row>
    <row r="278" spans="1:38" x14ac:dyDescent="0.3">
      <c r="A278" s="74" t="s">
        <v>651</v>
      </c>
      <c r="B278" s="74">
        <v>105137</v>
      </c>
      <c r="C278" s="74">
        <v>2</v>
      </c>
      <c r="D278" s="74" t="s">
        <v>652</v>
      </c>
      <c r="E278" s="74" t="s">
        <v>653</v>
      </c>
      <c r="F278" s="74">
        <v>318</v>
      </c>
      <c r="G278" s="74">
        <v>32.35</v>
      </c>
      <c r="H278" s="74">
        <v>106.95</v>
      </c>
      <c r="I278" s="74">
        <v>25.67</v>
      </c>
      <c r="J278" s="74">
        <v>84.86</v>
      </c>
      <c r="K278" s="74">
        <v>99</v>
      </c>
      <c r="T278" s="74">
        <v>3</v>
      </c>
      <c r="U278" s="74">
        <v>2</v>
      </c>
      <c r="V278" s="74" t="s">
        <v>186</v>
      </c>
      <c r="W278" s="74" t="s">
        <v>229</v>
      </c>
      <c r="X278" s="74">
        <v>15</v>
      </c>
      <c r="Y278" s="74">
        <v>13</v>
      </c>
      <c r="Z278" s="74" t="s">
        <v>654</v>
      </c>
      <c r="AA278" s="74" t="s">
        <v>655</v>
      </c>
      <c r="AB278" s="74" t="s">
        <v>182</v>
      </c>
      <c r="AC278" s="74" t="s">
        <v>183</v>
      </c>
      <c r="AD278" s="74" t="s">
        <v>656</v>
      </c>
      <c r="AG278" s="74" t="s">
        <v>657</v>
      </c>
      <c r="AH278" s="74">
        <v>0</v>
      </c>
      <c r="AI278" s="74">
        <v>141</v>
      </c>
      <c r="AJ278" s="74">
        <v>13</v>
      </c>
      <c r="AK278" s="74">
        <v>323</v>
      </c>
      <c r="AL278" s="74">
        <v>1.02</v>
      </c>
    </row>
    <row r="279" spans="1:38" x14ac:dyDescent="0.3">
      <c r="A279" s="74" t="s">
        <v>651</v>
      </c>
      <c r="B279" s="74">
        <v>105137</v>
      </c>
      <c r="C279" s="74">
        <v>3</v>
      </c>
      <c r="D279" s="74" t="s">
        <v>652</v>
      </c>
      <c r="E279" s="74" t="s">
        <v>653</v>
      </c>
      <c r="F279" s="74">
        <v>318</v>
      </c>
      <c r="G279" s="74">
        <v>32.380000000000003</v>
      </c>
      <c r="H279" s="74">
        <v>107.07</v>
      </c>
      <c r="I279" s="74">
        <v>25.7</v>
      </c>
      <c r="J279" s="74">
        <v>84.97</v>
      </c>
      <c r="K279" s="74">
        <v>129</v>
      </c>
      <c r="T279" s="74">
        <v>3</v>
      </c>
      <c r="U279" s="74">
        <v>2</v>
      </c>
      <c r="V279" s="74" t="s">
        <v>186</v>
      </c>
      <c r="W279" s="74" t="s">
        <v>142</v>
      </c>
      <c r="X279" s="74">
        <v>15</v>
      </c>
      <c r="Y279" s="74">
        <v>13</v>
      </c>
      <c r="Z279" s="74" t="s">
        <v>654</v>
      </c>
      <c r="AA279" s="74" t="s">
        <v>655</v>
      </c>
      <c r="AB279" s="74" t="s">
        <v>182</v>
      </c>
      <c r="AC279" s="74" t="s">
        <v>183</v>
      </c>
      <c r="AD279" s="74" t="s">
        <v>656</v>
      </c>
      <c r="AG279" s="74" t="s">
        <v>657</v>
      </c>
      <c r="AH279" s="74">
        <v>0</v>
      </c>
      <c r="AI279" s="74">
        <v>141</v>
      </c>
      <c r="AJ279" s="74">
        <v>13</v>
      </c>
      <c r="AK279" s="74">
        <v>323</v>
      </c>
      <c r="AL279" s="74">
        <v>1.02</v>
      </c>
    </row>
    <row r="280" spans="1:38" x14ac:dyDescent="0.3">
      <c r="A280" s="74" t="s">
        <v>651</v>
      </c>
      <c r="B280" s="74">
        <v>125193</v>
      </c>
      <c r="C280" s="74">
        <v>1</v>
      </c>
      <c r="D280" s="74" t="s">
        <v>658</v>
      </c>
      <c r="E280" s="74" t="s">
        <v>659</v>
      </c>
      <c r="F280" s="74">
        <v>30</v>
      </c>
      <c r="G280" s="74">
        <v>24.55</v>
      </c>
      <c r="H280" s="74">
        <v>81.16</v>
      </c>
      <c r="I280" s="74">
        <v>20.7</v>
      </c>
      <c r="J280" s="74">
        <v>68.459999999999994</v>
      </c>
      <c r="K280" s="74">
        <v>5</v>
      </c>
      <c r="T280" s="74">
        <v>3</v>
      </c>
      <c r="U280" s="74">
        <v>2</v>
      </c>
      <c r="V280" s="74" t="s">
        <v>186</v>
      </c>
      <c r="W280" s="74">
        <v>81</v>
      </c>
      <c r="X280" s="74">
        <v>5</v>
      </c>
      <c r="Y280" s="74">
        <v>5</v>
      </c>
      <c r="Z280" s="74" t="s">
        <v>660</v>
      </c>
      <c r="AA280" s="74" t="s">
        <v>661</v>
      </c>
      <c r="AB280" s="74" t="s">
        <v>182</v>
      </c>
      <c r="AC280" s="74" t="s">
        <v>183</v>
      </c>
      <c r="AD280" s="74" t="s">
        <v>656</v>
      </c>
      <c r="AG280" s="74" t="s">
        <v>662</v>
      </c>
      <c r="AH280" s="74">
        <v>0</v>
      </c>
      <c r="AI280" s="74">
        <v>0</v>
      </c>
      <c r="AJ280" s="74">
        <v>0</v>
      </c>
      <c r="AK280" s="74">
        <v>0</v>
      </c>
      <c r="AL280" s="74">
        <v>0</v>
      </c>
    </row>
    <row r="281" spans="1:38" x14ac:dyDescent="0.3">
      <c r="A281" s="74" t="s">
        <v>651</v>
      </c>
      <c r="B281" s="74">
        <v>125193</v>
      </c>
      <c r="C281" s="74">
        <v>2</v>
      </c>
      <c r="D281" s="74" t="s">
        <v>658</v>
      </c>
      <c r="E281" s="74" t="s">
        <v>659</v>
      </c>
      <c r="F281" s="74">
        <v>30</v>
      </c>
      <c r="G281" s="74">
        <v>28.79</v>
      </c>
      <c r="H281" s="74">
        <v>95.2</v>
      </c>
      <c r="I281" s="74">
        <v>24.82</v>
      </c>
      <c r="J281" s="74">
        <v>82.05</v>
      </c>
      <c r="K281" s="74">
        <v>10</v>
      </c>
      <c r="T281" s="74">
        <v>3</v>
      </c>
      <c r="U281" s="74">
        <v>2</v>
      </c>
      <c r="V281" s="74" t="s">
        <v>186</v>
      </c>
      <c r="W281" s="74" t="s">
        <v>485</v>
      </c>
      <c r="X281" s="74">
        <v>5</v>
      </c>
      <c r="Y281" s="74">
        <v>5</v>
      </c>
      <c r="Z281" s="74" t="s">
        <v>660</v>
      </c>
      <c r="AA281" s="74" t="s">
        <v>661</v>
      </c>
      <c r="AB281" s="74" t="s">
        <v>182</v>
      </c>
      <c r="AC281" s="74" t="s">
        <v>183</v>
      </c>
      <c r="AD281" s="74" t="s">
        <v>656</v>
      </c>
      <c r="AG281" s="74" t="s">
        <v>662</v>
      </c>
      <c r="AH281" s="74">
        <v>0</v>
      </c>
      <c r="AI281" s="74">
        <v>0</v>
      </c>
      <c r="AJ281" s="74">
        <v>0</v>
      </c>
      <c r="AK281" s="74">
        <v>0</v>
      </c>
      <c r="AL281" s="74">
        <v>0</v>
      </c>
    </row>
    <row r="282" spans="1:38" x14ac:dyDescent="0.3">
      <c r="A282" s="74" t="s">
        <v>651</v>
      </c>
      <c r="B282" s="74">
        <v>125193</v>
      </c>
      <c r="C282" s="74">
        <v>3</v>
      </c>
      <c r="D282" s="74" t="s">
        <v>658</v>
      </c>
      <c r="E282" s="74" t="s">
        <v>659</v>
      </c>
      <c r="F282" s="74">
        <v>30</v>
      </c>
      <c r="G282" s="74">
        <v>28.93</v>
      </c>
      <c r="H282" s="74">
        <v>95.64</v>
      </c>
      <c r="I282" s="74">
        <v>24.95</v>
      </c>
      <c r="J282" s="74">
        <v>82.49</v>
      </c>
      <c r="K282" s="74">
        <v>10</v>
      </c>
      <c r="T282" s="74">
        <v>3</v>
      </c>
      <c r="U282" s="74">
        <v>2</v>
      </c>
      <c r="V282" s="74" t="s">
        <v>186</v>
      </c>
      <c r="W282" s="74" t="s">
        <v>132</v>
      </c>
      <c r="X282" s="74">
        <v>5</v>
      </c>
      <c r="Y282" s="74">
        <v>5</v>
      </c>
      <c r="Z282" s="74" t="s">
        <v>660</v>
      </c>
      <c r="AA282" s="74" t="s">
        <v>661</v>
      </c>
      <c r="AB282" s="74" t="s">
        <v>182</v>
      </c>
      <c r="AC282" s="74" t="s">
        <v>183</v>
      </c>
      <c r="AD282" s="74" t="s">
        <v>656</v>
      </c>
      <c r="AG282" s="74" t="s">
        <v>662</v>
      </c>
      <c r="AH282" s="74">
        <v>0</v>
      </c>
      <c r="AI282" s="74">
        <v>0</v>
      </c>
      <c r="AJ282" s="74">
        <v>0</v>
      </c>
      <c r="AK282" s="74">
        <v>0</v>
      </c>
      <c r="AL282" s="74">
        <v>0</v>
      </c>
    </row>
    <row r="283" spans="1:38" x14ac:dyDescent="0.3">
      <c r="A283" s="74" t="s">
        <v>651</v>
      </c>
      <c r="B283" s="74">
        <v>125193</v>
      </c>
      <c r="C283" s="74">
        <v>4</v>
      </c>
      <c r="D283" s="74" t="s">
        <v>658</v>
      </c>
      <c r="E283" s="74" t="s">
        <v>659</v>
      </c>
      <c r="F283" s="74">
        <v>30</v>
      </c>
      <c r="G283" s="74">
        <v>29.12</v>
      </c>
      <c r="H283" s="74">
        <v>96.28</v>
      </c>
      <c r="I283" s="74">
        <v>25.28</v>
      </c>
      <c r="J283" s="74">
        <v>83.58</v>
      </c>
      <c r="K283" s="74">
        <v>5</v>
      </c>
      <c r="T283" s="74">
        <v>3</v>
      </c>
      <c r="U283" s="74">
        <v>2</v>
      </c>
      <c r="V283" s="74" t="s">
        <v>186</v>
      </c>
      <c r="W283" s="74" t="s">
        <v>663</v>
      </c>
      <c r="X283" s="74">
        <v>5</v>
      </c>
      <c r="Y283" s="74">
        <v>5</v>
      </c>
      <c r="Z283" s="74" t="s">
        <v>660</v>
      </c>
      <c r="AA283" s="74" t="s">
        <v>661</v>
      </c>
      <c r="AB283" s="74" t="s">
        <v>182</v>
      </c>
      <c r="AC283" s="74" t="s">
        <v>183</v>
      </c>
      <c r="AD283" s="74" t="s">
        <v>656</v>
      </c>
      <c r="AG283" s="74" t="s">
        <v>662</v>
      </c>
      <c r="AH283" s="74">
        <v>0</v>
      </c>
      <c r="AI283" s="74">
        <v>0</v>
      </c>
      <c r="AJ283" s="74">
        <v>0</v>
      </c>
      <c r="AK283" s="74">
        <v>0</v>
      </c>
      <c r="AL283" s="74">
        <v>0</v>
      </c>
    </row>
    <row r="284" spans="1:38" x14ac:dyDescent="0.3">
      <c r="A284" s="74" t="s">
        <v>664</v>
      </c>
      <c r="B284" s="74">
        <v>14970</v>
      </c>
      <c r="C284" s="74">
        <v>1</v>
      </c>
      <c r="D284" s="74" t="s">
        <v>665</v>
      </c>
      <c r="E284" s="74" t="s">
        <v>666</v>
      </c>
      <c r="F284" s="74">
        <v>100</v>
      </c>
      <c r="G284" s="74">
        <v>24</v>
      </c>
      <c r="H284" s="74">
        <v>79.34</v>
      </c>
      <c r="I284" s="74">
        <v>22.23</v>
      </c>
      <c r="J284" s="74">
        <v>73.5</v>
      </c>
      <c r="K284" s="74">
        <v>100</v>
      </c>
      <c r="T284" s="74">
        <v>3</v>
      </c>
      <c r="U284" s="74">
        <v>1</v>
      </c>
      <c r="V284" s="74" t="s">
        <v>186</v>
      </c>
      <c r="W284" s="74">
        <v>79</v>
      </c>
      <c r="X284" s="74">
        <v>5</v>
      </c>
      <c r="Y284" s="74">
        <v>5</v>
      </c>
      <c r="Z284" s="74" t="s">
        <v>667</v>
      </c>
      <c r="AA284" s="74" t="s">
        <v>668</v>
      </c>
      <c r="AB284" s="74" t="s">
        <v>182</v>
      </c>
      <c r="AC284" s="74" t="s">
        <v>183</v>
      </c>
      <c r="AD284" s="74" t="s">
        <v>669</v>
      </c>
      <c r="AG284" s="74" t="s">
        <v>670</v>
      </c>
      <c r="AH284" s="74">
        <v>0</v>
      </c>
      <c r="AI284" s="74">
        <v>131</v>
      </c>
      <c r="AJ284" s="74">
        <v>26</v>
      </c>
      <c r="AK284" s="74">
        <v>0</v>
      </c>
      <c r="AL284" s="74">
        <v>0</v>
      </c>
    </row>
    <row r="285" spans="1:38" x14ac:dyDescent="0.3">
      <c r="A285" s="74" t="s">
        <v>664</v>
      </c>
      <c r="B285" s="74">
        <v>5035</v>
      </c>
      <c r="C285" s="74">
        <v>1</v>
      </c>
      <c r="D285" s="74" t="s">
        <v>242</v>
      </c>
      <c r="E285" s="74" t="s">
        <v>250</v>
      </c>
      <c r="F285" s="74">
        <v>716</v>
      </c>
      <c r="G285" s="74">
        <v>24.1</v>
      </c>
      <c r="H285" s="74">
        <v>79.69</v>
      </c>
      <c r="I285" s="74">
        <v>19.71</v>
      </c>
      <c r="J285" s="74">
        <v>65.16</v>
      </c>
      <c r="K285" s="74">
        <v>56</v>
      </c>
      <c r="T285" s="74">
        <v>3</v>
      </c>
      <c r="U285" s="74">
        <v>1</v>
      </c>
      <c r="V285" s="74" t="s">
        <v>186</v>
      </c>
      <c r="W285" s="74">
        <v>79</v>
      </c>
      <c r="X285" s="74">
        <v>15</v>
      </c>
      <c r="Y285" s="74">
        <v>12</v>
      </c>
      <c r="Z285" s="74" t="s">
        <v>671</v>
      </c>
      <c r="AA285" s="74" t="s">
        <v>672</v>
      </c>
      <c r="AB285" s="74" t="s">
        <v>182</v>
      </c>
      <c r="AC285" s="74" t="s">
        <v>183</v>
      </c>
      <c r="AD285" s="74" t="s">
        <v>669</v>
      </c>
      <c r="AG285" s="74" t="s">
        <v>673</v>
      </c>
      <c r="AH285" s="74">
        <v>0</v>
      </c>
      <c r="AI285" s="74">
        <v>0</v>
      </c>
      <c r="AJ285" s="74">
        <v>0</v>
      </c>
      <c r="AK285" s="74">
        <v>0</v>
      </c>
      <c r="AL285" s="74">
        <v>0</v>
      </c>
    </row>
    <row r="286" spans="1:38" x14ac:dyDescent="0.3">
      <c r="A286" s="74" t="s">
        <v>664</v>
      </c>
      <c r="B286" s="74">
        <v>5035</v>
      </c>
      <c r="C286" s="74">
        <v>2</v>
      </c>
      <c r="D286" s="74" t="s">
        <v>242</v>
      </c>
      <c r="E286" s="74" t="s">
        <v>250</v>
      </c>
      <c r="F286" s="74">
        <v>716</v>
      </c>
      <c r="G286" s="74">
        <v>28.15</v>
      </c>
      <c r="H286" s="74">
        <v>93.08</v>
      </c>
      <c r="I286" s="74">
        <v>22.99</v>
      </c>
      <c r="J286" s="74">
        <v>76.02</v>
      </c>
      <c r="K286" s="74">
        <v>198</v>
      </c>
      <c r="T286" s="74">
        <v>3</v>
      </c>
      <c r="U286" s="74">
        <v>1</v>
      </c>
      <c r="V286" s="74" t="s">
        <v>186</v>
      </c>
      <c r="W286" s="74">
        <v>93</v>
      </c>
      <c r="X286" s="74">
        <v>15</v>
      </c>
      <c r="Y286" s="74">
        <v>12</v>
      </c>
      <c r="Z286" s="74" t="s">
        <v>671</v>
      </c>
      <c r="AA286" s="74" t="s">
        <v>672</v>
      </c>
      <c r="AB286" s="74" t="s">
        <v>182</v>
      </c>
      <c r="AC286" s="74" t="s">
        <v>183</v>
      </c>
      <c r="AD286" s="74" t="s">
        <v>669</v>
      </c>
      <c r="AG286" s="74" t="s">
        <v>673</v>
      </c>
      <c r="AH286" s="74">
        <v>0</v>
      </c>
      <c r="AI286" s="74">
        <v>0</v>
      </c>
      <c r="AJ286" s="74">
        <v>0</v>
      </c>
      <c r="AK286" s="74">
        <v>0</v>
      </c>
      <c r="AL286" s="74">
        <v>0</v>
      </c>
    </row>
    <row r="287" spans="1:38" x14ac:dyDescent="0.3">
      <c r="A287" s="74" t="s">
        <v>664</v>
      </c>
      <c r="B287" s="74">
        <v>5035</v>
      </c>
      <c r="C287" s="74">
        <v>3</v>
      </c>
      <c r="D287" s="74" t="s">
        <v>242</v>
      </c>
      <c r="E287" s="74" t="s">
        <v>250</v>
      </c>
      <c r="F287" s="74">
        <v>716</v>
      </c>
      <c r="G287" s="74">
        <v>31.46</v>
      </c>
      <c r="H287" s="74">
        <v>104.01</v>
      </c>
      <c r="I287" s="74">
        <v>25.67</v>
      </c>
      <c r="J287" s="74">
        <v>84.87</v>
      </c>
      <c r="K287" s="74">
        <v>462</v>
      </c>
      <c r="T287" s="74">
        <v>3</v>
      </c>
      <c r="U287" s="74">
        <v>2</v>
      </c>
      <c r="V287" s="74" t="s">
        <v>186</v>
      </c>
      <c r="W287" s="74">
        <v>104</v>
      </c>
      <c r="X287" s="74">
        <v>15</v>
      </c>
      <c r="Y287" s="74">
        <v>12</v>
      </c>
      <c r="Z287" s="74" t="s">
        <v>671</v>
      </c>
      <c r="AA287" s="74" t="s">
        <v>672</v>
      </c>
      <c r="AB287" s="74" t="s">
        <v>182</v>
      </c>
      <c r="AC287" s="74" t="s">
        <v>183</v>
      </c>
      <c r="AD287" s="74" t="s">
        <v>669</v>
      </c>
      <c r="AG287" s="74" t="s">
        <v>673</v>
      </c>
      <c r="AH287" s="74">
        <v>0</v>
      </c>
      <c r="AI287" s="74">
        <v>0</v>
      </c>
      <c r="AJ287" s="74">
        <v>0</v>
      </c>
      <c r="AK287" s="74">
        <v>0</v>
      </c>
      <c r="AL287" s="74">
        <v>0</v>
      </c>
    </row>
    <row r="288" spans="1:38" x14ac:dyDescent="0.3">
      <c r="A288" s="74" t="s">
        <v>664</v>
      </c>
      <c r="B288" s="74">
        <v>24248</v>
      </c>
      <c r="C288" s="74">
        <v>1</v>
      </c>
      <c r="D288" s="74" t="s">
        <v>674</v>
      </c>
      <c r="E288" s="74" t="s">
        <v>299</v>
      </c>
      <c r="F288" s="74">
        <v>90</v>
      </c>
      <c r="G288" s="74">
        <v>31.19</v>
      </c>
      <c r="H288" s="74">
        <v>103.11</v>
      </c>
      <c r="I288" s="74">
        <v>25.7</v>
      </c>
      <c r="J288" s="74">
        <v>84.96</v>
      </c>
      <c r="K288" s="74">
        <v>90</v>
      </c>
      <c r="T288" s="74">
        <v>3</v>
      </c>
      <c r="U288" s="74">
        <v>2</v>
      </c>
      <c r="V288" s="74" t="s">
        <v>186</v>
      </c>
      <c r="W288" s="74">
        <v>103</v>
      </c>
      <c r="X288" s="74">
        <v>15</v>
      </c>
      <c r="Y288" s="74">
        <v>15</v>
      </c>
      <c r="Z288" s="74" t="s">
        <v>675</v>
      </c>
      <c r="AA288" s="74" t="s">
        <v>676</v>
      </c>
      <c r="AB288" s="74" t="s">
        <v>182</v>
      </c>
      <c r="AC288" s="74" t="s">
        <v>183</v>
      </c>
      <c r="AD288" s="74" t="s">
        <v>669</v>
      </c>
      <c r="AG288" s="74" t="s">
        <v>677</v>
      </c>
      <c r="AH288" s="74">
        <v>0</v>
      </c>
      <c r="AI288" s="74">
        <v>206</v>
      </c>
      <c r="AJ288" s="74">
        <v>16</v>
      </c>
      <c r="AK288" s="74">
        <v>93</v>
      </c>
      <c r="AL288" s="74">
        <v>1.03</v>
      </c>
    </row>
    <row r="289" spans="1:38" x14ac:dyDescent="0.3">
      <c r="A289" s="74" t="s">
        <v>664</v>
      </c>
      <c r="B289" s="74">
        <v>110388</v>
      </c>
      <c r="C289" s="74">
        <v>1</v>
      </c>
      <c r="D289" s="74" t="s">
        <v>678</v>
      </c>
      <c r="E289" s="74" t="s">
        <v>679</v>
      </c>
      <c r="F289" s="74">
        <v>28</v>
      </c>
      <c r="G289" s="74">
        <v>25.48</v>
      </c>
      <c r="H289" s="74">
        <v>84.25</v>
      </c>
      <c r="I289" s="74">
        <v>18.059999999999999</v>
      </c>
      <c r="J289" s="74">
        <v>59.72</v>
      </c>
      <c r="K289" s="74">
        <v>21</v>
      </c>
      <c r="T289" s="74">
        <v>3</v>
      </c>
      <c r="U289" s="74">
        <v>1</v>
      </c>
      <c r="V289" s="74" t="s">
        <v>186</v>
      </c>
      <c r="W289" s="74">
        <v>84</v>
      </c>
      <c r="X289" s="74">
        <v>8</v>
      </c>
      <c r="Y289" s="74">
        <v>8</v>
      </c>
      <c r="Z289" s="74" t="s">
        <v>680</v>
      </c>
      <c r="AA289" s="74" t="s">
        <v>681</v>
      </c>
      <c r="AB289" s="74" t="s">
        <v>182</v>
      </c>
      <c r="AC289" s="74" t="s">
        <v>183</v>
      </c>
      <c r="AD289" s="74" t="s">
        <v>669</v>
      </c>
      <c r="AG289" s="74" t="s">
        <v>682</v>
      </c>
      <c r="AH289" s="74">
        <v>0</v>
      </c>
      <c r="AI289" s="74">
        <v>239</v>
      </c>
      <c r="AJ289" s="74">
        <v>38</v>
      </c>
      <c r="AK289" s="74">
        <v>22</v>
      </c>
      <c r="AL289" s="74">
        <v>0.79</v>
      </c>
    </row>
    <row r="290" spans="1:38" x14ac:dyDescent="0.3">
      <c r="A290" s="74" t="s">
        <v>664</v>
      </c>
      <c r="B290" s="74">
        <v>110388</v>
      </c>
      <c r="C290" s="74">
        <v>2</v>
      </c>
      <c r="D290" s="74" t="s">
        <v>678</v>
      </c>
      <c r="E290" s="74" t="s">
        <v>679</v>
      </c>
      <c r="F290" s="74">
        <v>28</v>
      </c>
      <c r="G290" s="74">
        <v>26.22</v>
      </c>
      <c r="H290" s="74">
        <v>86.69</v>
      </c>
      <c r="I290" s="74">
        <v>18.579999999999998</v>
      </c>
      <c r="J290" s="74">
        <v>61.45</v>
      </c>
      <c r="K290" s="74">
        <v>7</v>
      </c>
      <c r="T290" s="74">
        <v>3</v>
      </c>
      <c r="U290" s="74">
        <v>1</v>
      </c>
      <c r="V290" s="74" t="s">
        <v>186</v>
      </c>
      <c r="W290" s="74">
        <v>86</v>
      </c>
      <c r="X290" s="74">
        <v>8</v>
      </c>
      <c r="Y290" s="74">
        <v>8</v>
      </c>
      <c r="Z290" s="74" t="s">
        <v>680</v>
      </c>
      <c r="AA290" s="74" t="s">
        <v>681</v>
      </c>
      <c r="AB290" s="74" t="s">
        <v>182</v>
      </c>
      <c r="AC290" s="74" t="s">
        <v>183</v>
      </c>
      <c r="AD290" s="74" t="s">
        <v>669</v>
      </c>
      <c r="AG290" s="74" t="s">
        <v>682</v>
      </c>
      <c r="AH290" s="74">
        <v>0</v>
      </c>
      <c r="AI290" s="74">
        <v>239</v>
      </c>
      <c r="AJ290" s="74">
        <v>38</v>
      </c>
      <c r="AK290" s="74">
        <v>22</v>
      </c>
      <c r="AL290" s="74">
        <v>0.79</v>
      </c>
    </row>
    <row r="291" spans="1:38" x14ac:dyDescent="0.3">
      <c r="A291" s="74" t="s">
        <v>683</v>
      </c>
      <c r="B291" s="74">
        <v>104842</v>
      </c>
      <c r="C291" s="74">
        <v>1</v>
      </c>
      <c r="D291" s="74" t="s">
        <v>684</v>
      </c>
      <c r="E291" s="74" t="s">
        <v>685</v>
      </c>
      <c r="F291" s="74">
        <v>498</v>
      </c>
      <c r="G291" s="74">
        <v>16.3</v>
      </c>
      <c r="H291" s="74">
        <v>53.9</v>
      </c>
      <c r="I291" s="74">
        <v>12.08</v>
      </c>
      <c r="J291" s="74">
        <v>39.96</v>
      </c>
      <c r="K291" s="74">
        <v>498</v>
      </c>
      <c r="T291" s="74">
        <v>2</v>
      </c>
      <c r="U291" s="74">
        <v>1</v>
      </c>
      <c r="V291" s="74" t="s">
        <v>186</v>
      </c>
      <c r="W291" s="74">
        <v>53</v>
      </c>
      <c r="X291" s="74">
        <v>18</v>
      </c>
      <c r="Y291" s="74">
        <v>13</v>
      </c>
      <c r="Z291" s="74" t="s">
        <v>686</v>
      </c>
      <c r="AA291" s="74" t="s">
        <v>687</v>
      </c>
      <c r="AB291" s="74" t="s">
        <v>182</v>
      </c>
      <c r="AC291" s="74" t="s">
        <v>183</v>
      </c>
      <c r="AD291" s="74" t="s">
        <v>688</v>
      </c>
      <c r="AG291" s="74" t="s">
        <v>689</v>
      </c>
      <c r="AH291" s="74">
        <v>0</v>
      </c>
      <c r="AI291" s="74">
        <v>0</v>
      </c>
      <c r="AJ291" s="74">
        <v>0</v>
      </c>
      <c r="AK291" s="74">
        <v>0</v>
      </c>
      <c r="AL291" s="74">
        <v>0</v>
      </c>
    </row>
    <row r="292" spans="1:38" x14ac:dyDescent="0.3">
      <c r="A292" s="74" t="s">
        <v>683</v>
      </c>
      <c r="B292" s="74">
        <v>27505</v>
      </c>
      <c r="C292" s="74">
        <v>1</v>
      </c>
      <c r="D292" s="74" t="s">
        <v>690</v>
      </c>
      <c r="E292" s="74" t="s">
        <v>691</v>
      </c>
      <c r="F292" s="74">
        <v>950</v>
      </c>
      <c r="G292" s="74">
        <v>33.35</v>
      </c>
      <c r="H292" s="74">
        <v>110.25</v>
      </c>
      <c r="I292" s="74">
        <v>25.61</v>
      </c>
      <c r="J292" s="74">
        <v>84.67</v>
      </c>
      <c r="K292" s="74">
        <v>120</v>
      </c>
      <c r="T292" s="74">
        <v>3</v>
      </c>
      <c r="U292" s="74">
        <v>2</v>
      </c>
      <c r="V292" s="74" t="s">
        <v>179</v>
      </c>
      <c r="W292" s="74" t="s">
        <v>62</v>
      </c>
      <c r="X292" s="74">
        <v>20</v>
      </c>
      <c r="Y292" s="74">
        <v>20</v>
      </c>
      <c r="Z292" s="74" t="s">
        <v>692</v>
      </c>
      <c r="AA292" s="74" t="s">
        <v>693</v>
      </c>
      <c r="AB292" s="74" t="s">
        <v>182</v>
      </c>
      <c r="AC292" s="74" t="s">
        <v>183</v>
      </c>
      <c r="AD292" s="74" t="s">
        <v>688</v>
      </c>
      <c r="AG292" s="74" t="s">
        <v>694</v>
      </c>
      <c r="AH292" s="74">
        <v>0</v>
      </c>
      <c r="AI292" s="74">
        <v>249</v>
      </c>
      <c r="AJ292" s="74">
        <v>15</v>
      </c>
      <c r="AK292" s="74">
        <v>1618</v>
      </c>
      <c r="AL292" s="74">
        <v>1.7</v>
      </c>
    </row>
    <row r="293" spans="1:38" x14ac:dyDescent="0.3">
      <c r="A293" s="74" t="s">
        <v>683</v>
      </c>
      <c r="B293" s="74">
        <v>27505</v>
      </c>
      <c r="C293" s="74">
        <v>2</v>
      </c>
      <c r="D293" s="74" t="s">
        <v>690</v>
      </c>
      <c r="E293" s="74" t="s">
        <v>691</v>
      </c>
      <c r="F293" s="74">
        <v>950</v>
      </c>
      <c r="G293" s="74">
        <v>33.409999999999997</v>
      </c>
      <c r="H293" s="74">
        <v>110.45</v>
      </c>
      <c r="I293" s="74">
        <v>25.66</v>
      </c>
      <c r="J293" s="74">
        <v>84.83</v>
      </c>
      <c r="K293" s="74">
        <v>39</v>
      </c>
      <c r="T293" s="74">
        <v>3</v>
      </c>
      <c r="U293" s="74">
        <v>2</v>
      </c>
      <c r="V293" s="74" t="s">
        <v>179</v>
      </c>
      <c r="W293" s="74" t="s">
        <v>97</v>
      </c>
      <c r="X293" s="74">
        <v>20</v>
      </c>
      <c r="Y293" s="74">
        <v>20</v>
      </c>
      <c r="Z293" s="74" t="s">
        <v>692</v>
      </c>
      <c r="AA293" s="74" t="s">
        <v>693</v>
      </c>
      <c r="AB293" s="74" t="s">
        <v>182</v>
      </c>
      <c r="AC293" s="74" t="s">
        <v>183</v>
      </c>
      <c r="AD293" s="74" t="s">
        <v>688</v>
      </c>
      <c r="AG293" s="74" t="s">
        <v>694</v>
      </c>
      <c r="AH293" s="74">
        <v>0</v>
      </c>
      <c r="AI293" s="74">
        <v>249</v>
      </c>
      <c r="AJ293" s="74">
        <v>15</v>
      </c>
      <c r="AK293" s="74">
        <v>1618</v>
      </c>
      <c r="AL293" s="74">
        <v>1.7</v>
      </c>
    </row>
    <row r="294" spans="1:38" x14ac:dyDescent="0.3">
      <c r="A294" s="74" t="s">
        <v>683</v>
      </c>
      <c r="B294" s="74">
        <v>27505</v>
      </c>
      <c r="C294" s="74">
        <v>3</v>
      </c>
      <c r="D294" s="74" t="s">
        <v>690</v>
      </c>
      <c r="E294" s="74" t="s">
        <v>691</v>
      </c>
      <c r="F294" s="74">
        <v>950</v>
      </c>
      <c r="G294" s="74">
        <v>33.78</v>
      </c>
      <c r="H294" s="74">
        <v>111.67</v>
      </c>
      <c r="I294" s="74">
        <v>25.69</v>
      </c>
      <c r="J294" s="74">
        <v>84.95</v>
      </c>
      <c r="K294" s="74">
        <v>40</v>
      </c>
      <c r="T294" s="74">
        <v>3</v>
      </c>
      <c r="U294" s="74">
        <v>2</v>
      </c>
      <c r="V294" s="74" t="s">
        <v>179</v>
      </c>
      <c r="W294" s="74" t="s">
        <v>79</v>
      </c>
      <c r="X294" s="74">
        <v>20</v>
      </c>
      <c r="Y294" s="74">
        <v>20</v>
      </c>
      <c r="Z294" s="74" t="s">
        <v>692</v>
      </c>
      <c r="AA294" s="74" t="s">
        <v>693</v>
      </c>
      <c r="AB294" s="74" t="s">
        <v>182</v>
      </c>
      <c r="AC294" s="74" t="s">
        <v>183</v>
      </c>
      <c r="AD294" s="74" t="s">
        <v>688</v>
      </c>
      <c r="AG294" s="74" t="s">
        <v>694</v>
      </c>
      <c r="AH294" s="74">
        <v>0</v>
      </c>
      <c r="AI294" s="74">
        <v>249</v>
      </c>
      <c r="AJ294" s="74">
        <v>15</v>
      </c>
      <c r="AK294" s="74">
        <v>1618</v>
      </c>
      <c r="AL294" s="74">
        <v>1.7</v>
      </c>
    </row>
    <row r="295" spans="1:38" x14ac:dyDescent="0.3">
      <c r="A295" s="74" t="s">
        <v>683</v>
      </c>
      <c r="B295" s="74">
        <v>27505</v>
      </c>
      <c r="C295" s="74">
        <v>4</v>
      </c>
      <c r="D295" s="74" t="s">
        <v>690</v>
      </c>
      <c r="E295" s="74" t="s">
        <v>691</v>
      </c>
      <c r="F295" s="74">
        <v>950</v>
      </c>
      <c r="G295" s="74">
        <v>44.31</v>
      </c>
      <c r="H295" s="74">
        <v>146.47999999999999</v>
      </c>
      <c r="I295" s="74">
        <v>34.33</v>
      </c>
      <c r="J295" s="74">
        <v>113.52</v>
      </c>
      <c r="K295" s="74">
        <v>114</v>
      </c>
      <c r="T295" s="74">
        <v>3</v>
      </c>
      <c r="U295" s="74">
        <v>2</v>
      </c>
      <c r="V295" s="74" t="s">
        <v>179</v>
      </c>
      <c r="W295" s="74">
        <v>146</v>
      </c>
      <c r="X295" s="74">
        <v>20</v>
      </c>
      <c r="Y295" s="74">
        <v>20</v>
      </c>
      <c r="Z295" s="74" t="s">
        <v>692</v>
      </c>
      <c r="AA295" s="74" t="s">
        <v>693</v>
      </c>
      <c r="AB295" s="74" t="s">
        <v>182</v>
      </c>
      <c r="AC295" s="74" t="s">
        <v>183</v>
      </c>
      <c r="AD295" s="74" t="s">
        <v>688</v>
      </c>
      <c r="AG295" s="74" t="s">
        <v>694</v>
      </c>
      <c r="AH295" s="74">
        <v>0</v>
      </c>
      <c r="AI295" s="74">
        <v>249</v>
      </c>
      <c r="AJ295" s="74">
        <v>15</v>
      </c>
      <c r="AK295" s="74">
        <v>1618</v>
      </c>
      <c r="AL295" s="74">
        <v>1.7</v>
      </c>
    </row>
    <row r="296" spans="1:38" x14ac:dyDescent="0.3">
      <c r="A296" s="74" t="s">
        <v>683</v>
      </c>
      <c r="B296" s="74">
        <v>27505</v>
      </c>
      <c r="C296" s="74">
        <v>5</v>
      </c>
      <c r="D296" s="74" t="s">
        <v>690</v>
      </c>
      <c r="E296" s="74" t="s">
        <v>691</v>
      </c>
      <c r="F296" s="74">
        <v>950</v>
      </c>
      <c r="G296" s="74">
        <v>48.4</v>
      </c>
      <c r="H296" s="74">
        <v>160.02000000000001</v>
      </c>
      <c r="I296" s="74">
        <v>39.57</v>
      </c>
      <c r="J296" s="74">
        <v>130.82</v>
      </c>
      <c r="K296" s="74">
        <v>320</v>
      </c>
      <c r="T296" s="74">
        <v>4</v>
      </c>
      <c r="U296" s="74">
        <v>2</v>
      </c>
      <c r="V296" s="74" t="s">
        <v>179</v>
      </c>
      <c r="W296" s="74" t="s">
        <v>119</v>
      </c>
      <c r="X296" s="74">
        <v>20</v>
      </c>
      <c r="Y296" s="74">
        <v>20</v>
      </c>
      <c r="Z296" s="74" t="s">
        <v>692</v>
      </c>
      <c r="AA296" s="74" t="s">
        <v>693</v>
      </c>
      <c r="AB296" s="74" t="s">
        <v>182</v>
      </c>
      <c r="AC296" s="74" t="s">
        <v>183</v>
      </c>
      <c r="AD296" s="74" t="s">
        <v>688</v>
      </c>
      <c r="AG296" s="74" t="s">
        <v>694</v>
      </c>
      <c r="AH296" s="74">
        <v>0</v>
      </c>
      <c r="AI296" s="74">
        <v>249</v>
      </c>
      <c r="AJ296" s="74">
        <v>15</v>
      </c>
      <c r="AK296" s="74">
        <v>1618</v>
      </c>
      <c r="AL296" s="74">
        <v>1.7</v>
      </c>
    </row>
    <row r="297" spans="1:38" x14ac:dyDescent="0.3">
      <c r="A297" s="74" t="s">
        <v>683</v>
      </c>
      <c r="B297" s="74">
        <v>27505</v>
      </c>
      <c r="C297" s="74">
        <v>6</v>
      </c>
      <c r="D297" s="74" t="s">
        <v>690</v>
      </c>
      <c r="E297" s="74" t="s">
        <v>691</v>
      </c>
      <c r="F297" s="74">
        <v>950</v>
      </c>
      <c r="G297" s="74">
        <v>48.4</v>
      </c>
      <c r="H297" s="74">
        <v>160.02000000000001</v>
      </c>
      <c r="I297" s="74">
        <v>39.57</v>
      </c>
      <c r="J297" s="74">
        <v>130.82</v>
      </c>
      <c r="K297" s="74">
        <v>78</v>
      </c>
      <c r="T297" s="74">
        <v>4</v>
      </c>
      <c r="U297" s="74">
        <v>2</v>
      </c>
      <c r="V297" s="74" t="s">
        <v>179</v>
      </c>
      <c r="W297" s="74" t="s">
        <v>695</v>
      </c>
      <c r="X297" s="74">
        <v>20</v>
      </c>
      <c r="Y297" s="74">
        <v>20</v>
      </c>
      <c r="Z297" s="74" t="s">
        <v>692</v>
      </c>
      <c r="AA297" s="74" t="s">
        <v>693</v>
      </c>
      <c r="AB297" s="74" t="s">
        <v>182</v>
      </c>
      <c r="AC297" s="74" t="s">
        <v>183</v>
      </c>
      <c r="AD297" s="74" t="s">
        <v>688</v>
      </c>
      <c r="AG297" s="74" t="s">
        <v>694</v>
      </c>
      <c r="AH297" s="74">
        <v>0</v>
      </c>
      <c r="AI297" s="74">
        <v>249</v>
      </c>
      <c r="AJ297" s="74">
        <v>15</v>
      </c>
      <c r="AK297" s="74">
        <v>1618</v>
      </c>
      <c r="AL297" s="74">
        <v>1.7</v>
      </c>
    </row>
    <row r="298" spans="1:38" x14ac:dyDescent="0.3">
      <c r="A298" s="74" t="s">
        <v>683</v>
      </c>
      <c r="B298" s="74">
        <v>27505</v>
      </c>
      <c r="C298" s="74">
        <v>7</v>
      </c>
      <c r="D298" s="74" t="s">
        <v>690</v>
      </c>
      <c r="E298" s="74" t="s">
        <v>691</v>
      </c>
      <c r="F298" s="74">
        <v>950</v>
      </c>
      <c r="G298" s="74">
        <v>53.43</v>
      </c>
      <c r="H298" s="74">
        <v>176.63</v>
      </c>
      <c r="I298" s="74">
        <v>42.27</v>
      </c>
      <c r="J298" s="74">
        <v>139.76</v>
      </c>
      <c r="K298" s="74">
        <v>160</v>
      </c>
      <c r="T298" s="74">
        <v>4</v>
      </c>
      <c r="U298" s="74">
        <v>2</v>
      </c>
      <c r="V298" s="74" t="s">
        <v>179</v>
      </c>
      <c r="W298" s="74">
        <v>176</v>
      </c>
      <c r="X298" s="74">
        <v>20</v>
      </c>
      <c r="Y298" s="74">
        <v>20</v>
      </c>
      <c r="Z298" s="74" t="s">
        <v>692</v>
      </c>
      <c r="AA298" s="74" t="s">
        <v>693</v>
      </c>
      <c r="AB298" s="74" t="s">
        <v>182</v>
      </c>
      <c r="AC298" s="74" t="s">
        <v>183</v>
      </c>
      <c r="AD298" s="74" t="s">
        <v>688</v>
      </c>
      <c r="AG298" s="74" t="s">
        <v>694</v>
      </c>
      <c r="AH298" s="74">
        <v>0</v>
      </c>
      <c r="AI298" s="74">
        <v>249</v>
      </c>
      <c r="AJ298" s="74">
        <v>15</v>
      </c>
      <c r="AK298" s="74">
        <v>1618</v>
      </c>
      <c r="AL298" s="74">
        <v>1.7</v>
      </c>
    </row>
    <row r="299" spans="1:38" x14ac:dyDescent="0.3">
      <c r="A299" s="74" t="s">
        <v>683</v>
      </c>
      <c r="B299" s="74">
        <v>27505</v>
      </c>
      <c r="C299" s="74">
        <v>8</v>
      </c>
      <c r="D299" s="74" t="s">
        <v>690</v>
      </c>
      <c r="E299" s="74" t="s">
        <v>691</v>
      </c>
      <c r="F299" s="74">
        <v>950</v>
      </c>
      <c r="G299" s="74">
        <v>61.46</v>
      </c>
      <c r="H299" s="74">
        <v>203.19</v>
      </c>
      <c r="I299" s="74">
        <v>52.07</v>
      </c>
      <c r="J299" s="74">
        <v>172.15</v>
      </c>
      <c r="K299" s="74">
        <v>40</v>
      </c>
      <c r="T299" s="74">
        <v>4</v>
      </c>
      <c r="U299" s="74">
        <v>2</v>
      </c>
      <c r="V299" s="74" t="s">
        <v>179</v>
      </c>
      <c r="W299" s="74" t="s">
        <v>112</v>
      </c>
      <c r="X299" s="74">
        <v>20</v>
      </c>
      <c r="Y299" s="74">
        <v>20</v>
      </c>
      <c r="Z299" s="74" t="s">
        <v>692</v>
      </c>
      <c r="AA299" s="74" t="s">
        <v>693</v>
      </c>
      <c r="AB299" s="74" t="s">
        <v>182</v>
      </c>
      <c r="AC299" s="74" t="s">
        <v>183</v>
      </c>
      <c r="AD299" s="74" t="s">
        <v>688</v>
      </c>
      <c r="AG299" s="74" t="s">
        <v>694</v>
      </c>
      <c r="AH299" s="74">
        <v>0</v>
      </c>
      <c r="AI299" s="74">
        <v>249</v>
      </c>
      <c r="AJ299" s="74">
        <v>15</v>
      </c>
      <c r="AK299" s="74">
        <v>1618</v>
      </c>
      <c r="AL299" s="74">
        <v>1.7</v>
      </c>
    </row>
    <row r="300" spans="1:38" x14ac:dyDescent="0.3">
      <c r="A300" s="74" t="s">
        <v>683</v>
      </c>
      <c r="B300" s="74">
        <v>27505</v>
      </c>
      <c r="C300" s="74">
        <v>9</v>
      </c>
      <c r="D300" s="74" t="s">
        <v>690</v>
      </c>
      <c r="E300" s="74" t="s">
        <v>691</v>
      </c>
      <c r="F300" s="74">
        <v>950</v>
      </c>
      <c r="G300" s="74">
        <v>61.97</v>
      </c>
      <c r="H300" s="74">
        <v>204.86</v>
      </c>
      <c r="I300" s="74">
        <v>51.63</v>
      </c>
      <c r="J300" s="74">
        <v>170.7</v>
      </c>
      <c r="K300" s="74">
        <v>39</v>
      </c>
      <c r="T300" s="74">
        <v>5</v>
      </c>
      <c r="U300" s="74">
        <v>2</v>
      </c>
      <c r="V300" s="74" t="s">
        <v>179</v>
      </c>
      <c r="W300" s="74" t="s">
        <v>696</v>
      </c>
      <c r="X300" s="74">
        <v>20</v>
      </c>
      <c r="Y300" s="74">
        <v>20</v>
      </c>
      <c r="Z300" s="74" t="s">
        <v>692</v>
      </c>
      <c r="AA300" s="74" t="s">
        <v>693</v>
      </c>
      <c r="AB300" s="74" t="s">
        <v>182</v>
      </c>
      <c r="AC300" s="74" t="s">
        <v>183</v>
      </c>
      <c r="AD300" s="74" t="s">
        <v>688</v>
      </c>
      <c r="AG300" s="74" t="s">
        <v>694</v>
      </c>
      <c r="AH300" s="74">
        <v>0</v>
      </c>
      <c r="AI300" s="74">
        <v>249</v>
      </c>
      <c r="AJ300" s="74">
        <v>15</v>
      </c>
      <c r="AK300" s="74">
        <v>1618</v>
      </c>
      <c r="AL300" s="74">
        <v>1.7</v>
      </c>
    </row>
    <row r="301" spans="1:38" x14ac:dyDescent="0.3">
      <c r="A301" s="74" t="s">
        <v>683</v>
      </c>
      <c r="B301" s="74">
        <v>109106</v>
      </c>
      <c r="C301" s="74">
        <v>1</v>
      </c>
      <c r="D301" s="74" t="s">
        <v>697</v>
      </c>
      <c r="E301" s="74" t="s">
        <v>698</v>
      </c>
      <c r="F301" s="74">
        <v>188</v>
      </c>
      <c r="G301" s="74">
        <v>16.71</v>
      </c>
      <c r="H301" s="74">
        <v>55.25</v>
      </c>
      <c r="I301" s="74">
        <v>11.73</v>
      </c>
      <c r="J301" s="74">
        <v>38.79</v>
      </c>
      <c r="K301" s="74">
        <v>188</v>
      </c>
      <c r="T301" s="74">
        <v>2</v>
      </c>
      <c r="U301" s="74">
        <v>1</v>
      </c>
      <c r="V301" s="74" t="s">
        <v>186</v>
      </c>
      <c r="W301" s="74">
        <v>55</v>
      </c>
      <c r="X301" s="74">
        <v>18</v>
      </c>
      <c r="Y301" s="74">
        <v>9</v>
      </c>
      <c r="Z301" s="74" t="s">
        <v>699</v>
      </c>
      <c r="AA301" s="74" t="s">
        <v>700</v>
      </c>
      <c r="AB301" s="74" t="s">
        <v>182</v>
      </c>
      <c r="AC301" s="74" t="s">
        <v>183</v>
      </c>
      <c r="AD301" s="74" t="s">
        <v>688</v>
      </c>
      <c r="AG301" s="74" t="s">
        <v>701</v>
      </c>
      <c r="AH301" s="74">
        <v>0</v>
      </c>
      <c r="AI301" s="74">
        <v>204</v>
      </c>
      <c r="AJ301" s="74">
        <v>13</v>
      </c>
      <c r="AK301" s="74">
        <v>133</v>
      </c>
      <c r="AL301" s="74">
        <v>0.71</v>
      </c>
    </row>
    <row r="302" spans="1:38" x14ac:dyDescent="0.3">
      <c r="A302" s="74" t="s">
        <v>683</v>
      </c>
      <c r="B302" s="74">
        <v>27504</v>
      </c>
      <c r="C302" s="74">
        <v>1</v>
      </c>
      <c r="D302" s="74" t="s">
        <v>702</v>
      </c>
      <c r="E302" s="74" t="s">
        <v>703</v>
      </c>
      <c r="F302" s="74">
        <v>307</v>
      </c>
      <c r="G302" s="74">
        <v>33.200000000000003</v>
      </c>
      <c r="H302" s="74">
        <v>109.78</v>
      </c>
      <c r="I302" s="74">
        <v>25.69</v>
      </c>
      <c r="J302" s="74">
        <v>84.95</v>
      </c>
      <c r="K302" s="74">
        <v>50</v>
      </c>
      <c r="T302" s="74">
        <v>3</v>
      </c>
      <c r="U302" s="74">
        <v>2</v>
      </c>
      <c r="V302" s="74" t="s">
        <v>179</v>
      </c>
      <c r="W302" s="74">
        <v>109</v>
      </c>
      <c r="X302" s="74">
        <v>15</v>
      </c>
      <c r="Y302" s="74">
        <v>9</v>
      </c>
      <c r="Z302" s="74" t="s">
        <v>704</v>
      </c>
      <c r="AA302" s="74" t="s">
        <v>705</v>
      </c>
      <c r="AB302" s="74" t="s">
        <v>182</v>
      </c>
      <c r="AC302" s="74" t="s">
        <v>183</v>
      </c>
      <c r="AD302" s="74" t="s">
        <v>688</v>
      </c>
      <c r="AG302" s="74" t="s">
        <v>706</v>
      </c>
      <c r="AH302" s="74">
        <v>0</v>
      </c>
      <c r="AI302" s="74">
        <v>244</v>
      </c>
      <c r="AJ302" s="74">
        <v>59</v>
      </c>
      <c r="AK302" s="74">
        <v>450</v>
      </c>
      <c r="AL302" s="74">
        <v>1.47</v>
      </c>
    </row>
    <row r="303" spans="1:38" x14ac:dyDescent="0.3">
      <c r="A303" s="74" t="s">
        <v>683</v>
      </c>
      <c r="B303" s="74">
        <v>27504</v>
      </c>
      <c r="C303" s="74">
        <v>2</v>
      </c>
      <c r="D303" s="74" t="s">
        <v>702</v>
      </c>
      <c r="E303" s="74" t="s">
        <v>703</v>
      </c>
      <c r="F303" s="74">
        <v>307</v>
      </c>
      <c r="G303" s="74">
        <v>39.299999999999997</v>
      </c>
      <c r="H303" s="74">
        <v>129.91999999999999</v>
      </c>
      <c r="I303" s="74">
        <v>31.1</v>
      </c>
      <c r="J303" s="74">
        <v>102.83</v>
      </c>
      <c r="K303" s="74">
        <v>52</v>
      </c>
      <c r="T303" s="74">
        <v>3</v>
      </c>
      <c r="U303" s="74">
        <v>2</v>
      </c>
      <c r="V303" s="74" t="s">
        <v>179</v>
      </c>
      <c r="W303" s="74" t="s">
        <v>297</v>
      </c>
      <c r="X303" s="74">
        <v>15</v>
      </c>
      <c r="Y303" s="74">
        <v>9</v>
      </c>
      <c r="Z303" s="74" t="s">
        <v>704</v>
      </c>
      <c r="AA303" s="74" t="s">
        <v>705</v>
      </c>
      <c r="AB303" s="74" t="s">
        <v>182</v>
      </c>
      <c r="AC303" s="74" t="s">
        <v>183</v>
      </c>
      <c r="AD303" s="74" t="s">
        <v>688</v>
      </c>
      <c r="AG303" s="74" t="s">
        <v>706</v>
      </c>
      <c r="AH303" s="74">
        <v>0</v>
      </c>
      <c r="AI303" s="74">
        <v>244</v>
      </c>
      <c r="AJ303" s="74">
        <v>59</v>
      </c>
      <c r="AK303" s="74">
        <v>450</v>
      </c>
      <c r="AL303" s="74">
        <v>1.47</v>
      </c>
    </row>
    <row r="304" spans="1:38" x14ac:dyDescent="0.3">
      <c r="A304" s="74" t="s">
        <v>683</v>
      </c>
      <c r="B304" s="74">
        <v>27504</v>
      </c>
      <c r="C304" s="74">
        <v>3</v>
      </c>
      <c r="D304" s="74" t="s">
        <v>702</v>
      </c>
      <c r="E304" s="74" t="s">
        <v>703</v>
      </c>
      <c r="F304" s="74">
        <v>307</v>
      </c>
      <c r="G304" s="74">
        <v>39.76</v>
      </c>
      <c r="H304" s="74">
        <v>131.47</v>
      </c>
      <c r="I304" s="74">
        <v>31.63</v>
      </c>
      <c r="J304" s="74">
        <v>104.59</v>
      </c>
      <c r="K304" s="74">
        <v>79</v>
      </c>
      <c r="T304" s="74">
        <v>3</v>
      </c>
      <c r="U304" s="74">
        <v>2</v>
      </c>
      <c r="V304" s="74" t="s">
        <v>179</v>
      </c>
      <c r="W304" s="74" t="s">
        <v>143</v>
      </c>
      <c r="X304" s="74">
        <v>15</v>
      </c>
      <c r="Y304" s="74">
        <v>9</v>
      </c>
      <c r="Z304" s="74" t="s">
        <v>704</v>
      </c>
      <c r="AA304" s="74" t="s">
        <v>705</v>
      </c>
      <c r="AB304" s="74" t="s">
        <v>182</v>
      </c>
      <c r="AC304" s="74" t="s">
        <v>183</v>
      </c>
      <c r="AD304" s="74" t="s">
        <v>688</v>
      </c>
      <c r="AG304" s="74" t="s">
        <v>706</v>
      </c>
      <c r="AH304" s="74">
        <v>0</v>
      </c>
      <c r="AI304" s="74">
        <v>244</v>
      </c>
      <c r="AJ304" s="74">
        <v>59</v>
      </c>
      <c r="AK304" s="74">
        <v>450</v>
      </c>
      <c r="AL304" s="74">
        <v>1.47</v>
      </c>
    </row>
    <row r="305" spans="1:38" x14ac:dyDescent="0.3">
      <c r="A305" s="74" t="s">
        <v>683</v>
      </c>
      <c r="B305" s="74">
        <v>27504</v>
      </c>
      <c r="C305" s="74">
        <v>4</v>
      </c>
      <c r="D305" s="74" t="s">
        <v>702</v>
      </c>
      <c r="E305" s="74" t="s">
        <v>703</v>
      </c>
      <c r="F305" s="74">
        <v>307</v>
      </c>
      <c r="G305" s="74">
        <v>47.88</v>
      </c>
      <c r="H305" s="74">
        <v>158.31</v>
      </c>
      <c r="I305" s="74">
        <v>38.479999999999997</v>
      </c>
      <c r="J305" s="74">
        <v>127.22</v>
      </c>
      <c r="K305" s="74">
        <v>77</v>
      </c>
      <c r="T305" s="74">
        <v>4</v>
      </c>
      <c r="U305" s="74">
        <v>2</v>
      </c>
      <c r="V305" s="74" t="s">
        <v>179</v>
      </c>
      <c r="W305" s="74" t="s">
        <v>122</v>
      </c>
      <c r="X305" s="74">
        <v>15</v>
      </c>
      <c r="Y305" s="74">
        <v>9</v>
      </c>
      <c r="Z305" s="74" t="s">
        <v>704</v>
      </c>
      <c r="AA305" s="74" t="s">
        <v>705</v>
      </c>
      <c r="AB305" s="74" t="s">
        <v>182</v>
      </c>
      <c r="AC305" s="74" t="s">
        <v>183</v>
      </c>
      <c r="AD305" s="74" t="s">
        <v>688</v>
      </c>
      <c r="AG305" s="74" t="s">
        <v>706</v>
      </c>
      <c r="AH305" s="74">
        <v>0</v>
      </c>
      <c r="AI305" s="74">
        <v>244</v>
      </c>
      <c r="AJ305" s="74">
        <v>59</v>
      </c>
      <c r="AK305" s="74">
        <v>450</v>
      </c>
      <c r="AL305" s="74">
        <v>1.47</v>
      </c>
    </row>
    <row r="306" spans="1:38" x14ac:dyDescent="0.3">
      <c r="A306" s="74" t="s">
        <v>683</v>
      </c>
      <c r="B306" s="74">
        <v>27504</v>
      </c>
      <c r="C306" s="74">
        <v>5</v>
      </c>
      <c r="D306" s="74" t="s">
        <v>702</v>
      </c>
      <c r="E306" s="74" t="s">
        <v>703</v>
      </c>
      <c r="F306" s="74">
        <v>307</v>
      </c>
      <c r="G306" s="74">
        <v>47.87</v>
      </c>
      <c r="H306" s="74">
        <v>158.25</v>
      </c>
      <c r="I306" s="74">
        <v>38.049999999999997</v>
      </c>
      <c r="J306" s="74">
        <v>125.79</v>
      </c>
      <c r="K306" s="74">
        <v>22</v>
      </c>
      <c r="T306" s="74">
        <v>4</v>
      </c>
      <c r="U306" s="74">
        <v>2</v>
      </c>
      <c r="V306" s="74" t="s">
        <v>179</v>
      </c>
      <c r="W306" s="74" t="s">
        <v>707</v>
      </c>
      <c r="X306" s="74">
        <v>15</v>
      </c>
      <c r="Y306" s="74">
        <v>9</v>
      </c>
      <c r="Z306" s="74" t="s">
        <v>704</v>
      </c>
      <c r="AA306" s="74" t="s">
        <v>705</v>
      </c>
      <c r="AB306" s="74" t="s">
        <v>182</v>
      </c>
      <c r="AC306" s="74" t="s">
        <v>183</v>
      </c>
      <c r="AD306" s="74" t="s">
        <v>688</v>
      </c>
      <c r="AG306" s="74" t="s">
        <v>706</v>
      </c>
      <c r="AH306" s="74">
        <v>0</v>
      </c>
      <c r="AI306" s="74">
        <v>244</v>
      </c>
      <c r="AJ306" s="74">
        <v>59</v>
      </c>
      <c r="AK306" s="74">
        <v>450</v>
      </c>
      <c r="AL306" s="74">
        <v>1.47</v>
      </c>
    </row>
    <row r="307" spans="1:38" x14ac:dyDescent="0.3">
      <c r="A307" s="74" t="s">
        <v>683</v>
      </c>
      <c r="B307" s="74">
        <v>27504</v>
      </c>
      <c r="C307" s="74">
        <v>6</v>
      </c>
      <c r="D307" s="74" t="s">
        <v>702</v>
      </c>
      <c r="E307" s="74" t="s">
        <v>703</v>
      </c>
      <c r="F307" s="74">
        <v>307</v>
      </c>
      <c r="G307" s="74">
        <v>57.3</v>
      </c>
      <c r="H307" s="74">
        <v>189.45</v>
      </c>
      <c r="I307" s="74">
        <v>45.22</v>
      </c>
      <c r="J307" s="74">
        <v>149.51</v>
      </c>
      <c r="K307" s="74">
        <v>26</v>
      </c>
      <c r="T307" s="74">
        <v>4</v>
      </c>
      <c r="U307" s="74">
        <v>2</v>
      </c>
      <c r="V307" s="74" t="s">
        <v>179</v>
      </c>
      <c r="W307" s="74">
        <v>189</v>
      </c>
      <c r="X307" s="74">
        <v>15</v>
      </c>
      <c r="Y307" s="74">
        <v>9</v>
      </c>
      <c r="Z307" s="74" t="s">
        <v>704</v>
      </c>
      <c r="AA307" s="74" t="s">
        <v>705</v>
      </c>
      <c r="AB307" s="74" t="s">
        <v>182</v>
      </c>
      <c r="AC307" s="74" t="s">
        <v>183</v>
      </c>
      <c r="AD307" s="74" t="s">
        <v>688</v>
      </c>
      <c r="AG307" s="74" t="s">
        <v>706</v>
      </c>
      <c r="AH307" s="74">
        <v>0</v>
      </c>
      <c r="AI307" s="74">
        <v>244</v>
      </c>
      <c r="AJ307" s="74">
        <v>59</v>
      </c>
      <c r="AK307" s="74">
        <v>450</v>
      </c>
      <c r="AL307" s="74">
        <v>1.47</v>
      </c>
    </row>
    <row r="308" spans="1:38" x14ac:dyDescent="0.3">
      <c r="A308" s="74" t="s">
        <v>683</v>
      </c>
      <c r="B308" s="74">
        <v>27504</v>
      </c>
      <c r="C308" s="74">
        <v>7</v>
      </c>
      <c r="D308" s="74" t="s">
        <v>702</v>
      </c>
      <c r="E308" s="74" t="s">
        <v>703</v>
      </c>
      <c r="F308" s="74">
        <v>307</v>
      </c>
      <c r="G308" s="74">
        <v>72.989999999999995</v>
      </c>
      <c r="H308" s="74">
        <v>241.31</v>
      </c>
      <c r="I308" s="74">
        <v>58.89</v>
      </c>
      <c r="J308" s="74">
        <v>194.71</v>
      </c>
      <c r="K308" s="74">
        <v>1</v>
      </c>
      <c r="T308" s="74">
        <v>4</v>
      </c>
      <c r="U308" s="74">
        <v>2</v>
      </c>
      <c r="V308" s="74" t="s">
        <v>179</v>
      </c>
      <c r="W308" s="74">
        <v>241</v>
      </c>
      <c r="X308" s="74">
        <v>15</v>
      </c>
      <c r="Y308" s="74">
        <v>9</v>
      </c>
      <c r="Z308" s="74" t="s">
        <v>704</v>
      </c>
      <c r="AA308" s="74" t="s">
        <v>705</v>
      </c>
      <c r="AB308" s="74" t="s">
        <v>182</v>
      </c>
      <c r="AC308" s="74" t="s">
        <v>183</v>
      </c>
      <c r="AD308" s="74" t="s">
        <v>688</v>
      </c>
      <c r="AG308" s="74" t="s">
        <v>706</v>
      </c>
      <c r="AH308" s="74">
        <v>0</v>
      </c>
      <c r="AI308" s="74">
        <v>244</v>
      </c>
      <c r="AJ308" s="74">
        <v>59</v>
      </c>
      <c r="AK308" s="74">
        <v>450</v>
      </c>
      <c r="AL308" s="74">
        <v>1.47</v>
      </c>
    </row>
    <row r="309" spans="1:38" x14ac:dyDescent="0.3">
      <c r="A309" s="74" t="s">
        <v>683</v>
      </c>
      <c r="B309" s="74">
        <v>128348</v>
      </c>
      <c r="C309" s="74">
        <v>1</v>
      </c>
      <c r="D309" s="74" t="s">
        <v>708</v>
      </c>
      <c r="E309" s="74" t="s">
        <v>709</v>
      </c>
      <c r="F309" s="74">
        <v>23</v>
      </c>
      <c r="G309" s="74">
        <v>10.18</v>
      </c>
      <c r="H309" s="74">
        <v>33.68</v>
      </c>
      <c r="I309" s="74">
        <v>7.48</v>
      </c>
      <c r="J309" s="74">
        <v>24.75</v>
      </c>
      <c r="K309" s="74">
        <v>1</v>
      </c>
      <c r="T309" s="74">
        <v>1</v>
      </c>
      <c r="U309" s="74">
        <v>1</v>
      </c>
      <c r="V309" s="74" t="s">
        <v>186</v>
      </c>
      <c r="W309" s="74">
        <v>33</v>
      </c>
      <c r="X309" s="74">
        <v>6</v>
      </c>
      <c r="Y309" s="74">
        <v>4</v>
      </c>
      <c r="Z309" s="74" t="s">
        <v>710</v>
      </c>
      <c r="AA309" s="74" t="s">
        <v>711</v>
      </c>
      <c r="AB309" s="74" t="s">
        <v>182</v>
      </c>
      <c r="AC309" s="74" t="s">
        <v>183</v>
      </c>
      <c r="AD309" s="74" t="s">
        <v>688</v>
      </c>
      <c r="AG309" s="74" t="s">
        <v>712</v>
      </c>
      <c r="AH309" s="74">
        <v>0</v>
      </c>
      <c r="AI309" s="74">
        <v>189</v>
      </c>
      <c r="AJ309" s="74">
        <v>46</v>
      </c>
      <c r="AK309" s="74">
        <v>15</v>
      </c>
      <c r="AL309" s="74">
        <v>0.65</v>
      </c>
    </row>
    <row r="310" spans="1:38" x14ac:dyDescent="0.3">
      <c r="A310" s="74" t="s">
        <v>683</v>
      </c>
      <c r="B310" s="74">
        <v>128348</v>
      </c>
      <c r="C310" s="74">
        <v>2</v>
      </c>
      <c r="D310" s="74" t="s">
        <v>708</v>
      </c>
      <c r="E310" s="74" t="s">
        <v>709</v>
      </c>
      <c r="F310" s="74">
        <v>23</v>
      </c>
      <c r="G310" s="74">
        <v>12.7</v>
      </c>
      <c r="H310" s="74">
        <v>42</v>
      </c>
      <c r="I310" s="74">
        <v>9.33</v>
      </c>
      <c r="J310" s="74">
        <v>30.87</v>
      </c>
      <c r="K310" s="74">
        <v>2</v>
      </c>
      <c r="T310" s="74">
        <v>1</v>
      </c>
      <c r="U310" s="74">
        <v>1</v>
      </c>
      <c r="V310" s="74" t="s">
        <v>186</v>
      </c>
      <c r="W310" s="74">
        <v>42</v>
      </c>
      <c r="X310" s="74">
        <v>6</v>
      </c>
      <c r="Y310" s="74">
        <v>4</v>
      </c>
      <c r="Z310" s="74" t="s">
        <v>710</v>
      </c>
      <c r="AA310" s="74" t="s">
        <v>711</v>
      </c>
      <c r="AB310" s="74" t="s">
        <v>182</v>
      </c>
      <c r="AC310" s="74" t="s">
        <v>183</v>
      </c>
      <c r="AD310" s="74" t="s">
        <v>688</v>
      </c>
      <c r="AG310" s="74" t="s">
        <v>712</v>
      </c>
      <c r="AH310" s="74">
        <v>0</v>
      </c>
      <c r="AI310" s="74">
        <v>189</v>
      </c>
      <c r="AJ310" s="74">
        <v>46</v>
      </c>
      <c r="AK310" s="74">
        <v>15</v>
      </c>
      <c r="AL310" s="74">
        <v>0.65</v>
      </c>
    </row>
    <row r="311" spans="1:38" x14ac:dyDescent="0.3">
      <c r="A311" s="74" t="s">
        <v>683</v>
      </c>
      <c r="B311" s="74">
        <v>128348</v>
      </c>
      <c r="C311" s="74">
        <v>3</v>
      </c>
      <c r="D311" s="74" t="s">
        <v>708</v>
      </c>
      <c r="E311" s="74" t="s">
        <v>709</v>
      </c>
      <c r="F311" s="74">
        <v>23</v>
      </c>
      <c r="G311" s="74">
        <v>14.46</v>
      </c>
      <c r="H311" s="74">
        <v>47.82</v>
      </c>
      <c r="I311" s="74">
        <v>10.63</v>
      </c>
      <c r="J311" s="74">
        <v>35.15</v>
      </c>
      <c r="K311" s="74">
        <v>5</v>
      </c>
      <c r="T311" s="74">
        <v>1</v>
      </c>
      <c r="U311" s="74">
        <v>1</v>
      </c>
      <c r="V311" s="74" t="s">
        <v>186</v>
      </c>
      <c r="W311" s="74">
        <v>47</v>
      </c>
      <c r="X311" s="74">
        <v>6</v>
      </c>
      <c r="Y311" s="74">
        <v>4</v>
      </c>
      <c r="Z311" s="74" t="s">
        <v>710</v>
      </c>
      <c r="AA311" s="74" t="s">
        <v>711</v>
      </c>
      <c r="AB311" s="74" t="s">
        <v>182</v>
      </c>
      <c r="AC311" s="74" t="s">
        <v>183</v>
      </c>
      <c r="AD311" s="74" t="s">
        <v>688</v>
      </c>
      <c r="AG311" s="74" t="s">
        <v>712</v>
      </c>
      <c r="AH311" s="74">
        <v>0</v>
      </c>
      <c r="AI311" s="74">
        <v>189</v>
      </c>
      <c r="AJ311" s="74">
        <v>46</v>
      </c>
      <c r="AK311" s="74">
        <v>15</v>
      </c>
      <c r="AL311" s="74">
        <v>0.65</v>
      </c>
    </row>
    <row r="312" spans="1:38" x14ac:dyDescent="0.3">
      <c r="A312" s="74" t="s">
        <v>683</v>
      </c>
      <c r="B312" s="74">
        <v>128348</v>
      </c>
      <c r="C312" s="74">
        <v>4</v>
      </c>
      <c r="D312" s="74" t="s">
        <v>708</v>
      </c>
      <c r="E312" s="74" t="s">
        <v>709</v>
      </c>
      <c r="F312" s="74">
        <v>23</v>
      </c>
      <c r="G312" s="74">
        <v>16.190000000000001</v>
      </c>
      <c r="H312" s="74">
        <v>53.54</v>
      </c>
      <c r="I312" s="74">
        <v>11.9</v>
      </c>
      <c r="J312" s="74">
        <v>39.36</v>
      </c>
      <c r="K312" s="74">
        <v>5</v>
      </c>
      <c r="T312" s="74">
        <v>1</v>
      </c>
      <c r="U312" s="74">
        <v>1</v>
      </c>
      <c r="V312" s="74" t="s">
        <v>186</v>
      </c>
      <c r="W312" s="74">
        <v>53</v>
      </c>
      <c r="X312" s="74">
        <v>6</v>
      </c>
      <c r="Y312" s="74">
        <v>4</v>
      </c>
      <c r="Z312" s="74" t="s">
        <v>710</v>
      </c>
      <c r="AA312" s="74" t="s">
        <v>711</v>
      </c>
      <c r="AB312" s="74" t="s">
        <v>182</v>
      </c>
      <c r="AC312" s="74" t="s">
        <v>183</v>
      </c>
      <c r="AD312" s="74" t="s">
        <v>688</v>
      </c>
      <c r="AG312" s="74" t="s">
        <v>712</v>
      </c>
      <c r="AH312" s="74">
        <v>0</v>
      </c>
      <c r="AI312" s="74">
        <v>189</v>
      </c>
      <c r="AJ312" s="74">
        <v>46</v>
      </c>
      <c r="AK312" s="74">
        <v>15</v>
      </c>
      <c r="AL312" s="74">
        <v>0.65</v>
      </c>
    </row>
    <row r="313" spans="1:38" x14ac:dyDescent="0.3">
      <c r="A313" s="74" t="s">
        <v>683</v>
      </c>
      <c r="B313" s="74">
        <v>128348</v>
      </c>
      <c r="C313" s="74">
        <v>5</v>
      </c>
      <c r="D313" s="74" t="s">
        <v>708</v>
      </c>
      <c r="E313" s="74" t="s">
        <v>709</v>
      </c>
      <c r="F313" s="74">
        <v>23</v>
      </c>
      <c r="G313" s="74">
        <v>17.88</v>
      </c>
      <c r="H313" s="74">
        <v>59.14</v>
      </c>
      <c r="I313" s="74">
        <v>13.14</v>
      </c>
      <c r="J313" s="74">
        <v>43.47</v>
      </c>
      <c r="K313" s="74">
        <v>10</v>
      </c>
      <c r="T313" s="74">
        <v>2</v>
      </c>
      <c r="U313" s="74">
        <v>1</v>
      </c>
      <c r="V313" s="74" t="s">
        <v>186</v>
      </c>
      <c r="W313" s="74">
        <v>59</v>
      </c>
      <c r="X313" s="74">
        <v>6</v>
      </c>
      <c r="Y313" s="74">
        <v>4</v>
      </c>
      <c r="Z313" s="74" t="s">
        <v>710</v>
      </c>
      <c r="AA313" s="74" t="s">
        <v>711</v>
      </c>
      <c r="AB313" s="74" t="s">
        <v>182</v>
      </c>
      <c r="AC313" s="74" t="s">
        <v>183</v>
      </c>
      <c r="AD313" s="74" t="s">
        <v>688</v>
      </c>
      <c r="AG313" s="74" t="s">
        <v>712</v>
      </c>
      <c r="AH313" s="74">
        <v>0</v>
      </c>
      <c r="AI313" s="74">
        <v>189</v>
      </c>
      <c r="AJ313" s="74">
        <v>46</v>
      </c>
      <c r="AK313" s="74">
        <v>15</v>
      </c>
      <c r="AL313" s="74">
        <v>0.65</v>
      </c>
    </row>
    <row r="314" spans="1:38" x14ac:dyDescent="0.3">
      <c r="A314" s="74" t="s">
        <v>683</v>
      </c>
      <c r="B314" s="74">
        <v>27131</v>
      </c>
      <c r="C314" s="74">
        <v>1</v>
      </c>
      <c r="D314" s="74" t="s">
        <v>713</v>
      </c>
      <c r="E314" s="74" t="s">
        <v>714</v>
      </c>
      <c r="F314" s="74">
        <v>1460</v>
      </c>
      <c r="G314" s="74">
        <v>19.43</v>
      </c>
      <c r="H314" s="74">
        <v>64.260000000000005</v>
      </c>
      <c r="I314" s="74">
        <v>14.82</v>
      </c>
      <c r="J314" s="74">
        <v>49.01</v>
      </c>
      <c r="K314" s="74">
        <v>36</v>
      </c>
      <c r="T314" s="74">
        <v>2</v>
      </c>
      <c r="U314" s="74">
        <v>1</v>
      </c>
      <c r="V314" s="74" t="s">
        <v>186</v>
      </c>
      <c r="W314" s="74" t="s">
        <v>472</v>
      </c>
      <c r="X314" s="74">
        <v>20</v>
      </c>
      <c r="Y314" s="74">
        <v>15</v>
      </c>
      <c r="Z314" s="74" t="s">
        <v>715</v>
      </c>
      <c r="AA314" s="74" t="s">
        <v>716</v>
      </c>
      <c r="AB314" s="74" t="s">
        <v>182</v>
      </c>
      <c r="AC314" s="74" t="s">
        <v>183</v>
      </c>
      <c r="AD314" s="74" t="s">
        <v>688</v>
      </c>
      <c r="AG314" s="74" t="s">
        <v>717</v>
      </c>
      <c r="AH314" s="74">
        <v>0</v>
      </c>
      <c r="AI314" s="74">
        <v>201</v>
      </c>
      <c r="AJ314" s="74">
        <v>15</v>
      </c>
      <c r="AK314" s="74">
        <v>1319</v>
      </c>
      <c r="AL314" s="74">
        <v>0.9</v>
      </c>
    </row>
    <row r="315" spans="1:38" x14ac:dyDescent="0.3">
      <c r="A315" s="74" t="s">
        <v>683</v>
      </c>
      <c r="B315" s="74">
        <v>27131</v>
      </c>
      <c r="C315" s="74">
        <v>2</v>
      </c>
      <c r="D315" s="74" t="s">
        <v>713</v>
      </c>
      <c r="E315" s="74" t="s">
        <v>714</v>
      </c>
      <c r="F315" s="74">
        <v>1460</v>
      </c>
      <c r="G315" s="74">
        <v>19.77</v>
      </c>
      <c r="H315" s="74">
        <v>65.37</v>
      </c>
      <c r="I315" s="74">
        <v>15.08</v>
      </c>
      <c r="J315" s="74">
        <v>49.86</v>
      </c>
      <c r="K315" s="74">
        <v>529</v>
      </c>
      <c r="T315" s="74">
        <v>2</v>
      </c>
      <c r="U315" s="74">
        <v>1</v>
      </c>
      <c r="V315" s="74" t="s">
        <v>186</v>
      </c>
      <c r="W315" s="74" t="s">
        <v>82</v>
      </c>
      <c r="X315" s="74">
        <v>20</v>
      </c>
      <c r="Y315" s="74">
        <v>15</v>
      </c>
      <c r="Z315" s="74" t="s">
        <v>715</v>
      </c>
      <c r="AA315" s="74" t="s">
        <v>716</v>
      </c>
      <c r="AB315" s="74" t="s">
        <v>182</v>
      </c>
      <c r="AC315" s="74" t="s">
        <v>183</v>
      </c>
      <c r="AD315" s="74" t="s">
        <v>688</v>
      </c>
      <c r="AG315" s="74" t="s">
        <v>717</v>
      </c>
      <c r="AH315" s="74">
        <v>0</v>
      </c>
      <c r="AI315" s="74">
        <v>201</v>
      </c>
      <c r="AJ315" s="74">
        <v>15</v>
      </c>
      <c r="AK315" s="74">
        <v>1319</v>
      </c>
      <c r="AL315" s="74">
        <v>0.9</v>
      </c>
    </row>
    <row r="316" spans="1:38" x14ac:dyDescent="0.3">
      <c r="A316" s="74" t="s">
        <v>683</v>
      </c>
      <c r="B316" s="74">
        <v>27131</v>
      </c>
      <c r="C316" s="74">
        <v>3</v>
      </c>
      <c r="D316" s="74" t="s">
        <v>713</v>
      </c>
      <c r="E316" s="74" t="s">
        <v>714</v>
      </c>
      <c r="F316" s="74">
        <v>1460</v>
      </c>
      <c r="G316" s="74">
        <v>19.66</v>
      </c>
      <c r="H316" s="74">
        <v>65.010000000000005</v>
      </c>
      <c r="I316" s="74">
        <v>14.99</v>
      </c>
      <c r="J316" s="74">
        <v>49.58</v>
      </c>
      <c r="K316" s="74">
        <v>55</v>
      </c>
      <c r="T316" s="74">
        <v>2</v>
      </c>
      <c r="U316" s="74">
        <v>1</v>
      </c>
      <c r="V316" s="74" t="s">
        <v>186</v>
      </c>
      <c r="W316" s="74" t="s">
        <v>127</v>
      </c>
      <c r="X316" s="74">
        <v>20</v>
      </c>
      <c r="Y316" s="74">
        <v>15</v>
      </c>
      <c r="Z316" s="74" t="s">
        <v>715</v>
      </c>
      <c r="AA316" s="74" t="s">
        <v>716</v>
      </c>
      <c r="AB316" s="74" t="s">
        <v>182</v>
      </c>
      <c r="AC316" s="74" t="s">
        <v>183</v>
      </c>
      <c r="AD316" s="74" t="s">
        <v>688</v>
      </c>
      <c r="AG316" s="74" t="s">
        <v>717</v>
      </c>
      <c r="AH316" s="74">
        <v>0</v>
      </c>
      <c r="AI316" s="74">
        <v>201</v>
      </c>
      <c r="AJ316" s="74">
        <v>15</v>
      </c>
      <c r="AK316" s="74">
        <v>1319</v>
      </c>
      <c r="AL316" s="74">
        <v>0.9</v>
      </c>
    </row>
    <row r="317" spans="1:38" x14ac:dyDescent="0.3">
      <c r="A317" s="74" t="s">
        <v>683</v>
      </c>
      <c r="B317" s="74">
        <v>27131</v>
      </c>
      <c r="C317" s="74">
        <v>4</v>
      </c>
      <c r="D317" s="74" t="s">
        <v>713</v>
      </c>
      <c r="E317" s="74" t="s">
        <v>714</v>
      </c>
      <c r="F317" s="74">
        <v>1460</v>
      </c>
      <c r="G317" s="74">
        <v>23.56</v>
      </c>
      <c r="H317" s="74">
        <v>77.91</v>
      </c>
      <c r="I317" s="74">
        <v>17.97</v>
      </c>
      <c r="J317" s="74">
        <v>59.42</v>
      </c>
      <c r="K317" s="74">
        <v>759</v>
      </c>
      <c r="T317" s="74">
        <v>3</v>
      </c>
      <c r="U317" s="74">
        <v>1</v>
      </c>
      <c r="V317" s="74" t="s">
        <v>186</v>
      </c>
      <c r="W317" s="74" t="s">
        <v>83</v>
      </c>
      <c r="X317" s="74">
        <v>20</v>
      </c>
      <c r="Y317" s="74">
        <v>15</v>
      </c>
      <c r="Z317" s="74" t="s">
        <v>715</v>
      </c>
      <c r="AA317" s="74" t="s">
        <v>716</v>
      </c>
      <c r="AB317" s="74" t="s">
        <v>182</v>
      </c>
      <c r="AC317" s="74" t="s">
        <v>183</v>
      </c>
      <c r="AD317" s="74" t="s">
        <v>688</v>
      </c>
      <c r="AG317" s="74" t="s">
        <v>717</v>
      </c>
      <c r="AH317" s="74">
        <v>0</v>
      </c>
      <c r="AI317" s="74">
        <v>201</v>
      </c>
      <c r="AJ317" s="74">
        <v>15</v>
      </c>
      <c r="AK317" s="74">
        <v>1319</v>
      </c>
      <c r="AL317" s="74">
        <v>0.9</v>
      </c>
    </row>
    <row r="318" spans="1:38" x14ac:dyDescent="0.3">
      <c r="A318" s="74" t="s">
        <v>683</v>
      </c>
      <c r="B318" s="74">
        <v>27131</v>
      </c>
      <c r="C318" s="74">
        <v>5</v>
      </c>
      <c r="D318" s="74" t="s">
        <v>713</v>
      </c>
      <c r="E318" s="74" t="s">
        <v>714</v>
      </c>
      <c r="F318" s="74">
        <v>1460</v>
      </c>
      <c r="G318" s="74">
        <v>23.48</v>
      </c>
      <c r="H318" s="74">
        <v>77.63</v>
      </c>
      <c r="I318" s="74">
        <v>17.91</v>
      </c>
      <c r="J318" s="74">
        <v>59.21</v>
      </c>
      <c r="K318" s="74">
        <v>81</v>
      </c>
      <c r="T318" s="74">
        <v>3</v>
      </c>
      <c r="U318" s="74">
        <v>1</v>
      </c>
      <c r="V318" s="74" t="s">
        <v>186</v>
      </c>
      <c r="W318" s="74" t="s">
        <v>147</v>
      </c>
      <c r="X318" s="74">
        <v>20</v>
      </c>
      <c r="Y318" s="74">
        <v>15</v>
      </c>
      <c r="Z318" s="74" t="s">
        <v>715</v>
      </c>
      <c r="AA318" s="74" t="s">
        <v>716</v>
      </c>
      <c r="AB318" s="74" t="s">
        <v>182</v>
      </c>
      <c r="AC318" s="74" t="s">
        <v>183</v>
      </c>
      <c r="AD318" s="74" t="s">
        <v>688</v>
      </c>
      <c r="AG318" s="74" t="s">
        <v>717</v>
      </c>
      <c r="AH318" s="74">
        <v>0</v>
      </c>
      <c r="AI318" s="74">
        <v>201</v>
      </c>
      <c r="AJ318" s="74">
        <v>15</v>
      </c>
      <c r="AK318" s="74">
        <v>1319</v>
      </c>
      <c r="AL318" s="74">
        <v>0.9</v>
      </c>
    </row>
    <row r="319" spans="1:38" x14ac:dyDescent="0.3">
      <c r="A319" s="74" t="s">
        <v>683</v>
      </c>
      <c r="B319" s="74">
        <v>114910</v>
      </c>
      <c r="C319" s="74">
        <v>1</v>
      </c>
      <c r="D319" s="74" t="s">
        <v>718</v>
      </c>
      <c r="E319" s="74" t="s">
        <v>719</v>
      </c>
      <c r="F319" s="74">
        <v>346</v>
      </c>
      <c r="G319" s="74">
        <v>13.68</v>
      </c>
      <c r="H319" s="74">
        <v>45.24</v>
      </c>
      <c r="I319" s="74">
        <v>9.92</v>
      </c>
      <c r="J319" s="74">
        <v>32.81</v>
      </c>
      <c r="K319" s="74">
        <v>12</v>
      </c>
      <c r="T319" s="74">
        <v>2</v>
      </c>
      <c r="U319" s="74">
        <v>1</v>
      </c>
      <c r="V319" s="74" t="s">
        <v>186</v>
      </c>
      <c r="W319" s="74">
        <v>45</v>
      </c>
      <c r="X319" s="74">
        <v>15</v>
      </c>
      <c r="Y319" s="74">
        <v>9</v>
      </c>
      <c r="Z319" s="74" t="s">
        <v>720</v>
      </c>
      <c r="AA319" s="74" t="s">
        <v>721</v>
      </c>
      <c r="AB319" s="74" t="s">
        <v>182</v>
      </c>
      <c r="AC319" s="74" t="s">
        <v>183</v>
      </c>
      <c r="AD319" s="74" t="s">
        <v>688</v>
      </c>
      <c r="AG319" s="74" t="s">
        <v>722</v>
      </c>
      <c r="AH319" s="74">
        <v>0</v>
      </c>
      <c r="AI319" s="74">
        <v>369</v>
      </c>
      <c r="AJ319" s="74">
        <v>34</v>
      </c>
      <c r="AK319" s="74">
        <v>207</v>
      </c>
      <c r="AL319" s="74">
        <v>0.6</v>
      </c>
    </row>
    <row r="320" spans="1:38" x14ac:dyDescent="0.3">
      <c r="A320" s="74" t="s">
        <v>683</v>
      </c>
      <c r="B320" s="74">
        <v>114910</v>
      </c>
      <c r="C320" s="74">
        <v>2</v>
      </c>
      <c r="D320" s="74" t="s">
        <v>718</v>
      </c>
      <c r="E320" s="74" t="s">
        <v>719</v>
      </c>
      <c r="F320" s="74">
        <v>346</v>
      </c>
      <c r="G320" s="74">
        <v>16.66</v>
      </c>
      <c r="H320" s="74">
        <v>55.08</v>
      </c>
      <c r="I320" s="74">
        <v>12.08</v>
      </c>
      <c r="J320" s="74">
        <v>39.950000000000003</v>
      </c>
      <c r="K320" s="74">
        <v>334</v>
      </c>
      <c r="T320" s="74">
        <v>2</v>
      </c>
      <c r="U320" s="74">
        <v>1</v>
      </c>
      <c r="V320" s="74" t="s">
        <v>186</v>
      </c>
      <c r="W320" s="74">
        <v>55</v>
      </c>
      <c r="X320" s="74">
        <v>15</v>
      </c>
      <c r="Y320" s="74">
        <v>9</v>
      </c>
      <c r="Z320" s="74" t="s">
        <v>720</v>
      </c>
      <c r="AA320" s="74" t="s">
        <v>721</v>
      </c>
      <c r="AB320" s="74" t="s">
        <v>182</v>
      </c>
      <c r="AC320" s="74" t="s">
        <v>183</v>
      </c>
      <c r="AD320" s="74" t="s">
        <v>688</v>
      </c>
      <c r="AG320" s="74" t="s">
        <v>722</v>
      </c>
      <c r="AH320" s="74">
        <v>0</v>
      </c>
      <c r="AI320" s="74">
        <v>369</v>
      </c>
      <c r="AJ320" s="74">
        <v>34</v>
      </c>
      <c r="AK320" s="74">
        <v>207</v>
      </c>
      <c r="AL320" s="74">
        <v>0.6</v>
      </c>
    </row>
    <row r="321" spans="1:38" x14ac:dyDescent="0.3">
      <c r="A321" s="74" t="s">
        <v>683</v>
      </c>
      <c r="B321" s="74">
        <v>27503</v>
      </c>
      <c r="C321" s="74">
        <v>1</v>
      </c>
      <c r="D321" s="74" t="s">
        <v>723</v>
      </c>
      <c r="E321" s="74" t="s">
        <v>724</v>
      </c>
      <c r="F321" s="74">
        <v>317</v>
      </c>
      <c r="G321" s="74">
        <v>35.04</v>
      </c>
      <c r="H321" s="74">
        <v>115.85</v>
      </c>
      <c r="I321" s="74">
        <v>25.67</v>
      </c>
      <c r="J321" s="74">
        <v>84.86</v>
      </c>
      <c r="K321" s="74">
        <v>233</v>
      </c>
      <c r="T321" s="74">
        <v>3</v>
      </c>
      <c r="U321" s="74">
        <v>2</v>
      </c>
      <c r="V321" s="74" t="s">
        <v>186</v>
      </c>
      <c r="W321" s="74">
        <v>115</v>
      </c>
      <c r="X321" s="74">
        <v>15</v>
      </c>
      <c r="Y321" s="74">
        <v>15</v>
      </c>
      <c r="Z321" s="74" t="s">
        <v>725</v>
      </c>
      <c r="AA321" s="74" t="s">
        <v>726</v>
      </c>
      <c r="AB321" s="74" t="s">
        <v>182</v>
      </c>
      <c r="AC321" s="74" t="s">
        <v>183</v>
      </c>
      <c r="AD321" s="74" t="s">
        <v>688</v>
      </c>
      <c r="AG321" s="74" t="s">
        <v>727</v>
      </c>
      <c r="AH321" s="74">
        <v>0</v>
      </c>
      <c r="AI321" s="74">
        <v>238</v>
      </c>
      <c r="AJ321" s="74">
        <v>35</v>
      </c>
      <c r="AK321" s="74">
        <v>388</v>
      </c>
      <c r="AL321" s="74">
        <v>1.22</v>
      </c>
    </row>
    <row r="322" spans="1:38" x14ac:dyDescent="0.3">
      <c r="A322" s="74" t="s">
        <v>683</v>
      </c>
      <c r="B322" s="74">
        <v>27503</v>
      </c>
      <c r="C322" s="74">
        <v>2</v>
      </c>
      <c r="D322" s="74" t="s">
        <v>723</v>
      </c>
      <c r="E322" s="74" t="s">
        <v>724</v>
      </c>
      <c r="F322" s="74">
        <v>317</v>
      </c>
      <c r="G322" s="74">
        <v>48.31</v>
      </c>
      <c r="H322" s="74">
        <v>159.72</v>
      </c>
      <c r="I322" s="74">
        <v>40.049999999999997</v>
      </c>
      <c r="J322" s="74">
        <v>132.41</v>
      </c>
      <c r="K322" s="74">
        <v>84</v>
      </c>
      <c r="T322" s="74">
        <v>4</v>
      </c>
      <c r="U322" s="74">
        <v>2</v>
      </c>
      <c r="V322" s="74" t="s">
        <v>186</v>
      </c>
      <c r="W322" s="74">
        <v>159</v>
      </c>
      <c r="X322" s="74">
        <v>15</v>
      </c>
      <c r="Y322" s="74">
        <v>15</v>
      </c>
      <c r="Z322" s="74" t="s">
        <v>725</v>
      </c>
      <c r="AA322" s="74" t="s">
        <v>726</v>
      </c>
      <c r="AB322" s="74" t="s">
        <v>182</v>
      </c>
      <c r="AC322" s="74" t="s">
        <v>183</v>
      </c>
      <c r="AD322" s="74" t="s">
        <v>688</v>
      </c>
      <c r="AG322" s="74" t="s">
        <v>727</v>
      </c>
      <c r="AH322" s="74">
        <v>0</v>
      </c>
      <c r="AI322" s="74">
        <v>238</v>
      </c>
      <c r="AJ322" s="74">
        <v>35</v>
      </c>
      <c r="AK322" s="74">
        <v>388</v>
      </c>
      <c r="AL322" s="74">
        <v>1.22</v>
      </c>
    </row>
    <row r="323" spans="1:38" x14ac:dyDescent="0.3">
      <c r="A323" s="74" t="s">
        <v>683</v>
      </c>
      <c r="B323" s="74">
        <v>104840</v>
      </c>
      <c r="C323" s="74">
        <v>1</v>
      </c>
      <c r="D323" s="74" t="s">
        <v>728</v>
      </c>
      <c r="E323" s="74" t="s">
        <v>698</v>
      </c>
      <c r="F323" s="74">
        <v>276</v>
      </c>
      <c r="G323" s="74">
        <v>20.84</v>
      </c>
      <c r="H323" s="74">
        <v>68.92</v>
      </c>
      <c r="I323" s="74">
        <v>14.79</v>
      </c>
      <c r="J323" s="74">
        <v>48.91</v>
      </c>
      <c r="K323" s="74">
        <v>78</v>
      </c>
      <c r="T323" s="74">
        <v>2</v>
      </c>
      <c r="U323" s="74">
        <v>1</v>
      </c>
      <c r="V323" s="74" t="s">
        <v>186</v>
      </c>
      <c r="W323" s="74" t="s">
        <v>729</v>
      </c>
      <c r="X323" s="74">
        <v>18</v>
      </c>
      <c r="Y323" s="74">
        <v>13</v>
      </c>
      <c r="Z323" s="74" t="s">
        <v>730</v>
      </c>
      <c r="AA323" s="74" t="s">
        <v>731</v>
      </c>
      <c r="AB323" s="74" t="s">
        <v>182</v>
      </c>
      <c r="AC323" s="74" t="s">
        <v>183</v>
      </c>
      <c r="AD323" s="74" t="s">
        <v>688</v>
      </c>
      <c r="AG323" s="74" t="s">
        <v>732</v>
      </c>
      <c r="AH323" s="74">
        <v>0</v>
      </c>
      <c r="AI323" s="74">
        <v>0</v>
      </c>
      <c r="AJ323" s="74">
        <v>0</v>
      </c>
      <c r="AK323" s="74">
        <v>0</v>
      </c>
      <c r="AL323" s="74">
        <v>0</v>
      </c>
    </row>
    <row r="324" spans="1:38" x14ac:dyDescent="0.3">
      <c r="A324" s="74" t="s">
        <v>683</v>
      </c>
      <c r="B324" s="74">
        <v>104840</v>
      </c>
      <c r="C324" s="74">
        <v>2</v>
      </c>
      <c r="D324" s="74" t="s">
        <v>728</v>
      </c>
      <c r="E324" s="74" t="s">
        <v>698</v>
      </c>
      <c r="F324" s="74">
        <v>276</v>
      </c>
      <c r="G324" s="74">
        <v>20.94</v>
      </c>
      <c r="H324" s="74">
        <v>69.25</v>
      </c>
      <c r="I324" s="74">
        <v>14.86</v>
      </c>
      <c r="J324" s="74">
        <v>49.14</v>
      </c>
      <c r="K324" s="74">
        <v>198</v>
      </c>
      <c r="T324" s="74">
        <v>2</v>
      </c>
      <c r="U324" s="74">
        <v>1</v>
      </c>
      <c r="V324" s="74" t="s">
        <v>186</v>
      </c>
      <c r="W324" s="74" t="s">
        <v>144</v>
      </c>
      <c r="X324" s="74">
        <v>18</v>
      </c>
      <c r="Y324" s="74">
        <v>13</v>
      </c>
      <c r="Z324" s="74" t="s">
        <v>730</v>
      </c>
      <c r="AA324" s="74" t="s">
        <v>731</v>
      </c>
      <c r="AB324" s="74" t="s">
        <v>182</v>
      </c>
      <c r="AC324" s="74" t="s">
        <v>183</v>
      </c>
      <c r="AD324" s="74" t="s">
        <v>688</v>
      </c>
      <c r="AG324" s="74" t="s">
        <v>732</v>
      </c>
      <c r="AH324" s="74">
        <v>0</v>
      </c>
      <c r="AI324" s="74">
        <v>0</v>
      </c>
      <c r="AJ324" s="74">
        <v>0</v>
      </c>
      <c r="AK324" s="74">
        <v>0</v>
      </c>
      <c r="AL324" s="74">
        <v>0</v>
      </c>
    </row>
    <row r="325" spans="1:38" x14ac:dyDescent="0.3">
      <c r="A325" s="74" t="s">
        <v>683</v>
      </c>
      <c r="B325" s="74">
        <v>126472</v>
      </c>
      <c r="C325" s="74">
        <v>1</v>
      </c>
      <c r="D325" s="74" t="s">
        <v>733</v>
      </c>
      <c r="E325" s="74" t="s">
        <v>734</v>
      </c>
      <c r="F325" s="74">
        <v>16</v>
      </c>
      <c r="G325" s="74">
        <v>26.21</v>
      </c>
      <c r="H325" s="74">
        <v>86.66</v>
      </c>
      <c r="I325" s="74">
        <v>22.65</v>
      </c>
      <c r="J325" s="74">
        <v>74.900000000000006</v>
      </c>
      <c r="K325" s="74">
        <v>16</v>
      </c>
      <c r="T325" s="74">
        <v>3</v>
      </c>
      <c r="U325" s="74">
        <v>2</v>
      </c>
      <c r="V325" s="74" t="s">
        <v>186</v>
      </c>
      <c r="W325" s="74">
        <v>86</v>
      </c>
      <c r="X325" s="74">
        <v>5</v>
      </c>
      <c r="Y325" s="74">
        <v>5</v>
      </c>
      <c r="Z325" s="74" t="s">
        <v>735</v>
      </c>
      <c r="AA325" s="74" t="s">
        <v>736</v>
      </c>
      <c r="AB325" s="74" t="s">
        <v>182</v>
      </c>
      <c r="AC325" s="74" t="s">
        <v>183</v>
      </c>
      <c r="AD325" s="74" t="s">
        <v>688</v>
      </c>
      <c r="AG325" s="74" t="s">
        <v>737</v>
      </c>
      <c r="AH325" s="74">
        <v>0</v>
      </c>
      <c r="AI325" s="74">
        <v>214</v>
      </c>
      <c r="AJ325" s="74">
        <v>20</v>
      </c>
      <c r="AK325" s="74">
        <v>16</v>
      </c>
      <c r="AL325" s="74">
        <v>1</v>
      </c>
    </row>
    <row r="326" spans="1:38" x14ac:dyDescent="0.3">
      <c r="A326" s="74" t="s">
        <v>683</v>
      </c>
      <c r="B326" s="74">
        <v>16988</v>
      </c>
      <c r="C326" s="74">
        <v>1</v>
      </c>
      <c r="D326" s="74" t="s">
        <v>738</v>
      </c>
      <c r="E326" s="74" t="s">
        <v>739</v>
      </c>
      <c r="F326" s="74">
        <v>874</v>
      </c>
      <c r="G326" s="74">
        <v>20.66</v>
      </c>
      <c r="H326" s="74">
        <v>68.3</v>
      </c>
      <c r="I326" s="74">
        <v>15.2</v>
      </c>
      <c r="J326" s="74">
        <v>50.28</v>
      </c>
      <c r="K326" s="74">
        <v>288</v>
      </c>
      <c r="T326" s="74">
        <v>2</v>
      </c>
      <c r="U326" s="74">
        <v>1</v>
      </c>
      <c r="V326" s="74" t="s">
        <v>179</v>
      </c>
      <c r="W326" s="74" t="s">
        <v>135</v>
      </c>
      <c r="X326" s="74">
        <v>20</v>
      </c>
      <c r="Y326" s="74">
        <v>15</v>
      </c>
      <c r="Z326" s="74" t="s">
        <v>740</v>
      </c>
      <c r="AA326" s="74" t="s">
        <v>741</v>
      </c>
      <c r="AB326" s="74" t="s">
        <v>182</v>
      </c>
      <c r="AC326" s="74" t="s">
        <v>183</v>
      </c>
      <c r="AD326" s="74" t="s">
        <v>688</v>
      </c>
      <c r="AG326" s="74" t="s">
        <v>742</v>
      </c>
      <c r="AH326" s="74">
        <v>0</v>
      </c>
      <c r="AI326" s="74">
        <v>209</v>
      </c>
      <c r="AJ326" s="74">
        <v>17</v>
      </c>
      <c r="AK326" s="74">
        <v>782</v>
      </c>
      <c r="AL326" s="74">
        <v>0.89</v>
      </c>
    </row>
    <row r="327" spans="1:38" x14ac:dyDescent="0.3">
      <c r="A327" s="74" t="s">
        <v>683</v>
      </c>
      <c r="B327" s="74">
        <v>16988</v>
      </c>
      <c r="C327" s="74">
        <v>2</v>
      </c>
      <c r="D327" s="74" t="s">
        <v>738</v>
      </c>
      <c r="E327" s="74" t="s">
        <v>739</v>
      </c>
      <c r="F327" s="74">
        <v>874</v>
      </c>
      <c r="G327" s="74">
        <v>21.34</v>
      </c>
      <c r="H327" s="74">
        <v>70.55</v>
      </c>
      <c r="I327" s="74">
        <v>15.71</v>
      </c>
      <c r="J327" s="74">
        <v>51.94</v>
      </c>
      <c r="K327" s="74">
        <v>4</v>
      </c>
      <c r="T327" s="74">
        <v>2</v>
      </c>
      <c r="U327" s="74">
        <v>1</v>
      </c>
      <c r="V327" s="74" t="s">
        <v>186</v>
      </c>
      <c r="W327" s="74" t="s">
        <v>743</v>
      </c>
      <c r="X327" s="74">
        <v>20</v>
      </c>
      <c r="Y327" s="74">
        <v>15</v>
      </c>
      <c r="Z327" s="74" t="s">
        <v>740</v>
      </c>
      <c r="AA327" s="74" t="s">
        <v>741</v>
      </c>
      <c r="AB327" s="74" t="s">
        <v>182</v>
      </c>
      <c r="AC327" s="74" t="s">
        <v>183</v>
      </c>
      <c r="AD327" s="74" t="s">
        <v>688</v>
      </c>
      <c r="AG327" s="74" t="s">
        <v>742</v>
      </c>
      <c r="AH327" s="74">
        <v>0</v>
      </c>
      <c r="AI327" s="74">
        <v>209</v>
      </c>
      <c r="AJ327" s="74">
        <v>17</v>
      </c>
      <c r="AK327" s="74">
        <v>782</v>
      </c>
      <c r="AL327" s="74">
        <v>0.89</v>
      </c>
    </row>
    <row r="328" spans="1:38" x14ac:dyDescent="0.3">
      <c r="A328" s="74" t="s">
        <v>683</v>
      </c>
      <c r="B328" s="74">
        <v>16988</v>
      </c>
      <c r="C328" s="74">
        <v>3</v>
      </c>
      <c r="D328" s="74" t="s">
        <v>738</v>
      </c>
      <c r="E328" s="74" t="s">
        <v>739</v>
      </c>
      <c r="F328" s="74">
        <v>874</v>
      </c>
      <c r="G328" s="74">
        <v>24.4</v>
      </c>
      <c r="H328" s="74">
        <v>80.67</v>
      </c>
      <c r="I328" s="74">
        <v>17.96</v>
      </c>
      <c r="J328" s="74">
        <v>59.39</v>
      </c>
      <c r="K328" s="74">
        <v>267</v>
      </c>
      <c r="T328" s="74">
        <v>3</v>
      </c>
      <c r="U328" s="74">
        <v>1</v>
      </c>
      <c r="V328" s="74" t="s">
        <v>186</v>
      </c>
      <c r="W328" s="74" t="s">
        <v>85</v>
      </c>
      <c r="X328" s="74">
        <v>20</v>
      </c>
      <c r="Y328" s="74">
        <v>15</v>
      </c>
      <c r="Z328" s="74" t="s">
        <v>740</v>
      </c>
      <c r="AA328" s="74" t="s">
        <v>741</v>
      </c>
      <c r="AB328" s="74" t="s">
        <v>182</v>
      </c>
      <c r="AC328" s="74" t="s">
        <v>183</v>
      </c>
      <c r="AD328" s="74" t="s">
        <v>688</v>
      </c>
      <c r="AG328" s="74" t="s">
        <v>742</v>
      </c>
      <c r="AH328" s="74">
        <v>0</v>
      </c>
      <c r="AI328" s="74">
        <v>209</v>
      </c>
      <c r="AJ328" s="74">
        <v>17</v>
      </c>
      <c r="AK328" s="74">
        <v>782</v>
      </c>
      <c r="AL328" s="74">
        <v>0.89</v>
      </c>
    </row>
    <row r="329" spans="1:38" x14ac:dyDescent="0.3">
      <c r="A329" s="74" t="s">
        <v>683</v>
      </c>
      <c r="B329" s="74">
        <v>16988</v>
      </c>
      <c r="C329" s="74">
        <v>4</v>
      </c>
      <c r="D329" s="74" t="s">
        <v>738</v>
      </c>
      <c r="E329" s="74" t="s">
        <v>739</v>
      </c>
      <c r="F329" s="74">
        <v>874</v>
      </c>
      <c r="G329" s="74">
        <v>24.41</v>
      </c>
      <c r="H329" s="74">
        <v>80.7</v>
      </c>
      <c r="I329" s="74">
        <v>17.97</v>
      </c>
      <c r="J329" s="74">
        <v>59.41</v>
      </c>
      <c r="K329" s="74">
        <v>76</v>
      </c>
      <c r="T329" s="74">
        <v>3</v>
      </c>
      <c r="U329" s="74">
        <v>1</v>
      </c>
      <c r="V329" s="74" t="s">
        <v>186</v>
      </c>
      <c r="W329" s="74" t="s">
        <v>86</v>
      </c>
      <c r="X329" s="74">
        <v>20</v>
      </c>
      <c r="Y329" s="74">
        <v>15</v>
      </c>
      <c r="Z329" s="74" t="s">
        <v>740</v>
      </c>
      <c r="AA329" s="74" t="s">
        <v>741</v>
      </c>
      <c r="AB329" s="74" t="s">
        <v>182</v>
      </c>
      <c r="AC329" s="74" t="s">
        <v>183</v>
      </c>
      <c r="AD329" s="74" t="s">
        <v>688</v>
      </c>
      <c r="AG329" s="74" t="s">
        <v>742</v>
      </c>
      <c r="AH329" s="74">
        <v>0</v>
      </c>
      <c r="AI329" s="74">
        <v>209</v>
      </c>
      <c r="AJ329" s="74">
        <v>17</v>
      </c>
      <c r="AK329" s="74">
        <v>782</v>
      </c>
      <c r="AL329" s="74">
        <v>0.89</v>
      </c>
    </row>
    <row r="330" spans="1:38" x14ac:dyDescent="0.3">
      <c r="A330" s="74" t="s">
        <v>683</v>
      </c>
      <c r="B330" s="74">
        <v>16988</v>
      </c>
      <c r="C330" s="74">
        <v>5</v>
      </c>
      <c r="D330" s="74" t="s">
        <v>738</v>
      </c>
      <c r="E330" s="74" t="s">
        <v>739</v>
      </c>
      <c r="F330" s="74">
        <v>874</v>
      </c>
      <c r="G330" s="74">
        <v>24.38</v>
      </c>
      <c r="H330" s="74">
        <v>80.61</v>
      </c>
      <c r="I330" s="74">
        <v>17.95</v>
      </c>
      <c r="J330" s="74">
        <v>59.34</v>
      </c>
      <c r="K330" s="74">
        <v>15</v>
      </c>
      <c r="T330" s="74">
        <v>3</v>
      </c>
      <c r="U330" s="74">
        <v>1</v>
      </c>
      <c r="V330" s="74" t="s">
        <v>186</v>
      </c>
      <c r="W330" s="74" t="s">
        <v>87</v>
      </c>
      <c r="X330" s="74">
        <v>20</v>
      </c>
      <c r="Y330" s="74">
        <v>15</v>
      </c>
      <c r="Z330" s="74" t="s">
        <v>740</v>
      </c>
      <c r="AA330" s="74" t="s">
        <v>741</v>
      </c>
      <c r="AB330" s="74" t="s">
        <v>182</v>
      </c>
      <c r="AC330" s="74" t="s">
        <v>183</v>
      </c>
      <c r="AD330" s="74" t="s">
        <v>688</v>
      </c>
      <c r="AG330" s="74" t="s">
        <v>742</v>
      </c>
      <c r="AH330" s="74">
        <v>0</v>
      </c>
      <c r="AI330" s="74">
        <v>209</v>
      </c>
      <c r="AJ330" s="74">
        <v>17</v>
      </c>
      <c r="AK330" s="74">
        <v>782</v>
      </c>
      <c r="AL330" s="74">
        <v>0.89</v>
      </c>
    </row>
    <row r="331" spans="1:38" x14ac:dyDescent="0.3">
      <c r="A331" s="74" t="s">
        <v>683</v>
      </c>
      <c r="B331" s="74">
        <v>16988</v>
      </c>
      <c r="C331" s="74">
        <v>6</v>
      </c>
      <c r="D331" s="74" t="s">
        <v>738</v>
      </c>
      <c r="E331" s="74" t="s">
        <v>739</v>
      </c>
      <c r="F331" s="74">
        <v>874</v>
      </c>
      <c r="G331" s="74">
        <v>34.65</v>
      </c>
      <c r="H331" s="74">
        <v>114.57</v>
      </c>
      <c r="I331" s="74">
        <v>25.51</v>
      </c>
      <c r="J331" s="74">
        <v>84.34</v>
      </c>
      <c r="K331" s="74">
        <v>224</v>
      </c>
      <c r="T331" s="74">
        <v>3</v>
      </c>
      <c r="U331" s="74">
        <v>1</v>
      </c>
      <c r="V331" s="74" t="s">
        <v>186</v>
      </c>
      <c r="W331" s="74">
        <v>114</v>
      </c>
      <c r="X331" s="74">
        <v>20</v>
      </c>
      <c r="Y331" s="74">
        <v>15</v>
      </c>
      <c r="Z331" s="74" t="s">
        <v>740</v>
      </c>
      <c r="AA331" s="74" t="s">
        <v>741</v>
      </c>
      <c r="AB331" s="74" t="s">
        <v>182</v>
      </c>
      <c r="AC331" s="74" t="s">
        <v>183</v>
      </c>
      <c r="AD331" s="74" t="s">
        <v>688</v>
      </c>
      <c r="AG331" s="74" t="s">
        <v>742</v>
      </c>
      <c r="AH331" s="74">
        <v>0</v>
      </c>
      <c r="AI331" s="74">
        <v>209</v>
      </c>
      <c r="AJ331" s="74">
        <v>17</v>
      </c>
      <c r="AK331" s="74">
        <v>782</v>
      </c>
      <c r="AL331" s="74">
        <v>0.89</v>
      </c>
    </row>
    <row r="332" spans="1:38" x14ac:dyDescent="0.3">
      <c r="A332" s="74" t="s">
        <v>744</v>
      </c>
      <c r="B332" s="74">
        <v>27527</v>
      </c>
      <c r="C332" s="74">
        <v>1</v>
      </c>
      <c r="D332" s="74" t="s">
        <v>745</v>
      </c>
      <c r="E332" s="74" t="s">
        <v>746</v>
      </c>
      <c r="F332" s="74">
        <v>351</v>
      </c>
      <c r="G332" s="74">
        <v>24.36</v>
      </c>
      <c r="H332" s="74">
        <v>80.55</v>
      </c>
      <c r="I332" s="74">
        <v>18.12</v>
      </c>
      <c r="J332" s="74">
        <v>59.93</v>
      </c>
      <c r="K332" s="74">
        <v>149</v>
      </c>
      <c r="T332" s="74">
        <v>3</v>
      </c>
      <c r="U332" s="74">
        <v>2</v>
      </c>
      <c r="V332" s="74" t="s">
        <v>186</v>
      </c>
      <c r="W332" s="74">
        <v>80</v>
      </c>
      <c r="X332" s="74">
        <v>15</v>
      </c>
      <c r="Y332" s="74">
        <v>14</v>
      </c>
      <c r="Z332" s="74" t="s">
        <v>747</v>
      </c>
      <c r="AA332" s="74" t="s">
        <v>748</v>
      </c>
      <c r="AB332" s="74" t="s">
        <v>182</v>
      </c>
      <c r="AC332" s="74" t="s">
        <v>183</v>
      </c>
      <c r="AD332" s="74" t="s">
        <v>156</v>
      </c>
      <c r="AG332" s="74" t="s">
        <v>749</v>
      </c>
      <c r="AH332" s="74">
        <v>0</v>
      </c>
      <c r="AI332" s="74">
        <v>226</v>
      </c>
      <c r="AJ332" s="74">
        <v>20</v>
      </c>
      <c r="AK332" s="74">
        <v>386</v>
      </c>
      <c r="AL332" s="74">
        <v>1.1000000000000001</v>
      </c>
    </row>
    <row r="333" spans="1:38" x14ac:dyDescent="0.3">
      <c r="A333" s="74" t="s">
        <v>744</v>
      </c>
      <c r="B333" s="74">
        <v>27527</v>
      </c>
      <c r="C333" s="74">
        <v>2</v>
      </c>
      <c r="D333" s="74" t="s">
        <v>745</v>
      </c>
      <c r="E333" s="74" t="s">
        <v>746</v>
      </c>
      <c r="F333" s="74">
        <v>351</v>
      </c>
      <c r="G333" s="74">
        <v>36.26</v>
      </c>
      <c r="H333" s="74">
        <v>119.87</v>
      </c>
      <c r="I333" s="74">
        <v>25.7</v>
      </c>
      <c r="J333" s="74">
        <v>84.98</v>
      </c>
      <c r="K333" s="74">
        <v>202</v>
      </c>
      <c r="T333" s="74">
        <v>3</v>
      </c>
      <c r="U333" s="74">
        <v>2</v>
      </c>
      <c r="V333" s="74" t="s">
        <v>179</v>
      </c>
      <c r="W333" s="74">
        <v>119</v>
      </c>
      <c r="X333" s="74">
        <v>15</v>
      </c>
      <c r="Y333" s="74">
        <v>14</v>
      </c>
      <c r="Z333" s="74" t="s">
        <v>747</v>
      </c>
      <c r="AA333" s="74" t="s">
        <v>748</v>
      </c>
      <c r="AB333" s="74" t="s">
        <v>182</v>
      </c>
      <c r="AC333" s="74" t="s">
        <v>183</v>
      </c>
      <c r="AD333" s="74" t="s">
        <v>156</v>
      </c>
      <c r="AG333" s="74" t="s">
        <v>749</v>
      </c>
      <c r="AH333" s="74">
        <v>0</v>
      </c>
      <c r="AI333" s="74">
        <v>226</v>
      </c>
      <c r="AJ333" s="74">
        <v>20</v>
      </c>
      <c r="AK333" s="74">
        <v>386</v>
      </c>
      <c r="AL333" s="74">
        <v>1.1000000000000001</v>
      </c>
    </row>
    <row r="334" spans="1:38" x14ac:dyDescent="0.3">
      <c r="A334" s="74" t="s">
        <v>744</v>
      </c>
      <c r="B334" s="74">
        <v>27526</v>
      </c>
      <c r="C334" s="74">
        <v>1</v>
      </c>
      <c r="D334" s="74" t="s">
        <v>750</v>
      </c>
      <c r="E334" s="74" t="s">
        <v>751</v>
      </c>
      <c r="F334" s="74">
        <v>499</v>
      </c>
      <c r="G334" s="74">
        <v>24.22</v>
      </c>
      <c r="H334" s="74">
        <v>80.09</v>
      </c>
      <c r="I334" s="74">
        <v>18.14</v>
      </c>
      <c r="J334" s="74">
        <v>59.97</v>
      </c>
      <c r="K334" s="74">
        <v>139</v>
      </c>
      <c r="T334" s="74">
        <v>3</v>
      </c>
      <c r="U334" s="74">
        <v>1</v>
      </c>
      <c r="V334" s="74" t="s">
        <v>186</v>
      </c>
      <c r="W334" s="74">
        <v>80</v>
      </c>
      <c r="X334" s="74">
        <v>15</v>
      </c>
      <c r="Y334" s="74">
        <v>14</v>
      </c>
      <c r="Z334" s="74" t="s">
        <v>752</v>
      </c>
      <c r="AA334" s="74" t="s">
        <v>753</v>
      </c>
      <c r="AB334" s="74" t="s">
        <v>182</v>
      </c>
      <c r="AC334" s="74" t="s">
        <v>183</v>
      </c>
      <c r="AD334" s="74" t="s">
        <v>156</v>
      </c>
      <c r="AG334" s="74" t="s">
        <v>754</v>
      </c>
      <c r="AH334" s="74">
        <v>0</v>
      </c>
      <c r="AI334" s="74">
        <v>229</v>
      </c>
      <c r="AJ334" s="74">
        <v>20</v>
      </c>
      <c r="AK334" s="74">
        <v>510</v>
      </c>
      <c r="AL334" s="74">
        <v>1.02</v>
      </c>
    </row>
    <row r="335" spans="1:38" x14ac:dyDescent="0.3">
      <c r="A335" s="74" t="s">
        <v>744</v>
      </c>
      <c r="B335" s="74">
        <v>27526</v>
      </c>
      <c r="C335" s="74">
        <v>2</v>
      </c>
      <c r="D335" s="74" t="s">
        <v>750</v>
      </c>
      <c r="E335" s="74" t="s">
        <v>751</v>
      </c>
      <c r="F335" s="74">
        <v>499</v>
      </c>
      <c r="G335" s="74">
        <v>33.53</v>
      </c>
      <c r="H335" s="74">
        <v>110.85</v>
      </c>
      <c r="I335" s="74">
        <v>25.7</v>
      </c>
      <c r="J335" s="74">
        <v>84.99</v>
      </c>
      <c r="K335" s="74">
        <v>360</v>
      </c>
      <c r="T335" s="74">
        <v>3</v>
      </c>
      <c r="U335" s="74">
        <v>2</v>
      </c>
      <c r="V335" s="74" t="s">
        <v>186</v>
      </c>
      <c r="W335" s="74">
        <v>110</v>
      </c>
      <c r="X335" s="74">
        <v>15</v>
      </c>
      <c r="Y335" s="74">
        <v>14</v>
      </c>
      <c r="Z335" s="74" t="s">
        <v>752</v>
      </c>
      <c r="AA335" s="74" t="s">
        <v>753</v>
      </c>
      <c r="AB335" s="74" t="s">
        <v>182</v>
      </c>
      <c r="AC335" s="74" t="s">
        <v>183</v>
      </c>
      <c r="AD335" s="74" t="s">
        <v>156</v>
      </c>
      <c r="AG335" s="74" t="s">
        <v>754</v>
      </c>
      <c r="AH335" s="74">
        <v>0</v>
      </c>
      <c r="AI335" s="74">
        <v>229</v>
      </c>
      <c r="AJ335" s="74">
        <v>20</v>
      </c>
      <c r="AK335" s="74">
        <v>510</v>
      </c>
      <c r="AL335" s="74">
        <v>1.02</v>
      </c>
    </row>
    <row r="336" spans="1:38" x14ac:dyDescent="0.3">
      <c r="A336" s="74" t="s">
        <v>744</v>
      </c>
      <c r="B336" s="74">
        <v>110132</v>
      </c>
      <c r="C336" s="74">
        <v>1</v>
      </c>
      <c r="D336" s="74" t="s">
        <v>755</v>
      </c>
      <c r="E336" s="74" t="s">
        <v>756</v>
      </c>
      <c r="F336" s="74">
        <v>540</v>
      </c>
      <c r="G336" s="74">
        <v>30.2</v>
      </c>
      <c r="H336" s="74">
        <v>99.84</v>
      </c>
      <c r="I336" s="74">
        <v>22.68</v>
      </c>
      <c r="J336" s="74">
        <v>74.98</v>
      </c>
      <c r="K336" s="74">
        <v>72</v>
      </c>
      <c r="T336" s="74">
        <v>3</v>
      </c>
      <c r="U336" s="74">
        <v>2</v>
      </c>
      <c r="V336" s="74" t="s">
        <v>186</v>
      </c>
      <c r="W336" s="74" t="s">
        <v>89</v>
      </c>
      <c r="X336" s="74">
        <v>25</v>
      </c>
      <c r="Y336" s="74">
        <v>16</v>
      </c>
      <c r="Z336" s="74" t="s">
        <v>757</v>
      </c>
      <c r="AA336" s="74" t="s">
        <v>758</v>
      </c>
      <c r="AB336" s="74" t="s">
        <v>182</v>
      </c>
      <c r="AC336" s="74" t="s">
        <v>183</v>
      </c>
      <c r="AD336" s="74" t="s">
        <v>156</v>
      </c>
      <c r="AG336" s="74" t="s">
        <v>759</v>
      </c>
      <c r="AH336" s="74">
        <v>0</v>
      </c>
      <c r="AI336" s="74">
        <v>0</v>
      </c>
      <c r="AJ336" s="74">
        <v>0</v>
      </c>
      <c r="AK336" s="74">
        <v>712</v>
      </c>
      <c r="AL336" s="74">
        <v>1.32</v>
      </c>
    </row>
    <row r="337" spans="1:38" x14ac:dyDescent="0.3">
      <c r="A337" s="74" t="s">
        <v>744</v>
      </c>
      <c r="B337" s="74">
        <v>110132</v>
      </c>
      <c r="C337" s="74">
        <v>2</v>
      </c>
      <c r="D337" s="74" t="s">
        <v>755</v>
      </c>
      <c r="E337" s="74" t="s">
        <v>756</v>
      </c>
      <c r="F337" s="74">
        <v>540</v>
      </c>
      <c r="G337" s="74">
        <v>30.24</v>
      </c>
      <c r="H337" s="74">
        <v>99.99</v>
      </c>
      <c r="I337" s="74">
        <v>22.67</v>
      </c>
      <c r="J337" s="74">
        <v>74.97</v>
      </c>
      <c r="K337" s="74">
        <v>49</v>
      </c>
      <c r="T337" s="74">
        <v>3</v>
      </c>
      <c r="U337" s="74">
        <v>2</v>
      </c>
      <c r="V337" s="74" t="s">
        <v>186</v>
      </c>
      <c r="W337" s="74" t="s">
        <v>760</v>
      </c>
      <c r="X337" s="74">
        <v>25</v>
      </c>
      <c r="Y337" s="74">
        <v>16</v>
      </c>
      <c r="Z337" s="74" t="s">
        <v>757</v>
      </c>
      <c r="AA337" s="74" t="s">
        <v>758</v>
      </c>
      <c r="AB337" s="74" t="s">
        <v>182</v>
      </c>
      <c r="AC337" s="74" t="s">
        <v>183</v>
      </c>
      <c r="AD337" s="74" t="s">
        <v>156</v>
      </c>
      <c r="AG337" s="74" t="s">
        <v>759</v>
      </c>
      <c r="AH337" s="74">
        <v>0</v>
      </c>
      <c r="AI337" s="74">
        <v>0</v>
      </c>
      <c r="AJ337" s="74">
        <v>0</v>
      </c>
      <c r="AK337" s="74">
        <v>712</v>
      </c>
      <c r="AL337" s="74">
        <v>1.32</v>
      </c>
    </row>
    <row r="338" spans="1:38" x14ac:dyDescent="0.3">
      <c r="A338" s="74" t="s">
        <v>744</v>
      </c>
      <c r="B338" s="74">
        <v>110132</v>
      </c>
      <c r="C338" s="74">
        <v>3</v>
      </c>
      <c r="D338" s="74" t="s">
        <v>755</v>
      </c>
      <c r="E338" s="74" t="s">
        <v>756</v>
      </c>
      <c r="F338" s="74">
        <v>540</v>
      </c>
      <c r="G338" s="74">
        <v>30.4</v>
      </c>
      <c r="H338" s="74">
        <v>100.52</v>
      </c>
      <c r="I338" s="74">
        <v>22.68</v>
      </c>
      <c r="J338" s="74">
        <v>74.989999999999995</v>
      </c>
      <c r="K338" s="74">
        <v>188</v>
      </c>
      <c r="T338" s="74">
        <v>3</v>
      </c>
      <c r="U338" s="74">
        <v>2</v>
      </c>
      <c r="V338" s="74" t="s">
        <v>186</v>
      </c>
      <c r="W338" s="74" t="s">
        <v>115</v>
      </c>
      <c r="X338" s="74">
        <v>25</v>
      </c>
      <c r="Y338" s="74">
        <v>16</v>
      </c>
      <c r="Z338" s="74" t="s">
        <v>757</v>
      </c>
      <c r="AA338" s="74" t="s">
        <v>758</v>
      </c>
      <c r="AB338" s="74" t="s">
        <v>182</v>
      </c>
      <c r="AC338" s="74" t="s">
        <v>183</v>
      </c>
      <c r="AD338" s="74" t="s">
        <v>156</v>
      </c>
      <c r="AG338" s="74" t="s">
        <v>759</v>
      </c>
      <c r="AH338" s="74">
        <v>0</v>
      </c>
      <c r="AI338" s="74">
        <v>0</v>
      </c>
      <c r="AJ338" s="74">
        <v>0</v>
      </c>
      <c r="AK338" s="74">
        <v>712</v>
      </c>
      <c r="AL338" s="74">
        <v>1.32</v>
      </c>
    </row>
    <row r="339" spans="1:38" x14ac:dyDescent="0.3">
      <c r="A339" s="74" t="s">
        <v>744</v>
      </c>
      <c r="B339" s="74">
        <v>110132</v>
      </c>
      <c r="C339" s="74">
        <v>4</v>
      </c>
      <c r="D339" s="74" t="s">
        <v>755</v>
      </c>
      <c r="E339" s="74" t="s">
        <v>756</v>
      </c>
      <c r="F339" s="74">
        <v>540</v>
      </c>
      <c r="G339" s="74">
        <v>30.25</v>
      </c>
      <c r="H339" s="74">
        <v>100.01</v>
      </c>
      <c r="I339" s="74">
        <v>22.68</v>
      </c>
      <c r="J339" s="74">
        <v>74.98</v>
      </c>
      <c r="K339" s="74">
        <v>50</v>
      </c>
      <c r="T339" s="74">
        <v>3</v>
      </c>
      <c r="U339" s="74">
        <v>2</v>
      </c>
      <c r="V339" s="74" t="s">
        <v>186</v>
      </c>
      <c r="W339" s="74" t="s">
        <v>761</v>
      </c>
      <c r="X339" s="74">
        <v>25</v>
      </c>
      <c r="Y339" s="74">
        <v>16</v>
      </c>
      <c r="Z339" s="74" t="s">
        <v>757</v>
      </c>
      <c r="AA339" s="74" t="s">
        <v>758</v>
      </c>
      <c r="AB339" s="74" t="s">
        <v>182</v>
      </c>
      <c r="AC339" s="74" t="s">
        <v>183</v>
      </c>
      <c r="AD339" s="74" t="s">
        <v>156</v>
      </c>
      <c r="AG339" s="74" t="s">
        <v>759</v>
      </c>
      <c r="AH339" s="74">
        <v>0</v>
      </c>
      <c r="AI339" s="74">
        <v>0</v>
      </c>
      <c r="AJ339" s="74">
        <v>0</v>
      </c>
      <c r="AK339" s="74">
        <v>712</v>
      </c>
      <c r="AL339" s="74">
        <v>1.32</v>
      </c>
    </row>
    <row r="340" spans="1:38" x14ac:dyDescent="0.3">
      <c r="A340" s="74" t="s">
        <v>744</v>
      </c>
      <c r="B340" s="74">
        <v>110132</v>
      </c>
      <c r="C340" s="74">
        <v>5</v>
      </c>
      <c r="D340" s="74" t="s">
        <v>755</v>
      </c>
      <c r="E340" s="74" t="s">
        <v>756</v>
      </c>
      <c r="F340" s="74">
        <v>540</v>
      </c>
      <c r="G340" s="74">
        <v>30.48</v>
      </c>
      <c r="H340" s="74">
        <v>100.77</v>
      </c>
      <c r="I340" s="74">
        <v>22.68</v>
      </c>
      <c r="J340" s="74">
        <v>74.989999999999995</v>
      </c>
      <c r="K340" s="74">
        <v>15</v>
      </c>
      <c r="T340" s="74">
        <v>3</v>
      </c>
      <c r="U340" s="74">
        <v>2</v>
      </c>
      <c r="V340" s="74" t="s">
        <v>186</v>
      </c>
      <c r="W340" s="74" t="s">
        <v>116</v>
      </c>
      <c r="X340" s="74">
        <v>25</v>
      </c>
      <c r="Y340" s="74">
        <v>16</v>
      </c>
      <c r="Z340" s="74" t="s">
        <v>757</v>
      </c>
      <c r="AA340" s="74" t="s">
        <v>758</v>
      </c>
      <c r="AB340" s="74" t="s">
        <v>182</v>
      </c>
      <c r="AC340" s="74" t="s">
        <v>183</v>
      </c>
      <c r="AD340" s="74" t="s">
        <v>156</v>
      </c>
      <c r="AG340" s="74" t="s">
        <v>759</v>
      </c>
      <c r="AH340" s="74">
        <v>0</v>
      </c>
      <c r="AI340" s="74">
        <v>0</v>
      </c>
      <c r="AJ340" s="74">
        <v>0</v>
      </c>
      <c r="AK340" s="74">
        <v>712</v>
      </c>
      <c r="AL340" s="74">
        <v>1.32</v>
      </c>
    </row>
    <row r="341" spans="1:38" x14ac:dyDescent="0.3">
      <c r="A341" s="74" t="s">
        <v>744</v>
      </c>
      <c r="B341" s="74">
        <v>110132</v>
      </c>
      <c r="C341" s="74">
        <v>6</v>
      </c>
      <c r="D341" s="74" t="s">
        <v>755</v>
      </c>
      <c r="E341" s="74" t="s">
        <v>756</v>
      </c>
      <c r="F341" s="74">
        <v>540</v>
      </c>
      <c r="G341" s="74">
        <v>39.450000000000003</v>
      </c>
      <c r="H341" s="74">
        <v>130.44</v>
      </c>
      <c r="I341" s="74">
        <v>30.78</v>
      </c>
      <c r="J341" s="74">
        <v>101.78</v>
      </c>
      <c r="K341" s="74">
        <v>166</v>
      </c>
      <c r="T341" s="74">
        <v>3</v>
      </c>
      <c r="U341" s="74">
        <v>2</v>
      </c>
      <c r="V341" s="74" t="s">
        <v>186</v>
      </c>
      <c r="W341" s="74">
        <v>130</v>
      </c>
      <c r="X341" s="74">
        <v>25</v>
      </c>
      <c r="Y341" s="74">
        <v>16</v>
      </c>
      <c r="Z341" s="74" t="s">
        <v>757</v>
      </c>
      <c r="AA341" s="74" t="s">
        <v>758</v>
      </c>
      <c r="AB341" s="74" t="s">
        <v>182</v>
      </c>
      <c r="AC341" s="74" t="s">
        <v>183</v>
      </c>
      <c r="AD341" s="74" t="s">
        <v>156</v>
      </c>
      <c r="AG341" s="74" t="s">
        <v>759</v>
      </c>
      <c r="AH341" s="74">
        <v>0</v>
      </c>
      <c r="AI341" s="74">
        <v>0</v>
      </c>
      <c r="AJ341" s="74">
        <v>0</v>
      </c>
      <c r="AK341" s="74">
        <v>712</v>
      </c>
      <c r="AL341" s="74">
        <v>1.32</v>
      </c>
    </row>
    <row r="342" spans="1:38" x14ac:dyDescent="0.3">
      <c r="A342" s="74" t="s">
        <v>744</v>
      </c>
      <c r="B342" s="74">
        <v>106162</v>
      </c>
      <c r="C342" s="74">
        <v>1</v>
      </c>
      <c r="D342" s="74" t="s">
        <v>762</v>
      </c>
      <c r="E342" s="74" t="s">
        <v>763</v>
      </c>
      <c r="F342" s="74">
        <v>1078</v>
      </c>
      <c r="G342" s="74">
        <v>24.29</v>
      </c>
      <c r="H342" s="74">
        <v>80.33</v>
      </c>
      <c r="I342" s="74">
        <v>18.14</v>
      </c>
      <c r="J342" s="74">
        <v>59.99</v>
      </c>
      <c r="K342" s="74">
        <v>141</v>
      </c>
      <c r="T342" s="74">
        <v>3</v>
      </c>
      <c r="U342" s="74">
        <v>2</v>
      </c>
      <c r="V342" s="74" t="s">
        <v>186</v>
      </c>
      <c r="W342" s="74">
        <v>80</v>
      </c>
      <c r="X342" s="74">
        <v>25</v>
      </c>
      <c r="Y342" s="74">
        <v>12</v>
      </c>
      <c r="Z342" s="74" t="s">
        <v>764</v>
      </c>
      <c r="AA342" s="74" t="s">
        <v>765</v>
      </c>
      <c r="AB342" s="74" t="s">
        <v>182</v>
      </c>
      <c r="AC342" s="74" t="s">
        <v>183</v>
      </c>
      <c r="AD342" s="74" t="s">
        <v>156</v>
      </c>
      <c r="AG342" s="74" t="s">
        <v>766</v>
      </c>
      <c r="AH342" s="74">
        <v>0</v>
      </c>
      <c r="AI342" s="74">
        <v>249</v>
      </c>
      <c r="AJ342" s="74">
        <v>20</v>
      </c>
      <c r="AK342" s="74">
        <v>1299</v>
      </c>
      <c r="AL342" s="74">
        <v>1.21</v>
      </c>
    </row>
    <row r="343" spans="1:38" x14ac:dyDescent="0.3">
      <c r="A343" s="74" t="s">
        <v>744</v>
      </c>
      <c r="B343" s="74">
        <v>106162</v>
      </c>
      <c r="C343" s="74">
        <v>2</v>
      </c>
      <c r="D343" s="74" t="s">
        <v>762</v>
      </c>
      <c r="E343" s="74" t="s">
        <v>763</v>
      </c>
      <c r="F343" s="74">
        <v>1078</v>
      </c>
      <c r="G343" s="74">
        <v>33.659999999999997</v>
      </c>
      <c r="H343" s="74">
        <v>111.3</v>
      </c>
      <c r="I343" s="74">
        <v>25.7</v>
      </c>
      <c r="J343" s="74">
        <v>84.99</v>
      </c>
      <c r="K343" s="74">
        <v>435</v>
      </c>
      <c r="T343" s="74">
        <v>3</v>
      </c>
      <c r="U343" s="74">
        <v>2</v>
      </c>
      <c r="V343" s="74" t="s">
        <v>186</v>
      </c>
      <c r="W343" s="74" t="s">
        <v>92</v>
      </c>
      <c r="X343" s="74">
        <v>25</v>
      </c>
      <c r="Y343" s="74">
        <v>12</v>
      </c>
      <c r="Z343" s="74" t="s">
        <v>764</v>
      </c>
      <c r="AA343" s="74" t="s">
        <v>765</v>
      </c>
      <c r="AB343" s="74" t="s">
        <v>182</v>
      </c>
      <c r="AC343" s="74" t="s">
        <v>183</v>
      </c>
      <c r="AD343" s="74" t="s">
        <v>156</v>
      </c>
      <c r="AG343" s="74" t="s">
        <v>766</v>
      </c>
      <c r="AH343" s="74">
        <v>0</v>
      </c>
      <c r="AI343" s="74">
        <v>249</v>
      </c>
      <c r="AJ343" s="74">
        <v>20</v>
      </c>
      <c r="AK343" s="74">
        <v>1299</v>
      </c>
      <c r="AL343" s="74">
        <v>1.21</v>
      </c>
    </row>
    <row r="344" spans="1:38" x14ac:dyDescent="0.3">
      <c r="A344" s="74" t="s">
        <v>744</v>
      </c>
      <c r="B344" s="74">
        <v>106162</v>
      </c>
      <c r="C344" s="74">
        <v>3</v>
      </c>
      <c r="D344" s="74" t="s">
        <v>762</v>
      </c>
      <c r="E344" s="74" t="s">
        <v>763</v>
      </c>
      <c r="F344" s="74">
        <v>1078</v>
      </c>
      <c r="G344" s="74">
        <v>33.67</v>
      </c>
      <c r="H344" s="74">
        <v>111.31</v>
      </c>
      <c r="I344" s="74">
        <v>25.7</v>
      </c>
      <c r="J344" s="74">
        <v>84.99</v>
      </c>
      <c r="K344" s="74">
        <v>40</v>
      </c>
      <c r="T344" s="74">
        <v>3</v>
      </c>
      <c r="U344" s="74">
        <v>2</v>
      </c>
      <c r="V344" s="74" t="s">
        <v>186</v>
      </c>
      <c r="W344" s="74" t="s">
        <v>767</v>
      </c>
      <c r="X344" s="74">
        <v>25</v>
      </c>
      <c r="Y344" s="74">
        <v>12</v>
      </c>
      <c r="Z344" s="74" t="s">
        <v>764</v>
      </c>
      <c r="AA344" s="74" t="s">
        <v>765</v>
      </c>
      <c r="AB344" s="74" t="s">
        <v>182</v>
      </c>
      <c r="AC344" s="74" t="s">
        <v>183</v>
      </c>
      <c r="AD344" s="74" t="s">
        <v>156</v>
      </c>
      <c r="AG344" s="74" t="s">
        <v>766</v>
      </c>
      <c r="AH344" s="74">
        <v>0</v>
      </c>
      <c r="AI344" s="74">
        <v>249</v>
      </c>
      <c r="AJ344" s="74">
        <v>20</v>
      </c>
      <c r="AK344" s="74">
        <v>1299</v>
      </c>
      <c r="AL344" s="74">
        <v>1.21</v>
      </c>
    </row>
    <row r="345" spans="1:38" x14ac:dyDescent="0.3">
      <c r="A345" s="74" t="s">
        <v>744</v>
      </c>
      <c r="B345" s="74">
        <v>106162</v>
      </c>
      <c r="C345" s="74">
        <v>4</v>
      </c>
      <c r="D345" s="74" t="s">
        <v>762</v>
      </c>
      <c r="E345" s="74" t="s">
        <v>763</v>
      </c>
      <c r="F345" s="74">
        <v>1078</v>
      </c>
      <c r="G345" s="74">
        <v>34.17</v>
      </c>
      <c r="H345" s="74">
        <v>112.98</v>
      </c>
      <c r="I345" s="74">
        <v>25.7</v>
      </c>
      <c r="J345" s="74">
        <v>84.98</v>
      </c>
      <c r="K345" s="74">
        <v>200</v>
      </c>
      <c r="T345" s="74">
        <v>3</v>
      </c>
      <c r="U345" s="74">
        <v>2</v>
      </c>
      <c r="V345" s="74" t="s">
        <v>186</v>
      </c>
      <c r="W345" s="74" t="s">
        <v>126</v>
      </c>
      <c r="X345" s="74">
        <v>25</v>
      </c>
      <c r="Y345" s="74">
        <v>12</v>
      </c>
      <c r="Z345" s="74" t="s">
        <v>764</v>
      </c>
      <c r="AA345" s="74" t="s">
        <v>765</v>
      </c>
      <c r="AB345" s="74" t="s">
        <v>182</v>
      </c>
      <c r="AC345" s="74" t="s">
        <v>183</v>
      </c>
      <c r="AD345" s="74" t="s">
        <v>156</v>
      </c>
      <c r="AG345" s="74" t="s">
        <v>766</v>
      </c>
      <c r="AH345" s="74">
        <v>0</v>
      </c>
      <c r="AI345" s="74">
        <v>249</v>
      </c>
      <c r="AJ345" s="74">
        <v>20</v>
      </c>
      <c r="AK345" s="74">
        <v>1299</v>
      </c>
      <c r="AL345" s="74">
        <v>1.21</v>
      </c>
    </row>
    <row r="346" spans="1:38" x14ac:dyDescent="0.3">
      <c r="A346" s="74" t="s">
        <v>744</v>
      </c>
      <c r="B346" s="74">
        <v>106162</v>
      </c>
      <c r="C346" s="74">
        <v>5</v>
      </c>
      <c r="D346" s="74" t="s">
        <v>762</v>
      </c>
      <c r="E346" s="74" t="s">
        <v>763</v>
      </c>
      <c r="F346" s="74">
        <v>1078</v>
      </c>
      <c r="G346" s="74">
        <v>33.94</v>
      </c>
      <c r="H346" s="74">
        <v>112.21</v>
      </c>
      <c r="I346" s="74">
        <v>25.7</v>
      </c>
      <c r="J346" s="74">
        <v>84.98</v>
      </c>
      <c r="K346" s="74">
        <v>134</v>
      </c>
      <c r="T346" s="74">
        <v>3</v>
      </c>
      <c r="U346" s="74">
        <v>2</v>
      </c>
      <c r="V346" s="74" t="s">
        <v>186</v>
      </c>
      <c r="W346" s="74" t="s">
        <v>768</v>
      </c>
      <c r="X346" s="74">
        <v>25</v>
      </c>
      <c r="Y346" s="74">
        <v>12</v>
      </c>
      <c r="Z346" s="74" t="s">
        <v>764</v>
      </c>
      <c r="AA346" s="74" t="s">
        <v>765</v>
      </c>
      <c r="AB346" s="74" t="s">
        <v>182</v>
      </c>
      <c r="AC346" s="74" t="s">
        <v>183</v>
      </c>
      <c r="AD346" s="74" t="s">
        <v>156</v>
      </c>
      <c r="AG346" s="74" t="s">
        <v>766</v>
      </c>
      <c r="AH346" s="74">
        <v>0</v>
      </c>
      <c r="AI346" s="74">
        <v>249</v>
      </c>
      <c r="AJ346" s="74">
        <v>20</v>
      </c>
      <c r="AK346" s="74">
        <v>1299</v>
      </c>
      <c r="AL346" s="74">
        <v>1.21</v>
      </c>
    </row>
    <row r="347" spans="1:38" x14ac:dyDescent="0.3">
      <c r="A347" s="74" t="s">
        <v>744</v>
      </c>
      <c r="B347" s="74">
        <v>106162</v>
      </c>
      <c r="C347" s="74">
        <v>6</v>
      </c>
      <c r="D347" s="74" t="s">
        <v>762</v>
      </c>
      <c r="E347" s="74" t="s">
        <v>763</v>
      </c>
      <c r="F347" s="74">
        <v>1078</v>
      </c>
      <c r="G347" s="74">
        <v>34.049999999999997</v>
      </c>
      <c r="H347" s="74">
        <v>112.58</v>
      </c>
      <c r="I347" s="74">
        <v>25.7</v>
      </c>
      <c r="J347" s="74">
        <v>84.97</v>
      </c>
      <c r="K347" s="74">
        <v>54</v>
      </c>
      <c r="T347" s="74">
        <v>3</v>
      </c>
      <c r="U347" s="74">
        <v>2</v>
      </c>
      <c r="V347" s="74" t="s">
        <v>186</v>
      </c>
      <c r="W347" s="74" t="s">
        <v>506</v>
      </c>
      <c r="X347" s="74">
        <v>25</v>
      </c>
      <c r="Y347" s="74">
        <v>12</v>
      </c>
      <c r="Z347" s="74" t="s">
        <v>764</v>
      </c>
      <c r="AA347" s="74" t="s">
        <v>765</v>
      </c>
      <c r="AB347" s="74" t="s">
        <v>182</v>
      </c>
      <c r="AC347" s="74" t="s">
        <v>183</v>
      </c>
      <c r="AD347" s="74" t="s">
        <v>156</v>
      </c>
      <c r="AG347" s="74" t="s">
        <v>766</v>
      </c>
      <c r="AH347" s="74">
        <v>0</v>
      </c>
      <c r="AI347" s="74">
        <v>249</v>
      </c>
      <c r="AJ347" s="74">
        <v>20</v>
      </c>
      <c r="AK347" s="74">
        <v>1299</v>
      </c>
      <c r="AL347" s="74">
        <v>1.21</v>
      </c>
    </row>
    <row r="348" spans="1:38" x14ac:dyDescent="0.3">
      <c r="A348" s="74" t="s">
        <v>744</v>
      </c>
      <c r="B348" s="74">
        <v>106162</v>
      </c>
      <c r="C348" s="74">
        <v>7</v>
      </c>
      <c r="D348" s="74" t="s">
        <v>762</v>
      </c>
      <c r="E348" s="74" t="s">
        <v>763</v>
      </c>
      <c r="F348" s="74">
        <v>1078</v>
      </c>
      <c r="G348" s="74">
        <v>39.840000000000003</v>
      </c>
      <c r="H348" s="74">
        <v>131.72999999999999</v>
      </c>
      <c r="I348" s="74">
        <v>30.38</v>
      </c>
      <c r="J348" s="74">
        <v>100.43</v>
      </c>
      <c r="K348" s="74">
        <v>74</v>
      </c>
      <c r="T348" s="74">
        <v>4</v>
      </c>
      <c r="U348" s="74">
        <v>2</v>
      </c>
      <c r="V348" s="74" t="s">
        <v>186</v>
      </c>
      <c r="W348" s="74">
        <v>131</v>
      </c>
      <c r="X348" s="74">
        <v>25</v>
      </c>
      <c r="Y348" s="74">
        <v>12</v>
      </c>
      <c r="Z348" s="74" t="s">
        <v>764</v>
      </c>
      <c r="AA348" s="74" t="s">
        <v>765</v>
      </c>
      <c r="AB348" s="74" t="s">
        <v>182</v>
      </c>
      <c r="AC348" s="74" t="s">
        <v>183</v>
      </c>
      <c r="AD348" s="74" t="s">
        <v>156</v>
      </c>
      <c r="AG348" s="74" t="s">
        <v>766</v>
      </c>
      <c r="AH348" s="74">
        <v>0</v>
      </c>
      <c r="AI348" s="74">
        <v>249</v>
      </c>
      <c r="AJ348" s="74">
        <v>20</v>
      </c>
      <c r="AK348" s="74">
        <v>1299</v>
      </c>
      <c r="AL348" s="74">
        <v>1.21</v>
      </c>
    </row>
    <row r="349" spans="1:38" x14ac:dyDescent="0.3">
      <c r="A349" s="74" t="s">
        <v>744</v>
      </c>
      <c r="B349" s="74">
        <v>27793</v>
      </c>
      <c r="C349" s="74">
        <v>1</v>
      </c>
      <c r="D349" s="74" t="s">
        <v>769</v>
      </c>
      <c r="E349" s="74" t="s">
        <v>770</v>
      </c>
      <c r="F349" s="74">
        <v>354</v>
      </c>
      <c r="G349" s="74">
        <v>48.65</v>
      </c>
      <c r="H349" s="74">
        <v>160.84</v>
      </c>
      <c r="I349" s="74">
        <v>39.07</v>
      </c>
      <c r="J349" s="74">
        <v>129.19</v>
      </c>
      <c r="K349" s="74">
        <v>174</v>
      </c>
      <c r="T349" s="74">
        <v>4</v>
      </c>
      <c r="U349" s="74">
        <v>2</v>
      </c>
      <c r="V349" s="74" t="s">
        <v>186</v>
      </c>
      <c r="W349" s="74">
        <v>160</v>
      </c>
      <c r="X349" s="74">
        <v>15</v>
      </c>
      <c r="Y349" s="74">
        <v>14</v>
      </c>
      <c r="Z349" s="74" t="s">
        <v>771</v>
      </c>
      <c r="AA349" s="74" t="s">
        <v>772</v>
      </c>
      <c r="AB349" s="74" t="s">
        <v>182</v>
      </c>
      <c r="AC349" s="74" t="s">
        <v>183</v>
      </c>
      <c r="AD349" s="74" t="s">
        <v>156</v>
      </c>
      <c r="AG349" s="74" t="s">
        <v>773</v>
      </c>
      <c r="AH349" s="74">
        <v>0</v>
      </c>
      <c r="AI349" s="74">
        <v>214</v>
      </c>
      <c r="AJ349" s="74">
        <v>18</v>
      </c>
      <c r="AK349" s="74">
        <v>706</v>
      </c>
      <c r="AL349" s="74">
        <v>1.99</v>
      </c>
    </row>
    <row r="350" spans="1:38" x14ac:dyDescent="0.3">
      <c r="A350" s="74" t="s">
        <v>744</v>
      </c>
      <c r="B350" s="74">
        <v>27793</v>
      </c>
      <c r="C350" s="74">
        <v>2</v>
      </c>
      <c r="D350" s="74" t="s">
        <v>769</v>
      </c>
      <c r="E350" s="74" t="s">
        <v>770</v>
      </c>
      <c r="F350" s="74">
        <v>354</v>
      </c>
      <c r="G350" s="74">
        <v>56.16</v>
      </c>
      <c r="H350" s="74">
        <v>185.67</v>
      </c>
      <c r="I350" s="74">
        <v>46.17</v>
      </c>
      <c r="J350" s="74">
        <v>152.66</v>
      </c>
      <c r="K350" s="74">
        <v>120</v>
      </c>
      <c r="T350" s="74">
        <v>4</v>
      </c>
      <c r="U350" s="74">
        <v>2</v>
      </c>
      <c r="V350" s="74" t="s">
        <v>186</v>
      </c>
      <c r="W350" s="74">
        <v>185</v>
      </c>
      <c r="X350" s="74">
        <v>15</v>
      </c>
      <c r="Y350" s="74">
        <v>14</v>
      </c>
      <c r="Z350" s="74" t="s">
        <v>771</v>
      </c>
      <c r="AA350" s="74" t="s">
        <v>772</v>
      </c>
      <c r="AB350" s="74" t="s">
        <v>182</v>
      </c>
      <c r="AC350" s="74" t="s">
        <v>183</v>
      </c>
      <c r="AD350" s="74" t="s">
        <v>156</v>
      </c>
      <c r="AG350" s="74" t="s">
        <v>773</v>
      </c>
      <c r="AH350" s="74">
        <v>0</v>
      </c>
      <c r="AI350" s="74">
        <v>214</v>
      </c>
      <c r="AJ350" s="74">
        <v>18</v>
      </c>
      <c r="AK350" s="74">
        <v>706</v>
      </c>
      <c r="AL350" s="74">
        <v>1.99</v>
      </c>
    </row>
    <row r="351" spans="1:38" x14ac:dyDescent="0.3">
      <c r="A351" s="74" t="s">
        <v>744</v>
      </c>
      <c r="B351" s="74">
        <v>27793</v>
      </c>
      <c r="C351" s="74">
        <v>3</v>
      </c>
      <c r="D351" s="74" t="s">
        <v>769</v>
      </c>
      <c r="E351" s="74" t="s">
        <v>770</v>
      </c>
      <c r="F351" s="74">
        <v>354</v>
      </c>
      <c r="G351" s="74">
        <v>65.260000000000005</v>
      </c>
      <c r="H351" s="74">
        <v>215.75</v>
      </c>
      <c r="I351" s="74">
        <v>54.78</v>
      </c>
      <c r="J351" s="74">
        <v>181.1</v>
      </c>
      <c r="K351" s="74">
        <v>60</v>
      </c>
      <c r="T351" s="74">
        <v>5</v>
      </c>
      <c r="U351" s="74">
        <v>2</v>
      </c>
      <c r="V351" s="74" t="s">
        <v>186</v>
      </c>
      <c r="W351" s="74">
        <v>215</v>
      </c>
      <c r="X351" s="74">
        <v>15</v>
      </c>
      <c r="Y351" s="74">
        <v>14</v>
      </c>
      <c r="Z351" s="74" t="s">
        <v>771</v>
      </c>
      <c r="AA351" s="74" t="s">
        <v>772</v>
      </c>
      <c r="AB351" s="74" t="s">
        <v>182</v>
      </c>
      <c r="AC351" s="74" t="s">
        <v>183</v>
      </c>
      <c r="AD351" s="74" t="s">
        <v>156</v>
      </c>
      <c r="AG351" s="74" t="s">
        <v>773</v>
      </c>
      <c r="AH351" s="74">
        <v>0</v>
      </c>
      <c r="AI351" s="74">
        <v>214</v>
      </c>
      <c r="AJ351" s="74">
        <v>18</v>
      </c>
      <c r="AK351" s="74">
        <v>706</v>
      </c>
      <c r="AL351" s="74">
        <v>1.99</v>
      </c>
    </row>
    <row r="352" spans="1:38" x14ac:dyDescent="0.3">
      <c r="A352" s="74" t="s">
        <v>744</v>
      </c>
      <c r="B352" s="74">
        <v>27794</v>
      </c>
      <c r="C352" s="74">
        <v>1</v>
      </c>
      <c r="D352" s="74" t="s">
        <v>774</v>
      </c>
      <c r="E352" s="74" t="s">
        <v>775</v>
      </c>
      <c r="F352" s="74">
        <v>198</v>
      </c>
      <c r="G352" s="74">
        <v>22.95</v>
      </c>
      <c r="H352" s="74">
        <v>75.900000000000006</v>
      </c>
      <c r="I352" s="74">
        <v>18.14</v>
      </c>
      <c r="J352" s="74">
        <v>59.97</v>
      </c>
      <c r="K352" s="74">
        <v>72</v>
      </c>
      <c r="T352" s="74">
        <v>3</v>
      </c>
      <c r="U352" s="74">
        <v>1</v>
      </c>
      <c r="V352" s="74" t="s">
        <v>186</v>
      </c>
      <c r="W352" s="74" t="s">
        <v>776</v>
      </c>
      <c r="X352" s="74">
        <v>15</v>
      </c>
      <c r="Y352" s="74">
        <v>6</v>
      </c>
      <c r="Z352" s="74" t="s">
        <v>777</v>
      </c>
      <c r="AA352" s="74" t="s">
        <v>778</v>
      </c>
      <c r="AB352" s="74" t="s">
        <v>182</v>
      </c>
      <c r="AC352" s="74" t="s">
        <v>183</v>
      </c>
      <c r="AD352" s="74" t="s">
        <v>156</v>
      </c>
      <c r="AG352" s="74" t="s">
        <v>779</v>
      </c>
      <c r="AH352" s="74">
        <v>0</v>
      </c>
      <c r="AI352" s="74">
        <v>0</v>
      </c>
      <c r="AJ352" s="74">
        <v>0</v>
      </c>
      <c r="AK352" s="74">
        <v>0</v>
      </c>
      <c r="AL352" s="74">
        <v>0</v>
      </c>
    </row>
    <row r="353" spans="1:38" x14ac:dyDescent="0.3">
      <c r="A353" s="74" t="s">
        <v>744</v>
      </c>
      <c r="B353" s="74">
        <v>27794</v>
      </c>
      <c r="C353" s="74">
        <v>2</v>
      </c>
      <c r="D353" s="74" t="s">
        <v>774</v>
      </c>
      <c r="E353" s="74" t="s">
        <v>775</v>
      </c>
      <c r="F353" s="74">
        <v>198</v>
      </c>
      <c r="G353" s="74">
        <v>23.64</v>
      </c>
      <c r="H353" s="74">
        <v>78.180000000000007</v>
      </c>
      <c r="I353" s="74">
        <v>18.13</v>
      </c>
      <c r="J353" s="74">
        <v>59.94</v>
      </c>
      <c r="K353" s="74">
        <v>126</v>
      </c>
      <c r="T353" s="74">
        <v>3</v>
      </c>
      <c r="U353" s="74">
        <v>1</v>
      </c>
      <c r="V353" s="74" t="s">
        <v>186</v>
      </c>
      <c r="W353" s="74" t="s">
        <v>137</v>
      </c>
      <c r="X353" s="74">
        <v>15</v>
      </c>
      <c r="Y353" s="74">
        <v>6</v>
      </c>
      <c r="Z353" s="74" t="s">
        <v>777</v>
      </c>
      <c r="AA353" s="74" t="s">
        <v>778</v>
      </c>
      <c r="AB353" s="74" t="s">
        <v>182</v>
      </c>
      <c r="AC353" s="74" t="s">
        <v>183</v>
      </c>
      <c r="AD353" s="74" t="s">
        <v>156</v>
      </c>
      <c r="AG353" s="74" t="s">
        <v>779</v>
      </c>
      <c r="AH353" s="74">
        <v>0</v>
      </c>
      <c r="AI353" s="74">
        <v>0</v>
      </c>
      <c r="AJ353" s="74">
        <v>0</v>
      </c>
      <c r="AK353" s="74">
        <v>0</v>
      </c>
      <c r="AL353" s="74">
        <v>0</v>
      </c>
    </row>
    <row r="354" spans="1:38" x14ac:dyDescent="0.3">
      <c r="A354" s="74" t="s">
        <v>744</v>
      </c>
      <c r="B354" s="74">
        <v>27010</v>
      </c>
      <c r="C354" s="74">
        <v>1</v>
      </c>
      <c r="D354" s="74" t="s">
        <v>780</v>
      </c>
      <c r="E354" s="74" t="s">
        <v>781</v>
      </c>
      <c r="F354" s="74">
        <v>654</v>
      </c>
      <c r="G354" s="74">
        <v>34.19</v>
      </c>
      <c r="H354" s="74">
        <v>113.03</v>
      </c>
      <c r="I354" s="74">
        <v>25.53</v>
      </c>
      <c r="J354" s="74">
        <v>84.4</v>
      </c>
      <c r="K354" s="74">
        <v>205</v>
      </c>
      <c r="T354" s="74">
        <v>3</v>
      </c>
      <c r="U354" s="74">
        <v>2</v>
      </c>
      <c r="V354" s="74" t="s">
        <v>186</v>
      </c>
      <c r="W354" s="74" t="s">
        <v>108</v>
      </c>
      <c r="X354" s="74">
        <v>15</v>
      </c>
      <c r="Y354" s="74">
        <v>10</v>
      </c>
      <c r="Z354" s="74" t="s">
        <v>782</v>
      </c>
      <c r="AA354" s="74" t="s">
        <v>783</v>
      </c>
      <c r="AB354" s="74" t="s">
        <v>182</v>
      </c>
      <c r="AC354" s="74" t="s">
        <v>183</v>
      </c>
      <c r="AD354" s="74" t="s">
        <v>156</v>
      </c>
      <c r="AG354" s="74" t="s">
        <v>784</v>
      </c>
      <c r="AH354" s="74">
        <v>0</v>
      </c>
      <c r="AI354" s="74">
        <v>238</v>
      </c>
      <c r="AJ354" s="74">
        <v>24</v>
      </c>
      <c r="AK354" s="74">
        <v>974</v>
      </c>
      <c r="AL354" s="74">
        <v>1.49</v>
      </c>
    </row>
    <row r="355" spans="1:38" x14ac:dyDescent="0.3">
      <c r="A355" s="74" t="s">
        <v>744</v>
      </c>
      <c r="B355" s="74">
        <v>27010</v>
      </c>
      <c r="C355" s="74">
        <v>2</v>
      </c>
      <c r="D355" s="74" t="s">
        <v>780</v>
      </c>
      <c r="E355" s="74" t="s">
        <v>781</v>
      </c>
      <c r="F355" s="74">
        <v>654</v>
      </c>
      <c r="G355" s="74">
        <v>34.880000000000003</v>
      </c>
      <c r="H355" s="74">
        <v>115.31</v>
      </c>
      <c r="I355" s="74">
        <v>25.67</v>
      </c>
      <c r="J355" s="74">
        <v>84.86</v>
      </c>
      <c r="K355" s="74">
        <v>60</v>
      </c>
      <c r="T355" s="74">
        <v>3</v>
      </c>
      <c r="U355" s="74">
        <v>2</v>
      </c>
      <c r="V355" s="74" t="s">
        <v>186</v>
      </c>
      <c r="W355" s="74" t="s">
        <v>94</v>
      </c>
      <c r="X355" s="74">
        <v>15</v>
      </c>
      <c r="Y355" s="74">
        <v>10</v>
      </c>
      <c r="Z355" s="74" t="s">
        <v>782</v>
      </c>
      <c r="AA355" s="74" t="s">
        <v>783</v>
      </c>
      <c r="AB355" s="74" t="s">
        <v>182</v>
      </c>
      <c r="AC355" s="74" t="s">
        <v>183</v>
      </c>
      <c r="AD355" s="74" t="s">
        <v>156</v>
      </c>
      <c r="AG355" s="74" t="s">
        <v>784</v>
      </c>
      <c r="AH355" s="74">
        <v>0</v>
      </c>
      <c r="AI355" s="74">
        <v>238</v>
      </c>
      <c r="AJ355" s="74">
        <v>24</v>
      </c>
      <c r="AK355" s="74">
        <v>974</v>
      </c>
      <c r="AL355" s="74">
        <v>1.49</v>
      </c>
    </row>
    <row r="356" spans="1:38" x14ac:dyDescent="0.3">
      <c r="A356" s="74" t="s">
        <v>744</v>
      </c>
      <c r="B356" s="74">
        <v>27010</v>
      </c>
      <c r="C356" s="74">
        <v>3</v>
      </c>
      <c r="D356" s="74" t="s">
        <v>780</v>
      </c>
      <c r="E356" s="74" t="s">
        <v>781</v>
      </c>
      <c r="F356" s="74">
        <v>654</v>
      </c>
      <c r="G356" s="74">
        <v>40.92</v>
      </c>
      <c r="H356" s="74">
        <v>135.30000000000001</v>
      </c>
      <c r="I356" s="74">
        <v>31.4</v>
      </c>
      <c r="J356" s="74">
        <v>103.82</v>
      </c>
      <c r="K356" s="74">
        <v>163</v>
      </c>
      <c r="T356" s="74">
        <v>3</v>
      </c>
      <c r="U356" s="74">
        <v>2</v>
      </c>
      <c r="V356" s="74" t="s">
        <v>186</v>
      </c>
      <c r="W356" s="74" t="s">
        <v>117</v>
      </c>
      <c r="X356" s="74">
        <v>15</v>
      </c>
      <c r="Y356" s="74">
        <v>10</v>
      </c>
      <c r="Z356" s="74" t="s">
        <v>782</v>
      </c>
      <c r="AA356" s="74" t="s">
        <v>783</v>
      </c>
      <c r="AB356" s="74" t="s">
        <v>182</v>
      </c>
      <c r="AC356" s="74" t="s">
        <v>183</v>
      </c>
      <c r="AD356" s="74" t="s">
        <v>156</v>
      </c>
      <c r="AG356" s="74" t="s">
        <v>784</v>
      </c>
      <c r="AH356" s="74">
        <v>0</v>
      </c>
      <c r="AI356" s="74">
        <v>238</v>
      </c>
      <c r="AJ356" s="74">
        <v>24</v>
      </c>
      <c r="AK356" s="74">
        <v>974</v>
      </c>
      <c r="AL356" s="74">
        <v>1.49</v>
      </c>
    </row>
    <row r="357" spans="1:38" x14ac:dyDescent="0.3">
      <c r="A357" s="74" t="s">
        <v>744</v>
      </c>
      <c r="B357" s="74">
        <v>27010</v>
      </c>
      <c r="C357" s="74">
        <v>4</v>
      </c>
      <c r="D357" s="74" t="s">
        <v>780</v>
      </c>
      <c r="E357" s="74" t="s">
        <v>781</v>
      </c>
      <c r="F357" s="74">
        <v>654</v>
      </c>
      <c r="G357" s="74">
        <v>40.89</v>
      </c>
      <c r="H357" s="74">
        <v>135.18</v>
      </c>
      <c r="I357" s="74">
        <v>31.5</v>
      </c>
      <c r="J357" s="74">
        <v>104.16</v>
      </c>
      <c r="K357" s="74">
        <v>113</v>
      </c>
      <c r="T357" s="74">
        <v>3</v>
      </c>
      <c r="U357" s="74">
        <v>2</v>
      </c>
      <c r="V357" s="74" t="s">
        <v>186</v>
      </c>
      <c r="W357" s="74" t="s">
        <v>785</v>
      </c>
      <c r="X357" s="74">
        <v>15</v>
      </c>
      <c r="Y357" s="74">
        <v>10</v>
      </c>
      <c r="Z357" s="74" t="s">
        <v>782</v>
      </c>
      <c r="AA357" s="74" t="s">
        <v>783</v>
      </c>
      <c r="AB357" s="74" t="s">
        <v>182</v>
      </c>
      <c r="AC357" s="74" t="s">
        <v>183</v>
      </c>
      <c r="AD357" s="74" t="s">
        <v>156</v>
      </c>
      <c r="AG357" s="74" t="s">
        <v>784</v>
      </c>
      <c r="AH357" s="74">
        <v>0</v>
      </c>
      <c r="AI357" s="74">
        <v>238</v>
      </c>
      <c r="AJ357" s="74">
        <v>24</v>
      </c>
      <c r="AK357" s="74">
        <v>974</v>
      </c>
      <c r="AL357" s="74">
        <v>1.49</v>
      </c>
    </row>
    <row r="358" spans="1:38" x14ac:dyDescent="0.3">
      <c r="A358" s="74" t="s">
        <v>744</v>
      </c>
      <c r="B358" s="74">
        <v>27010</v>
      </c>
      <c r="C358" s="74">
        <v>5</v>
      </c>
      <c r="D358" s="74" t="s">
        <v>780</v>
      </c>
      <c r="E358" s="74" t="s">
        <v>781</v>
      </c>
      <c r="F358" s="74">
        <v>654</v>
      </c>
      <c r="G358" s="74">
        <v>45.97</v>
      </c>
      <c r="H358" s="74">
        <v>151.97</v>
      </c>
      <c r="I358" s="74">
        <v>36.69</v>
      </c>
      <c r="J358" s="74">
        <v>121.3</v>
      </c>
      <c r="K358" s="74">
        <v>52</v>
      </c>
      <c r="T358" s="74">
        <v>4</v>
      </c>
      <c r="U358" s="74">
        <v>2</v>
      </c>
      <c r="V358" s="74" t="s">
        <v>186</v>
      </c>
      <c r="W358" s="74">
        <v>151</v>
      </c>
      <c r="X358" s="74">
        <v>15</v>
      </c>
      <c r="Y358" s="74">
        <v>10</v>
      </c>
      <c r="Z358" s="74" t="s">
        <v>782</v>
      </c>
      <c r="AA358" s="74" t="s">
        <v>783</v>
      </c>
      <c r="AB358" s="74" t="s">
        <v>182</v>
      </c>
      <c r="AC358" s="74" t="s">
        <v>183</v>
      </c>
      <c r="AD358" s="74" t="s">
        <v>156</v>
      </c>
      <c r="AG358" s="74" t="s">
        <v>784</v>
      </c>
      <c r="AH358" s="74">
        <v>0</v>
      </c>
      <c r="AI358" s="74">
        <v>238</v>
      </c>
      <c r="AJ358" s="74">
        <v>24</v>
      </c>
      <c r="AK358" s="74">
        <v>974</v>
      </c>
      <c r="AL358" s="74">
        <v>1.49</v>
      </c>
    </row>
    <row r="359" spans="1:38" x14ac:dyDescent="0.3">
      <c r="A359" s="74" t="s">
        <v>744</v>
      </c>
      <c r="B359" s="74">
        <v>27010</v>
      </c>
      <c r="C359" s="74">
        <v>6</v>
      </c>
      <c r="D359" s="74" t="s">
        <v>780</v>
      </c>
      <c r="E359" s="74" t="s">
        <v>781</v>
      </c>
      <c r="F359" s="74">
        <v>654</v>
      </c>
      <c r="G359" s="74">
        <v>54.98</v>
      </c>
      <c r="H359" s="74">
        <v>181.77</v>
      </c>
      <c r="I359" s="74">
        <v>45.34</v>
      </c>
      <c r="J359" s="74">
        <v>149.9</v>
      </c>
      <c r="K359" s="74">
        <v>57</v>
      </c>
      <c r="T359" s="74">
        <v>4</v>
      </c>
      <c r="U359" s="74">
        <v>2</v>
      </c>
      <c r="V359" s="74" t="s">
        <v>186</v>
      </c>
      <c r="W359" s="74">
        <v>181</v>
      </c>
      <c r="X359" s="74">
        <v>15</v>
      </c>
      <c r="Y359" s="74">
        <v>10</v>
      </c>
      <c r="Z359" s="74" t="s">
        <v>782</v>
      </c>
      <c r="AA359" s="74" t="s">
        <v>783</v>
      </c>
      <c r="AB359" s="74" t="s">
        <v>182</v>
      </c>
      <c r="AC359" s="74" t="s">
        <v>183</v>
      </c>
      <c r="AD359" s="74" t="s">
        <v>156</v>
      </c>
      <c r="AG359" s="74" t="s">
        <v>784</v>
      </c>
      <c r="AH359" s="74">
        <v>0</v>
      </c>
      <c r="AI359" s="74">
        <v>238</v>
      </c>
      <c r="AJ359" s="74">
        <v>24</v>
      </c>
      <c r="AK359" s="74">
        <v>974</v>
      </c>
      <c r="AL359" s="74">
        <v>1.49</v>
      </c>
    </row>
    <row r="360" spans="1:38" x14ac:dyDescent="0.3">
      <c r="A360" s="74" t="s">
        <v>744</v>
      </c>
      <c r="B360" s="74">
        <v>27010</v>
      </c>
      <c r="C360" s="74">
        <v>7</v>
      </c>
      <c r="D360" s="74" t="s">
        <v>780</v>
      </c>
      <c r="E360" s="74" t="s">
        <v>781</v>
      </c>
      <c r="F360" s="74">
        <v>654</v>
      </c>
      <c r="G360" s="74">
        <v>63.27</v>
      </c>
      <c r="H360" s="74">
        <v>209.16</v>
      </c>
      <c r="I360" s="74">
        <v>48.43</v>
      </c>
      <c r="J360" s="74">
        <v>160.13</v>
      </c>
      <c r="K360" s="74">
        <v>4</v>
      </c>
      <c r="T360" s="74">
        <v>5</v>
      </c>
      <c r="U360" s="74">
        <v>2</v>
      </c>
      <c r="V360" s="74" t="s">
        <v>186</v>
      </c>
      <c r="W360" s="74">
        <v>209</v>
      </c>
      <c r="X360" s="74">
        <v>15</v>
      </c>
      <c r="Y360" s="74">
        <v>10</v>
      </c>
      <c r="Z360" s="74" t="s">
        <v>782</v>
      </c>
      <c r="AA360" s="74" t="s">
        <v>783</v>
      </c>
      <c r="AB360" s="74" t="s">
        <v>182</v>
      </c>
      <c r="AC360" s="74" t="s">
        <v>183</v>
      </c>
      <c r="AD360" s="74" t="s">
        <v>156</v>
      </c>
      <c r="AG360" s="74" t="s">
        <v>784</v>
      </c>
      <c r="AH360" s="74">
        <v>0</v>
      </c>
      <c r="AI360" s="74">
        <v>238</v>
      </c>
      <c r="AJ360" s="74">
        <v>24</v>
      </c>
      <c r="AK360" s="74">
        <v>974</v>
      </c>
      <c r="AL360" s="74">
        <v>1.49</v>
      </c>
    </row>
    <row r="361" spans="1:38" x14ac:dyDescent="0.3">
      <c r="A361" s="74" t="s">
        <v>744</v>
      </c>
      <c r="B361" s="74">
        <v>112656</v>
      </c>
      <c r="C361" s="74">
        <v>1</v>
      </c>
      <c r="D361" s="74" t="s">
        <v>786</v>
      </c>
      <c r="E361" s="74" t="s">
        <v>787</v>
      </c>
      <c r="F361" s="74">
        <v>805</v>
      </c>
      <c r="G361" s="74">
        <v>24.29</v>
      </c>
      <c r="H361" s="74">
        <v>80.33</v>
      </c>
      <c r="I361" s="74">
        <v>18.12</v>
      </c>
      <c r="J361" s="74">
        <v>59.93</v>
      </c>
      <c r="K361" s="74">
        <v>78</v>
      </c>
      <c r="T361" s="74">
        <v>3</v>
      </c>
      <c r="U361" s="74">
        <v>1</v>
      </c>
      <c r="V361" s="74" t="s">
        <v>186</v>
      </c>
      <c r="W361" s="74">
        <v>80</v>
      </c>
      <c r="X361" s="74">
        <v>25</v>
      </c>
      <c r="Y361" s="74">
        <v>16</v>
      </c>
      <c r="Z361" s="74" t="s">
        <v>788</v>
      </c>
      <c r="AA361" s="74" t="s">
        <v>789</v>
      </c>
      <c r="AB361" s="74" t="s">
        <v>182</v>
      </c>
      <c r="AC361" s="74" t="s">
        <v>183</v>
      </c>
      <c r="AD361" s="74" t="s">
        <v>156</v>
      </c>
      <c r="AG361" s="74" t="s">
        <v>790</v>
      </c>
      <c r="AH361" s="74">
        <v>0</v>
      </c>
      <c r="AI361" s="74">
        <v>248</v>
      </c>
      <c r="AJ361" s="74">
        <v>23</v>
      </c>
      <c r="AK361" s="74">
        <v>1008</v>
      </c>
      <c r="AL361" s="74">
        <v>1.25</v>
      </c>
    </row>
    <row r="362" spans="1:38" x14ac:dyDescent="0.3">
      <c r="A362" s="74" t="s">
        <v>744</v>
      </c>
      <c r="B362" s="74">
        <v>112656</v>
      </c>
      <c r="C362" s="74">
        <v>2</v>
      </c>
      <c r="D362" s="74" t="s">
        <v>786</v>
      </c>
      <c r="E362" s="74" t="s">
        <v>787</v>
      </c>
      <c r="F362" s="74">
        <v>805</v>
      </c>
      <c r="G362" s="74">
        <v>26.59</v>
      </c>
      <c r="H362" s="74">
        <v>87.91</v>
      </c>
      <c r="I362" s="74">
        <v>19.93</v>
      </c>
      <c r="J362" s="74">
        <v>65.900000000000006</v>
      </c>
      <c r="K362" s="74">
        <v>47</v>
      </c>
      <c r="T362" s="74">
        <v>3</v>
      </c>
      <c r="U362" s="74">
        <v>2</v>
      </c>
      <c r="V362" s="74" t="s">
        <v>186</v>
      </c>
      <c r="W362" s="74" t="s">
        <v>125</v>
      </c>
      <c r="X362" s="74">
        <v>25</v>
      </c>
      <c r="Y362" s="74">
        <v>16</v>
      </c>
      <c r="Z362" s="74" t="s">
        <v>788</v>
      </c>
      <c r="AA362" s="74" t="s">
        <v>789</v>
      </c>
      <c r="AB362" s="74" t="s">
        <v>182</v>
      </c>
      <c r="AC362" s="74" t="s">
        <v>183</v>
      </c>
      <c r="AD362" s="74" t="s">
        <v>156</v>
      </c>
      <c r="AG362" s="74" t="s">
        <v>790</v>
      </c>
      <c r="AH362" s="74">
        <v>0</v>
      </c>
      <c r="AI362" s="74">
        <v>248</v>
      </c>
      <c r="AJ362" s="74">
        <v>23</v>
      </c>
      <c r="AK362" s="74">
        <v>1008</v>
      </c>
      <c r="AL362" s="74">
        <v>1.25</v>
      </c>
    </row>
    <row r="363" spans="1:38" x14ac:dyDescent="0.3">
      <c r="A363" s="74" t="s">
        <v>744</v>
      </c>
      <c r="B363" s="74">
        <v>112656</v>
      </c>
      <c r="C363" s="74">
        <v>3</v>
      </c>
      <c r="D363" s="74" t="s">
        <v>786</v>
      </c>
      <c r="E363" s="74" t="s">
        <v>787</v>
      </c>
      <c r="F363" s="74">
        <v>805</v>
      </c>
      <c r="G363" s="74">
        <v>26.81</v>
      </c>
      <c r="H363" s="74">
        <v>88.66</v>
      </c>
      <c r="I363" s="74">
        <v>19.940000000000001</v>
      </c>
      <c r="J363" s="74">
        <v>65.930000000000007</v>
      </c>
      <c r="K363" s="74">
        <v>44</v>
      </c>
      <c r="T363" s="74">
        <v>3</v>
      </c>
      <c r="U363" s="74">
        <v>2</v>
      </c>
      <c r="V363" s="74" t="s">
        <v>186</v>
      </c>
      <c r="W363" s="74" t="s">
        <v>791</v>
      </c>
      <c r="X363" s="74">
        <v>25</v>
      </c>
      <c r="Y363" s="74">
        <v>16</v>
      </c>
      <c r="Z363" s="74" t="s">
        <v>788</v>
      </c>
      <c r="AA363" s="74" t="s">
        <v>789</v>
      </c>
      <c r="AB363" s="74" t="s">
        <v>182</v>
      </c>
      <c r="AC363" s="74" t="s">
        <v>183</v>
      </c>
      <c r="AD363" s="74" t="s">
        <v>156</v>
      </c>
      <c r="AG363" s="74" t="s">
        <v>790</v>
      </c>
      <c r="AH363" s="74">
        <v>0</v>
      </c>
      <c r="AI363" s="74">
        <v>248</v>
      </c>
      <c r="AJ363" s="74">
        <v>23</v>
      </c>
      <c r="AK363" s="74">
        <v>1008</v>
      </c>
      <c r="AL363" s="74">
        <v>1.25</v>
      </c>
    </row>
    <row r="364" spans="1:38" x14ac:dyDescent="0.3">
      <c r="A364" s="74" t="s">
        <v>744</v>
      </c>
      <c r="B364" s="74">
        <v>112656</v>
      </c>
      <c r="C364" s="74">
        <v>4</v>
      </c>
      <c r="D364" s="74" t="s">
        <v>786</v>
      </c>
      <c r="E364" s="74" t="s">
        <v>787</v>
      </c>
      <c r="F364" s="74">
        <v>805</v>
      </c>
      <c r="G364" s="74">
        <v>30.23</v>
      </c>
      <c r="H364" s="74">
        <v>99.96</v>
      </c>
      <c r="I364" s="74">
        <v>22.66</v>
      </c>
      <c r="J364" s="74">
        <v>74.91</v>
      </c>
      <c r="K364" s="74">
        <v>186</v>
      </c>
      <c r="T364" s="74">
        <v>3</v>
      </c>
      <c r="U364" s="74">
        <v>2</v>
      </c>
      <c r="V364" s="74" t="s">
        <v>186</v>
      </c>
      <c r="W364" s="74" t="s">
        <v>118</v>
      </c>
      <c r="X364" s="74">
        <v>25</v>
      </c>
      <c r="Y364" s="74">
        <v>16</v>
      </c>
      <c r="Z364" s="74" t="s">
        <v>788</v>
      </c>
      <c r="AA364" s="74" t="s">
        <v>789</v>
      </c>
      <c r="AB364" s="74" t="s">
        <v>182</v>
      </c>
      <c r="AC364" s="74" t="s">
        <v>183</v>
      </c>
      <c r="AD364" s="74" t="s">
        <v>156</v>
      </c>
      <c r="AG364" s="74" t="s">
        <v>790</v>
      </c>
      <c r="AH364" s="74">
        <v>0</v>
      </c>
      <c r="AI364" s="74">
        <v>248</v>
      </c>
      <c r="AJ364" s="74">
        <v>23</v>
      </c>
      <c r="AK364" s="74">
        <v>1008</v>
      </c>
      <c r="AL364" s="74">
        <v>1.25</v>
      </c>
    </row>
    <row r="365" spans="1:38" x14ac:dyDescent="0.3">
      <c r="A365" s="74" t="s">
        <v>744</v>
      </c>
      <c r="B365" s="74">
        <v>112656</v>
      </c>
      <c r="C365" s="74">
        <v>5</v>
      </c>
      <c r="D365" s="74" t="s">
        <v>786</v>
      </c>
      <c r="E365" s="74" t="s">
        <v>787</v>
      </c>
      <c r="F365" s="74">
        <v>805</v>
      </c>
      <c r="G365" s="74">
        <v>30.15</v>
      </c>
      <c r="H365" s="74">
        <v>99.67</v>
      </c>
      <c r="I365" s="74">
        <v>22.65</v>
      </c>
      <c r="J365" s="74">
        <v>74.900000000000006</v>
      </c>
      <c r="K365" s="74">
        <v>18</v>
      </c>
      <c r="T365" s="74">
        <v>3</v>
      </c>
      <c r="U365" s="74">
        <v>2</v>
      </c>
      <c r="V365" s="74" t="s">
        <v>186</v>
      </c>
      <c r="W365" s="74" t="s">
        <v>760</v>
      </c>
      <c r="X365" s="74">
        <v>25</v>
      </c>
      <c r="Y365" s="74">
        <v>16</v>
      </c>
      <c r="Z365" s="74" t="s">
        <v>788</v>
      </c>
      <c r="AA365" s="74" t="s">
        <v>789</v>
      </c>
      <c r="AB365" s="74" t="s">
        <v>182</v>
      </c>
      <c r="AC365" s="74" t="s">
        <v>183</v>
      </c>
      <c r="AD365" s="74" t="s">
        <v>156</v>
      </c>
      <c r="AG365" s="74" t="s">
        <v>790</v>
      </c>
      <c r="AH365" s="74">
        <v>0</v>
      </c>
      <c r="AI365" s="74">
        <v>248</v>
      </c>
      <c r="AJ365" s="74">
        <v>23</v>
      </c>
      <c r="AK365" s="74">
        <v>1008</v>
      </c>
      <c r="AL365" s="74">
        <v>1.25</v>
      </c>
    </row>
    <row r="366" spans="1:38" x14ac:dyDescent="0.3">
      <c r="A366" s="74" t="s">
        <v>744</v>
      </c>
      <c r="B366" s="74">
        <v>112656</v>
      </c>
      <c r="C366" s="74">
        <v>6</v>
      </c>
      <c r="D366" s="74" t="s">
        <v>786</v>
      </c>
      <c r="E366" s="74" t="s">
        <v>787</v>
      </c>
      <c r="F366" s="74">
        <v>805</v>
      </c>
      <c r="G366" s="74">
        <v>30.37</v>
      </c>
      <c r="H366" s="74">
        <v>100.4</v>
      </c>
      <c r="I366" s="74">
        <v>22.65</v>
      </c>
      <c r="J366" s="74">
        <v>74.88</v>
      </c>
      <c r="K366" s="74">
        <v>44</v>
      </c>
      <c r="T366" s="74">
        <v>3</v>
      </c>
      <c r="U366" s="74">
        <v>2</v>
      </c>
      <c r="V366" s="74" t="s">
        <v>186</v>
      </c>
      <c r="W366" s="74" t="s">
        <v>792</v>
      </c>
      <c r="X366" s="74">
        <v>25</v>
      </c>
      <c r="Y366" s="74">
        <v>16</v>
      </c>
      <c r="Z366" s="74" t="s">
        <v>788</v>
      </c>
      <c r="AA366" s="74" t="s">
        <v>789</v>
      </c>
      <c r="AB366" s="74" t="s">
        <v>182</v>
      </c>
      <c r="AC366" s="74" t="s">
        <v>183</v>
      </c>
      <c r="AD366" s="74" t="s">
        <v>156</v>
      </c>
      <c r="AG366" s="74" t="s">
        <v>790</v>
      </c>
      <c r="AH366" s="74">
        <v>0</v>
      </c>
      <c r="AI366" s="74">
        <v>248</v>
      </c>
      <c r="AJ366" s="74">
        <v>23</v>
      </c>
      <c r="AK366" s="74">
        <v>1008</v>
      </c>
      <c r="AL366" s="74">
        <v>1.25</v>
      </c>
    </row>
    <row r="367" spans="1:38" x14ac:dyDescent="0.3">
      <c r="A367" s="74" t="s">
        <v>744</v>
      </c>
      <c r="B367" s="74">
        <v>112656</v>
      </c>
      <c r="C367" s="74">
        <v>7</v>
      </c>
      <c r="D367" s="74" t="s">
        <v>786</v>
      </c>
      <c r="E367" s="74" t="s">
        <v>787</v>
      </c>
      <c r="F367" s="74">
        <v>805</v>
      </c>
      <c r="G367" s="74">
        <v>30.29</v>
      </c>
      <c r="H367" s="74">
        <v>100.14</v>
      </c>
      <c r="I367" s="74">
        <v>22.68</v>
      </c>
      <c r="J367" s="74">
        <v>74.989999999999995</v>
      </c>
      <c r="K367" s="74">
        <v>40</v>
      </c>
      <c r="T367" s="74">
        <v>3</v>
      </c>
      <c r="U367" s="74">
        <v>2</v>
      </c>
      <c r="V367" s="74" t="s">
        <v>186</v>
      </c>
      <c r="W367" s="74" t="s">
        <v>116</v>
      </c>
      <c r="X367" s="74">
        <v>25</v>
      </c>
      <c r="Y367" s="74">
        <v>16</v>
      </c>
      <c r="Z367" s="74" t="s">
        <v>788</v>
      </c>
      <c r="AA367" s="74" t="s">
        <v>789</v>
      </c>
      <c r="AB367" s="74" t="s">
        <v>182</v>
      </c>
      <c r="AC367" s="74" t="s">
        <v>183</v>
      </c>
      <c r="AD367" s="74" t="s">
        <v>156</v>
      </c>
      <c r="AG367" s="74" t="s">
        <v>790</v>
      </c>
      <c r="AH367" s="74">
        <v>0</v>
      </c>
      <c r="AI367" s="74">
        <v>248</v>
      </c>
      <c r="AJ367" s="74">
        <v>23</v>
      </c>
      <c r="AK367" s="74">
        <v>1008</v>
      </c>
      <c r="AL367" s="74">
        <v>1.25</v>
      </c>
    </row>
    <row r="368" spans="1:38" x14ac:dyDescent="0.3">
      <c r="A368" s="74" t="s">
        <v>744</v>
      </c>
      <c r="B368" s="74">
        <v>112656</v>
      </c>
      <c r="C368" s="74">
        <v>8</v>
      </c>
      <c r="D368" s="74" t="s">
        <v>786</v>
      </c>
      <c r="E368" s="74" t="s">
        <v>787</v>
      </c>
      <c r="F368" s="74">
        <v>805</v>
      </c>
      <c r="G368" s="74">
        <v>33.979999999999997</v>
      </c>
      <c r="H368" s="74">
        <v>112.36</v>
      </c>
      <c r="I368" s="74">
        <v>25.67</v>
      </c>
      <c r="J368" s="74">
        <v>84.86</v>
      </c>
      <c r="K368" s="74">
        <v>274</v>
      </c>
      <c r="T368" s="74">
        <v>4</v>
      </c>
      <c r="U368" s="74">
        <v>2</v>
      </c>
      <c r="V368" s="74" t="s">
        <v>186</v>
      </c>
      <c r="W368" s="74">
        <v>112</v>
      </c>
      <c r="X368" s="74">
        <v>25</v>
      </c>
      <c r="Y368" s="74">
        <v>16</v>
      </c>
      <c r="Z368" s="74" t="s">
        <v>788</v>
      </c>
      <c r="AA368" s="74" t="s">
        <v>789</v>
      </c>
      <c r="AB368" s="74" t="s">
        <v>182</v>
      </c>
      <c r="AC368" s="74" t="s">
        <v>183</v>
      </c>
      <c r="AD368" s="74" t="s">
        <v>156</v>
      </c>
      <c r="AG368" s="74" t="s">
        <v>790</v>
      </c>
      <c r="AH368" s="74">
        <v>0</v>
      </c>
      <c r="AI368" s="74">
        <v>248</v>
      </c>
      <c r="AJ368" s="74">
        <v>23</v>
      </c>
      <c r="AK368" s="74">
        <v>1008</v>
      </c>
      <c r="AL368" s="74">
        <v>1.25</v>
      </c>
    </row>
    <row r="369" spans="1:38" x14ac:dyDescent="0.3">
      <c r="A369" s="74" t="s">
        <v>744</v>
      </c>
      <c r="B369" s="74">
        <v>112656</v>
      </c>
      <c r="C369" s="74">
        <v>9</v>
      </c>
      <c r="D369" s="74" t="s">
        <v>786</v>
      </c>
      <c r="E369" s="74" t="s">
        <v>787</v>
      </c>
      <c r="F369" s="74">
        <v>805</v>
      </c>
      <c r="G369" s="74">
        <v>40.74</v>
      </c>
      <c r="H369" s="74">
        <v>134.69999999999999</v>
      </c>
      <c r="I369" s="74">
        <v>30.8</v>
      </c>
      <c r="J369" s="74">
        <v>101.84</v>
      </c>
      <c r="K369" s="74">
        <v>70</v>
      </c>
      <c r="T369" s="74">
        <v>4</v>
      </c>
      <c r="U369" s="74">
        <v>2</v>
      </c>
      <c r="V369" s="74" t="s">
        <v>186</v>
      </c>
      <c r="W369" s="74">
        <v>134</v>
      </c>
      <c r="X369" s="74">
        <v>25</v>
      </c>
      <c r="Y369" s="74">
        <v>16</v>
      </c>
      <c r="Z369" s="74" t="s">
        <v>788</v>
      </c>
      <c r="AA369" s="74" t="s">
        <v>789</v>
      </c>
      <c r="AB369" s="74" t="s">
        <v>182</v>
      </c>
      <c r="AC369" s="74" t="s">
        <v>183</v>
      </c>
      <c r="AD369" s="74" t="s">
        <v>156</v>
      </c>
      <c r="AG369" s="74" t="s">
        <v>790</v>
      </c>
      <c r="AH369" s="74">
        <v>0</v>
      </c>
      <c r="AI369" s="74">
        <v>248</v>
      </c>
      <c r="AJ369" s="74">
        <v>23</v>
      </c>
      <c r="AK369" s="74">
        <v>1008</v>
      </c>
      <c r="AL369" s="74">
        <v>1.25</v>
      </c>
    </row>
    <row r="370" spans="1:38" x14ac:dyDescent="0.3">
      <c r="A370" s="74" t="s">
        <v>744</v>
      </c>
      <c r="B370" s="74">
        <v>112656</v>
      </c>
      <c r="C370" s="74">
        <v>10</v>
      </c>
      <c r="D370" s="74" t="s">
        <v>786</v>
      </c>
      <c r="E370" s="74" t="s">
        <v>787</v>
      </c>
      <c r="F370" s="74">
        <v>805</v>
      </c>
      <c r="G370" s="74">
        <v>52.7</v>
      </c>
      <c r="H370" s="74">
        <v>174.24</v>
      </c>
      <c r="I370" s="74">
        <v>38.92</v>
      </c>
      <c r="J370" s="74">
        <v>128.68</v>
      </c>
      <c r="K370" s="74">
        <v>4</v>
      </c>
      <c r="T370" s="74">
        <v>4</v>
      </c>
      <c r="U370" s="74">
        <v>2</v>
      </c>
      <c r="V370" s="74" t="s">
        <v>186</v>
      </c>
      <c r="W370" s="74">
        <v>174</v>
      </c>
      <c r="X370" s="74">
        <v>25</v>
      </c>
      <c r="Y370" s="74">
        <v>16</v>
      </c>
      <c r="Z370" s="74" t="s">
        <v>788</v>
      </c>
      <c r="AA370" s="74" t="s">
        <v>789</v>
      </c>
      <c r="AB370" s="74" t="s">
        <v>182</v>
      </c>
      <c r="AC370" s="74" t="s">
        <v>183</v>
      </c>
      <c r="AD370" s="74" t="s">
        <v>156</v>
      </c>
      <c r="AG370" s="74" t="s">
        <v>790</v>
      </c>
      <c r="AH370" s="74">
        <v>0</v>
      </c>
      <c r="AI370" s="74">
        <v>248</v>
      </c>
      <c r="AJ370" s="74">
        <v>23</v>
      </c>
      <c r="AK370" s="74">
        <v>1008</v>
      </c>
      <c r="AL370" s="74">
        <v>1.25</v>
      </c>
    </row>
    <row r="371" spans="1:38" x14ac:dyDescent="0.3">
      <c r="A371" s="74" t="s">
        <v>793</v>
      </c>
      <c r="B371" s="74">
        <v>5042</v>
      </c>
      <c r="C371" s="74">
        <v>1</v>
      </c>
      <c r="D371" s="74" t="s">
        <v>794</v>
      </c>
      <c r="E371" s="74" t="s">
        <v>795</v>
      </c>
      <c r="F371" s="74">
        <v>358</v>
      </c>
      <c r="G371" s="74">
        <v>23.05</v>
      </c>
      <c r="H371" s="74">
        <v>76.22</v>
      </c>
      <c r="I371" s="74">
        <v>18.02</v>
      </c>
      <c r="J371" s="74">
        <v>59.58</v>
      </c>
      <c r="K371" s="74">
        <v>150</v>
      </c>
      <c r="T371" s="74">
        <v>3</v>
      </c>
      <c r="U371" s="74">
        <v>1</v>
      </c>
      <c r="V371" s="74" t="s">
        <v>186</v>
      </c>
      <c r="W371" s="74">
        <v>76</v>
      </c>
      <c r="X371" s="74">
        <v>15</v>
      </c>
      <c r="Y371" s="74">
        <v>14</v>
      </c>
      <c r="Z371" s="74" t="s">
        <v>796</v>
      </c>
      <c r="AA371" s="74" t="s">
        <v>797</v>
      </c>
      <c r="AB371" s="74" t="s">
        <v>182</v>
      </c>
      <c r="AC371" s="74" t="s">
        <v>183</v>
      </c>
      <c r="AD371" s="74" t="s">
        <v>798</v>
      </c>
      <c r="AG371" s="74" t="s">
        <v>799</v>
      </c>
      <c r="AH371" s="74">
        <v>0</v>
      </c>
      <c r="AI371" s="74">
        <v>175</v>
      </c>
      <c r="AJ371" s="74">
        <v>18</v>
      </c>
      <c r="AK371" s="74">
        <v>332</v>
      </c>
      <c r="AL371" s="74">
        <v>0.93</v>
      </c>
    </row>
    <row r="372" spans="1:38" x14ac:dyDescent="0.3">
      <c r="A372" s="74" t="s">
        <v>793</v>
      </c>
      <c r="B372" s="74">
        <v>5042</v>
      </c>
      <c r="C372" s="74">
        <v>2</v>
      </c>
      <c r="D372" s="74" t="s">
        <v>794</v>
      </c>
      <c r="E372" s="74" t="s">
        <v>795</v>
      </c>
      <c r="F372" s="74">
        <v>358</v>
      </c>
      <c r="G372" s="74">
        <v>31.15</v>
      </c>
      <c r="H372" s="74">
        <v>102.98</v>
      </c>
      <c r="I372" s="74">
        <v>25.59</v>
      </c>
      <c r="J372" s="74">
        <v>84.6</v>
      </c>
      <c r="K372" s="74">
        <v>208</v>
      </c>
      <c r="T372" s="74">
        <v>3</v>
      </c>
      <c r="U372" s="74">
        <v>2</v>
      </c>
      <c r="V372" s="74" t="s">
        <v>186</v>
      </c>
      <c r="W372" s="74">
        <v>102</v>
      </c>
      <c r="X372" s="74">
        <v>15</v>
      </c>
      <c r="Y372" s="74">
        <v>14</v>
      </c>
      <c r="Z372" s="74" t="s">
        <v>796</v>
      </c>
      <c r="AA372" s="74" t="s">
        <v>797</v>
      </c>
      <c r="AB372" s="74" t="s">
        <v>182</v>
      </c>
      <c r="AC372" s="74" t="s">
        <v>183</v>
      </c>
      <c r="AD372" s="74" t="s">
        <v>798</v>
      </c>
      <c r="AG372" s="74" t="s">
        <v>799</v>
      </c>
      <c r="AH372" s="74">
        <v>0</v>
      </c>
      <c r="AI372" s="74">
        <v>175</v>
      </c>
      <c r="AJ372" s="74">
        <v>18</v>
      </c>
      <c r="AK372" s="74">
        <v>332</v>
      </c>
      <c r="AL372" s="74">
        <v>0.93</v>
      </c>
    </row>
    <row r="373" spans="1:38" x14ac:dyDescent="0.3">
      <c r="A373" s="74" t="s">
        <v>793</v>
      </c>
      <c r="B373" s="74">
        <v>5036</v>
      </c>
      <c r="C373" s="74">
        <v>1</v>
      </c>
      <c r="D373" s="74" t="s">
        <v>800</v>
      </c>
      <c r="E373" s="74" t="s">
        <v>801</v>
      </c>
      <c r="F373" s="74">
        <v>342</v>
      </c>
      <c r="G373" s="74">
        <v>27.02</v>
      </c>
      <c r="H373" s="74">
        <v>89.35</v>
      </c>
      <c r="I373" s="74">
        <v>22.1</v>
      </c>
      <c r="J373" s="74">
        <v>73.09</v>
      </c>
      <c r="K373" s="74">
        <v>138</v>
      </c>
      <c r="T373" s="74">
        <v>3</v>
      </c>
      <c r="U373" s="74">
        <v>2</v>
      </c>
      <c r="V373" s="74" t="s">
        <v>186</v>
      </c>
      <c r="W373" s="74">
        <v>89</v>
      </c>
      <c r="X373" s="74">
        <v>13</v>
      </c>
      <c r="Y373" s="74">
        <v>10</v>
      </c>
      <c r="Z373" s="74" t="s">
        <v>802</v>
      </c>
      <c r="AA373" s="74" t="s">
        <v>803</v>
      </c>
      <c r="AB373" s="74" t="s">
        <v>182</v>
      </c>
      <c r="AC373" s="74" t="s">
        <v>183</v>
      </c>
      <c r="AD373" s="74" t="s">
        <v>798</v>
      </c>
      <c r="AG373" s="74" t="s">
        <v>804</v>
      </c>
      <c r="AH373" s="74">
        <v>0</v>
      </c>
      <c r="AI373" s="74">
        <v>0</v>
      </c>
      <c r="AJ373" s="74">
        <v>0</v>
      </c>
      <c r="AK373" s="74">
        <v>342</v>
      </c>
      <c r="AL373" s="74">
        <v>1</v>
      </c>
    </row>
    <row r="374" spans="1:38" x14ac:dyDescent="0.3">
      <c r="A374" s="74" t="s">
        <v>793</v>
      </c>
      <c r="B374" s="74">
        <v>5036</v>
      </c>
      <c r="C374" s="74">
        <v>2</v>
      </c>
      <c r="D374" s="74" t="s">
        <v>800</v>
      </c>
      <c r="E374" s="74" t="s">
        <v>801</v>
      </c>
      <c r="F374" s="74">
        <v>342</v>
      </c>
      <c r="G374" s="74">
        <v>30.85</v>
      </c>
      <c r="H374" s="74">
        <v>102</v>
      </c>
      <c r="I374" s="74">
        <v>25.64</v>
      </c>
      <c r="J374" s="74">
        <v>84.79</v>
      </c>
      <c r="K374" s="74">
        <v>204</v>
      </c>
      <c r="T374" s="74">
        <v>3</v>
      </c>
      <c r="U374" s="74">
        <v>2</v>
      </c>
      <c r="V374" s="74" t="s">
        <v>186</v>
      </c>
      <c r="W374" s="74">
        <v>102</v>
      </c>
      <c r="X374" s="74">
        <v>13</v>
      </c>
      <c r="Y374" s="74">
        <v>10</v>
      </c>
      <c r="Z374" s="74" t="s">
        <v>802</v>
      </c>
      <c r="AA374" s="74" t="s">
        <v>803</v>
      </c>
      <c r="AB374" s="74" t="s">
        <v>182</v>
      </c>
      <c r="AC374" s="74" t="s">
        <v>183</v>
      </c>
      <c r="AD374" s="74" t="s">
        <v>798</v>
      </c>
      <c r="AG374" s="74" t="s">
        <v>804</v>
      </c>
      <c r="AH374" s="74">
        <v>0</v>
      </c>
      <c r="AI374" s="74">
        <v>0</v>
      </c>
      <c r="AJ374" s="74">
        <v>0</v>
      </c>
      <c r="AK374" s="74">
        <v>342</v>
      </c>
      <c r="AL374" s="74">
        <v>1</v>
      </c>
    </row>
    <row r="375" spans="1:38" x14ac:dyDescent="0.3">
      <c r="A375" s="74" t="s">
        <v>793</v>
      </c>
      <c r="B375" s="74">
        <v>125020</v>
      </c>
      <c r="C375" s="74">
        <v>1</v>
      </c>
      <c r="D375" s="74" t="s">
        <v>805</v>
      </c>
      <c r="E375" s="74" t="s">
        <v>806</v>
      </c>
      <c r="F375" s="74">
        <v>19</v>
      </c>
      <c r="G375" s="74">
        <v>31.76</v>
      </c>
      <c r="H375" s="74">
        <v>105</v>
      </c>
      <c r="I375" s="74">
        <v>24.34</v>
      </c>
      <c r="J375" s="74">
        <v>80.47</v>
      </c>
      <c r="K375" s="74">
        <v>19</v>
      </c>
      <c r="T375" s="74">
        <v>3</v>
      </c>
      <c r="U375" s="74">
        <v>2</v>
      </c>
      <c r="V375" s="74" t="s">
        <v>186</v>
      </c>
      <c r="W375" s="74">
        <v>105</v>
      </c>
      <c r="X375" s="74">
        <v>8</v>
      </c>
      <c r="Y375" s="74">
        <v>7</v>
      </c>
      <c r="Z375" s="74" t="s">
        <v>807</v>
      </c>
      <c r="AA375" s="74" t="s">
        <v>808</v>
      </c>
      <c r="AB375" s="74" t="s">
        <v>182</v>
      </c>
      <c r="AC375" s="74" t="s">
        <v>183</v>
      </c>
      <c r="AD375" s="74" t="s">
        <v>798</v>
      </c>
      <c r="AG375" s="74" t="s">
        <v>809</v>
      </c>
      <c r="AH375" s="74">
        <v>0</v>
      </c>
      <c r="AI375" s="74">
        <v>127</v>
      </c>
      <c r="AJ375" s="74">
        <v>24</v>
      </c>
      <c r="AK375" s="74">
        <v>22</v>
      </c>
      <c r="AL375" s="74">
        <v>1.1599999999999999</v>
      </c>
    </row>
    <row r="376" spans="1:38" x14ac:dyDescent="0.3">
      <c r="A376" s="74" t="s">
        <v>810</v>
      </c>
      <c r="B376" s="74">
        <v>5044</v>
      </c>
      <c r="C376" s="74">
        <v>1</v>
      </c>
      <c r="D376" s="74" t="s">
        <v>811</v>
      </c>
      <c r="E376" s="74" t="s">
        <v>812</v>
      </c>
      <c r="F376" s="74">
        <v>280</v>
      </c>
      <c r="G376" s="74">
        <v>13.27</v>
      </c>
      <c r="H376" s="74">
        <v>43.87</v>
      </c>
      <c r="I376" s="74">
        <v>10.39</v>
      </c>
      <c r="J376" s="74">
        <v>34.380000000000003</v>
      </c>
      <c r="K376" s="74">
        <v>40</v>
      </c>
      <c r="T376" s="74">
        <v>2</v>
      </c>
      <c r="U376" s="74">
        <v>1</v>
      </c>
      <c r="V376" s="74" t="s">
        <v>186</v>
      </c>
      <c r="W376" s="74" t="s">
        <v>813</v>
      </c>
      <c r="X376" s="74">
        <v>5</v>
      </c>
      <c r="Y376" s="74">
        <v>5</v>
      </c>
      <c r="Z376" s="74" t="s">
        <v>814</v>
      </c>
      <c r="AA376" s="74" t="s">
        <v>815</v>
      </c>
      <c r="AB376" s="74" t="s">
        <v>182</v>
      </c>
      <c r="AC376" s="74" t="s">
        <v>183</v>
      </c>
      <c r="AD376" s="74" t="s">
        <v>816</v>
      </c>
      <c r="AG376" s="74" t="s">
        <v>817</v>
      </c>
      <c r="AH376" s="74">
        <v>0</v>
      </c>
      <c r="AI376" s="74">
        <v>0</v>
      </c>
      <c r="AJ376" s="74">
        <v>0</v>
      </c>
      <c r="AK376" s="74">
        <v>0</v>
      </c>
      <c r="AL376" s="74">
        <v>0</v>
      </c>
    </row>
    <row r="377" spans="1:38" x14ac:dyDescent="0.3">
      <c r="A377" s="74" t="s">
        <v>810</v>
      </c>
      <c r="B377" s="74">
        <v>5044</v>
      </c>
      <c r="C377" s="74">
        <v>2</v>
      </c>
      <c r="D377" s="74" t="s">
        <v>811</v>
      </c>
      <c r="E377" s="74" t="s">
        <v>812</v>
      </c>
      <c r="F377" s="74">
        <v>280</v>
      </c>
      <c r="G377" s="74">
        <v>13.35</v>
      </c>
      <c r="H377" s="74">
        <v>44.14</v>
      </c>
      <c r="I377" s="74">
        <v>10.48</v>
      </c>
      <c r="J377" s="74">
        <v>34.65</v>
      </c>
      <c r="K377" s="74">
        <v>40</v>
      </c>
      <c r="T377" s="74">
        <v>2</v>
      </c>
      <c r="U377" s="74">
        <v>1</v>
      </c>
      <c r="V377" s="74" t="s">
        <v>186</v>
      </c>
      <c r="W377" s="74" t="s">
        <v>145</v>
      </c>
      <c r="X377" s="74">
        <v>5</v>
      </c>
      <c r="Y377" s="74">
        <v>5</v>
      </c>
      <c r="Z377" s="74" t="s">
        <v>814</v>
      </c>
      <c r="AA377" s="74" t="s">
        <v>815</v>
      </c>
      <c r="AB377" s="74" t="s">
        <v>182</v>
      </c>
      <c r="AC377" s="74" t="s">
        <v>183</v>
      </c>
      <c r="AD377" s="74" t="s">
        <v>816</v>
      </c>
      <c r="AG377" s="74" t="s">
        <v>817</v>
      </c>
      <c r="AH377" s="74">
        <v>0</v>
      </c>
      <c r="AI377" s="74">
        <v>0</v>
      </c>
      <c r="AJ377" s="74">
        <v>0</v>
      </c>
      <c r="AK377" s="74">
        <v>0</v>
      </c>
      <c r="AL377" s="74">
        <v>0</v>
      </c>
    </row>
    <row r="378" spans="1:38" x14ac:dyDescent="0.3">
      <c r="A378" s="74" t="s">
        <v>810</v>
      </c>
      <c r="B378" s="74">
        <v>5044</v>
      </c>
      <c r="C378" s="74">
        <v>3</v>
      </c>
      <c r="D378" s="74" t="s">
        <v>811</v>
      </c>
      <c r="E378" s="74" t="s">
        <v>812</v>
      </c>
      <c r="F378" s="74">
        <v>280</v>
      </c>
      <c r="G378" s="74">
        <v>16.16</v>
      </c>
      <c r="H378" s="74">
        <v>53.43</v>
      </c>
      <c r="I378" s="74">
        <v>13.16</v>
      </c>
      <c r="J378" s="74">
        <v>43.52</v>
      </c>
      <c r="K378" s="74">
        <v>150</v>
      </c>
      <c r="T378" s="74">
        <v>3</v>
      </c>
      <c r="U378" s="74">
        <v>1</v>
      </c>
      <c r="V378" s="74" t="s">
        <v>186</v>
      </c>
      <c r="W378" s="74" t="s">
        <v>129</v>
      </c>
      <c r="X378" s="74">
        <v>5</v>
      </c>
      <c r="Y378" s="74">
        <v>5</v>
      </c>
      <c r="Z378" s="74" t="s">
        <v>814</v>
      </c>
      <c r="AA378" s="74" t="s">
        <v>815</v>
      </c>
      <c r="AB378" s="74" t="s">
        <v>182</v>
      </c>
      <c r="AC378" s="74" t="s">
        <v>183</v>
      </c>
      <c r="AD378" s="74" t="s">
        <v>816</v>
      </c>
      <c r="AG378" s="74" t="s">
        <v>817</v>
      </c>
      <c r="AH378" s="74">
        <v>0</v>
      </c>
      <c r="AI378" s="74">
        <v>0</v>
      </c>
      <c r="AJ378" s="74">
        <v>0</v>
      </c>
      <c r="AK378" s="74">
        <v>0</v>
      </c>
      <c r="AL378" s="74">
        <v>0</v>
      </c>
    </row>
    <row r="379" spans="1:38" x14ac:dyDescent="0.3">
      <c r="A379" s="74" t="s">
        <v>810</v>
      </c>
      <c r="B379" s="74">
        <v>5044</v>
      </c>
      <c r="C379" s="74">
        <v>4</v>
      </c>
      <c r="D379" s="74" t="s">
        <v>811</v>
      </c>
      <c r="E379" s="74" t="s">
        <v>812</v>
      </c>
      <c r="F379" s="74">
        <v>280</v>
      </c>
      <c r="G379" s="74">
        <v>16.34</v>
      </c>
      <c r="H379" s="74">
        <v>54.03</v>
      </c>
      <c r="I379" s="74">
        <v>13.34</v>
      </c>
      <c r="J379" s="74">
        <v>44.12</v>
      </c>
      <c r="K379" s="74">
        <v>50</v>
      </c>
      <c r="T379" s="74">
        <v>3</v>
      </c>
      <c r="U379" s="74">
        <v>1</v>
      </c>
      <c r="V379" s="74" t="s">
        <v>186</v>
      </c>
      <c r="W379" s="74" t="s">
        <v>128</v>
      </c>
      <c r="X379" s="74">
        <v>5</v>
      </c>
      <c r="Y379" s="74">
        <v>5</v>
      </c>
      <c r="Z379" s="74" t="s">
        <v>814</v>
      </c>
      <c r="AA379" s="74" t="s">
        <v>815</v>
      </c>
      <c r="AB379" s="74" t="s">
        <v>182</v>
      </c>
      <c r="AC379" s="74" t="s">
        <v>183</v>
      </c>
      <c r="AD379" s="74" t="s">
        <v>816</v>
      </c>
      <c r="AG379" s="74" t="s">
        <v>817</v>
      </c>
      <c r="AH379" s="74">
        <v>0</v>
      </c>
      <c r="AI379" s="74">
        <v>0</v>
      </c>
      <c r="AJ379" s="74">
        <v>0</v>
      </c>
      <c r="AK379" s="74">
        <v>0</v>
      </c>
      <c r="AL379" s="74">
        <v>0</v>
      </c>
    </row>
    <row r="380" spans="1:38" x14ac:dyDescent="0.3">
      <c r="A380" s="74" t="s">
        <v>810</v>
      </c>
      <c r="B380" s="74">
        <v>144163</v>
      </c>
      <c r="C380" s="74">
        <v>1</v>
      </c>
      <c r="D380" s="74" t="s">
        <v>818</v>
      </c>
      <c r="E380" s="74" t="s">
        <v>819</v>
      </c>
      <c r="F380" s="74">
        <v>175</v>
      </c>
      <c r="G380" s="74">
        <v>26.99</v>
      </c>
      <c r="H380" s="74">
        <v>89.25</v>
      </c>
      <c r="I380" s="74">
        <v>18.14</v>
      </c>
      <c r="J380" s="74">
        <v>59.98</v>
      </c>
      <c r="K380" s="74">
        <v>146</v>
      </c>
      <c r="T380" s="74">
        <v>3</v>
      </c>
      <c r="U380" s="74">
        <v>2</v>
      </c>
      <c r="V380" s="74" t="s">
        <v>186</v>
      </c>
      <c r="W380" s="74" t="s">
        <v>820</v>
      </c>
      <c r="X380" s="74">
        <v>18</v>
      </c>
      <c r="Y380" s="74">
        <v>9</v>
      </c>
      <c r="Z380" s="74" t="s">
        <v>821</v>
      </c>
      <c r="AA380" s="74" t="s">
        <v>822</v>
      </c>
      <c r="AB380" s="74" t="s">
        <v>182</v>
      </c>
      <c r="AC380" s="74" t="s">
        <v>183</v>
      </c>
      <c r="AD380" s="74" t="s">
        <v>816</v>
      </c>
      <c r="AG380" s="74" t="s">
        <v>823</v>
      </c>
      <c r="AH380" s="74">
        <v>0</v>
      </c>
      <c r="AI380" s="74">
        <v>170</v>
      </c>
      <c r="AJ380" s="74">
        <v>19</v>
      </c>
      <c r="AK380" s="74">
        <v>182</v>
      </c>
      <c r="AL380" s="74">
        <v>1.04</v>
      </c>
    </row>
    <row r="381" spans="1:38" x14ac:dyDescent="0.3">
      <c r="A381" s="74" t="s">
        <v>810</v>
      </c>
      <c r="B381" s="74">
        <v>144163</v>
      </c>
      <c r="C381" s="74">
        <v>2</v>
      </c>
      <c r="D381" s="74" t="s">
        <v>818</v>
      </c>
      <c r="E381" s="74" t="s">
        <v>819</v>
      </c>
      <c r="F381" s="74">
        <v>175</v>
      </c>
      <c r="G381" s="74">
        <v>27.13</v>
      </c>
      <c r="H381" s="74">
        <v>89.71</v>
      </c>
      <c r="I381" s="74">
        <v>18.14</v>
      </c>
      <c r="J381" s="74">
        <v>59.98</v>
      </c>
      <c r="K381" s="74">
        <v>29</v>
      </c>
      <c r="T381" s="74">
        <v>3</v>
      </c>
      <c r="U381" s="74">
        <v>2</v>
      </c>
      <c r="V381" s="74" t="s">
        <v>186</v>
      </c>
      <c r="W381" s="74" t="s">
        <v>824</v>
      </c>
      <c r="X381" s="74">
        <v>18</v>
      </c>
      <c r="Y381" s="74">
        <v>9</v>
      </c>
      <c r="Z381" s="74" t="s">
        <v>821</v>
      </c>
      <c r="AA381" s="74" t="s">
        <v>822</v>
      </c>
      <c r="AB381" s="74" t="s">
        <v>182</v>
      </c>
      <c r="AC381" s="74" t="s">
        <v>183</v>
      </c>
      <c r="AD381" s="74" t="s">
        <v>816</v>
      </c>
      <c r="AG381" s="74" t="s">
        <v>823</v>
      </c>
      <c r="AH381" s="74">
        <v>0</v>
      </c>
      <c r="AI381" s="74">
        <v>170</v>
      </c>
      <c r="AJ381" s="74">
        <v>19</v>
      </c>
      <c r="AK381" s="74">
        <v>182</v>
      </c>
      <c r="AL381" s="74">
        <v>1.04</v>
      </c>
    </row>
    <row r="382" spans="1:38" x14ac:dyDescent="0.3">
      <c r="A382" s="74" t="s">
        <v>810</v>
      </c>
      <c r="B382" s="74">
        <v>107967</v>
      </c>
      <c r="C382" s="74">
        <v>1</v>
      </c>
      <c r="D382" s="74" t="s">
        <v>825</v>
      </c>
      <c r="E382" s="74" t="s">
        <v>826</v>
      </c>
      <c r="F382" s="74">
        <v>225</v>
      </c>
      <c r="G382" s="74">
        <v>16.96</v>
      </c>
      <c r="H382" s="74">
        <v>56.08</v>
      </c>
      <c r="I382" s="74">
        <v>12.08</v>
      </c>
      <c r="J382" s="74">
        <v>39.96</v>
      </c>
      <c r="K382" s="74">
        <v>225</v>
      </c>
      <c r="T382" s="74">
        <v>2</v>
      </c>
      <c r="U382" s="74">
        <v>1</v>
      </c>
      <c r="V382" s="74" t="s">
        <v>179</v>
      </c>
      <c r="W382" s="74">
        <v>56</v>
      </c>
      <c r="X382" s="74">
        <v>17</v>
      </c>
      <c r="Y382" s="74">
        <v>9</v>
      </c>
      <c r="Z382" s="74" t="s">
        <v>827</v>
      </c>
      <c r="AA382" s="74" t="s">
        <v>828</v>
      </c>
      <c r="AB382" s="74" t="s">
        <v>182</v>
      </c>
      <c r="AC382" s="74" t="s">
        <v>183</v>
      </c>
      <c r="AD382" s="74" t="s">
        <v>816</v>
      </c>
      <c r="AG382" s="74" t="s">
        <v>829</v>
      </c>
      <c r="AH382" s="74">
        <v>0</v>
      </c>
      <c r="AI382" s="74">
        <v>298</v>
      </c>
      <c r="AJ382" s="74">
        <v>26</v>
      </c>
      <c r="AK382" s="74">
        <v>137</v>
      </c>
      <c r="AL382" s="74">
        <v>0.61</v>
      </c>
    </row>
    <row r="383" spans="1:38" x14ac:dyDescent="0.3">
      <c r="A383" s="74" t="s">
        <v>810</v>
      </c>
      <c r="B383" s="74">
        <v>5045</v>
      </c>
      <c r="C383" s="74">
        <v>1</v>
      </c>
      <c r="D383" s="74" t="s">
        <v>830</v>
      </c>
      <c r="E383" s="74" t="s">
        <v>831</v>
      </c>
      <c r="F383" s="74">
        <v>200</v>
      </c>
      <c r="G383" s="74">
        <v>13.47</v>
      </c>
      <c r="H383" s="74">
        <v>44.54</v>
      </c>
      <c r="I383" s="74">
        <v>10.7</v>
      </c>
      <c r="J383" s="74">
        <v>35.4</v>
      </c>
      <c r="K383" s="74">
        <v>100</v>
      </c>
      <c r="T383" s="74">
        <v>2</v>
      </c>
      <c r="U383" s="74">
        <v>1</v>
      </c>
      <c r="V383" s="74" t="s">
        <v>186</v>
      </c>
      <c r="W383" s="74">
        <v>44</v>
      </c>
      <c r="X383" s="74">
        <v>13</v>
      </c>
      <c r="Y383" s="74">
        <v>5</v>
      </c>
      <c r="Z383" s="74" t="s">
        <v>832</v>
      </c>
      <c r="AA383" s="74" t="s">
        <v>833</v>
      </c>
      <c r="AB383" s="74" t="s">
        <v>182</v>
      </c>
      <c r="AC383" s="74" t="s">
        <v>183</v>
      </c>
      <c r="AD383" s="74" t="s">
        <v>816</v>
      </c>
      <c r="AG383" s="74" t="s">
        <v>834</v>
      </c>
      <c r="AH383" s="74">
        <v>0</v>
      </c>
      <c r="AI383" s="74">
        <v>0</v>
      </c>
      <c r="AJ383" s="74">
        <v>0</v>
      </c>
      <c r="AK383" s="74">
        <v>0</v>
      </c>
      <c r="AL383" s="74">
        <v>0</v>
      </c>
    </row>
    <row r="384" spans="1:38" x14ac:dyDescent="0.3">
      <c r="A384" s="74" t="s">
        <v>810</v>
      </c>
      <c r="B384" s="74">
        <v>5045</v>
      </c>
      <c r="C384" s="74">
        <v>2</v>
      </c>
      <c r="D384" s="74" t="s">
        <v>830</v>
      </c>
      <c r="E384" s="74" t="s">
        <v>831</v>
      </c>
      <c r="F384" s="74">
        <v>200</v>
      </c>
      <c r="G384" s="74">
        <v>18.12</v>
      </c>
      <c r="H384" s="74">
        <v>59.91</v>
      </c>
      <c r="I384" s="74">
        <v>14.67</v>
      </c>
      <c r="J384" s="74">
        <v>48.52</v>
      </c>
      <c r="K384" s="74">
        <v>100</v>
      </c>
      <c r="T384" s="74">
        <v>3</v>
      </c>
      <c r="U384" s="74">
        <v>1</v>
      </c>
      <c r="V384" s="74" t="s">
        <v>186</v>
      </c>
      <c r="W384" s="74">
        <v>59</v>
      </c>
      <c r="X384" s="74">
        <v>13</v>
      </c>
      <c r="Y384" s="74">
        <v>5</v>
      </c>
      <c r="Z384" s="74" t="s">
        <v>832</v>
      </c>
      <c r="AA384" s="74" t="s">
        <v>833</v>
      </c>
      <c r="AB384" s="74" t="s">
        <v>182</v>
      </c>
      <c r="AC384" s="74" t="s">
        <v>183</v>
      </c>
      <c r="AD384" s="74" t="s">
        <v>816</v>
      </c>
      <c r="AG384" s="74" t="s">
        <v>834</v>
      </c>
      <c r="AH384" s="74">
        <v>0</v>
      </c>
      <c r="AI384" s="74">
        <v>0</v>
      </c>
      <c r="AJ384" s="74">
        <v>0</v>
      </c>
      <c r="AK384" s="74">
        <v>0</v>
      </c>
      <c r="AL384" s="74">
        <v>0</v>
      </c>
    </row>
    <row r="385" spans="1:38" x14ac:dyDescent="0.3">
      <c r="A385" s="74" t="s">
        <v>810</v>
      </c>
      <c r="B385" s="74">
        <v>143519</v>
      </c>
      <c r="C385" s="74">
        <v>1</v>
      </c>
      <c r="D385" s="74" t="s">
        <v>835</v>
      </c>
      <c r="E385" s="74" t="s">
        <v>836</v>
      </c>
      <c r="F385" s="74">
        <v>19</v>
      </c>
      <c r="G385" s="74">
        <v>37.1</v>
      </c>
      <c r="H385" s="74">
        <v>122.65</v>
      </c>
      <c r="I385" s="74">
        <v>31.9</v>
      </c>
      <c r="J385" s="74">
        <v>105.48</v>
      </c>
      <c r="K385" s="74">
        <v>15</v>
      </c>
      <c r="T385" s="74">
        <v>3</v>
      </c>
      <c r="U385" s="74">
        <v>2</v>
      </c>
      <c r="V385" s="74" t="s">
        <v>186</v>
      </c>
      <c r="W385" s="74" t="s">
        <v>837</v>
      </c>
      <c r="X385" s="74">
        <v>5</v>
      </c>
      <c r="Y385" s="74">
        <v>4</v>
      </c>
      <c r="Z385" s="74" t="s">
        <v>838</v>
      </c>
      <c r="AA385" s="74" t="s">
        <v>839</v>
      </c>
      <c r="AB385" s="74" t="s">
        <v>182</v>
      </c>
      <c r="AC385" s="74" t="s">
        <v>183</v>
      </c>
      <c r="AD385" s="74" t="s">
        <v>816</v>
      </c>
      <c r="AG385" s="74" t="s">
        <v>840</v>
      </c>
      <c r="AH385" s="74">
        <v>0</v>
      </c>
      <c r="AI385" s="74">
        <v>170</v>
      </c>
      <c r="AJ385" s="74">
        <v>39</v>
      </c>
      <c r="AK385" s="74">
        <v>16</v>
      </c>
      <c r="AL385" s="74">
        <v>0.84</v>
      </c>
    </row>
    <row r="386" spans="1:38" x14ac:dyDescent="0.3">
      <c r="A386" s="74" t="s">
        <v>810</v>
      </c>
      <c r="B386" s="74">
        <v>143519</v>
      </c>
      <c r="C386" s="74">
        <v>2</v>
      </c>
      <c r="D386" s="74" t="s">
        <v>835</v>
      </c>
      <c r="E386" s="74" t="s">
        <v>836</v>
      </c>
      <c r="F386" s="74">
        <v>19</v>
      </c>
      <c r="G386" s="74">
        <v>37.090000000000003</v>
      </c>
      <c r="H386" s="74">
        <v>122.64</v>
      </c>
      <c r="I386" s="74">
        <v>31.9</v>
      </c>
      <c r="J386" s="74">
        <v>105.48</v>
      </c>
      <c r="K386" s="74">
        <v>4</v>
      </c>
      <c r="T386" s="74">
        <v>3</v>
      </c>
      <c r="U386" s="74">
        <v>2</v>
      </c>
      <c r="V386" s="74" t="s">
        <v>186</v>
      </c>
      <c r="W386" s="74" t="s">
        <v>841</v>
      </c>
      <c r="X386" s="74">
        <v>5</v>
      </c>
      <c r="Y386" s="74">
        <v>4</v>
      </c>
      <c r="Z386" s="74" t="s">
        <v>838</v>
      </c>
      <c r="AA386" s="74" t="s">
        <v>839</v>
      </c>
      <c r="AB386" s="74" t="s">
        <v>182</v>
      </c>
      <c r="AC386" s="74" t="s">
        <v>183</v>
      </c>
      <c r="AD386" s="74" t="s">
        <v>816</v>
      </c>
      <c r="AG386" s="74" t="s">
        <v>840</v>
      </c>
      <c r="AH386" s="74">
        <v>0</v>
      </c>
      <c r="AI386" s="74">
        <v>170</v>
      </c>
      <c r="AJ386" s="74">
        <v>39</v>
      </c>
      <c r="AK386" s="74">
        <v>16</v>
      </c>
      <c r="AL386" s="74">
        <v>0.84</v>
      </c>
    </row>
    <row r="387" spans="1:38" x14ac:dyDescent="0.3">
      <c r="A387" s="74" t="s">
        <v>810</v>
      </c>
      <c r="B387" s="74">
        <v>5046</v>
      </c>
      <c r="C387" s="74">
        <v>1</v>
      </c>
      <c r="D387" s="74" t="s">
        <v>842</v>
      </c>
      <c r="E387" s="74" t="s">
        <v>843</v>
      </c>
      <c r="F387" s="74">
        <v>380</v>
      </c>
      <c r="G387" s="74">
        <v>22.95</v>
      </c>
      <c r="H387" s="74">
        <v>75.900000000000006</v>
      </c>
      <c r="I387" s="74">
        <v>17.95</v>
      </c>
      <c r="J387" s="74">
        <v>59.35</v>
      </c>
      <c r="K387" s="74">
        <v>254</v>
      </c>
      <c r="T387" s="74">
        <v>3</v>
      </c>
      <c r="U387" s="74">
        <v>1</v>
      </c>
      <c r="V387" s="74" t="s">
        <v>186</v>
      </c>
      <c r="W387" s="74">
        <v>75</v>
      </c>
      <c r="X387" s="74">
        <v>14</v>
      </c>
      <c r="Y387" s="74">
        <v>9</v>
      </c>
      <c r="Z387" s="74" t="s">
        <v>844</v>
      </c>
      <c r="AA387" s="74" t="s">
        <v>845</v>
      </c>
      <c r="AB387" s="74" t="s">
        <v>182</v>
      </c>
      <c r="AC387" s="74" t="s">
        <v>183</v>
      </c>
      <c r="AD387" s="74" t="s">
        <v>816</v>
      </c>
      <c r="AG387" s="74" t="s">
        <v>846</v>
      </c>
      <c r="AH387" s="74">
        <v>0</v>
      </c>
      <c r="AI387" s="74">
        <v>217</v>
      </c>
      <c r="AJ387" s="74">
        <v>92</v>
      </c>
      <c r="AK387" s="74">
        <v>380</v>
      </c>
      <c r="AL387" s="74">
        <v>1</v>
      </c>
    </row>
    <row r="388" spans="1:38" x14ac:dyDescent="0.3">
      <c r="A388" s="74" t="s">
        <v>810</v>
      </c>
      <c r="B388" s="74">
        <v>5046</v>
      </c>
      <c r="C388" s="74">
        <v>2</v>
      </c>
      <c r="D388" s="74" t="s">
        <v>842</v>
      </c>
      <c r="E388" s="74" t="s">
        <v>843</v>
      </c>
      <c r="F388" s="74">
        <v>380</v>
      </c>
      <c r="G388" s="74">
        <v>31.11</v>
      </c>
      <c r="H388" s="74">
        <v>102.85</v>
      </c>
      <c r="I388" s="74">
        <v>25.54</v>
      </c>
      <c r="J388" s="74">
        <v>84.46</v>
      </c>
      <c r="K388" s="74">
        <v>126</v>
      </c>
      <c r="T388" s="74">
        <v>3</v>
      </c>
      <c r="U388" s="74">
        <v>2</v>
      </c>
      <c r="V388" s="74" t="s">
        <v>186</v>
      </c>
      <c r="W388" s="74">
        <v>102</v>
      </c>
      <c r="X388" s="74">
        <v>14</v>
      </c>
      <c r="Y388" s="74">
        <v>9</v>
      </c>
      <c r="Z388" s="74" t="s">
        <v>844</v>
      </c>
      <c r="AA388" s="74" t="s">
        <v>845</v>
      </c>
      <c r="AB388" s="74" t="s">
        <v>182</v>
      </c>
      <c r="AC388" s="74" t="s">
        <v>183</v>
      </c>
      <c r="AD388" s="74" t="s">
        <v>816</v>
      </c>
      <c r="AG388" s="74" t="s">
        <v>846</v>
      </c>
      <c r="AH388" s="74">
        <v>0</v>
      </c>
      <c r="AI388" s="74">
        <v>217</v>
      </c>
      <c r="AJ388" s="74">
        <v>92</v>
      </c>
      <c r="AK388" s="74">
        <v>380</v>
      </c>
      <c r="AL388" s="74">
        <v>1</v>
      </c>
    </row>
    <row r="389" spans="1:38" x14ac:dyDescent="0.3">
      <c r="A389" s="74" t="s">
        <v>810</v>
      </c>
      <c r="B389" s="74">
        <v>5043</v>
      </c>
      <c r="C389" s="74">
        <v>1</v>
      </c>
      <c r="D389" s="74" t="s">
        <v>847</v>
      </c>
      <c r="E389" s="74" t="s">
        <v>257</v>
      </c>
      <c r="F389" s="74">
        <v>750</v>
      </c>
      <c r="G389" s="74">
        <v>15.09</v>
      </c>
      <c r="H389" s="74">
        <v>49.91</v>
      </c>
      <c r="I389" s="74">
        <v>12</v>
      </c>
      <c r="J389" s="74">
        <v>39.69</v>
      </c>
      <c r="K389" s="74">
        <v>110</v>
      </c>
      <c r="T389" s="74">
        <v>2</v>
      </c>
      <c r="U389" s="74">
        <v>1</v>
      </c>
      <c r="V389" s="74" t="s">
        <v>186</v>
      </c>
      <c r="W389" s="74" t="s">
        <v>848</v>
      </c>
      <c r="X389" s="74">
        <v>5</v>
      </c>
      <c r="Y389" s="74">
        <v>5</v>
      </c>
      <c r="Z389" s="74" t="s">
        <v>849</v>
      </c>
      <c r="AA389" s="74" t="s">
        <v>850</v>
      </c>
      <c r="AB389" s="74" t="s">
        <v>182</v>
      </c>
      <c r="AC389" s="74" t="s">
        <v>183</v>
      </c>
      <c r="AD389" s="74" t="s">
        <v>816</v>
      </c>
      <c r="AG389" s="74" t="s">
        <v>851</v>
      </c>
      <c r="AH389" s="74">
        <v>0</v>
      </c>
      <c r="AI389" s="74">
        <v>0</v>
      </c>
      <c r="AJ389" s="74">
        <v>0</v>
      </c>
      <c r="AK389" s="74">
        <v>0</v>
      </c>
      <c r="AL389" s="74">
        <v>0</v>
      </c>
    </row>
    <row r="390" spans="1:38" x14ac:dyDescent="0.3">
      <c r="A390" s="74" t="s">
        <v>810</v>
      </c>
      <c r="B390" s="74">
        <v>5043</v>
      </c>
      <c r="C390" s="74">
        <v>2</v>
      </c>
      <c r="D390" s="74" t="s">
        <v>847</v>
      </c>
      <c r="E390" s="74" t="s">
        <v>257</v>
      </c>
      <c r="F390" s="74">
        <v>750</v>
      </c>
      <c r="G390" s="74">
        <v>14.96</v>
      </c>
      <c r="H390" s="74">
        <v>49.48</v>
      </c>
      <c r="I390" s="74">
        <v>11.88</v>
      </c>
      <c r="J390" s="74">
        <v>39.299999999999997</v>
      </c>
      <c r="K390" s="74">
        <v>110</v>
      </c>
      <c r="T390" s="74">
        <v>2</v>
      </c>
      <c r="U390" s="74">
        <v>1</v>
      </c>
      <c r="V390" s="74" t="s">
        <v>186</v>
      </c>
      <c r="W390" s="74" t="s">
        <v>146</v>
      </c>
      <c r="X390" s="74">
        <v>5</v>
      </c>
      <c r="Y390" s="74">
        <v>5</v>
      </c>
      <c r="Z390" s="74" t="s">
        <v>849</v>
      </c>
      <c r="AA390" s="74" t="s">
        <v>850</v>
      </c>
      <c r="AB390" s="74" t="s">
        <v>182</v>
      </c>
      <c r="AC390" s="74" t="s">
        <v>183</v>
      </c>
      <c r="AD390" s="74" t="s">
        <v>816</v>
      </c>
      <c r="AG390" s="74" t="s">
        <v>851</v>
      </c>
      <c r="AH390" s="74">
        <v>0</v>
      </c>
      <c r="AI390" s="74">
        <v>0</v>
      </c>
      <c r="AJ390" s="74">
        <v>0</v>
      </c>
      <c r="AK390" s="74">
        <v>0</v>
      </c>
      <c r="AL390" s="74">
        <v>0</v>
      </c>
    </row>
    <row r="391" spans="1:38" x14ac:dyDescent="0.3">
      <c r="A391" s="74" t="s">
        <v>810</v>
      </c>
      <c r="B391" s="74">
        <v>5043</v>
      </c>
      <c r="C391" s="74">
        <v>3</v>
      </c>
      <c r="D391" s="74" t="s">
        <v>847</v>
      </c>
      <c r="E391" s="74" t="s">
        <v>257</v>
      </c>
      <c r="F391" s="74">
        <v>750</v>
      </c>
      <c r="G391" s="74">
        <v>17.52</v>
      </c>
      <c r="H391" s="74">
        <v>57.93</v>
      </c>
      <c r="I391" s="74">
        <v>14.22</v>
      </c>
      <c r="J391" s="74">
        <v>47.01</v>
      </c>
      <c r="K391" s="74">
        <v>290</v>
      </c>
      <c r="T391" s="74">
        <v>2</v>
      </c>
      <c r="U391" s="74">
        <v>1</v>
      </c>
      <c r="V391" s="74" t="s">
        <v>186</v>
      </c>
      <c r="W391" s="74">
        <v>57</v>
      </c>
      <c r="X391" s="74">
        <v>5</v>
      </c>
      <c r="Y391" s="74">
        <v>5</v>
      </c>
      <c r="Z391" s="74" t="s">
        <v>849</v>
      </c>
      <c r="AA391" s="74" t="s">
        <v>850</v>
      </c>
      <c r="AB391" s="74" t="s">
        <v>182</v>
      </c>
      <c r="AC391" s="74" t="s">
        <v>183</v>
      </c>
      <c r="AD391" s="74" t="s">
        <v>816</v>
      </c>
      <c r="AG391" s="74" t="s">
        <v>851</v>
      </c>
      <c r="AH391" s="74">
        <v>0</v>
      </c>
      <c r="AI391" s="74">
        <v>0</v>
      </c>
      <c r="AJ391" s="74">
        <v>0</v>
      </c>
      <c r="AK391" s="74">
        <v>0</v>
      </c>
      <c r="AL391" s="74">
        <v>0</v>
      </c>
    </row>
    <row r="392" spans="1:38" x14ac:dyDescent="0.3">
      <c r="A392" s="74" t="s">
        <v>810</v>
      </c>
      <c r="B392" s="74">
        <v>5043</v>
      </c>
      <c r="C392" s="74">
        <v>4</v>
      </c>
      <c r="D392" s="74" t="s">
        <v>847</v>
      </c>
      <c r="E392" s="74" t="s">
        <v>257</v>
      </c>
      <c r="F392" s="74">
        <v>750</v>
      </c>
      <c r="G392" s="74">
        <v>17.41</v>
      </c>
      <c r="H392" s="74">
        <v>57.57</v>
      </c>
      <c r="I392" s="74">
        <v>14.12</v>
      </c>
      <c r="J392" s="74">
        <v>46.68</v>
      </c>
      <c r="K392" s="74">
        <v>240</v>
      </c>
      <c r="T392" s="74">
        <v>2</v>
      </c>
      <c r="U392" s="74">
        <v>1</v>
      </c>
      <c r="V392" s="74" t="s">
        <v>186</v>
      </c>
      <c r="W392" s="74">
        <v>57</v>
      </c>
      <c r="X392" s="74">
        <v>5</v>
      </c>
      <c r="Y392" s="74">
        <v>5</v>
      </c>
      <c r="Z392" s="74" t="s">
        <v>849</v>
      </c>
      <c r="AA392" s="74" t="s">
        <v>850</v>
      </c>
      <c r="AB392" s="74" t="s">
        <v>182</v>
      </c>
      <c r="AC392" s="74" t="s">
        <v>183</v>
      </c>
      <c r="AD392" s="74" t="s">
        <v>816</v>
      </c>
      <c r="AG392" s="74" t="s">
        <v>851</v>
      </c>
      <c r="AH392" s="74">
        <v>0</v>
      </c>
      <c r="AI392" s="74">
        <v>0</v>
      </c>
      <c r="AJ392" s="74">
        <v>0</v>
      </c>
      <c r="AK392" s="74">
        <v>0</v>
      </c>
      <c r="AL392" s="74">
        <v>0</v>
      </c>
    </row>
    <row r="393" spans="1:38" x14ac:dyDescent="0.3">
      <c r="A393" s="74" t="s">
        <v>810</v>
      </c>
      <c r="B393" s="74">
        <v>118058</v>
      </c>
      <c r="C393" s="74">
        <v>1</v>
      </c>
      <c r="D393" s="74" t="s">
        <v>852</v>
      </c>
      <c r="E393" s="74" t="s">
        <v>724</v>
      </c>
      <c r="F393" s="74">
        <v>220</v>
      </c>
      <c r="G393" s="74">
        <v>14.8</v>
      </c>
      <c r="H393" s="74">
        <v>48.95</v>
      </c>
      <c r="I393" s="74">
        <v>10.86</v>
      </c>
      <c r="J393" s="74">
        <v>35.909999999999997</v>
      </c>
      <c r="K393" s="74">
        <v>220</v>
      </c>
      <c r="T393" s="74">
        <v>1</v>
      </c>
      <c r="U393" s="74">
        <v>1</v>
      </c>
      <c r="V393" s="74" t="s">
        <v>186</v>
      </c>
      <c r="W393" s="74">
        <v>48</v>
      </c>
      <c r="X393" s="74">
        <v>12</v>
      </c>
      <c r="Y393" s="74">
        <v>12</v>
      </c>
      <c r="Z393" s="74" t="s">
        <v>853</v>
      </c>
      <c r="AA393" s="74" t="s">
        <v>854</v>
      </c>
      <c r="AB393" s="74" t="s">
        <v>182</v>
      </c>
      <c r="AC393" s="74" t="s">
        <v>183</v>
      </c>
      <c r="AD393" s="74" t="s">
        <v>816</v>
      </c>
      <c r="AG393" s="74" t="s">
        <v>855</v>
      </c>
      <c r="AH393" s="74">
        <v>0</v>
      </c>
      <c r="AI393" s="74">
        <v>277</v>
      </c>
      <c r="AJ393" s="74">
        <v>28</v>
      </c>
      <c r="AK393" s="74">
        <v>167</v>
      </c>
      <c r="AL393" s="74">
        <v>0.76</v>
      </c>
    </row>
    <row r="394" spans="1:38" x14ac:dyDescent="0.3">
      <c r="A394" s="74" t="s">
        <v>810</v>
      </c>
      <c r="B394" s="74">
        <v>106888</v>
      </c>
      <c r="C394" s="74">
        <v>1</v>
      </c>
      <c r="D394" s="74" t="s">
        <v>856</v>
      </c>
      <c r="E394" s="74" t="s">
        <v>857</v>
      </c>
      <c r="F394" s="74">
        <v>221</v>
      </c>
      <c r="G394" s="74">
        <v>15.73</v>
      </c>
      <c r="H394" s="74">
        <v>52.02</v>
      </c>
      <c r="I394" s="74">
        <v>12.08</v>
      </c>
      <c r="J394" s="74">
        <v>39.950000000000003</v>
      </c>
      <c r="K394" s="74">
        <v>221</v>
      </c>
      <c r="T394" s="74">
        <v>2</v>
      </c>
      <c r="U394" s="74">
        <v>1</v>
      </c>
      <c r="V394" s="74" t="s">
        <v>179</v>
      </c>
      <c r="W394" s="74">
        <v>52</v>
      </c>
      <c r="X394" s="74">
        <v>14</v>
      </c>
      <c r="Y394" s="74">
        <v>14</v>
      </c>
      <c r="Z394" s="74" t="s">
        <v>858</v>
      </c>
      <c r="AA394" s="74" t="s">
        <v>859</v>
      </c>
      <c r="AB394" s="74" t="s">
        <v>182</v>
      </c>
      <c r="AC394" s="74" t="s">
        <v>183</v>
      </c>
      <c r="AD394" s="74" t="s">
        <v>816</v>
      </c>
      <c r="AG394" s="74" t="s">
        <v>860</v>
      </c>
      <c r="AH394" s="74">
        <v>0</v>
      </c>
      <c r="AI394" s="74">
        <v>271</v>
      </c>
      <c r="AJ394" s="74">
        <v>23</v>
      </c>
      <c r="AK394" s="74">
        <v>199</v>
      </c>
      <c r="AL394" s="74">
        <v>0.9</v>
      </c>
    </row>
    <row r="395" spans="1:38" x14ac:dyDescent="0.3">
      <c r="A395" s="74" t="s">
        <v>810</v>
      </c>
      <c r="B395" s="74">
        <v>127042</v>
      </c>
      <c r="C395" s="74">
        <v>1</v>
      </c>
      <c r="D395" s="74" t="s">
        <v>861</v>
      </c>
      <c r="E395" s="74" t="s">
        <v>826</v>
      </c>
      <c r="F395" s="74">
        <v>96</v>
      </c>
      <c r="G395" s="74">
        <v>13.07</v>
      </c>
      <c r="H395" s="74">
        <v>43.23</v>
      </c>
      <c r="I395" s="74">
        <v>9.19</v>
      </c>
      <c r="J395" s="74">
        <v>30.4</v>
      </c>
      <c r="K395" s="74">
        <v>96</v>
      </c>
      <c r="T395" s="74">
        <v>2</v>
      </c>
      <c r="U395" s="74">
        <v>1</v>
      </c>
      <c r="V395" s="74" t="s">
        <v>186</v>
      </c>
      <c r="W395" s="74">
        <v>43</v>
      </c>
      <c r="X395" s="74">
        <v>8</v>
      </c>
      <c r="Y395" s="74">
        <v>8</v>
      </c>
      <c r="Z395" s="74" t="s">
        <v>862</v>
      </c>
      <c r="AA395" s="74" t="s">
        <v>863</v>
      </c>
      <c r="AB395" s="74" t="s">
        <v>182</v>
      </c>
      <c r="AC395" s="74" t="s">
        <v>183</v>
      </c>
      <c r="AD395" s="74" t="s">
        <v>816</v>
      </c>
      <c r="AG395" s="74" t="s">
        <v>864</v>
      </c>
      <c r="AH395" s="74">
        <v>0</v>
      </c>
      <c r="AI395" s="74">
        <v>171</v>
      </c>
      <c r="AJ395" s="74">
        <v>24</v>
      </c>
      <c r="AK395" s="74">
        <v>58</v>
      </c>
      <c r="AL395" s="74">
        <v>0.6</v>
      </c>
    </row>
    <row r="396" spans="1:38" x14ac:dyDescent="0.3">
      <c r="A396" s="74" t="s">
        <v>810</v>
      </c>
      <c r="B396" s="74">
        <v>16993</v>
      </c>
      <c r="C396" s="74">
        <v>1</v>
      </c>
      <c r="D396" s="74" t="s">
        <v>865</v>
      </c>
      <c r="E396" s="74" t="s">
        <v>438</v>
      </c>
      <c r="F396" s="74">
        <v>404</v>
      </c>
      <c r="G396" s="74">
        <v>12.19</v>
      </c>
      <c r="H396" s="74">
        <v>40.31</v>
      </c>
      <c r="I396" s="74">
        <v>9.15</v>
      </c>
      <c r="J396" s="74">
        <v>30.26</v>
      </c>
      <c r="K396" s="74">
        <v>9</v>
      </c>
      <c r="T396" s="74">
        <v>1</v>
      </c>
      <c r="U396" s="74">
        <v>1</v>
      </c>
      <c r="V396" s="74" t="s">
        <v>186</v>
      </c>
      <c r="W396" s="74">
        <v>40</v>
      </c>
      <c r="X396" s="74">
        <v>15</v>
      </c>
      <c r="Y396" s="74">
        <v>7</v>
      </c>
      <c r="Z396" s="74" t="s">
        <v>866</v>
      </c>
      <c r="AA396" s="74" t="s">
        <v>867</v>
      </c>
      <c r="AB396" s="74" t="s">
        <v>182</v>
      </c>
      <c r="AC396" s="74" t="s">
        <v>183</v>
      </c>
      <c r="AD396" s="74" t="s">
        <v>816</v>
      </c>
      <c r="AG396" s="74" t="s">
        <v>868</v>
      </c>
      <c r="AH396" s="74">
        <v>290</v>
      </c>
      <c r="AI396" s="74">
        <v>346</v>
      </c>
      <c r="AJ396" s="74">
        <v>31</v>
      </c>
      <c r="AK396" s="74">
        <v>245</v>
      </c>
      <c r="AL396" s="74">
        <v>0.61</v>
      </c>
    </row>
    <row r="397" spans="1:38" x14ac:dyDescent="0.3">
      <c r="A397" s="74" t="s">
        <v>810</v>
      </c>
      <c r="B397" s="74">
        <v>16993</v>
      </c>
      <c r="C397" s="74">
        <v>2</v>
      </c>
      <c r="D397" s="74" t="s">
        <v>865</v>
      </c>
      <c r="E397" s="74" t="s">
        <v>438</v>
      </c>
      <c r="F397" s="74">
        <v>404</v>
      </c>
      <c r="G397" s="74">
        <v>15.74</v>
      </c>
      <c r="H397" s="74">
        <v>52.06</v>
      </c>
      <c r="I397" s="74">
        <v>11.82</v>
      </c>
      <c r="J397" s="74">
        <v>39.08</v>
      </c>
      <c r="K397" s="74">
        <v>105</v>
      </c>
      <c r="T397" s="74">
        <v>1</v>
      </c>
      <c r="U397" s="74">
        <v>1</v>
      </c>
      <c r="V397" s="74" t="s">
        <v>186</v>
      </c>
      <c r="W397" s="74">
        <v>52</v>
      </c>
      <c r="X397" s="74">
        <v>15</v>
      </c>
      <c r="Y397" s="74">
        <v>7</v>
      </c>
      <c r="Z397" s="74" t="s">
        <v>866</v>
      </c>
      <c r="AA397" s="74" t="s">
        <v>867</v>
      </c>
      <c r="AB397" s="74" t="s">
        <v>182</v>
      </c>
      <c r="AC397" s="74" t="s">
        <v>183</v>
      </c>
      <c r="AD397" s="74" t="s">
        <v>816</v>
      </c>
      <c r="AG397" s="74" t="s">
        <v>868</v>
      </c>
      <c r="AH397" s="74">
        <v>290</v>
      </c>
      <c r="AI397" s="74">
        <v>346</v>
      </c>
      <c r="AJ397" s="74">
        <v>31</v>
      </c>
      <c r="AK397" s="74">
        <v>245</v>
      </c>
      <c r="AL397" s="74">
        <v>0.61</v>
      </c>
    </row>
    <row r="398" spans="1:38" x14ac:dyDescent="0.3">
      <c r="A398" s="74" t="s">
        <v>810</v>
      </c>
      <c r="B398" s="74">
        <v>101157</v>
      </c>
      <c r="C398" s="74">
        <v>1</v>
      </c>
      <c r="D398" s="74" t="s">
        <v>869</v>
      </c>
      <c r="E398" s="74" t="s">
        <v>870</v>
      </c>
      <c r="F398" s="74">
        <v>120</v>
      </c>
      <c r="G398" s="74">
        <v>25.53</v>
      </c>
      <c r="H398" s="74">
        <v>84.42</v>
      </c>
      <c r="I398" s="74">
        <v>21.44</v>
      </c>
      <c r="J398" s="74">
        <v>70.89</v>
      </c>
      <c r="K398" s="74">
        <v>30</v>
      </c>
      <c r="T398" s="74">
        <v>3</v>
      </c>
      <c r="U398" s="74">
        <v>1</v>
      </c>
      <c r="V398" s="74" t="s">
        <v>186</v>
      </c>
      <c r="W398" s="74">
        <v>84</v>
      </c>
      <c r="X398" s="74">
        <v>5</v>
      </c>
      <c r="Y398" s="74">
        <v>5</v>
      </c>
      <c r="Z398" s="74" t="s">
        <v>871</v>
      </c>
      <c r="AA398" s="74" t="s">
        <v>872</v>
      </c>
      <c r="AB398" s="74" t="s">
        <v>182</v>
      </c>
      <c r="AC398" s="74" t="s">
        <v>183</v>
      </c>
      <c r="AD398" s="74" t="s">
        <v>816</v>
      </c>
      <c r="AG398" s="74" t="s">
        <v>873</v>
      </c>
      <c r="AH398" s="74">
        <v>0</v>
      </c>
      <c r="AI398" s="74">
        <v>0</v>
      </c>
      <c r="AJ398" s="74">
        <v>0</v>
      </c>
      <c r="AK398" s="74">
        <v>0</v>
      </c>
      <c r="AL398" s="74">
        <v>0</v>
      </c>
    </row>
    <row r="399" spans="1:38" x14ac:dyDescent="0.3">
      <c r="A399" s="74" t="s">
        <v>810</v>
      </c>
      <c r="B399" s="74">
        <v>101157</v>
      </c>
      <c r="C399" s="74">
        <v>2</v>
      </c>
      <c r="D399" s="74" t="s">
        <v>869</v>
      </c>
      <c r="E399" s="74" t="s">
        <v>870</v>
      </c>
      <c r="F399" s="74">
        <v>120</v>
      </c>
      <c r="G399" s="74">
        <v>27.32</v>
      </c>
      <c r="H399" s="74">
        <v>90.33</v>
      </c>
      <c r="I399" s="74">
        <v>23.23</v>
      </c>
      <c r="J399" s="74">
        <v>76.8</v>
      </c>
      <c r="K399" s="74">
        <v>60</v>
      </c>
      <c r="T399" s="74">
        <v>3</v>
      </c>
      <c r="U399" s="74">
        <v>1</v>
      </c>
      <c r="V399" s="74" t="s">
        <v>186</v>
      </c>
      <c r="W399" s="74">
        <v>90</v>
      </c>
      <c r="X399" s="74">
        <v>5</v>
      </c>
      <c r="Y399" s="74">
        <v>5</v>
      </c>
      <c r="Z399" s="74" t="s">
        <v>871</v>
      </c>
      <c r="AA399" s="74" t="s">
        <v>872</v>
      </c>
      <c r="AB399" s="74" t="s">
        <v>182</v>
      </c>
      <c r="AC399" s="74" t="s">
        <v>183</v>
      </c>
      <c r="AD399" s="74" t="s">
        <v>816</v>
      </c>
      <c r="AG399" s="74" t="s">
        <v>873</v>
      </c>
      <c r="AH399" s="74">
        <v>0</v>
      </c>
      <c r="AI399" s="74">
        <v>0</v>
      </c>
      <c r="AJ399" s="74">
        <v>0</v>
      </c>
      <c r="AK399" s="74">
        <v>0</v>
      </c>
      <c r="AL399" s="74">
        <v>0</v>
      </c>
    </row>
    <row r="400" spans="1:38" x14ac:dyDescent="0.3">
      <c r="A400" s="74" t="s">
        <v>810</v>
      </c>
      <c r="B400" s="74">
        <v>101157</v>
      </c>
      <c r="C400" s="74">
        <v>3</v>
      </c>
      <c r="D400" s="74" t="s">
        <v>869</v>
      </c>
      <c r="E400" s="74" t="s">
        <v>870</v>
      </c>
      <c r="F400" s="74">
        <v>120</v>
      </c>
      <c r="G400" s="74">
        <v>27.53</v>
      </c>
      <c r="H400" s="74">
        <v>91.02</v>
      </c>
      <c r="I400" s="74">
        <v>23.44</v>
      </c>
      <c r="J400" s="74">
        <v>77.489999999999995</v>
      </c>
      <c r="K400" s="74">
        <v>30</v>
      </c>
      <c r="T400" s="74">
        <v>3</v>
      </c>
      <c r="U400" s="74">
        <v>1</v>
      </c>
      <c r="V400" s="74" t="s">
        <v>179</v>
      </c>
      <c r="W400" s="74">
        <v>91</v>
      </c>
      <c r="X400" s="74">
        <v>5</v>
      </c>
      <c r="Y400" s="74">
        <v>5</v>
      </c>
      <c r="Z400" s="74" t="s">
        <v>871</v>
      </c>
      <c r="AA400" s="74" t="s">
        <v>872</v>
      </c>
      <c r="AB400" s="74" t="s">
        <v>182</v>
      </c>
      <c r="AC400" s="74" t="s">
        <v>183</v>
      </c>
      <c r="AD400" s="74" t="s">
        <v>816</v>
      </c>
      <c r="AG400" s="74" t="s">
        <v>873</v>
      </c>
      <c r="AH400" s="74">
        <v>0</v>
      </c>
      <c r="AI400" s="74">
        <v>0</v>
      </c>
      <c r="AJ400" s="74">
        <v>0</v>
      </c>
      <c r="AK400" s="74">
        <v>0</v>
      </c>
      <c r="AL400" s="74">
        <v>0</v>
      </c>
    </row>
    <row r="401" spans="1:38" x14ac:dyDescent="0.3">
      <c r="A401" s="74" t="s">
        <v>810</v>
      </c>
      <c r="B401" s="74">
        <v>16991</v>
      </c>
      <c r="C401" s="74">
        <v>1</v>
      </c>
      <c r="D401" s="74" t="s">
        <v>874</v>
      </c>
      <c r="E401" s="74" t="s">
        <v>875</v>
      </c>
      <c r="F401" s="74">
        <v>70</v>
      </c>
      <c r="G401" s="74">
        <v>25.99</v>
      </c>
      <c r="H401" s="74">
        <v>85.94</v>
      </c>
      <c r="I401" s="74">
        <v>18.12</v>
      </c>
      <c r="J401" s="74">
        <v>59.91</v>
      </c>
      <c r="K401" s="74">
        <v>70</v>
      </c>
      <c r="T401" s="74">
        <v>3</v>
      </c>
      <c r="U401" s="74">
        <v>1</v>
      </c>
      <c r="V401" s="74" t="s">
        <v>179</v>
      </c>
      <c r="W401" s="74">
        <v>85</v>
      </c>
      <c r="X401" s="74">
        <v>7</v>
      </c>
      <c r="Y401" s="74">
        <v>7</v>
      </c>
      <c r="Z401" s="74" t="s">
        <v>876</v>
      </c>
      <c r="AA401" s="74" t="s">
        <v>877</v>
      </c>
      <c r="AB401" s="74" t="s">
        <v>182</v>
      </c>
      <c r="AC401" s="74" t="s">
        <v>183</v>
      </c>
      <c r="AD401" s="74" t="s">
        <v>816</v>
      </c>
      <c r="AG401" s="74" t="s">
        <v>878</v>
      </c>
      <c r="AH401" s="74">
        <v>0</v>
      </c>
      <c r="AI401" s="74">
        <v>190</v>
      </c>
      <c r="AJ401" s="74">
        <v>31</v>
      </c>
      <c r="AK401" s="74">
        <v>64</v>
      </c>
      <c r="AL401" s="74">
        <v>0.91</v>
      </c>
    </row>
    <row r="402" spans="1:38" x14ac:dyDescent="0.3">
      <c r="A402" s="74" t="s">
        <v>810</v>
      </c>
      <c r="B402" s="74">
        <v>16992</v>
      </c>
      <c r="C402" s="74">
        <v>1</v>
      </c>
      <c r="D402" s="74" t="s">
        <v>879</v>
      </c>
      <c r="E402" s="74" t="s">
        <v>880</v>
      </c>
      <c r="F402" s="74">
        <v>99</v>
      </c>
      <c r="G402" s="74">
        <v>21.34</v>
      </c>
      <c r="H402" s="74">
        <v>70.56</v>
      </c>
      <c r="I402" s="74">
        <v>17.309999999999999</v>
      </c>
      <c r="J402" s="74">
        <v>57.24</v>
      </c>
      <c r="K402" s="74">
        <v>5</v>
      </c>
      <c r="T402" s="74">
        <v>3</v>
      </c>
      <c r="U402" s="74">
        <v>1</v>
      </c>
      <c r="V402" s="74" t="s">
        <v>186</v>
      </c>
      <c r="W402" s="74">
        <v>70</v>
      </c>
      <c r="X402" s="74">
        <v>10</v>
      </c>
      <c r="Y402" s="74">
        <v>4</v>
      </c>
      <c r="Z402" s="74" t="s">
        <v>881</v>
      </c>
      <c r="AA402" s="74" t="s">
        <v>882</v>
      </c>
      <c r="AB402" s="74" t="s">
        <v>182</v>
      </c>
      <c r="AC402" s="74" t="s">
        <v>183</v>
      </c>
      <c r="AD402" s="74" t="s">
        <v>816</v>
      </c>
      <c r="AG402" s="74" t="s">
        <v>883</v>
      </c>
      <c r="AH402" s="74">
        <v>0</v>
      </c>
      <c r="AI402" s="74">
        <v>215</v>
      </c>
      <c r="AJ402" s="74">
        <v>28</v>
      </c>
      <c r="AK402" s="74">
        <v>89</v>
      </c>
      <c r="AL402" s="74">
        <v>0.9</v>
      </c>
    </row>
    <row r="403" spans="1:38" x14ac:dyDescent="0.3">
      <c r="A403" s="74" t="s">
        <v>810</v>
      </c>
      <c r="B403" s="74">
        <v>16992</v>
      </c>
      <c r="C403" s="74">
        <v>2</v>
      </c>
      <c r="D403" s="74" t="s">
        <v>879</v>
      </c>
      <c r="E403" s="74" t="s">
        <v>880</v>
      </c>
      <c r="F403" s="74">
        <v>99</v>
      </c>
      <c r="G403" s="74">
        <v>22.33</v>
      </c>
      <c r="H403" s="74">
        <v>73.819999999999993</v>
      </c>
      <c r="I403" s="74">
        <v>18.11</v>
      </c>
      <c r="J403" s="74">
        <v>59.88</v>
      </c>
      <c r="K403" s="74">
        <v>40</v>
      </c>
      <c r="T403" s="74">
        <v>3</v>
      </c>
      <c r="U403" s="74">
        <v>1</v>
      </c>
      <c r="V403" s="74" t="s">
        <v>179</v>
      </c>
      <c r="W403" s="74">
        <v>73</v>
      </c>
      <c r="X403" s="74">
        <v>10</v>
      </c>
      <c r="Y403" s="74">
        <v>4</v>
      </c>
      <c r="Z403" s="74" t="s">
        <v>881</v>
      </c>
      <c r="AA403" s="74" t="s">
        <v>882</v>
      </c>
      <c r="AB403" s="74" t="s">
        <v>182</v>
      </c>
      <c r="AC403" s="74" t="s">
        <v>183</v>
      </c>
      <c r="AD403" s="74" t="s">
        <v>816</v>
      </c>
      <c r="AG403" s="74" t="s">
        <v>883</v>
      </c>
      <c r="AH403" s="74">
        <v>0</v>
      </c>
      <c r="AI403" s="74">
        <v>215</v>
      </c>
      <c r="AJ403" s="74">
        <v>28</v>
      </c>
      <c r="AK403" s="74">
        <v>89</v>
      </c>
      <c r="AL403" s="74">
        <v>0.9</v>
      </c>
    </row>
    <row r="404" spans="1:38" x14ac:dyDescent="0.3">
      <c r="A404" s="74" t="s">
        <v>810</v>
      </c>
      <c r="B404" s="74">
        <v>16992</v>
      </c>
      <c r="C404" s="74">
        <v>3</v>
      </c>
      <c r="D404" s="74" t="s">
        <v>879</v>
      </c>
      <c r="E404" s="74" t="s">
        <v>880</v>
      </c>
      <c r="F404" s="74">
        <v>99</v>
      </c>
      <c r="G404" s="74">
        <v>25.64</v>
      </c>
      <c r="H404" s="74">
        <v>84.77</v>
      </c>
      <c r="I404" s="74">
        <v>20.79</v>
      </c>
      <c r="J404" s="74">
        <v>68.760000000000005</v>
      </c>
      <c r="K404" s="74">
        <v>54</v>
      </c>
      <c r="T404" s="74">
        <v>3</v>
      </c>
      <c r="U404" s="74">
        <v>1</v>
      </c>
      <c r="V404" s="74" t="s">
        <v>179</v>
      </c>
      <c r="W404" s="74">
        <v>84</v>
      </c>
      <c r="X404" s="74">
        <v>10</v>
      </c>
      <c r="Y404" s="74">
        <v>4</v>
      </c>
      <c r="Z404" s="74" t="s">
        <v>881</v>
      </c>
      <c r="AA404" s="74" t="s">
        <v>882</v>
      </c>
      <c r="AB404" s="74" t="s">
        <v>182</v>
      </c>
      <c r="AC404" s="74" t="s">
        <v>183</v>
      </c>
      <c r="AD404" s="74" t="s">
        <v>816</v>
      </c>
      <c r="AG404" s="74" t="s">
        <v>883</v>
      </c>
      <c r="AH404" s="74">
        <v>0</v>
      </c>
      <c r="AI404" s="74">
        <v>215</v>
      </c>
      <c r="AJ404" s="74">
        <v>28</v>
      </c>
      <c r="AK404" s="74">
        <v>89</v>
      </c>
      <c r="AL404" s="74">
        <v>0.9</v>
      </c>
    </row>
    <row r="405" spans="1:38" x14ac:dyDescent="0.3">
      <c r="A405" s="74" t="s">
        <v>810</v>
      </c>
      <c r="B405" s="74">
        <v>102909</v>
      </c>
      <c r="C405" s="74">
        <v>1</v>
      </c>
      <c r="D405" s="74" t="s">
        <v>884</v>
      </c>
      <c r="E405" s="74" t="s">
        <v>885</v>
      </c>
      <c r="F405" s="74">
        <v>99</v>
      </c>
      <c r="G405" s="74">
        <v>18.77</v>
      </c>
      <c r="H405" s="74">
        <v>62.08</v>
      </c>
      <c r="I405" s="74">
        <v>13.03</v>
      </c>
      <c r="J405" s="74">
        <v>43.08</v>
      </c>
      <c r="K405" s="74">
        <v>99</v>
      </c>
      <c r="T405" s="74">
        <v>2</v>
      </c>
      <c r="U405" s="74">
        <v>1</v>
      </c>
      <c r="V405" s="74" t="s">
        <v>179</v>
      </c>
      <c r="W405" s="74">
        <v>62</v>
      </c>
      <c r="X405" s="74">
        <v>9</v>
      </c>
      <c r="Y405" s="74">
        <v>9</v>
      </c>
      <c r="Z405" s="74" t="s">
        <v>886</v>
      </c>
      <c r="AA405" s="74" t="s">
        <v>887</v>
      </c>
      <c r="AB405" s="74" t="s">
        <v>182</v>
      </c>
      <c r="AC405" s="74" t="s">
        <v>183</v>
      </c>
      <c r="AD405" s="74" t="s">
        <v>816</v>
      </c>
      <c r="AG405" s="74" t="s">
        <v>888</v>
      </c>
      <c r="AH405" s="74">
        <v>0</v>
      </c>
      <c r="AI405" s="74">
        <v>168</v>
      </c>
      <c r="AJ405" s="74">
        <v>21</v>
      </c>
      <c r="AK405" s="74">
        <v>72</v>
      </c>
      <c r="AL405" s="74">
        <v>0.73</v>
      </c>
    </row>
    <row r="406" spans="1:38" x14ac:dyDescent="0.3">
      <c r="A406" s="74" t="s">
        <v>810</v>
      </c>
      <c r="B406" s="74">
        <v>118059</v>
      </c>
      <c r="C406" s="74">
        <v>1</v>
      </c>
      <c r="D406" s="74" t="s">
        <v>889</v>
      </c>
      <c r="E406" s="74" t="s">
        <v>890</v>
      </c>
      <c r="F406" s="74">
        <v>349</v>
      </c>
      <c r="G406" s="74">
        <v>10.77</v>
      </c>
      <c r="H406" s="74">
        <v>35.630000000000003</v>
      </c>
      <c r="I406" s="74">
        <v>8.16</v>
      </c>
      <c r="J406" s="74">
        <v>27</v>
      </c>
      <c r="K406" s="74">
        <v>54</v>
      </c>
      <c r="T406" s="74">
        <v>1</v>
      </c>
      <c r="U406" s="74">
        <v>1</v>
      </c>
      <c r="V406" s="74" t="s">
        <v>179</v>
      </c>
      <c r="W406" s="74">
        <v>35</v>
      </c>
      <c r="X406" s="74">
        <v>15</v>
      </c>
      <c r="Y406" s="74">
        <v>9</v>
      </c>
      <c r="Z406" s="74" t="s">
        <v>891</v>
      </c>
      <c r="AA406" s="74" t="s">
        <v>892</v>
      </c>
      <c r="AB406" s="74" t="s">
        <v>182</v>
      </c>
      <c r="AC406" s="74" t="s">
        <v>183</v>
      </c>
      <c r="AD406" s="74" t="s">
        <v>816</v>
      </c>
      <c r="AG406" s="74" t="s">
        <v>893</v>
      </c>
      <c r="AH406" s="74">
        <v>0</v>
      </c>
      <c r="AI406" s="74">
        <v>347</v>
      </c>
      <c r="AJ406" s="74">
        <v>31</v>
      </c>
      <c r="AK406" s="74">
        <v>212</v>
      </c>
      <c r="AL406" s="74">
        <v>0.61</v>
      </c>
    </row>
    <row r="407" spans="1:38" x14ac:dyDescent="0.3">
      <c r="A407" s="74" t="s">
        <v>810</v>
      </c>
      <c r="B407" s="74">
        <v>118059</v>
      </c>
      <c r="C407" s="74">
        <v>2</v>
      </c>
      <c r="D407" s="74" t="s">
        <v>889</v>
      </c>
      <c r="E407" s="74" t="s">
        <v>890</v>
      </c>
      <c r="F407" s="74">
        <v>349</v>
      </c>
      <c r="G407" s="74">
        <v>15.56</v>
      </c>
      <c r="H407" s="74">
        <v>51.46</v>
      </c>
      <c r="I407" s="74">
        <v>11.79</v>
      </c>
      <c r="J407" s="74">
        <v>39</v>
      </c>
      <c r="K407" s="74">
        <v>295</v>
      </c>
      <c r="T407" s="74">
        <v>2</v>
      </c>
      <c r="U407" s="74">
        <v>1</v>
      </c>
      <c r="V407" s="74" t="s">
        <v>179</v>
      </c>
      <c r="W407" s="74">
        <v>51</v>
      </c>
      <c r="X407" s="74">
        <v>15</v>
      </c>
      <c r="Y407" s="74">
        <v>9</v>
      </c>
      <c r="Z407" s="74" t="s">
        <v>891</v>
      </c>
      <c r="AA407" s="74" t="s">
        <v>892</v>
      </c>
      <c r="AB407" s="74" t="s">
        <v>182</v>
      </c>
      <c r="AC407" s="74" t="s">
        <v>183</v>
      </c>
      <c r="AD407" s="74" t="s">
        <v>816</v>
      </c>
      <c r="AG407" s="74" t="s">
        <v>893</v>
      </c>
      <c r="AH407" s="74">
        <v>0</v>
      </c>
      <c r="AI407" s="74">
        <v>347</v>
      </c>
      <c r="AJ407" s="74">
        <v>31</v>
      </c>
      <c r="AK407" s="74">
        <v>212</v>
      </c>
      <c r="AL407" s="74">
        <v>0.61</v>
      </c>
    </row>
    <row r="408" spans="1:38" x14ac:dyDescent="0.3">
      <c r="A408" s="74" t="s">
        <v>894</v>
      </c>
      <c r="B408" s="74">
        <v>5047</v>
      </c>
      <c r="C408" s="74">
        <v>1</v>
      </c>
      <c r="D408" s="74" t="s">
        <v>895</v>
      </c>
      <c r="E408" s="74" t="s">
        <v>466</v>
      </c>
      <c r="F408" s="74">
        <v>381</v>
      </c>
      <c r="G408" s="74">
        <v>24.52</v>
      </c>
      <c r="H408" s="74">
        <v>81.06</v>
      </c>
      <c r="I408" s="74">
        <v>18.11</v>
      </c>
      <c r="J408" s="74">
        <v>59.89</v>
      </c>
      <c r="K408" s="74">
        <v>159</v>
      </c>
      <c r="T408" s="74">
        <v>3</v>
      </c>
      <c r="U408" s="74">
        <v>1</v>
      </c>
      <c r="V408" s="74" t="s">
        <v>179</v>
      </c>
      <c r="W408" s="74">
        <v>81</v>
      </c>
      <c r="X408" s="74">
        <v>15</v>
      </c>
      <c r="Y408" s="74">
        <v>12</v>
      </c>
      <c r="Z408" s="74" t="s">
        <v>896</v>
      </c>
      <c r="AA408" s="74" t="s">
        <v>897</v>
      </c>
      <c r="AB408" s="74" t="s">
        <v>182</v>
      </c>
      <c r="AC408" s="74" t="s">
        <v>183</v>
      </c>
      <c r="AD408" s="74" t="s">
        <v>898</v>
      </c>
      <c r="AG408" s="74" t="s">
        <v>899</v>
      </c>
      <c r="AH408" s="74">
        <v>0</v>
      </c>
      <c r="AI408" s="74">
        <v>259</v>
      </c>
      <c r="AJ408" s="74">
        <v>25</v>
      </c>
      <c r="AK408" s="74">
        <v>343</v>
      </c>
      <c r="AL408" s="74">
        <v>0.9</v>
      </c>
    </row>
    <row r="409" spans="1:38" x14ac:dyDescent="0.3">
      <c r="A409" s="74" t="s">
        <v>894</v>
      </c>
      <c r="B409" s="74">
        <v>5047</v>
      </c>
      <c r="C409" s="74">
        <v>2</v>
      </c>
      <c r="D409" s="74" t="s">
        <v>895</v>
      </c>
      <c r="E409" s="74" t="s">
        <v>466</v>
      </c>
      <c r="F409" s="74">
        <v>381</v>
      </c>
      <c r="G409" s="74">
        <v>31.56</v>
      </c>
      <c r="H409" s="74">
        <v>104.36</v>
      </c>
      <c r="I409" s="74">
        <v>25.67</v>
      </c>
      <c r="J409" s="74">
        <v>84.87</v>
      </c>
      <c r="K409" s="74">
        <v>132</v>
      </c>
      <c r="T409" s="74">
        <v>3</v>
      </c>
      <c r="U409" s="74">
        <v>2</v>
      </c>
      <c r="V409" s="74" t="s">
        <v>186</v>
      </c>
      <c r="W409" s="74">
        <v>104</v>
      </c>
      <c r="X409" s="74">
        <v>15</v>
      </c>
      <c r="Y409" s="74">
        <v>12</v>
      </c>
      <c r="Z409" s="74" t="s">
        <v>896</v>
      </c>
      <c r="AA409" s="74" t="s">
        <v>897</v>
      </c>
      <c r="AB409" s="74" t="s">
        <v>182</v>
      </c>
      <c r="AC409" s="74" t="s">
        <v>183</v>
      </c>
      <c r="AD409" s="74" t="s">
        <v>898</v>
      </c>
      <c r="AG409" s="74" t="s">
        <v>899</v>
      </c>
      <c r="AH409" s="74">
        <v>0</v>
      </c>
      <c r="AI409" s="74">
        <v>259</v>
      </c>
      <c r="AJ409" s="74">
        <v>25</v>
      </c>
      <c r="AK409" s="74">
        <v>343</v>
      </c>
      <c r="AL409" s="74">
        <v>0.9</v>
      </c>
    </row>
    <row r="410" spans="1:38" x14ac:dyDescent="0.3">
      <c r="A410" s="74" t="s">
        <v>894</v>
      </c>
      <c r="B410" s="74">
        <v>5047</v>
      </c>
      <c r="C410" s="74">
        <v>3</v>
      </c>
      <c r="D410" s="74" t="s">
        <v>895</v>
      </c>
      <c r="E410" s="74" t="s">
        <v>466</v>
      </c>
      <c r="F410" s="74">
        <v>381</v>
      </c>
      <c r="G410" s="74">
        <v>46.93</v>
      </c>
      <c r="H410" s="74">
        <v>155.15</v>
      </c>
      <c r="I410" s="74">
        <v>39.75</v>
      </c>
      <c r="J410" s="74">
        <v>131.43</v>
      </c>
      <c r="K410" s="74">
        <v>90</v>
      </c>
      <c r="T410" s="74">
        <v>4</v>
      </c>
      <c r="U410" s="74">
        <v>2</v>
      </c>
      <c r="V410" s="74" t="s">
        <v>186</v>
      </c>
      <c r="W410" s="74">
        <v>155</v>
      </c>
      <c r="X410" s="74">
        <v>15</v>
      </c>
      <c r="Y410" s="74">
        <v>12</v>
      </c>
      <c r="Z410" s="74" t="s">
        <v>896</v>
      </c>
      <c r="AA410" s="74" t="s">
        <v>897</v>
      </c>
      <c r="AB410" s="74" t="s">
        <v>182</v>
      </c>
      <c r="AC410" s="74" t="s">
        <v>183</v>
      </c>
      <c r="AD410" s="74" t="s">
        <v>898</v>
      </c>
      <c r="AG410" s="74" t="s">
        <v>899</v>
      </c>
      <c r="AH410" s="74">
        <v>0</v>
      </c>
      <c r="AI410" s="74">
        <v>259</v>
      </c>
      <c r="AJ410" s="74">
        <v>25</v>
      </c>
      <c r="AK410" s="74">
        <v>343</v>
      </c>
      <c r="AL410" s="74">
        <v>0.9</v>
      </c>
    </row>
    <row r="411" spans="1:38" x14ac:dyDescent="0.3">
      <c r="A411" s="74" t="s">
        <v>894</v>
      </c>
      <c r="B411" s="74">
        <v>123852</v>
      </c>
      <c r="C411" s="74">
        <v>1</v>
      </c>
      <c r="D411" s="74" t="s">
        <v>900</v>
      </c>
      <c r="E411" s="74" t="s">
        <v>901</v>
      </c>
      <c r="F411" s="74">
        <v>24</v>
      </c>
      <c r="G411" s="74">
        <v>11.03</v>
      </c>
      <c r="H411" s="74">
        <v>36.49</v>
      </c>
      <c r="I411" s="74">
        <v>11.03</v>
      </c>
      <c r="J411" s="74">
        <v>36.49</v>
      </c>
      <c r="K411" s="74">
        <v>12</v>
      </c>
      <c r="T411" s="74">
        <v>2</v>
      </c>
      <c r="U411" s="74">
        <v>1</v>
      </c>
      <c r="V411" s="74" t="s">
        <v>186</v>
      </c>
      <c r="W411" s="74">
        <v>36</v>
      </c>
      <c r="X411" s="74">
        <v>4</v>
      </c>
      <c r="Y411" s="74">
        <v>4</v>
      </c>
      <c r="Z411" s="74" t="s">
        <v>902</v>
      </c>
      <c r="AA411" s="74" t="s">
        <v>903</v>
      </c>
      <c r="AB411" s="74" t="s">
        <v>182</v>
      </c>
      <c r="AC411" s="74" t="s">
        <v>183</v>
      </c>
      <c r="AD411" s="74" t="s">
        <v>898</v>
      </c>
      <c r="AG411" s="74" t="s">
        <v>904</v>
      </c>
      <c r="AH411" s="74">
        <v>0</v>
      </c>
      <c r="AI411" s="74">
        <v>120</v>
      </c>
      <c r="AJ411" s="74">
        <v>30</v>
      </c>
      <c r="AK411" s="74">
        <v>0</v>
      </c>
      <c r="AL411" s="74">
        <v>0</v>
      </c>
    </row>
    <row r="412" spans="1:38" x14ac:dyDescent="0.3">
      <c r="A412" s="74" t="s">
        <v>894</v>
      </c>
      <c r="B412" s="74">
        <v>123852</v>
      </c>
      <c r="C412" s="74">
        <v>2</v>
      </c>
      <c r="D412" s="74" t="s">
        <v>900</v>
      </c>
      <c r="E412" s="74" t="s">
        <v>901</v>
      </c>
      <c r="F412" s="74">
        <v>24</v>
      </c>
      <c r="G412" s="74">
        <v>12.29</v>
      </c>
      <c r="H412" s="74">
        <v>40.65</v>
      </c>
      <c r="I412" s="74">
        <v>11.03</v>
      </c>
      <c r="J412" s="74">
        <v>36.49</v>
      </c>
      <c r="K412" s="74">
        <v>1</v>
      </c>
      <c r="T412" s="74">
        <v>2</v>
      </c>
      <c r="U412" s="74">
        <v>1</v>
      </c>
      <c r="V412" s="74" t="s">
        <v>186</v>
      </c>
      <c r="W412" s="74">
        <v>40</v>
      </c>
      <c r="X412" s="74">
        <v>4</v>
      </c>
      <c r="Y412" s="74">
        <v>4</v>
      </c>
      <c r="Z412" s="74" t="s">
        <v>902</v>
      </c>
      <c r="AA412" s="74" t="s">
        <v>903</v>
      </c>
      <c r="AB412" s="74" t="s">
        <v>182</v>
      </c>
      <c r="AC412" s="74" t="s">
        <v>183</v>
      </c>
      <c r="AD412" s="74" t="s">
        <v>898</v>
      </c>
      <c r="AG412" s="74" t="s">
        <v>904</v>
      </c>
      <c r="AH412" s="74">
        <v>0</v>
      </c>
      <c r="AI412" s="74">
        <v>120</v>
      </c>
      <c r="AJ412" s="74">
        <v>30</v>
      </c>
      <c r="AK412" s="74">
        <v>0</v>
      </c>
      <c r="AL412" s="74">
        <v>0</v>
      </c>
    </row>
    <row r="413" spans="1:38" x14ac:dyDescent="0.3">
      <c r="A413" s="74" t="s">
        <v>894</v>
      </c>
      <c r="B413" s="74">
        <v>123852</v>
      </c>
      <c r="C413" s="74">
        <v>3</v>
      </c>
      <c r="D413" s="74" t="s">
        <v>900</v>
      </c>
      <c r="E413" s="74" t="s">
        <v>901</v>
      </c>
      <c r="F413" s="74">
        <v>24</v>
      </c>
      <c r="G413" s="74">
        <v>15.19</v>
      </c>
      <c r="H413" s="74">
        <v>50.24</v>
      </c>
      <c r="I413" s="74">
        <v>11.03</v>
      </c>
      <c r="J413" s="74">
        <v>36.49</v>
      </c>
      <c r="K413" s="74">
        <v>7</v>
      </c>
      <c r="T413" s="74">
        <v>2</v>
      </c>
      <c r="U413" s="74">
        <v>1</v>
      </c>
      <c r="V413" s="74" t="s">
        <v>186</v>
      </c>
      <c r="W413" s="74" t="s">
        <v>905</v>
      </c>
      <c r="X413" s="74">
        <v>4</v>
      </c>
      <c r="Y413" s="74">
        <v>4</v>
      </c>
      <c r="Z413" s="74" t="s">
        <v>902</v>
      </c>
      <c r="AA413" s="74" t="s">
        <v>903</v>
      </c>
      <c r="AB413" s="74" t="s">
        <v>182</v>
      </c>
      <c r="AC413" s="74" t="s">
        <v>183</v>
      </c>
      <c r="AD413" s="74" t="s">
        <v>898</v>
      </c>
      <c r="AG413" s="74" t="s">
        <v>904</v>
      </c>
      <c r="AH413" s="74">
        <v>0</v>
      </c>
      <c r="AI413" s="74">
        <v>120</v>
      </c>
      <c r="AJ413" s="74">
        <v>30</v>
      </c>
      <c r="AK413" s="74">
        <v>0</v>
      </c>
      <c r="AL413" s="74">
        <v>0</v>
      </c>
    </row>
    <row r="414" spans="1:38" x14ac:dyDescent="0.3">
      <c r="A414" s="74" t="s">
        <v>894</v>
      </c>
      <c r="B414" s="74">
        <v>123852</v>
      </c>
      <c r="C414" s="74">
        <v>4</v>
      </c>
      <c r="D414" s="74" t="s">
        <v>900</v>
      </c>
      <c r="E414" s="74" t="s">
        <v>901</v>
      </c>
      <c r="F414" s="74">
        <v>24</v>
      </c>
      <c r="G414" s="74">
        <v>15.19</v>
      </c>
      <c r="H414" s="74">
        <v>50.23</v>
      </c>
      <c r="I414" s="74">
        <v>11.03</v>
      </c>
      <c r="J414" s="74">
        <v>36.49</v>
      </c>
      <c r="K414" s="74">
        <v>3</v>
      </c>
      <c r="T414" s="74">
        <v>2</v>
      </c>
      <c r="U414" s="74">
        <v>1</v>
      </c>
      <c r="V414" s="74" t="s">
        <v>186</v>
      </c>
      <c r="W414" s="74" t="s">
        <v>906</v>
      </c>
      <c r="X414" s="74">
        <v>4</v>
      </c>
      <c r="Y414" s="74">
        <v>4</v>
      </c>
      <c r="Z414" s="74" t="s">
        <v>902</v>
      </c>
      <c r="AA414" s="74" t="s">
        <v>903</v>
      </c>
      <c r="AB414" s="74" t="s">
        <v>182</v>
      </c>
      <c r="AC414" s="74" t="s">
        <v>183</v>
      </c>
      <c r="AD414" s="74" t="s">
        <v>898</v>
      </c>
      <c r="AG414" s="74" t="s">
        <v>904</v>
      </c>
      <c r="AH414" s="74">
        <v>0</v>
      </c>
      <c r="AI414" s="74">
        <v>120</v>
      </c>
      <c r="AJ414" s="74">
        <v>30</v>
      </c>
      <c r="AK414" s="74">
        <v>0</v>
      </c>
      <c r="AL414" s="74">
        <v>0</v>
      </c>
    </row>
    <row r="415" spans="1:38" x14ac:dyDescent="0.3">
      <c r="A415" s="74" t="s">
        <v>894</v>
      </c>
      <c r="B415" s="74">
        <v>123852</v>
      </c>
      <c r="C415" s="74">
        <v>5</v>
      </c>
      <c r="D415" s="74" t="s">
        <v>900</v>
      </c>
      <c r="E415" s="74" t="s">
        <v>901</v>
      </c>
      <c r="F415" s="74">
        <v>24</v>
      </c>
      <c r="G415" s="74">
        <v>15.26</v>
      </c>
      <c r="H415" s="74">
        <v>50.45</v>
      </c>
      <c r="I415" s="74">
        <v>11.03</v>
      </c>
      <c r="J415" s="74">
        <v>36.49</v>
      </c>
      <c r="K415" s="74">
        <v>1</v>
      </c>
      <c r="T415" s="74">
        <v>2</v>
      </c>
      <c r="U415" s="74">
        <v>1</v>
      </c>
      <c r="V415" s="74" t="s">
        <v>186</v>
      </c>
      <c r="W415" s="74" t="s">
        <v>907</v>
      </c>
      <c r="X415" s="74">
        <v>4</v>
      </c>
      <c r="Y415" s="74">
        <v>4</v>
      </c>
      <c r="Z415" s="74" t="s">
        <v>902</v>
      </c>
      <c r="AA415" s="74" t="s">
        <v>903</v>
      </c>
      <c r="AB415" s="74" t="s">
        <v>182</v>
      </c>
      <c r="AC415" s="74" t="s">
        <v>183</v>
      </c>
      <c r="AD415" s="74" t="s">
        <v>898</v>
      </c>
      <c r="AG415" s="74" t="s">
        <v>904</v>
      </c>
      <c r="AH415" s="74">
        <v>0</v>
      </c>
      <c r="AI415" s="74">
        <v>120</v>
      </c>
      <c r="AJ415" s="74">
        <v>30</v>
      </c>
      <c r="AK415" s="74">
        <v>0</v>
      </c>
      <c r="AL415" s="74">
        <v>0</v>
      </c>
    </row>
    <row r="416" spans="1:38" x14ac:dyDescent="0.3">
      <c r="A416" s="74" t="s">
        <v>894</v>
      </c>
      <c r="B416" s="74">
        <v>124774</v>
      </c>
      <c r="C416" s="74">
        <v>1</v>
      </c>
      <c r="D416" s="74" t="s">
        <v>552</v>
      </c>
      <c r="E416" s="74" t="s">
        <v>308</v>
      </c>
      <c r="F416" s="74">
        <v>54</v>
      </c>
      <c r="G416" s="74">
        <v>17.96</v>
      </c>
      <c r="H416" s="74">
        <v>59.39</v>
      </c>
      <c r="I416" s="74">
        <v>13.57</v>
      </c>
      <c r="J416" s="74">
        <v>44.87</v>
      </c>
      <c r="K416" s="74">
        <v>2</v>
      </c>
      <c r="T416" s="74">
        <v>2</v>
      </c>
      <c r="U416" s="74">
        <v>1</v>
      </c>
      <c r="V416" s="74" t="s">
        <v>186</v>
      </c>
      <c r="W416" s="74">
        <v>59</v>
      </c>
      <c r="X416" s="74">
        <v>10</v>
      </c>
      <c r="Y416" s="74">
        <v>9</v>
      </c>
      <c r="Z416" s="74" t="s">
        <v>908</v>
      </c>
      <c r="AA416" s="74" t="s">
        <v>909</v>
      </c>
      <c r="AB416" s="74" t="s">
        <v>182</v>
      </c>
      <c r="AC416" s="74" t="s">
        <v>183</v>
      </c>
      <c r="AD416" s="74" t="s">
        <v>898</v>
      </c>
      <c r="AG416" s="74" t="s">
        <v>910</v>
      </c>
      <c r="AH416" s="74">
        <v>0</v>
      </c>
      <c r="AI416" s="74">
        <v>0</v>
      </c>
      <c r="AJ416" s="74">
        <v>0</v>
      </c>
      <c r="AK416" s="74">
        <v>0</v>
      </c>
      <c r="AL416" s="74">
        <v>0</v>
      </c>
    </row>
    <row r="417" spans="1:38" x14ac:dyDescent="0.3">
      <c r="A417" s="74" t="s">
        <v>894</v>
      </c>
      <c r="B417" s="74">
        <v>124774</v>
      </c>
      <c r="C417" s="74">
        <v>2</v>
      </c>
      <c r="D417" s="74" t="s">
        <v>552</v>
      </c>
      <c r="E417" s="74" t="s">
        <v>308</v>
      </c>
      <c r="F417" s="74">
        <v>54</v>
      </c>
      <c r="G417" s="74">
        <v>18.64</v>
      </c>
      <c r="H417" s="74">
        <v>61.63</v>
      </c>
      <c r="I417" s="74">
        <v>13.99</v>
      </c>
      <c r="J417" s="74">
        <v>46.25</v>
      </c>
      <c r="K417" s="74">
        <v>17</v>
      </c>
      <c r="T417" s="74">
        <v>2</v>
      </c>
      <c r="U417" s="74">
        <v>1</v>
      </c>
      <c r="V417" s="74" t="s">
        <v>186</v>
      </c>
      <c r="W417" s="74">
        <v>61</v>
      </c>
      <c r="X417" s="74">
        <v>10</v>
      </c>
      <c r="Y417" s="74">
        <v>9</v>
      </c>
      <c r="Z417" s="74" t="s">
        <v>908</v>
      </c>
      <c r="AA417" s="74" t="s">
        <v>909</v>
      </c>
      <c r="AB417" s="74" t="s">
        <v>182</v>
      </c>
      <c r="AC417" s="74" t="s">
        <v>183</v>
      </c>
      <c r="AD417" s="74" t="s">
        <v>898</v>
      </c>
      <c r="AG417" s="74" t="s">
        <v>910</v>
      </c>
      <c r="AH417" s="74">
        <v>0</v>
      </c>
      <c r="AI417" s="74">
        <v>0</v>
      </c>
      <c r="AJ417" s="74">
        <v>0</v>
      </c>
      <c r="AK417" s="74">
        <v>0</v>
      </c>
      <c r="AL417" s="74">
        <v>0</v>
      </c>
    </row>
    <row r="418" spans="1:38" x14ac:dyDescent="0.3">
      <c r="A418" s="74" t="s">
        <v>894</v>
      </c>
      <c r="B418" s="74">
        <v>124774</v>
      </c>
      <c r="C418" s="74">
        <v>3</v>
      </c>
      <c r="D418" s="74" t="s">
        <v>552</v>
      </c>
      <c r="E418" s="74" t="s">
        <v>308</v>
      </c>
      <c r="F418" s="74">
        <v>54</v>
      </c>
      <c r="G418" s="74">
        <v>20.11</v>
      </c>
      <c r="H418" s="74">
        <v>66.5</v>
      </c>
      <c r="I418" s="74">
        <v>15.09</v>
      </c>
      <c r="J418" s="74">
        <v>49.91</v>
      </c>
      <c r="K418" s="74">
        <v>35</v>
      </c>
      <c r="T418" s="74">
        <v>3</v>
      </c>
      <c r="U418" s="74">
        <v>1</v>
      </c>
      <c r="V418" s="74" t="s">
        <v>186</v>
      </c>
      <c r="W418" s="74">
        <v>66</v>
      </c>
      <c r="X418" s="74">
        <v>10</v>
      </c>
      <c r="Y418" s="74">
        <v>9</v>
      </c>
      <c r="Z418" s="74" t="s">
        <v>908</v>
      </c>
      <c r="AA418" s="74" t="s">
        <v>909</v>
      </c>
      <c r="AB418" s="74" t="s">
        <v>182</v>
      </c>
      <c r="AC418" s="74" t="s">
        <v>183</v>
      </c>
      <c r="AD418" s="74" t="s">
        <v>898</v>
      </c>
      <c r="AG418" s="74" t="s">
        <v>910</v>
      </c>
      <c r="AH418" s="74">
        <v>0</v>
      </c>
      <c r="AI418" s="74">
        <v>0</v>
      </c>
      <c r="AJ418" s="74">
        <v>0</v>
      </c>
      <c r="AK418" s="74">
        <v>0</v>
      </c>
      <c r="AL418" s="74">
        <v>0</v>
      </c>
    </row>
    <row r="419" spans="1:38" x14ac:dyDescent="0.3">
      <c r="A419" s="74" t="s">
        <v>894</v>
      </c>
      <c r="B419" s="74">
        <v>122293</v>
      </c>
      <c r="C419" s="74">
        <v>1</v>
      </c>
      <c r="D419" s="74" t="s">
        <v>911</v>
      </c>
      <c r="E419" s="74" t="s">
        <v>912</v>
      </c>
      <c r="F419" s="74">
        <v>24</v>
      </c>
      <c r="G419" s="74">
        <v>21.65</v>
      </c>
      <c r="H419" s="74">
        <v>71.58</v>
      </c>
      <c r="I419" s="74">
        <v>14.99</v>
      </c>
      <c r="J419" s="74">
        <v>49.57</v>
      </c>
      <c r="K419" s="74">
        <v>23</v>
      </c>
      <c r="T419" s="74">
        <v>2</v>
      </c>
      <c r="U419" s="74">
        <v>1</v>
      </c>
      <c r="V419" s="74" t="s">
        <v>186</v>
      </c>
      <c r="W419" s="74" t="s">
        <v>270</v>
      </c>
      <c r="X419" s="74">
        <v>13</v>
      </c>
      <c r="Y419" s="74">
        <v>13</v>
      </c>
      <c r="Z419" s="74" t="s">
        <v>913</v>
      </c>
      <c r="AA419" s="74" t="s">
        <v>914</v>
      </c>
      <c r="AB419" s="74" t="s">
        <v>182</v>
      </c>
      <c r="AC419" s="74" t="s">
        <v>183</v>
      </c>
      <c r="AD419" s="74" t="s">
        <v>898</v>
      </c>
      <c r="AG419" s="74" t="s">
        <v>915</v>
      </c>
      <c r="AH419" s="74">
        <v>0</v>
      </c>
      <c r="AI419" s="74">
        <v>272</v>
      </c>
      <c r="AJ419" s="74">
        <v>31</v>
      </c>
      <c r="AK419" s="74">
        <v>17</v>
      </c>
      <c r="AL419" s="74">
        <v>0.71</v>
      </c>
    </row>
    <row r="420" spans="1:38" x14ac:dyDescent="0.3">
      <c r="A420" s="74" t="s">
        <v>894</v>
      </c>
      <c r="B420" s="74">
        <v>122293</v>
      </c>
      <c r="C420" s="74">
        <v>2</v>
      </c>
      <c r="D420" s="74" t="s">
        <v>911</v>
      </c>
      <c r="E420" s="74" t="s">
        <v>912</v>
      </c>
      <c r="F420" s="74">
        <v>24</v>
      </c>
      <c r="G420" s="74">
        <v>21.65</v>
      </c>
      <c r="H420" s="74">
        <v>71.58</v>
      </c>
      <c r="I420" s="74">
        <v>14.99</v>
      </c>
      <c r="J420" s="74">
        <v>49.57</v>
      </c>
      <c r="K420" s="74">
        <v>1</v>
      </c>
      <c r="T420" s="74">
        <v>2</v>
      </c>
      <c r="U420" s="74">
        <v>1</v>
      </c>
      <c r="V420" s="74" t="s">
        <v>186</v>
      </c>
      <c r="W420" s="74" t="s">
        <v>274</v>
      </c>
      <c r="X420" s="74">
        <v>13</v>
      </c>
      <c r="Y420" s="74">
        <v>13</v>
      </c>
      <c r="Z420" s="74" t="s">
        <v>913</v>
      </c>
      <c r="AA420" s="74" t="s">
        <v>914</v>
      </c>
      <c r="AB420" s="74" t="s">
        <v>182</v>
      </c>
      <c r="AC420" s="74" t="s">
        <v>183</v>
      </c>
      <c r="AD420" s="74" t="s">
        <v>898</v>
      </c>
      <c r="AG420" s="74" t="s">
        <v>915</v>
      </c>
      <c r="AH420" s="74">
        <v>0</v>
      </c>
      <c r="AI420" s="74">
        <v>272</v>
      </c>
      <c r="AJ420" s="74">
        <v>31</v>
      </c>
      <c r="AK420" s="74">
        <v>17</v>
      </c>
      <c r="AL420" s="74">
        <v>0.71</v>
      </c>
    </row>
    <row r="421" spans="1:38" x14ac:dyDescent="0.3">
      <c r="A421" s="74" t="s">
        <v>916</v>
      </c>
      <c r="B421" s="74">
        <v>125052</v>
      </c>
      <c r="C421" s="74">
        <v>1</v>
      </c>
      <c r="D421" s="74" t="s">
        <v>917</v>
      </c>
      <c r="E421" s="74" t="s">
        <v>577</v>
      </c>
      <c r="F421" s="74">
        <v>64</v>
      </c>
      <c r="G421" s="74">
        <v>16.170000000000002</v>
      </c>
      <c r="H421" s="74">
        <v>53.46</v>
      </c>
      <c r="I421" s="74">
        <v>11.59</v>
      </c>
      <c r="J421" s="74">
        <v>38.33</v>
      </c>
      <c r="K421" s="74">
        <v>1</v>
      </c>
      <c r="T421" s="74">
        <v>3</v>
      </c>
      <c r="U421" s="74">
        <v>2</v>
      </c>
      <c r="V421" s="74" t="s">
        <v>186</v>
      </c>
      <c r="W421" s="74" t="s">
        <v>129</v>
      </c>
      <c r="X421" s="74">
        <v>6</v>
      </c>
      <c r="Y421" s="74">
        <v>5</v>
      </c>
      <c r="Z421" s="74" t="s">
        <v>918</v>
      </c>
      <c r="AA421" s="74" t="s">
        <v>919</v>
      </c>
      <c r="AB421" s="74" t="s">
        <v>182</v>
      </c>
      <c r="AC421" s="74" t="s">
        <v>183</v>
      </c>
      <c r="AD421" s="74" t="s">
        <v>920</v>
      </c>
      <c r="AG421" s="74" t="s">
        <v>921</v>
      </c>
      <c r="AH421" s="74">
        <v>0</v>
      </c>
      <c r="AI421" s="74">
        <v>242</v>
      </c>
      <c r="AJ421" s="74">
        <v>55</v>
      </c>
      <c r="AK421" s="74">
        <v>46</v>
      </c>
      <c r="AL421" s="74">
        <v>0.72</v>
      </c>
    </row>
    <row r="422" spans="1:38" x14ac:dyDescent="0.3">
      <c r="A422" s="74" t="s">
        <v>916</v>
      </c>
      <c r="B422" s="74">
        <v>125052</v>
      </c>
      <c r="C422" s="74">
        <v>2</v>
      </c>
      <c r="D422" s="74" t="s">
        <v>917</v>
      </c>
      <c r="E422" s="74" t="s">
        <v>577</v>
      </c>
      <c r="F422" s="74">
        <v>64</v>
      </c>
      <c r="G422" s="74">
        <v>16.39</v>
      </c>
      <c r="H422" s="74">
        <v>54.21</v>
      </c>
      <c r="I422" s="74">
        <v>11.75</v>
      </c>
      <c r="J422" s="74">
        <v>38.869999999999997</v>
      </c>
      <c r="K422" s="74">
        <v>3</v>
      </c>
      <c r="T422" s="74">
        <v>3</v>
      </c>
      <c r="U422" s="74">
        <v>2</v>
      </c>
      <c r="V422" s="74" t="s">
        <v>186</v>
      </c>
      <c r="W422" s="74" t="s">
        <v>128</v>
      </c>
      <c r="X422" s="74">
        <v>6</v>
      </c>
      <c r="Y422" s="74">
        <v>5</v>
      </c>
      <c r="Z422" s="74" t="s">
        <v>918</v>
      </c>
      <c r="AA422" s="74" t="s">
        <v>919</v>
      </c>
      <c r="AB422" s="74" t="s">
        <v>182</v>
      </c>
      <c r="AC422" s="74" t="s">
        <v>183</v>
      </c>
      <c r="AD422" s="74" t="s">
        <v>920</v>
      </c>
      <c r="AG422" s="74" t="s">
        <v>921</v>
      </c>
      <c r="AH422" s="74">
        <v>0</v>
      </c>
      <c r="AI422" s="74">
        <v>242</v>
      </c>
      <c r="AJ422" s="74">
        <v>55</v>
      </c>
      <c r="AK422" s="74">
        <v>46</v>
      </c>
      <c r="AL422" s="74">
        <v>0.72</v>
      </c>
    </row>
    <row r="423" spans="1:38" x14ac:dyDescent="0.3">
      <c r="A423" s="74" t="s">
        <v>916</v>
      </c>
      <c r="B423" s="74">
        <v>125052</v>
      </c>
      <c r="C423" s="74">
        <v>3</v>
      </c>
      <c r="D423" s="74" t="s">
        <v>917</v>
      </c>
      <c r="E423" s="74" t="s">
        <v>577</v>
      </c>
      <c r="F423" s="74">
        <v>64</v>
      </c>
      <c r="G423" s="74">
        <v>16.87</v>
      </c>
      <c r="H423" s="74">
        <v>55.8</v>
      </c>
      <c r="I423" s="74">
        <v>12.1</v>
      </c>
      <c r="J423" s="74">
        <v>40.01</v>
      </c>
      <c r="K423" s="74">
        <v>3</v>
      </c>
      <c r="T423" s="74">
        <v>3</v>
      </c>
      <c r="U423" s="74">
        <v>2</v>
      </c>
      <c r="V423" s="74" t="s">
        <v>186</v>
      </c>
      <c r="W423" s="74" t="s">
        <v>309</v>
      </c>
      <c r="X423" s="74">
        <v>6</v>
      </c>
      <c r="Y423" s="74">
        <v>5</v>
      </c>
      <c r="Z423" s="74" t="s">
        <v>918</v>
      </c>
      <c r="AA423" s="74" t="s">
        <v>919</v>
      </c>
      <c r="AB423" s="74" t="s">
        <v>182</v>
      </c>
      <c r="AC423" s="74" t="s">
        <v>183</v>
      </c>
      <c r="AD423" s="74" t="s">
        <v>920</v>
      </c>
      <c r="AG423" s="74" t="s">
        <v>921</v>
      </c>
      <c r="AH423" s="74">
        <v>0</v>
      </c>
      <c r="AI423" s="74">
        <v>242</v>
      </c>
      <c r="AJ423" s="74">
        <v>55</v>
      </c>
      <c r="AK423" s="74">
        <v>46</v>
      </c>
      <c r="AL423" s="74">
        <v>0.72</v>
      </c>
    </row>
    <row r="424" spans="1:38" x14ac:dyDescent="0.3">
      <c r="A424" s="74" t="s">
        <v>916</v>
      </c>
      <c r="B424" s="74">
        <v>125052</v>
      </c>
      <c r="C424" s="74">
        <v>4</v>
      </c>
      <c r="D424" s="74" t="s">
        <v>917</v>
      </c>
      <c r="E424" s="74" t="s">
        <v>577</v>
      </c>
      <c r="F424" s="74">
        <v>64</v>
      </c>
      <c r="G424" s="74">
        <v>17.02</v>
      </c>
      <c r="H424" s="74">
        <v>56.29</v>
      </c>
      <c r="I424" s="74">
        <v>12.2</v>
      </c>
      <c r="J424" s="74">
        <v>40.36</v>
      </c>
      <c r="K424" s="74">
        <v>2</v>
      </c>
      <c r="T424" s="74">
        <v>3</v>
      </c>
      <c r="U424" s="74">
        <v>2</v>
      </c>
      <c r="V424" s="74" t="s">
        <v>186</v>
      </c>
      <c r="W424" s="74" t="s">
        <v>313</v>
      </c>
      <c r="X424" s="74">
        <v>6</v>
      </c>
      <c r="Y424" s="74">
        <v>5</v>
      </c>
      <c r="Z424" s="74" t="s">
        <v>918</v>
      </c>
      <c r="AA424" s="74" t="s">
        <v>919</v>
      </c>
      <c r="AB424" s="74" t="s">
        <v>182</v>
      </c>
      <c r="AC424" s="74" t="s">
        <v>183</v>
      </c>
      <c r="AD424" s="74" t="s">
        <v>920</v>
      </c>
      <c r="AG424" s="74" t="s">
        <v>921</v>
      </c>
      <c r="AH424" s="74">
        <v>0</v>
      </c>
      <c r="AI424" s="74">
        <v>242</v>
      </c>
      <c r="AJ424" s="74">
        <v>55</v>
      </c>
      <c r="AK424" s="74">
        <v>46</v>
      </c>
      <c r="AL424" s="74">
        <v>0.72</v>
      </c>
    </row>
    <row r="425" spans="1:38" x14ac:dyDescent="0.3">
      <c r="A425" s="74" t="s">
        <v>916</v>
      </c>
      <c r="B425" s="74">
        <v>125052</v>
      </c>
      <c r="C425" s="74">
        <v>5</v>
      </c>
      <c r="D425" s="74" t="s">
        <v>917</v>
      </c>
      <c r="E425" s="74" t="s">
        <v>577</v>
      </c>
      <c r="F425" s="74">
        <v>64</v>
      </c>
      <c r="G425" s="74">
        <v>17.04</v>
      </c>
      <c r="H425" s="74">
        <v>56.36</v>
      </c>
      <c r="I425" s="74">
        <v>12.22</v>
      </c>
      <c r="J425" s="74">
        <v>40.409999999999997</v>
      </c>
      <c r="K425" s="74">
        <v>1</v>
      </c>
      <c r="T425" s="74">
        <v>3</v>
      </c>
      <c r="U425" s="74">
        <v>2</v>
      </c>
      <c r="V425" s="74" t="s">
        <v>186</v>
      </c>
      <c r="W425" s="74" t="s">
        <v>922</v>
      </c>
      <c r="X425" s="74">
        <v>6</v>
      </c>
      <c r="Y425" s="74">
        <v>5</v>
      </c>
      <c r="Z425" s="74" t="s">
        <v>918</v>
      </c>
      <c r="AA425" s="74" t="s">
        <v>919</v>
      </c>
      <c r="AB425" s="74" t="s">
        <v>182</v>
      </c>
      <c r="AC425" s="74" t="s">
        <v>183</v>
      </c>
      <c r="AD425" s="74" t="s">
        <v>920</v>
      </c>
      <c r="AG425" s="74" t="s">
        <v>921</v>
      </c>
      <c r="AH425" s="74">
        <v>0</v>
      </c>
      <c r="AI425" s="74">
        <v>242</v>
      </c>
      <c r="AJ425" s="74">
        <v>55</v>
      </c>
      <c r="AK425" s="74">
        <v>46</v>
      </c>
      <c r="AL425" s="74">
        <v>0.72</v>
      </c>
    </row>
    <row r="426" spans="1:38" x14ac:dyDescent="0.3">
      <c r="A426" s="74" t="s">
        <v>916</v>
      </c>
      <c r="B426" s="74">
        <v>125052</v>
      </c>
      <c r="C426" s="74">
        <v>6</v>
      </c>
      <c r="D426" s="74" t="s">
        <v>917</v>
      </c>
      <c r="E426" s="74" t="s">
        <v>577</v>
      </c>
      <c r="F426" s="74">
        <v>64</v>
      </c>
      <c r="G426" s="74">
        <v>17.149999999999999</v>
      </c>
      <c r="H426" s="74">
        <v>56.72</v>
      </c>
      <c r="I426" s="74">
        <v>12.3</v>
      </c>
      <c r="J426" s="74">
        <v>40.67</v>
      </c>
      <c r="K426" s="74">
        <v>1</v>
      </c>
      <c r="T426" s="74">
        <v>3</v>
      </c>
      <c r="U426" s="74">
        <v>2</v>
      </c>
      <c r="V426" s="74" t="s">
        <v>186</v>
      </c>
      <c r="W426" s="74" t="s">
        <v>923</v>
      </c>
      <c r="X426" s="74">
        <v>6</v>
      </c>
      <c r="Y426" s="74">
        <v>5</v>
      </c>
      <c r="Z426" s="74" t="s">
        <v>918</v>
      </c>
      <c r="AA426" s="74" t="s">
        <v>919</v>
      </c>
      <c r="AB426" s="74" t="s">
        <v>182</v>
      </c>
      <c r="AC426" s="74" t="s">
        <v>183</v>
      </c>
      <c r="AD426" s="74" t="s">
        <v>920</v>
      </c>
      <c r="AG426" s="74" t="s">
        <v>921</v>
      </c>
      <c r="AH426" s="74">
        <v>0</v>
      </c>
      <c r="AI426" s="74">
        <v>242</v>
      </c>
      <c r="AJ426" s="74">
        <v>55</v>
      </c>
      <c r="AK426" s="74">
        <v>46</v>
      </c>
      <c r="AL426" s="74">
        <v>0.72</v>
      </c>
    </row>
    <row r="427" spans="1:38" x14ac:dyDescent="0.3">
      <c r="A427" s="74" t="s">
        <v>916</v>
      </c>
      <c r="B427" s="74">
        <v>125052</v>
      </c>
      <c r="C427" s="74">
        <v>7</v>
      </c>
      <c r="D427" s="74" t="s">
        <v>917</v>
      </c>
      <c r="E427" s="74" t="s">
        <v>577</v>
      </c>
      <c r="F427" s="74">
        <v>64</v>
      </c>
      <c r="G427" s="74">
        <v>17.670000000000002</v>
      </c>
      <c r="H427" s="74">
        <v>58.42</v>
      </c>
      <c r="I427" s="74">
        <v>12.22</v>
      </c>
      <c r="J427" s="74">
        <v>40.409999999999997</v>
      </c>
      <c r="K427" s="74">
        <v>2</v>
      </c>
      <c r="T427" s="74">
        <v>3</v>
      </c>
      <c r="U427" s="74">
        <v>2</v>
      </c>
      <c r="V427" s="74" t="s">
        <v>186</v>
      </c>
      <c r="W427" s="74" t="s">
        <v>924</v>
      </c>
      <c r="X427" s="74">
        <v>6</v>
      </c>
      <c r="Y427" s="74">
        <v>5</v>
      </c>
      <c r="Z427" s="74" t="s">
        <v>918</v>
      </c>
      <c r="AA427" s="74" t="s">
        <v>919</v>
      </c>
      <c r="AB427" s="74" t="s">
        <v>182</v>
      </c>
      <c r="AC427" s="74" t="s">
        <v>183</v>
      </c>
      <c r="AD427" s="74" t="s">
        <v>920</v>
      </c>
      <c r="AG427" s="74" t="s">
        <v>921</v>
      </c>
      <c r="AH427" s="74">
        <v>0</v>
      </c>
      <c r="AI427" s="74">
        <v>242</v>
      </c>
      <c r="AJ427" s="74">
        <v>55</v>
      </c>
      <c r="AK427" s="74">
        <v>46</v>
      </c>
      <c r="AL427" s="74">
        <v>0.72</v>
      </c>
    </row>
    <row r="428" spans="1:38" x14ac:dyDescent="0.3">
      <c r="A428" s="74" t="s">
        <v>916</v>
      </c>
      <c r="B428" s="74">
        <v>125052</v>
      </c>
      <c r="C428" s="74">
        <v>8</v>
      </c>
      <c r="D428" s="74" t="s">
        <v>917</v>
      </c>
      <c r="E428" s="74" t="s">
        <v>577</v>
      </c>
      <c r="F428" s="74">
        <v>64</v>
      </c>
      <c r="G428" s="74">
        <v>17.64</v>
      </c>
      <c r="H428" s="74">
        <v>58.34</v>
      </c>
      <c r="I428" s="74">
        <v>12.2</v>
      </c>
      <c r="J428" s="74">
        <v>40.36</v>
      </c>
      <c r="K428" s="74">
        <v>2</v>
      </c>
      <c r="T428" s="74">
        <v>3</v>
      </c>
      <c r="U428" s="74">
        <v>2</v>
      </c>
      <c r="V428" s="74" t="s">
        <v>186</v>
      </c>
      <c r="W428" s="74" t="s">
        <v>925</v>
      </c>
      <c r="X428" s="74">
        <v>6</v>
      </c>
      <c r="Y428" s="74">
        <v>5</v>
      </c>
      <c r="Z428" s="74" t="s">
        <v>918</v>
      </c>
      <c r="AA428" s="74" t="s">
        <v>919</v>
      </c>
      <c r="AB428" s="74" t="s">
        <v>182</v>
      </c>
      <c r="AC428" s="74" t="s">
        <v>183</v>
      </c>
      <c r="AD428" s="74" t="s">
        <v>920</v>
      </c>
      <c r="AG428" s="74" t="s">
        <v>921</v>
      </c>
      <c r="AH428" s="74">
        <v>0</v>
      </c>
      <c r="AI428" s="74">
        <v>242</v>
      </c>
      <c r="AJ428" s="74">
        <v>55</v>
      </c>
      <c r="AK428" s="74">
        <v>46</v>
      </c>
      <c r="AL428" s="74">
        <v>0.72</v>
      </c>
    </row>
    <row r="429" spans="1:38" x14ac:dyDescent="0.3">
      <c r="A429" s="74" t="s">
        <v>916</v>
      </c>
      <c r="B429" s="74">
        <v>125052</v>
      </c>
      <c r="C429" s="74">
        <v>9</v>
      </c>
      <c r="D429" s="74" t="s">
        <v>917</v>
      </c>
      <c r="E429" s="74" t="s">
        <v>577</v>
      </c>
      <c r="F429" s="74">
        <v>64</v>
      </c>
      <c r="G429" s="74">
        <v>21.09</v>
      </c>
      <c r="H429" s="74">
        <v>69.73</v>
      </c>
      <c r="I429" s="74">
        <v>15.12</v>
      </c>
      <c r="J429" s="74">
        <v>50</v>
      </c>
      <c r="K429" s="74">
        <v>3</v>
      </c>
      <c r="T429" s="74">
        <v>3</v>
      </c>
      <c r="U429" s="74">
        <v>2</v>
      </c>
      <c r="V429" s="74" t="s">
        <v>186</v>
      </c>
      <c r="W429" s="74" t="s">
        <v>926</v>
      </c>
      <c r="X429" s="74">
        <v>6</v>
      </c>
      <c r="Y429" s="74">
        <v>5</v>
      </c>
      <c r="Z429" s="74" t="s">
        <v>918</v>
      </c>
      <c r="AA429" s="74" t="s">
        <v>919</v>
      </c>
      <c r="AB429" s="74" t="s">
        <v>182</v>
      </c>
      <c r="AC429" s="74" t="s">
        <v>183</v>
      </c>
      <c r="AD429" s="74" t="s">
        <v>920</v>
      </c>
      <c r="AG429" s="74" t="s">
        <v>921</v>
      </c>
      <c r="AH429" s="74">
        <v>0</v>
      </c>
      <c r="AI429" s="74">
        <v>242</v>
      </c>
      <c r="AJ429" s="74">
        <v>55</v>
      </c>
      <c r="AK429" s="74">
        <v>46</v>
      </c>
      <c r="AL429" s="74">
        <v>0.72</v>
      </c>
    </row>
    <row r="430" spans="1:38" x14ac:dyDescent="0.3">
      <c r="A430" s="74" t="s">
        <v>916</v>
      </c>
      <c r="B430" s="74">
        <v>125052</v>
      </c>
      <c r="C430" s="74">
        <v>10</v>
      </c>
      <c r="D430" s="74" t="s">
        <v>917</v>
      </c>
      <c r="E430" s="74" t="s">
        <v>577</v>
      </c>
      <c r="F430" s="74">
        <v>64</v>
      </c>
      <c r="G430" s="74">
        <v>21.25</v>
      </c>
      <c r="H430" s="74">
        <v>70.260000000000005</v>
      </c>
      <c r="I430" s="74">
        <v>15.23</v>
      </c>
      <c r="J430" s="74">
        <v>50.38</v>
      </c>
      <c r="K430" s="74">
        <v>3</v>
      </c>
      <c r="T430" s="74">
        <v>3</v>
      </c>
      <c r="U430" s="74">
        <v>2</v>
      </c>
      <c r="V430" s="74" t="s">
        <v>186</v>
      </c>
      <c r="W430" s="74" t="s">
        <v>743</v>
      </c>
      <c r="X430" s="74">
        <v>6</v>
      </c>
      <c r="Y430" s="74">
        <v>5</v>
      </c>
      <c r="Z430" s="74" t="s">
        <v>918</v>
      </c>
      <c r="AA430" s="74" t="s">
        <v>919</v>
      </c>
      <c r="AB430" s="74" t="s">
        <v>182</v>
      </c>
      <c r="AC430" s="74" t="s">
        <v>183</v>
      </c>
      <c r="AD430" s="74" t="s">
        <v>920</v>
      </c>
      <c r="AG430" s="74" t="s">
        <v>921</v>
      </c>
      <c r="AH430" s="74">
        <v>0</v>
      </c>
      <c r="AI430" s="74">
        <v>242</v>
      </c>
      <c r="AJ430" s="74">
        <v>55</v>
      </c>
      <c r="AK430" s="74">
        <v>46</v>
      </c>
      <c r="AL430" s="74">
        <v>0.72</v>
      </c>
    </row>
    <row r="431" spans="1:38" x14ac:dyDescent="0.3">
      <c r="A431" s="74" t="s">
        <v>916</v>
      </c>
      <c r="B431" s="74">
        <v>125052</v>
      </c>
      <c r="C431" s="74">
        <v>11</v>
      </c>
      <c r="D431" s="74" t="s">
        <v>917</v>
      </c>
      <c r="E431" s="74" t="s">
        <v>577</v>
      </c>
      <c r="F431" s="74">
        <v>64</v>
      </c>
      <c r="G431" s="74">
        <v>21.23</v>
      </c>
      <c r="H431" s="74">
        <v>70.19</v>
      </c>
      <c r="I431" s="74">
        <v>15.22</v>
      </c>
      <c r="J431" s="74">
        <v>50.33</v>
      </c>
      <c r="K431" s="74">
        <v>1</v>
      </c>
      <c r="T431" s="74">
        <v>3</v>
      </c>
      <c r="U431" s="74">
        <v>2</v>
      </c>
      <c r="V431" s="74" t="s">
        <v>186</v>
      </c>
      <c r="W431" s="74" t="s">
        <v>927</v>
      </c>
      <c r="X431" s="74">
        <v>6</v>
      </c>
      <c r="Y431" s="74">
        <v>5</v>
      </c>
      <c r="Z431" s="74" t="s">
        <v>918</v>
      </c>
      <c r="AA431" s="74" t="s">
        <v>919</v>
      </c>
      <c r="AB431" s="74" t="s">
        <v>182</v>
      </c>
      <c r="AC431" s="74" t="s">
        <v>183</v>
      </c>
      <c r="AD431" s="74" t="s">
        <v>920</v>
      </c>
      <c r="AG431" s="74" t="s">
        <v>921</v>
      </c>
      <c r="AH431" s="74">
        <v>0</v>
      </c>
      <c r="AI431" s="74">
        <v>242</v>
      </c>
      <c r="AJ431" s="74">
        <v>55</v>
      </c>
      <c r="AK431" s="74">
        <v>46</v>
      </c>
      <c r="AL431" s="74">
        <v>0.72</v>
      </c>
    </row>
    <row r="432" spans="1:38" x14ac:dyDescent="0.3">
      <c r="A432" s="74" t="s">
        <v>916</v>
      </c>
      <c r="B432" s="74">
        <v>125052</v>
      </c>
      <c r="C432" s="74">
        <v>12</v>
      </c>
      <c r="D432" s="74" t="s">
        <v>917</v>
      </c>
      <c r="E432" s="74" t="s">
        <v>577</v>
      </c>
      <c r="F432" s="74">
        <v>64</v>
      </c>
      <c r="G432" s="74">
        <v>21.39</v>
      </c>
      <c r="H432" s="74">
        <v>70.72</v>
      </c>
      <c r="I432" s="74">
        <v>15.33</v>
      </c>
      <c r="J432" s="74">
        <v>50.71</v>
      </c>
      <c r="K432" s="74">
        <v>1</v>
      </c>
      <c r="T432" s="74">
        <v>3</v>
      </c>
      <c r="U432" s="74">
        <v>2</v>
      </c>
      <c r="V432" s="74" t="s">
        <v>186</v>
      </c>
      <c r="W432" s="74" t="s">
        <v>928</v>
      </c>
      <c r="X432" s="74">
        <v>6</v>
      </c>
      <c r="Y432" s="74">
        <v>5</v>
      </c>
      <c r="Z432" s="74" t="s">
        <v>918</v>
      </c>
      <c r="AA432" s="74" t="s">
        <v>919</v>
      </c>
      <c r="AB432" s="74" t="s">
        <v>182</v>
      </c>
      <c r="AC432" s="74" t="s">
        <v>183</v>
      </c>
      <c r="AD432" s="74" t="s">
        <v>920</v>
      </c>
      <c r="AG432" s="74" t="s">
        <v>921</v>
      </c>
      <c r="AH432" s="74">
        <v>0</v>
      </c>
      <c r="AI432" s="74">
        <v>242</v>
      </c>
      <c r="AJ432" s="74">
        <v>55</v>
      </c>
      <c r="AK432" s="74">
        <v>46</v>
      </c>
      <c r="AL432" s="74">
        <v>0.72</v>
      </c>
    </row>
    <row r="433" spans="1:38" x14ac:dyDescent="0.3">
      <c r="A433" s="74" t="s">
        <v>916</v>
      </c>
      <c r="B433" s="74">
        <v>125052</v>
      </c>
      <c r="C433" s="74">
        <v>13</v>
      </c>
      <c r="D433" s="74" t="s">
        <v>917</v>
      </c>
      <c r="E433" s="74" t="s">
        <v>577</v>
      </c>
      <c r="F433" s="74">
        <v>64</v>
      </c>
      <c r="G433" s="74">
        <v>22</v>
      </c>
      <c r="H433" s="74">
        <v>72.760000000000005</v>
      </c>
      <c r="I433" s="74">
        <v>15.22</v>
      </c>
      <c r="J433" s="74">
        <v>50.33</v>
      </c>
      <c r="K433" s="74">
        <v>2</v>
      </c>
      <c r="T433" s="74">
        <v>3</v>
      </c>
      <c r="U433" s="74">
        <v>2</v>
      </c>
      <c r="V433" s="74" t="s">
        <v>186</v>
      </c>
      <c r="W433" s="74" t="s">
        <v>929</v>
      </c>
      <c r="X433" s="74">
        <v>6</v>
      </c>
      <c r="Y433" s="74">
        <v>5</v>
      </c>
      <c r="Z433" s="74" t="s">
        <v>918</v>
      </c>
      <c r="AA433" s="74" t="s">
        <v>919</v>
      </c>
      <c r="AB433" s="74" t="s">
        <v>182</v>
      </c>
      <c r="AC433" s="74" t="s">
        <v>183</v>
      </c>
      <c r="AD433" s="74" t="s">
        <v>920</v>
      </c>
      <c r="AG433" s="74" t="s">
        <v>921</v>
      </c>
      <c r="AH433" s="74">
        <v>0</v>
      </c>
      <c r="AI433" s="74">
        <v>242</v>
      </c>
      <c r="AJ433" s="74">
        <v>55</v>
      </c>
      <c r="AK433" s="74">
        <v>46</v>
      </c>
      <c r="AL433" s="74">
        <v>0.72</v>
      </c>
    </row>
    <row r="434" spans="1:38" x14ac:dyDescent="0.3">
      <c r="A434" s="74" t="s">
        <v>916</v>
      </c>
      <c r="B434" s="74">
        <v>125052</v>
      </c>
      <c r="C434" s="74">
        <v>14</v>
      </c>
      <c r="D434" s="74" t="s">
        <v>917</v>
      </c>
      <c r="E434" s="74" t="s">
        <v>577</v>
      </c>
      <c r="F434" s="74">
        <v>64</v>
      </c>
      <c r="G434" s="74">
        <v>22.03</v>
      </c>
      <c r="H434" s="74">
        <v>72.83</v>
      </c>
      <c r="I434" s="74">
        <v>15.23</v>
      </c>
      <c r="J434" s="74">
        <v>50.38</v>
      </c>
      <c r="K434" s="74">
        <v>2</v>
      </c>
      <c r="T434" s="74">
        <v>3</v>
      </c>
      <c r="U434" s="74">
        <v>2</v>
      </c>
      <c r="V434" s="74" t="s">
        <v>186</v>
      </c>
      <c r="W434" s="74" t="s">
        <v>930</v>
      </c>
      <c r="X434" s="74">
        <v>6</v>
      </c>
      <c r="Y434" s="74">
        <v>5</v>
      </c>
      <c r="Z434" s="74" t="s">
        <v>918</v>
      </c>
      <c r="AA434" s="74" t="s">
        <v>919</v>
      </c>
      <c r="AB434" s="74" t="s">
        <v>182</v>
      </c>
      <c r="AC434" s="74" t="s">
        <v>183</v>
      </c>
      <c r="AD434" s="74" t="s">
        <v>920</v>
      </c>
      <c r="AG434" s="74" t="s">
        <v>921</v>
      </c>
      <c r="AH434" s="74">
        <v>0</v>
      </c>
      <c r="AI434" s="74">
        <v>242</v>
      </c>
      <c r="AJ434" s="74">
        <v>55</v>
      </c>
      <c r="AK434" s="74">
        <v>46</v>
      </c>
      <c r="AL434" s="74">
        <v>0.72</v>
      </c>
    </row>
    <row r="435" spans="1:38" x14ac:dyDescent="0.3">
      <c r="A435" s="74" t="s">
        <v>916</v>
      </c>
      <c r="B435" s="74">
        <v>125052</v>
      </c>
      <c r="C435" s="74">
        <v>15</v>
      </c>
      <c r="D435" s="74" t="s">
        <v>917</v>
      </c>
      <c r="E435" s="74" t="s">
        <v>577</v>
      </c>
      <c r="F435" s="74">
        <v>64</v>
      </c>
      <c r="G435" s="74">
        <v>22.22</v>
      </c>
      <c r="H435" s="74">
        <v>73.47</v>
      </c>
      <c r="I435" s="74">
        <v>15.93</v>
      </c>
      <c r="J435" s="74">
        <v>52.68</v>
      </c>
      <c r="K435" s="74">
        <v>9</v>
      </c>
      <c r="T435" s="74">
        <v>3</v>
      </c>
      <c r="U435" s="74">
        <v>2</v>
      </c>
      <c r="V435" s="74" t="s">
        <v>186</v>
      </c>
      <c r="W435" s="74" t="s">
        <v>931</v>
      </c>
      <c r="X435" s="74">
        <v>6</v>
      </c>
      <c r="Y435" s="74">
        <v>5</v>
      </c>
      <c r="Z435" s="74" t="s">
        <v>918</v>
      </c>
      <c r="AA435" s="74" t="s">
        <v>919</v>
      </c>
      <c r="AB435" s="74" t="s">
        <v>182</v>
      </c>
      <c r="AC435" s="74" t="s">
        <v>183</v>
      </c>
      <c r="AD435" s="74" t="s">
        <v>920</v>
      </c>
      <c r="AG435" s="74" t="s">
        <v>921</v>
      </c>
      <c r="AH435" s="74">
        <v>0</v>
      </c>
      <c r="AI435" s="74">
        <v>242</v>
      </c>
      <c r="AJ435" s="74">
        <v>55</v>
      </c>
      <c r="AK435" s="74">
        <v>46</v>
      </c>
      <c r="AL435" s="74">
        <v>0.72</v>
      </c>
    </row>
    <row r="436" spans="1:38" x14ac:dyDescent="0.3">
      <c r="A436" s="74" t="s">
        <v>916</v>
      </c>
      <c r="B436" s="74">
        <v>125052</v>
      </c>
      <c r="C436" s="74">
        <v>16</v>
      </c>
      <c r="D436" s="74" t="s">
        <v>917</v>
      </c>
      <c r="E436" s="74" t="s">
        <v>577</v>
      </c>
      <c r="F436" s="74">
        <v>64</v>
      </c>
      <c r="G436" s="74">
        <v>22.38</v>
      </c>
      <c r="H436" s="74">
        <v>74</v>
      </c>
      <c r="I436" s="74">
        <v>16.05</v>
      </c>
      <c r="J436" s="74">
        <v>53.06</v>
      </c>
      <c r="K436" s="74">
        <v>12</v>
      </c>
      <c r="T436" s="74">
        <v>3</v>
      </c>
      <c r="U436" s="74">
        <v>2</v>
      </c>
      <c r="V436" s="74" t="s">
        <v>186</v>
      </c>
      <c r="W436" s="74" t="s">
        <v>932</v>
      </c>
      <c r="X436" s="74">
        <v>6</v>
      </c>
      <c r="Y436" s="74">
        <v>5</v>
      </c>
      <c r="Z436" s="74" t="s">
        <v>918</v>
      </c>
      <c r="AA436" s="74" t="s">
        <v>919</v>
      </c>
      <c r="AB436" s="74" t="s">
        <v>182</v>
      </c>
      <c r="AC436" s="74" t="s">
        <v>183</v>
      </c>
      <c r="AD436" s="74" t="s">
        <v>920</v>
      </c>
      <c r="AG436" s="74" t="s">
        <v>921</v>
      </c>
      <c r="AH436" s="74">
        <v>0</v>
      </c>
      <c r="AI436" s="74">
        <v>242</v>
      </c>
      <c r="AJ436" s="74">
        <v>55</v>
      </c>
      <c r="AK436" s="74">
        <v>46</v>
      </c>
      <c r="AL436" s="74">
        <v>0.72</v>
      </c>
    </row>
    <row r="437" spans="1:38" x14ac:dyDescent="0.3">
      <c r="A437" s="74" t="s">
        <v>916</v>
      </c>
      <c r="B437" s="74">
        <v>125052</v>
      </c>
      <c r="C437" s="74">
        <v>17</v>
      </c>
      <c r="D437" s="74" t="s">
        <v>917</v>
      </c>
      <c r="E437" s="74" t="s">
        <v>577</v>
      </c>
      <c r="F437" s="74">
        <v>64</v>
      </c>
      <c r="G437" s="74">
        <v>22.54</v>
      </c>
      <c r="H437" s="74">
        <v>74.53</v>
      </c>
      <c r="I437" s="74">
        <v>16.16</v>
      </c>
      <c r="J437" s="74">
        <v>53.44</v>
      </c>
      <c r="K437" s="74">
        <v>3</v>
      </c>
      <c r="T437" s="74">
        <v>3</v>
      </c>
      <c r="U437" s="74">
        <v>2</v>
      </c>
      <c r="V437" s="74" t="s">
        <v>186</v>
      </c>
      <c r="W437" s="74" t="s">
        <v>139</v>
      </c>
      <c r="X437" s="74">
        <v>6</v>
      </c>
      <c r="Y437" s="74">
        <v>5</v>
      </c>
      <c r="Z437" s="74" t="s">
        <v>918</v>
      </c>
      <c r="AA437" s="74" t="s">
        <v>919</v>
      </c>
      <c r="AB437" s="74" t="s">
        <v>182</v>
      </c>
      <c r="AC437" s="74" t="s">
        <v>183</v>
      </c>
      <c r="AD437" s="74" t="s">
        <v>920</v>
      </c>
      <c r="AG437" s="74" t="s">
        <v>921</v>
      </c>
      <c r="AH437" s="74">
        <v>0</v>
      </c>
      <c r="AI437" s="74">
        <v>242</v>
      </c>
      <c r="AJ437" s="74">
        <v>55</v>
      </c>
      <c r="AK437" s="74">
        <v>46</v>
      </c>
      <c r="AL437" s="74">
        <v>0.72</v>
      </c>
    </row>
    <row r="438" spans="1:38" x14ac:dyDescent="0.3">
      <c r="A438" s="74" t="s">
        <v>916</v>
      </c>
      <c r="B438" s="74">
        <v>125052</v>
      </c>
      <c r="C438" s="74">
        <v>18</v>
      </c>
      <c r="D438" s="74" t="s">
        <v>917</v>
      </c>
      <c r="E438" s="74" t="s">
        <v>577</v>
      </c>
      <c r="F438" s="74">
        <v>64</v>
      </c>
      <c r="G438" s="74">
        <v>23.2</v>
      </c>
      <c r="H438" s="74">
        <v>76.7</v>
      </c>
      <c r="I438" s="74">
        <v>16.05</v>
      </c>
      <c r="J438" s="74">
        <v>53.06</v>
      </c>
      <c r="K438" s="74">
        <v>12</v>
      </c>
      <c r="T438" s="74">
        <v>3</v>
      </c>
      <c r="U438" s="74">
        <v>2</v>
      </c>
      <c r="V438" s="74" t="s">
        <v>186</v>
      </c>
      <c r="W438" s="74" t="s">
        <v>73</v>
      </c>
      <c r="X438" s="74">
        <v>6</v>
      </c>
      <c r="Y438" s="74">
        <v>5</v>
      </c>
      <c r="Z438" s="74" t="s">
        <v>918</v>
      </c>
      <c r="AA438" s="74" t="s">
        <v>919</v>
      </c>
      <c r="AB438" s="74" t="s">
        <v>182</v>
      </c>
      <c r="AC438" s="74" t="s">
        <v>183</v>
      </c>
      <c r="AD438" s="74" t="s">
        <v>920</v>
      </c>
      <c r="AG438" s="74" t="s">
        <v>921</v>
      </c>
      <c r="AH438" s="74">
        <v>0</v>
      </c>
      <c r="AI438" s="74">
        <v>242</v>
      </c>
      <c r="AJ438" s="74">
        <v>55</v>
      </c>
      <c r="AK438" s="74">
        <v>46</v>
      </c>
      <c r="AL438" s="74">
        <v>0.72</v>
      </c>
    </row>
    <row r="439" spans="1:38" x14ac:dyDescent="0.3">
      <c r="A439" s="74" t="s">
        <v>916</v>
      </c>
      <c r="B439" s="74">
        <v>125052</v>
      </c>
      <c r="C439" s="74">
        <v>19</v>
      </c>
      <c r="D439" s="74" t="s">
        <v>917</v>
      </c>
      <c r="E439" s="74" t="s">
        <v>577</v>
      </c>
      <c r="F439" s="74">
        <v>64</v>
      </c>
      <c r="G439" s="74">
        <v>28.42</v>
      </c>
      <c r="H439" s="74">
        <v>93.97</v>
      </c>
      <c r="I439" s="74">
        <v>20.38</v>
      </c>
      <c r="J439" s="74">
        <v>67.38</v>
      </c>
      <c r="K439" s="74">
        <v>1</v>
      </c>
      <c r="T439" s="74">
        <v>3</v>
      </c>
      <c r="U439" s="74">
        <v>2</v>
      </c>
      <c r="V439" s="74" t="s">
        <v>186</v>
      </c>
      <c r="W439" s="74">
        <v>93</v>
      </c>
      <c r="X439" s="74">
        <v>6</v>
      </c>
      <c r="Y439" s="74">
        <v>5</v>
      </c>
      <c r="Z439" s="74" t="s">
        <v>918</v>
      </c>
      <c r="AA439" s="74" t="s">
        <v>919</v>
      </c>
      <c r="AB439" s="74" t="s">
        <v>182</v>
      </c>
      <c r="AC439" s="74" t="s">
        <v>183</v>
      </c>
      <c r="AD439" s="74" t="s">
        <v>920</v>
      </c>
      <c r="AG439" s="74" t="s">
        <v>921</v>
      </c>
      <c r="AH439" s="74">
        <v>0</v>
      </c>
      <c r="AI439" s="74">
        <v>242</v>
      </c>
      <c r="AJ439" s="74">
        <v>55</v>
      </c>
      <c r="AK439" s="74">
        <v>46</v>
      </c>
      <c r="AL439" s="74">
        <v>0.72</v>
      </c>
    </row>
    <row r="440" spans="1:38" x14ac:dyDescent="0.3">
      <c r="A440" s="74" t="s">
        <v>916</v>
      </c>
      <c r="B440" s="74">
        <v>16994</v>
      </c>
      <c r="C440" s="74">
        <v>1</v>
      </c>
      <c r="D440" s="74" t="s">
        <v>933</v>
      </c>
      <c r="E440" s="74" t="s">
        <v>934</v>
      </c>
      <c r="F440" s="74">
        <v>226</v>
      </c>
      <c r="G440" s="74">
        <v>17.010000000000002</v>
      </c>
      <c r="H440" s="74">
        <v>56.26</v>
      </c>
      <c r="I440" s="74">
        <v>13.04</v>
      </c>
      <c r="J440" s="74">
        <v>43.14</v>
      </c>
      <c r="K440" s="74">
        <v>12</v>
      </c>
      <c r="T440" s="74">
        <v>2</v>
      </c>
      <c r="U440" s="74">
        <v>1</v>
      </c>
      <c r="V440" s="74" t="s">
        <v>186</v>
      </c>
      <c r="W440" s="74">
        <v>56</v>
      </c>
      <c r="X440" s="74">
        <v>6</v>
      </c>
      <c r="Y440" s="74">
        <v>5</v>
      </c>
      <c r="Z440" s="74" t="s">
        <v>935</v>
      </c>
      <c r="AA440" s="74" t="s">
        <v>936</v>
      </c>
      <c r="AB440" s="74" t="s">
        <v>182</v>
      </c>
      <c r="AC440" s="74" t="s">
        <v>183</v>
      </c>
      <c r="AD440" s="74" t="s">
        <v>920</v>
      </c>
      <c r="AG440" s="74" t="s">
        <v>937</v>
      </c>
      <c r="AH440" s="74">
        <v>0</v>
      </c>
      <c r="AI440" s="74">
        <v>0</v>
      </c>
      <c r="AJ440" s="74">
        <v>0</v>
      </c>
      <c r="AK440" s="74">
        <v>0</v>
      </c>
      <c r="AL440" s="74">
        <v>0</v>
      </c>
    </row>
    <row r="441" spans="1:38" x14ac:dyDescent="0.3">
      <c r="A441" s="74" t="s">
        <v>916</v>
      </c>
      <c r="B441" s="74">
        <v>16994</v>
      </c>
      <c r="C441" s="74">
        <v>2</v>
      </c>
      <c r="D441" s="74" t="s">
        <v>933</v>
      </c>
      <c r="E441" s="74" t="s">
        <v>934</v>
      </c>
      <c r="F441" s="74">
        <v>226</v>
      </c>
      <c r="G441" s="74">
        <v>19.59</v>
      </c>
      <c r="H441" s="74">
        <v>64.790000000000006</v>
      </c>
      <c r="I441" s="74">
        <v>14.81</v>
      </c>
      <c r="J441" s="74">
        <v>48.99</v>
      </c>
      <c r="K441" s="74">
        <v>20</v>
      </c>
      <c r="T441" s="74">
        <v>2</v>
      </c>
      <c r="U441" s="74">
        <v>1</v>
      </c>
      <c r="V441" s="74" t="s">
        <v>186</v>
      </c>
      <c r="W441" s="74">
        <v>64</v>
      </c>
      <c r="X441" s="74">
        <v>6</v>
      </c>
      <c r="Y441" s="74">
        <v>5</v>
      </c>
      <c r="Z441" s="74" t="s">
        <v>935</v>
      </c>
      <c r="AA441" s="74" t="s">
        <v>936</v>
      </c>
      <c r="AB441" s="74" t="s">
        <v>182</v>
      </c>
      <c r="AC441" s="74" t="s">
        <v>183</v>
      </c>
      <c r="AD441" s="74" t="s">
        <v>920</v>
      </c>
      <c r="AG441" s="74" t="s">
        <v>937</v>
      </c>
      <c r="AH441" s="74">
        <v>0</v>
      </c>
      <c r="AI441" s="74">
        <v>0</v>
      </c>
      <c r="AJ441" s="74">
        <v>0</v>
      </c>
      <c r="AK441" s="74">
        <v>0</v>
      </c>
      <c r="AL441" s="74">
        <v>0</v>
      </c>
    </row>
    <row r="442" spans="1:38" x14ac:dyDescent="0.3">
      <c r="A442" s="74" t="s">
        <v>916</v>
      </c>
      <c r="B442" s="74">
        <v>16994</v>
      </c>
      <c r="C442" s="74">
        <v>3</v>
      </c>
      <c r="D442" s="74" t="s">
        <v>933</v>
      </c>
      <c r="E442" s="74" t="s">
        <v>934</v>
      </c>
      <c r="F442" s="74">
        <v>226</v>
      </c>
      <c r="G442" s="74">
        <v>22.57</v>
      </c>
      <c r="H442" s="74">
        <v>74.64</v>
      </c>
      <c r="I442" s="74">
        <v>17.79</v>
      </c>
      <c r="J442" s="74">
        <v>58.83</v>
      </c>
      <c r="K442" s="74">
        <v>18</v>
      </c>
      <c r="T442" s="74">
        <v>3</v>
      </c>
      <c r="U442" s="74">
        <v>2</v>
      </c>
      <c r="V442" s="74" t="s">
        <v>186</v>
      </c>
      <c r="W442" s="74" t="s">
        <v>228</v>
      </c>
      <c r="X442" s="74">
        <v>6</v>
      </c>
      <c r="Y442" s="74">
        <v>5</v>
      </c>
      <c r="Z442" s="74" t="s">
        <v>935</v>
      </c>
      <c r="AA442" s="74" t="s">
        <v>936</v>
      </c>
      <c r="AB442" s="74" t="s">
        <v>182</v>
      </c>
      <c r="AC442" s="74" t="s">
        <v>183</v>
      </c>
      <c r="AD442" s="74" t="s">
        <v>920</v>
      </c>
      <c r="AG442" s="74" t="s">
        <v>937</v>
      </c>
      <c r="AH442" s="74">
        <v>0</v>
      </c>
      <c r="AI442" s="74">
        <v>0</v>
      </c>
      <c r="AJ442" s="74">
        <v>0</v>
      </c>
      <c r="AK442" s="74">
        <v>0</v>
      </c>
      <c r="AL442" s="74">
        <v>0</v>
      </c>
    </row>
    <row r="443" spans="1:38" x14ac:dyDescent="0.3">
      <c r="A443" s="74" t="s">
        <v>916</v>
      </c>
      <c r="B443" s="74">
        <v>16994</v>
      </c>
      <c r="C443" s="74">
        <v>4</v>
      </c>
      <c r="D443" s="74" t="s">
        <v>933</v>
      </c>
      <c r="E443" s="74" t="s">
        <v>934</v>
      </c>
      <c r="F443" s="74">
        <v>226</v>
      </c>
      <c r="G443" s="74">
        <v>23.25</v>
      </c>
      <c r="H443" s="74">
        <v>76.87</v>
      </c>
      <c r="I443" s="74">
        <v>18</v>
      </c>
      <c r="J443" s="74">
        <v>59.52</v>
      </c>
      <c r="K443" s="74">
        <v>56</v>
      </c>
      <c r="T443" s="74">
        <v>3</v>
      </c>
      <c r="U443" s="74">
        <v>2</v>
      </c>
      <c r="V443" s="74" t="s">
        <v>186</v>
      </c>
      <c r="W443" s="74" t="s">
        <v>938</v>
      </c>
      <c r="X443" s="74">
        <v>6</v>
      </c>
      <c r="Y443" s="74">
        <v>5</v>
      </c>
      <c r="Z443" s="74" t="s">
        <v>935</v>
      </c>
      <c r="AA443" s="74" t="s">
        <v>936</v>
      </c>
      <c r="AB443" s="74" t="s">
        <v>182</v>
      </c>
      <c r="AC443" s="74" t="s">
        <v>183</v>
      </c>
      <c r="AD443" s="74" t="s">
        <v>920</v>
      </c>
      <c r="AG443" s="74" t="s">
        <v>937</v>
      </c>
      <c r="AH443" s="74">
        <v>0</v>
      </c>
      <c r="AI443" s="74">
        <v>0</v>
      </c>
      <c r="AJ443" s="74">
        <v>0</v>
      </c>
      <c r="AK443" s="74">
        <v>0</v>
      </c>
      <c r="AL443" s="74">
        <v>0</v>
      </c>
    </row>
    <row r="444" spans="1:38" x14ac:dyDescent="0.3">
      <c r="A444" s="74" t="s">
        <v>916</v>
      </c>
      <c r="B444" s="74">
        <v>16994</v>
      </c>
      <c r="C444" s="74">
        <v>5</v>
      </c>
      <c r="D444" s="74" t="s">
        <v>933</v>
      </c>
      <c r="E444" s="74" t="s">
        <v>934</v>
      </c>
      <c r="F444" s="74">
        <v>226</v>
      </c>
      <c r="G444" s="74">
        <v>23.44</v>
      </c>
      <c r="H444" s="74">
        <v>77.52</v>
      </c>
      <c r="I444" s="74">
        <v>18.059999999999999</v>
      </c>
      <c r="J444" s="74">
        <v>59.73</v>
      </c>
      <c r="K444" s="74">
        <v>60</v>
      </c>
      <c r="T444" s="74">
        <v>3</v>
      </c>
      <c r="U444" s="74">
        <v>2</v>
      </c>
      <c r="V444" s="74" t="s">
        <v>186</v>
      </c>
      <c r="W444" s="74" t="s">
        <v>147</v>
      </c>
      <c r="X444" s="74">
        <v>6</v>
      </c>
      <c r="Y444" s="74">
        <v>5</v>
      </c>
      <c r="Z444" s="74" t="s">
        <v>935</v>
      </c>
      <c r="AA444" s="74" t="s">
        <v>936</v>
      </c>
      <c r="AB444" s="74" t="s">
        <v>182</v>
      </c>
      <c r="AC444" s="74" t="s">
        <v>183</v>
      </c>
      <c r="AD444" s="74" t="s">
        <v>920</v>
      </c>
      <c r="AG444" s="74" t="s">
        <v>937</v>
      </c>
      <c r="AH444" s="74">
        <v>0</v>
      </c>
      <c r="AI444" s="74">
        <v>0</v>
      </c>
      <c r="AJ444" s="74">
        <v>0</v>
      </c>
      <c r="AK444" s="74">
        <v>0</v>
      </c>
      <c r="AL444" s="74">
        <v>0</v>
      </c>
    </row>
    <row r="445" spans="1:38" x14ac:dyDescent="0.3">
      <c r="A445" s="74" t="s">
        <v>916</v>
      </c>
      <c r="B445" s="74">
        <v>16994</v>
      </c>
      <c r="C445" s="74">
        <v>6</v>
      </c>
      <c r="D445" s="74" t="s">
        <v>933</v>
      </c>
      <c r="E445" s="74" t="s">
        <v>934</v>
      </c>
      <c r="F445" s="74">
        <v>226</v>
      </c>
      <c r="G445" s="74">
        <v>23.43</v>
      </c>
      <c r="H445" s="74">
        <v>77.459999999999994</v>
      </c>
      <c r="I445" s="74">
        <v>18</v>
      </c>
      <c r="J445" s="74">
        <v>59.52</v>
      </c>
      <c r="K445" s="74">
        <v>20</v>
      </c>
      <c r="T445" s="74">
        <v>3</v>
      </c>
      <c r="U445" s="74">
        <v>2</v>
      </c>
      <c r="V445" s="74" t="s">
        <v>186</v>
      </c>
      <c r="W445" s="74" t="s">
        <v>939</v>
      </c>
      <c r="X445" s="74">
        <v>6</v>
      </c>
      <c r="Y445" s="74">
        <v>5</v>
      </c>
      <c r="Z445" s="74" t="s">
        <v>935</v>
      </c>
      <c r="AA445" s="74" t="s">
        <v>936</v>
      </c>
      <c r="AB445" s="74" t="s">
        <v>182</v>
      </c>
      <c r="AC445" s="74" t="s">
        <v>183</v>
      </c>
      <c r="AD445" s="74" t="s">
        <v>920</v>
      </c>
      <c r="AG445" s="74" t="s">
        <v>937</v>
      </c>
      <c r="AH445" s="74">
        <v>0</v>
      </c>
      <c r="AI445" s="74">
        <v>0</v>
      </c>
      <c r="AJ445" s="74">
        <v>0</v>
      </c>
      <c r="AK445" s="74">
        <v>0</v>
      </c>
      <c r="AL445" s="74">
        <v>0</v>
      </c>
    </row>
    <row r="446" spans="1:38" x14ac:dyDescent="0.3">
      <c r="A446" s="74" t="s">
        <v>916</v>
      </c>
      <c r="B446" s="74">
        <v>16994</v>
      </c>
      <c r="C446" s="74">
        <v>7</v>
      </c>
      <c r="D446" s="74" t="s">
        <v>933</v>
      </c>
      <c r="E446" s="74" t="s">
        <v>934</v>
      </c>
      <c r="F446" s="74">
        <v>226</v>
      </c>
      <c r="G446" s="74">
        <v>31.71</v>
      </c>
      <c r="H446" s="74">
        <v>104.85</v>
      </c>
      <c r="I446" s="74">
        <v>25.63</v>
      </c>
      <c r="J446" s="74">
        <v>84.75</v>
      </c>
      <c r="K446" s="74">
        <v>6</v>
      </c>
      <c r="T446" s="74">
        <v>3</v>
      </c>
      <c r="U446" s="74">
        <v>2</v>
      </c>
      <c r="V446" s="74" t="s">
        <v>186</v>
      </c>
      <c r="W446" s="74" t="s">
        <v>940</v>
      </c>
      <c r="X446" s="74">
        <v>6</v>
      </c>
      <c r="Y446" s="74">
        <v>5</v>
      </c>
      <c r="Z446" s="74" t="s">
        <v>935</v>
      </c>
      <c r="AA446" s="74" t="s">
        <v>936</v>
      </c>
      <c r="AB446" s="74" t="s">
        <v>182</v>
      </c>
      <c r="AC446" s="74" t="s">
        <v>183</v>
      </c>
      <c r="AD446" s="74" t="s">
        <v>920</v>
      </c>
      <c r="AG446" s="74" t="s">
        <v>937</v>
      </c>
      <c r="AH446" s="74">
        <v>0</v>
      </c>
      <c r="AI446" s="74">
        <v>0</v>
      </c>
      <c r="AJ446" s="74">
        <v>0</v>
      </c>
      <c r="AK446" s="74">
        <v>0</v>
      </c>
      <c r="AL446" s="74">
        <v>0</v>
      </c>
    </row>
    <row r="447" spans="1:38" x14ac:dyDescent="0.3">
      <c r="A447" s="74" t="s">
        <v>916</v>
      </c>
      <c r="B447" s="74">
        <v>16994</v>
      </c>
      <c r="C447" s="74">
        <v>8</v>
      </c>
      <c r="D447" s="74" t="s">
        <v>933</v>
      </c>
      <c r="E447" s="74" t="s">
        <v>934</v>
      </c>
      <c r="F447" s="74">
        <v>226</v>
      </c>
      <c r="G447" s="74">
        <v>31.87</v>
      </c>
      <c r="H447" s="74">
        <v>105.37</v>
      </c>
      <c r="I447" s="74">
        <v>25.57</v>
      </c>
      <c r="J447" s="74">
        <v>84.55</v>
      </c>
      <c r="K447" s="74">
        <v>24</v>
      </c>
      <c r="T447" s="74">
        <v>3</v>
      </c>
      <c r="U447" s="74">
        <v>2</v>
      </c>
      <c r="V447" s="74" t="s">
        <v>186</v>
      </c>
      <c r="W447" s="74" t="s">
        <v>941</v>
      </c>
      <c r="X447" s="74">
        <v>6</v>
      </c>
      <c r="Y447" s="74">
        <v>5</v>
      </c>
      <c r="Z447" s="74" t="s">
        <v>935</v>
      </c>
      <c r="AA447" s="74" t="s">
        <v>936</v>
      </c>
      <c r="AB447" s="74" t="s">
        <v>182</v>
      </c>
      <c r="AC447" s="74" t="s">
        <v>183</v>
      </c>
      <c r="AD447" s="74" t="s">
        <v>920</v>
      </c>
      <c r="AG447" s="74" t="s">
        <v>937</v>
      </c>
      <c r="AH447" s="74">
        <v>0</v>
      </c>
      <c r="AI447" s="74">
        <v>0</v>
      </c>
      <c r="AJ447" s="74">
        <v>0</v>
      </c>
      <c r="AK447" s="74">
        <v>0</v>
      </c>
      <c r="AL447" s="74">
        <v>0</v>
      </c>
    </row>
    <row r="448" spans="1:38" x14ac:dyDescent="0.3">
      <c r="A448" s="74" t="s">
        <v>916</v>
      </c>
      <c r="B448" s="74">
        <v>16994</v>
      </c>
      <c r="C448" s="74">
        <v>9</v>
      </c>
      <c r="D448" s="74" t="s">
        <v>933</v>
      </c>
      <c r="E448" s="74" t="s">
        <v>934</v>
      </c>
      <c r="F448" s="74">
        <v>226</v>
      </c>
      <c r="G448" s="74">
        <v>33.270000000000003</v>
      </c>
      <c r="H448" s="74">
        <v>109.99</v>
      </c>
      <c r="I448" s="74">
        <v>24.39</v>
      </c>
      <c r="J448" s="74">
        <v>80.63</v>
      </c>
      <c r="K448" s="74">
        <v>5</v>
      </c>
      <c r="T448" s="74">
        <v>3</v>
      </c>
      <c r="U448" s="74">
        <v>2</v>
      </c>
      <c r="V448" s="74" t="s">
        <v>179</v>
      </c>
      <c r="W448" s="74">
        <v>109</v>
      </c>
      <c r="X448" s="74">
        <v>6</v>
      </c>
      <c r="Y448" s="74">
        <v>5</v>
      </c>
      <c r="Z448" s="74" t="s">
        <v>935</v>
      </c>
      <c r="AA448" s="74" t="s">
        <v>936</v>
      </c>
      <c r="AB448" s="74" t="s">
        <v>182</v>
      </c>
      <c r="AC448" s="74" t="s">
        <v>183</v>
      </c>
      <c r="AD448" s="74" t="s">
        <v>920</v>
      </c>
      <c r="AG448" s="74" t="s">
        <v>937</v>
      </c>
      <c r="AH448" s="74">
        <v>0</v>
      </c>
      <c r="AI448" s="74">
        <v>0</v>
      </c>
      <c r="AJ448" s="74">
        <v>0</v>
      </c>
      <c r="AK448" s="74">
        <v>0</v>
      </c>
      <c r="AL448" s="74">
        <v>0</v>
      </c>
    </row>
    <row r="449" spans="1:38" x14ac:dyDescent="0.3">
      <c r="A449" s="74" t="s">
        <v>916</v>
      </c>
      <c r="B449" s="74">
        <v>16994</v>
      </c>
      <c r="C449" s="74">
        <v>10</v>
      </c>
      <c r="D449" s="74" t="s">
        <v>933</v>
      </c>
      <c r="E449" s="74" t="s">
        <v>934</v>
      </c>
      <c r="F449" s="74">
        <v>226</v>
      </c>
      <c r="G449" s="74">
        <v>33.51</v>
      </c>
      <c r="H449" s="74">
        <v>110.8</v>
      </c>
      <c r="I449" s="74">
        <v>24.58</v>
      </c>
      <c r="J449" s="74">
        <v>81.28</v>
      </c>
      <c r="K449" s="74">
        <v>5</v>
      </c>
      <c r="T449" s="74">
        <v>3</v>
      </c>
      <c r="U449" s="74">
        <v>2</v>
      </c>
      <c r="V449" s="74" t="s">
        <v>179</v>
      </c>
      <c r="W449" s="74">
        <v>110</v>
      </c>
      <c r="X449" s="74">
        <v>6</v>
      </c>
      <c r="Y449" s="74">
        <v>5</v>
      </c>
      <c r="Z449" s="74" t="s">
        <v>935</v>
      </c>
      <c r="AA449" s="74" t="s">
        <v>936</v>
      </c>
      <c r="AB449" s="74" t="s">
        <v>182</v>
      </c>
      <c r="AC449" s="74" t="s">
        <v>183</v>
      </c>
      <c r="AD449" s="74" t="s">
        <v>920</v>
      </c>
      <c r="AG449" s="74" t="s">
        <v>937</v>
      </c>
      <c r="AH449" s="74">
        <v>0</v>
      </c>
      <c r="AI449" s="74">
        <v>0</v>
      </c>
      <c r="AJ449" s="74">
        <v>0</v>
      </c>
      <c r="AK449" s="74">
        <v>0</v>
      </c>
      <c r="AL449" s="74">
        <v>0</v>
      </c>
    </row>
    <row r="450" spans="1:38" x14ac:dyDescent="0.3">
      <c r="A450" s="74" t="s">
        <v>942</v>
      </c>
      <c r="B450" s="74">
        <v>11526</v>
      </c>
      <c r="C450" s="74">
        <v>1</v>
      </c>
      <c r="D450" s="74" t="s">
        <v>943</v>
      </c>
      <c r="E450" s="74" t="s">
        <v>944</v>
      </c>
      <c r="F450" s="74">
        <v>675</v>
      </c>
      <c r="G450" s="74">
        <v>22.69</v>
      </c>
      <c r="H450" s="74">
        <v>75.010000000000005</v>
      </c>
      <c r="I450" s="74">
        <v>18.05</v>
      </c>
      <c r="J450" s="74">
        <v>59.68</v>
      </c>
      <c r="K450" s="74">
        <v>270</v>
      </c>
      <c r="T450" s="74">
        <v>3</v>
      </c>
      <c r="U450" s="74">
        <v>1</v>
      </c>
      <c r="V450" s="74" t="s">
        <v>186</v>
      </c>
      <c r="W450" s="74">
        <v>75</v>
      </c>
      <c r="X450" s="74">
        <v>15</v>
      </c>
      <c r="Y450" s="74">
        <v>15</v>
      </c>
      <c r="Z450" s="74" t="s">
        <v>945</v>
      </c>
      <c r="AA450" s="74" t="s">
        <v>946</v>
      </c>
      <c r="AB450" s="74" t="s">
        <v>182</v>
      </c>
      <c r="AC450" s="74" t="s">
        <v>183</v>
      </c>
      <c r="AD450" s="74" t="s">
        <v>947</v>
      </c>
      <c r="AG450" s="74" t="s">
        <v>948</v>
      </c>
      <c r="AH450" s="74">
        <v>0</v>
      </c>
      <c r="AI450" s="74">
        <v>173</v>
      </c>
      <c r="AJ450" s="74">
        <v>14</v>
      </c>
      <c r="AK450" s="74">
        <v>714</v>
      </c>
      <c r="AL450" s="74">
        <v>1.06</v>
      </c>
    </row>
    <row r="451" spans="1:38" x14ac:dyDescent="0.3">
      <c r="A451" s="74" t="s">
        <v>942</v>
      </c>
      <c r="B451" s="74">
        <v>11526</v>
      </c>
      <c r="C451" s="74">
        <v>2</v>
      </c>
      <c r="D451" s="74" t="s">
        <v>943</v>
      </c>
      <c r="E451" s="74" t="s">
        <v>944</v>
      </c>
      <c r="F451" s="74">
        <v>675</v>
      </c>
      <c r="G451" s="74">
        <v>32.29</v>
      </c>
      <c r="H451" s="74">
        <v>106.76</v>
      </c>
      <c r="I451" s="74">
        <v>25.69</v>
      </c>
      <c r="J451" s="74">
        <v>84.95</v>
      </c>
      <c r="K451" s="74">
        <v>405</v>
      </c>
      <c r="T451" s="74">
        <v>3</v>
      </c>
      <c r="U451" s="74">
        <v>2</v>
      </c>
      <c r="V451" s="74" t="s">
        <v>186</v>
      </c>
      <c r="W451" s="74">
        <v>106</v>
      </c>
      <c r="X451" s="74">
        <v>15</v>
      </c>
      <c r="Y451" s="74">
        <v>15</v>
      </c>
      <c r="Z451" s="74" t="s">
        <v>945</v>
      </c>
      <c r="AA451" s="74" t="s">
        <v>946</v>
      </c>
      <c r="AB451" s="74" t="s">
        <v>182</v>
      </c>
      <c r="AC451" s="74" t="s">
        <v>183</v>
      </c>
      <c r="AD451" s="74" t="s">
        <v>947</v>
      </c>
      <c r="AG451" s="74" t="s">
        <v>948</v>
      </c>
      <c r="AH451" s="74">
        <v>0</v>
      </c>
      <c r="AI451" s="74">
        <v>173</v>
      </c>
      <c r="AJ451" s="74">
        <v>14</v>
      </c>
      <c r="AK451" s="74">
        <v>714</v>
      </c>
      <c r="AL451" s="74">
        <v>1.06</v>
      </c>
    </row>
    <row r="452" spans="1:38" x14ac:dyDescent="0.3">
      <c r="A452" s="74" t="s">
        <v>942</v>
      </c>
      <c r="B452" s="74">
        <v>104844</v>
      </c>
      <c r="C452" s="74">
        <v>1</v>
      </c>
      <c r="D452" s="74" t="s">
        <v>949</v>
      </c>
      <c r="E452" s="74" t="s">
        <v>950</v>
      </c>
      <c r="F452" s="74">
        <v>118</v>
      </c>
      <c r="G452" s="74">
        <v>30.21</v>
      </c>
      <c r="H452" s="74">
        <v>99.9</v>
      </c>
      <c r="I452" s="74">
        <v>22.67</v>
      </c>
      <c r="J452" s="74">
        <v>74.97</v>
      </c>
      <c r="K452" s="74">
        <v>118</v>
      </c>
      <c r="T452" s="74">
        <v>3</v>
      </c>
      <c r="U452" s="74">
        <v>2</v>
      </c>
      <c r="V452" s="74" t="s">
        <v>186</v>
      </c>
      <c r="W452" s="74">
        <v>99</v>
      </c>
      <c r="X452" s="74">
        <v>15</v>
      </c>
      <c r="Y452" s="74">
        <v>10</v>
      </c>
      <c r="Z452" s="74" t="s">
        <v>951</v>
      </c>
      <c r="AA452" s="74" t="s">
        <v>952</v>
      </c>
      <c r="AB452" s="74" t="s">
        <v>182</v>
      </c>
      <c r="AC452" s="74" t="s">
        <v>183</v>
      </c>
      <c r="AD452" s="74" t="s">
        <v>947</v>
      </c>
      <c r="AG452" s="74" t="s">
        <v>953</v>
      </c>
      <c r="AH452" s="74">
        <v>0</v>
      </c>
      <c r="AI452" s="74">
        <v>271</v>
      </c>
      <c r="AJ452" s="74">
        <v>23</v>
      </c>
      <c r="AK452" s="74">
        <v>119</v>
      </c>
      <c r="AL452" s="74">
        <v>1.01</v>
      </c>
    </row>
    <row r="453" spans="1:38" x14ac:dyDescent="0.3">
      <c r="A453" s="74" t="s">
        <v>942</v>
      </c>
      <c r="B453" s="74">
        <v>101215</v>
      </c>
      <c r="C453" s="74">
        <v>1</v>
      </c>
      <c r="D453" s="74" t="s">
        <v>954</v>
      </c>
      <c r="E453" s="74" t="s">
        <v>955</v>
      </c>
      <c r="F453" s="74">
        <v>294</v>
      </c>
      <c r="G453" s="74">
        <v>34.36</v>
      </c>
      <c r="H453" s="74">
        <v>113.61</v>
      </c>
      <c r="I453" s="74">
        <v>25.63</v>
      </c>
      <c r="J453" s="74">
        <v>84.74</v>
      </c>
      <c r="K453" s="74">
        <v>294</v>
      </c>
      <c r="T453" s="74">
        <v>3</v>
      </c>
      <c r="U453" s="74">
        <v>2</v>
      </c>
      <c r="V453" s="74" t="s">
        <v>186</v>
      </c>
      <c r="W453" s="74">
        <v>113</v>
      </c>
      <c r="X453" s="74">
        <v>10</v>
      </c>
      <c r="Y453" s="74">
        <v>8</v>
      </c>
      <c r="Z453" s="74" t="s">
        <v>956</v>
      </c>
      <c r="AA453" s="74" t="s">
        <v>957</v>
      </c>
      <c r="AB453" s="74" t="s">
        <v>182</v>
      </c>
      <c r="AC453" s="74" t="s">
        <v>183</v>
      </c>
      <c r="AD453" s="74" t="s">
        <v>947</v>
      </c>
      <c r="AG453" s="74" t="s">
        <v>958</v>
      </c>
      <c r="AH453" s="74">
        <v>0</v>
      </c>
      <c r="AI453" s="74">
        <v>142</v>
      </c>
      <c r="AJ453" s="74">
        <v>21</v>
      </c>
      <c r="AK453" s="74">
        <v>299</v>
      </c>
      <c r="AL453" s="74">
        <v>1.02</v>
      </c>
    </row>
    <row r="454" spans="1:38" x14ac:dyDescent="0.3">
      <c r="A454" s="74" t="s">
        <v>942</v>
      </c>
      <c r="B454" s="74">
        <v>5054</v>
      </c>
      <c r="C454" s="74">
        <v>1</v>
      </c>
      <c r="D454" s="74" t="s">
        <v>959</v>
      </c>
      <c r="E454" s="74" t="s">
        <v>487</v>
      </c>
      <c r="F454" s="74">
        <v>350</v>
      </c>
      <c r="G454" s="74">
        <v>23.53</v>
      </c>
      <c r="H454" s="74">
        <v>77.790000000000006</v>
      </c>
      <c r="I454" s="74">
        <v>17.96</v>
      </c>
      <c r="J454" s="74">
        <v>59.4</v>
      </c>
      <c r="K454" s="74">
        <v>174</v>
      </c>
      <c r="T454" s="74">
        <v>3</v>
      </c>
      <c r="U454" s="74">
        <v>1</v>
      </c>
      <c r="V454" s="74" t="s">
        <v>179</v>
      </c>
      <c r="W454" s="74" t="s">
        <v>83</v>
      </c>
      <c r="X454" s="74">
        <v>15</v>
      </c>
      <c r="Y454" s="74">
        <v>10</v>
      </c>
      <c r="Z454" s="74" t="s">
        <v>960</v>
      </c>
      <c r="AA454" s="74" t="s">
        <v>961</v>
      </c>
      <c r="AB454" s="74" t="s">
        <v>182</v>
      </c>
      <c r="AC454" s="74" t="s">
        <v>183</v>
      </c>
      <c r="AD454" s="74" t="s">
        <v>947</v>
      </c>
      <c r="AG454" s="74" t="s">
        <v>962</v>
      </c>
      <c r="AH454" s="74">
        <v>0</v>
      </c>
      <c r="AI454" s="74">
        <v>247</v>
      </c>
      <c r="AJ454" s="74">
        <v>21</v>
      </c>
      <c r="AK454" s="74">
        <v>374</v>
      </c>
      <c r="AL454" s="74">
        <v>1.07</v>
      </c>
    </row>
    <row r="455" spans="1:38" x14ac:dyDescent="0.3">
      <c r="A455" s="74" t="s">
        <v>942</v>
      </c>
      <c r="B455" s="74">
        <v>5054</v>
      </c>
      <c r="C455" s="74">
        <v>2</v>
      </c>
      <c r="D455" s="74" t="s">
        <v>959</v>
      </c>
      <c r="E455" s="74" t="s">
        <v>487</v>
      </c>
      <c r="F455" s="74">
        <v>350</v>
      </c>
      <c r="G455" s="74">
        <v>23.99</v>
      </c>
      <c r="H455" s="74">
        <v>79.33</v>
      </c>
      <c r="I455" s="74">
        <v>17.96</v>
      </c>
      <c r="J455" s="74">
        <v>59.4</v>
      </c>
      <c r="K455" s="74">
        <v>60</v>
      </c>
      <c r="T455" s="74">
        <v>3</v>
      </c>
      <c r="U455" s="74">
        <v>1</v>
      </c>
      <c r="V455" s="74" t="s">
        <v>179</v>
      </c>
      <c r="W455" s="74" t="s">
        <v>963</v>
      </c>
      <c r="X455" s="74">
        <v>15</v>
      </c>
      <c r="Y455" s="74">
        <v>10</v>
      </c>
      <c r="Z455" s="74" t="s">
        <v>960</v>
      </c>
      <c r="AA455" s="74" t="s">
        <v>961</v>
      </c>
      <c r="AB455" s="74" t="s">
        <v>182</v>
      </c>
      <c r="AC455" s="74" t="s">
        <v>183</v>
      </c>
      <c r="AD455" s="74" t="s">
        <v>947</v>
      </c>
      <c r="AG455" s="74" t="s">
        <v>962</v>
      </c>
      <c r="AH455" s="74">
        <v>0</v>
      </c>
      <c r="AI455" s="74">
        <v>247</v>
      </c>
      <c r="AJ455" s="74">
        <v>21</v>
      </c>
      <c r="AK455" s="74">
        <v>374</v>
      </c>
      <c r="AL455" s="74">
        <v>1.07</v>
      </c>
    </row>
    <row r="456" spans="1:38" x14ac:dyDescent="0.3">
      <c r="A456" s="74" t="s">
        <v>942</v>
      </c>
      <c r="B456" s="74">
        <v>5054</v>
      </c>
      <c r="C456" s="74">
        <v>3</v>
      </c>
      <c r="D456" s="74" t="s">
        <v>959</v>
      </c>
      <c r="E456" s="74" t="s">
        <v>487</v>
      </c>
      <c r="F456" s="74">
        <v>350</v>
      </c>
      <c r="G456" s="74">
        <v>27.64</v>
      </c>
      <c r="H456" s="74">
        <v>91.39</v>
      </c>
      <c r="I456" s="74">
        <v>22.67</v>
      </c>
      <c r="J456" s="74">
        <v>74.95</v>
      </c>
      <c r="K456" s="74">
        <v>59</v>
      </c>
      <c r="T456" s="74">
        <v>3</v>
      </c>
      <c r="U456" s="74">
        <v>1</v>
      </c>
      <c r="V456" s="74" t="s">
        <v>186</v>
      </c>
      <c r="W456" s="74">
        <v>91</v>
      </c>
      <c r="X456" s="74">
        <v>15</v>
      </c>
      <c r="Y456" s="74">
        <v>10</v>
      </c>
      <c r="Z456" s="74" t="s">
        <v>960</v>
      </c>
      <c r="AA456" s="74" t="s">
        <v>961</v>
      </c>
      <c r="AB456" s="74" t="s">
        <v>182</v>
      </c>
      <c r="AC456" s="74" t="s">
        <v>183</v>
      </c>
      <c r="AD456" s="74" t="s">
        <v>947</v>
      </c>
      <c r="AG456" s="74" t="s">
        <v>962</v>
      </c>
      <c r="AH456" s="74">
        <v>0</v>
      </c>
      <c r="AI456" s="74">
        <v>247</v>
      </c>
      <c r="AJ456" s="74">
        <v>21</v>
      </c>
      <c r="AK456" s="74">
        <v>374</v>
      </c>
      <c r="AL456" s="74">
        <v>1.07</v>
      </c>
    </row>
    <row r="457" spans="1:38" x14ac:dyDescent="0.3">
      <c r="A457" s="74" t="s">
        <v>942</v>
      </c>
      <c r="B457" s="74">
        <v>5054</v>
      </c>
      <c r="C457" s="74">
        <v>4</v>
      </c>
      <c r="D457" s="74" t="s">
        <v>959</v>
      </c>
      <c r="E457" s="74" t="s">
        <v>487</v>
      </c>
      <c r="F457" s="74">
        <v>350</v>
      </c>
      <c r="G457" s="74">
        <v>30.64</v>
      </c>
      <c r="H457" s="74">
        <v>101.29</v>
      </c>
      <c r="I457" s="74">
        <v>22.67</v>
      </c>
      <c r="J457" s="74">
        <v>74.95</v>
      </c>
      <c r="K457" s="74">
        <v>1</v>
      </c>
      <c r="T457" s="74">
        <v>3</v>
      </c>
      <c r="U457" s="74">
        <v>2</v>
      </c>
      <c r="V457" s="74" t="s">
        <v>186</v>
      </c>
      <c r="W457" s="74" t="s">
        <v>114</v>
      </c>
      <c r="X457" s="74">
        <v>15</v>
      </c>
      <c r="Y457" s="74">
        <v>10</v>
      </c>
      <c r="Z457" s="74" t="s">
        <v>960</v>
      </c>
      <c r="AA457" s="74" t="s">
        <v>961</v>
      </c>
      <c r="AB457" s="74" t="s">
        <v>182</v>
      </c>
      <c r="AC457" s="74" t="s">
        <v>183</v>
      </c>
      <c r="AD457" s="74" t="s">
        <v>947</v>
      </c>
      <c r="AG457" s="74" t="s">
        <v>962</v>
      </c>
      <c r="AH457" s="74">
        <v>0</v>
      </c>
      <c r="AI457" s="74">
        <v>247</v>
      </c>
      <c r="AJ457" s="74">
        <v>21</v>
      </c>
      <c r="AK457" s="74">
        <v>374</v>
      </c>
      <c r="AL457" s="74">
        <v>1.07</v>
      </c>
    </row>
    <row r="458" spans="1:38" x14ac:dyDescent="0.3">
      <c r="A458" s="74" t="s">
        <v>942</v>
      </c>
      <c r="B458" s="74">
        <v>5054</v>
      </c>
      <c r="C458" s="74">
        <v>5</v>
      </c>
      <c r="D458" s="74" t="s">
        <v>959</v>
      </c>
      <c r="E458" s="74" t="s">
        <v>487</v>
      </c>
      <c r="F458" s="74">
        <v>350</v>
      </c>
      <c r="G458" s="74">
        <v>31.29</v>
      </c>
      <c r="H458" s="74">
        <v>103.46</v>
      </c>
      <c r="I458" s="74">
        <v>25.68</v>
      </c>
      <c r="J458" s="74">
        <v>84.9</v>
      </c>
      <c r="K458" s="74">
        <v>52</v>
      </c>
      <c r="T458" s="74">
        <v>3</v>
      </c>
      <c r="U458" s="74">
        <v>2</v>
      </c>
      <c r="V458" s="74" t="s">
        <v>186</v>
      </c>
      <c r="W458" s="74" t="s">
        <v>134</v>
      </c>
      <c r="X458" s="74">
        <v>15</v>
      </c>
      <c r="Y458" s="74">
        <v>10</v>
      </c>
      <c r="Z458" s="74" t="s">
        <v>960</v>
      </c>
      <c r="AA458" s="74" t="s">
        <v>961</v>
      </c>
      <c r="AB458" s="74" t="s">
        <v>182</v>
      </c>
      <c r="AC458" s="74" t="s">
        <v>183</v>
      </c>
      <c r="AD458" s="74" t="s">
        <v>947</v>
      </c>
      <c r="AG458" s="74" t="s">
        <v>962</v>
      </c>
      <c r="AH458" s="74">
        <v>0</v>
      </c>
      <c r="AI458" s="74">
        <v>247</v>
      </c>
      <c r="AJ458" s="74">
        <v>21</v>
      </c>
      <c r="AK458" s="74">
        <v>374</v>
      </c>
      <c r="AL458" s="74">
        <v>1.07</v>
      </c>
    </row>
    <row r="459" spans="1:38" x14ac:dyDescent="0.3">
      <c r="A459" s="74" t="s">
        <v>942</v>
      </c>
      <c r="B459" s="74">
        <v>5054</v>
      </c>
      <c r="C459" s="74">
        <v>6</v>
      </c>
      <c r="D459" s="74" t="s">
        <v>959</v>
      </c>
      <c r="E459" s="74" t="s">
        <v>487</v>
      </c>
      <c r="F459" s="74">
        <v>350</v>
      </c>
      <c r="G459" s="74">
        <v>34.840000000000003</v>
      </c>
      <c r="H459" s="74">
        <v>115.2</v>
      </c>
      <c r="I459" s="74">
        <v>25.68</v>
      </c>
      <c r="J459" s="74">
        <v>84.9</v>
      </c>
      <c r="K459" s="74">
        <v>4</v>
      </c>
      <c r="T459" s="74">
        <v>3</v>
      </c>
      <c r="U459" s="74">
        <v>2</v>
      </c>
      <c r="V459" s="74" t="s">
        <v>179</v>
      </c>
      <c r="W459" s="74">
        <v>115</v>
      </c>
      <c r="X459" s="74">
        <v>15</v>
      </c>
      <c r="Y459" s="74">
        <v>10</v>
      </c>
      <c r="Z459" s="74" t="s">
        <v>960</v>
      </c>
      <c r="AA459" s="74" t="s">
        <v>961</v>
      </c>
      <c r="AB459" s="74" t="s">
        <v>182</v>
      </c>
      <c r="AC459" s="74" t="s">
        <v>183</v>
      </c>
      <c r="AD459" s="74" t="s">
        <v>947</v>
      </c>
      <c r="AG459" s="74" t="s">
        <v>962</v>
      </c>
      <c r="AH459" s="74">
        <v>0</v>
      </c>
      <c r="AI459" s="74">
        <v>247</v>
      </c>
      <c r="AJ459" s="74">
        <v>21</v>
      </c>
      <c r="AK459" s="74">
        <v>374</v>
      </c>
      <c r="AL459" s="74">
        <v>1.07</v>
      </c>
    </row>
    <row r="460" spans="1:38" x14ac:dyDescent="0.3">
      <c r="A460" s="74" t="s">
        <v>942</v>
      </c>
      <c r="B460" s="74">
        <v>5050</v>
      </c>
      <c r="C460" s="74">
        <v>1</v>
      </c>
      <c r="D460" s="74" t="s">
        <v>964</v>
      </c>
      <c r="E460" s="74" t="s">
        <v>965</v>
      </c>
      <c r="F460" s="74">
        <v>702</v>
      </c>
      <c r="G460" s="74">
        <v>24.04</v>
      </c>
      <c r="H460" s="74">
        <v>79.489999999999995</v>
      </c>
      <c r="I460" s="74">
        <v>18.3</v>
      </c>
      <c r="J460" s="74">
        <v>60.52</v>
      </c>
      <c r="K460" s="74">
        <v>251</v>
      </c>
      <c r="T460" s="74">
        <v>3</v>
      </c>
      <c r="U460" s="74">
        <v>1</v>
      </c>
      <c r="V460" s="74" t="s">
        <v>186</v>
      </c>
      <c r="W460" s="74" t="s">
        <v>136</v>
      </c>
      <c r="X460" s="74">
        <v>15</v>
      </c>
      <c r="Y460" s="74">
        <v>12</v>
      </c>
      <c r="Z460" s="74" t="s">
        <v>966</v>
      </c>
      <c r="AA460" s="74" t="s">
        <v>967</v>
      </c>
      <c r="AB460" s="74" t="s">
        <v>182</v>
      </c>
      <c r="AC460" s="74" t="s">
        <v>183</v>
      </c>
      <c r="AD460" s="74" t="s">
        <v>947</v>
      </c>
      <c r="AG460" s="74" t="s">
        <v>968</v>
      </c>
      <c r="AH460" s="74">
        <v>0</v>
      </c>
      <c r="AI460" s="74">
        <v>0</v>
      </c>
      <c r="AJ460" s="74">
        <v>0</v>
      </c>
      <c r="AK460" s="74">
        <v>561</v>
      </c>
      <c r="AL460" s="74">
        <v>0.8</v>
      </c>
    </row>
    <row r="461" spans="1:38" x14ac:dyDescent="0.3">
      <c r="A461" s="74" t="s">
        <v>942</v>
      </c>
      <c r="B461" s="74">
        <v>5050</v>
      </c>
      <c r="C461" s="74">
        <v>2</v>
      </c>
      <c r="D461" s="74" t="s">
        <v>964</v>
      </c>
      <c r="E461" s="74" t="s">
        <v>965</v>
      </c>
      <c r="F461" s="74">
        <v>702</v>
      </c>
      <c r="G461" s="74">
        <v>23.96</v>
      </c>
      <c r="H461" s="74">
        <v>79.209999999999994</v>
      </c>
      <c r="I461" s="74">
        <v>18.36</v>
      </c>
      <c r="J461" s="74">
        <v>60.72</v>
      </c>
      <c r="K461" s="74">
        <v>1</v>
      </c>
      <c r="T461" s="74">
        <v>2</v>
      </c>
      <c r="U461" s="74">
        <v>1</v>
      </c>
      <c r="V461" s="74" t="s">
        <v>186</v>
      </c>
      <c r="W461" s="74" t="s">
        <v>963</v>
      </c>
      <c r="X461" s="74">
        <v>15</v>
      </c>
      <c r="Y461" s="74">
        <v>12</v>
      </c>
      <c r="Z461" s="74" t="s">
        <v>966</v>
      </c>
      <c r="AA461" s="74" t="s">
        <v>967</v>
      </c>
      <c r="AB461" s="74" t="s">
        <v>182</v>
      </c>
      <c r="AC461" s="74" t="s">
        <v>183</v>
      </c>
      <c r="AD461" s="74" t="s">
        <v>947</v>
      </c>
      <c r="AG461" s="74" t="s">
        <v>968</v>
      </c>
      <c r="AH461" s="74">
        <v>0</v>
      </c>
      <c r="AI461" s="74">
        <v>0</v>
      </c>
      <c r="AJ461" s="74">
        <v>0</v>
      </c>
      <c r="AK461" s="74">
        <v>561</v>
      </c>
      <c r="AL461" s="74">
        <v>0.8</v>
      </c>
    </row>
    <row r="462" spans="1:38" x14ac:dyDescent="0.3">
      <c r="A462" s="74" t="s">
        <v>942</v>
      </c>
      <c r="B462" s="74">
        <v>5050</v>
      </c>
      <c r="C462" s="74">
        <v>3</v>
      </c>
      <c r="D462" s="74" t="s">
        <v>964</v>
      </c>
      <c r="E462" s="74" t="s">
        <v>965</v>
      </c>
      <c r="F462" s="74">
        <v>702</v>
      </c>
      <c r="G462" s="74">
        <v>28.29</v>
      </c>
      <c r="H462" s="74">
        <v>93.55</v>
      </c>
      <c r="I462" s="74">
        <v>22.85</v>
      </c>
      <c r="J462" s="74">
        <v>75.56</v>
      </c>
      <c r="K462" s="74">
        <v>240</v>
      </c>
      <c r="T462" s="74">
        <v>3</v>
      </c>
      <c r="U462" s="74">
        <v>1</v>
      </c>
      <c r="V462" s="74" t="s">
        <v>186</v>
      </c>
      <c r="W462" s="74">
        <v>93</v>
      </c>
      <c r="X462" s="74">
        <v>15</v>
      </c>
      <c r="Y462" s="74">
        <v>12</v>
      </c>
      <c r="Z462" s="74" t="s">
        <v>966</v>
      </c>
      <c r="AA462" s="74" t="s">
        <v>967</v>
      </c>
      <c r="AB462" s="74" t="s">
        <v>182</v>
      </c>
      <c r="AC462" s="74" t="s">
        <v>183</v>
      </c>
      <c r="AD462" s="74" t="s">
        <v>947</v>
      </c>
      <c r="AG462" s="74" t="s">
        <v>968</v>
      </c>
      <c r="AH462" s="74">
        <v>0</v>
      </c>
      <c r="AI462" s="74">
        <v>0</v>
      </c>
      <c r="AJ462" s="74">
        <v>0</v>
      </c>
      <c r="AK462" s="74">
        <v>561</v>
      </c>
      <c r="AL462" s="74">
        <v>0.8</v>
      </c>
    </row>
    <row r="463" spans="1:38" x14ac:dyDescent="0.3">
      <c r="A463" s="74" t="s">
        <v>942</v>
      </c>
      <c r="B463" s="74">
        <v>5050</v>
      </c>
      <c r="C463" s="74">
        <v>4</v>
      </c>
      <c r="D463" s="74" t="s">
        <v>964</v>
      </c>
      <c r="E463" s="74" t="s">
        <v>965</v>
      </c>
      <c r="F463" s="74">
        <v>702</v>
      </c>
      <c r="G463" s="74">
        <v>31.42</v>
      </c>
      <c r="H463" s="74">
        <v>103.88</v>
      </c>
      <c r="I463" s="74">
        <v>25.67</v>
      </c>
      <c r="J463" s="74">
        <v>84.89</v>
      </c>
      <c r="K463" s="74">
        <v>210</v>
      </c>
      <c r="T463" s="74">
        <v>3</v>
      </c>
      <c r="U463" s="74">
        <v>2</v>
      </c>
      <c r="V463" s="74" t="s">
        <v>186</v>
      </c>
      <c r="W463" s="74">
        <v>103</v>
      </c>
      <c r="X463" s="74">
        <v>15</v>
      </c>
      <c r="Y463" s="74">
        <v>12</v>
      </c>
      <c r="Z463" s="74" t="s">
        <v>966</v>
      </c>
      <c r="AA463" s="74" t="s">
        <v>967</v>
      </c>
      <c r="AB463" s="74" t="s">
        <v>182</v>
      </c>
      <c r="AC463" s="74" t="s">
        <v>183</v>
      </c>
      <c r="AD463" s="74" t="s">
        <v>947</v>
      </c>
      <c r="AG463" s="74" t="s">
        <v>968</v>
      </c>
      <c r="AH463" s="74">
        <v>0</v>
      </c>
      <c r="AI463" s="74">
        <v>0</v>
      </c>
      <c r="AJ463" s="74">
        <v>0</v>
      </c>
      <c r="AK463" s="74">
        <v>561</v>
      </c>
      <c r="AL463" s="74">
        <v>0.8</v>
      </c>
    </row>
    <row r="464" spans="1:38" x14ac:dyDescent="0.3">
      <c r="A464" s="74" t="s">
        <v>942</v>
      </c>
      <c r="B464" s="74">
        <v>126362</v>
      </c>
      <c r="C464" s="74">
        <v>1</v>
      </c>
      <c r="D464" s="74" t="s">
        <v>242</v>
      </c>
      <c r="E464" s="74" t="s">
        <v>250</v>
      </c>
      <c r="F464" s="74">
        <v>30</v>
      </c>
      <c r="G464" s="74">
        <v>22.96</v>
      </c>
      <c r="H464" s="74">
        <v>75.92</v>
      </c>
      <c r="I464" s="74">
        <v>18.13</v>
      </c>
      <c r="J464" s="74">
        <v>59.94</v>
      </c>
      <c r="K464" s="74">
        <v>12</v>
      </c>
      <c r="T464" s="74">
        <v>3</v>
      </c>
      <c r="U464" s="74">
        <v>1</v>
      </c>
      <c r="V464" s="74" t="s">
        <v>186</v>
      </c>
      <c r="W464" s="74">
        <v>75</v>
      </c>
      <c r="X464" s="74">
        <v>6</v>
      </c>
      <c r="Y464" s="74">
        <v>6</v>
      </c>
      <c r="Z464" s="74" t="s">
        <v>969</v>
      </c>
      <c r="AA464" s="74" t="s">
        <v>970</v>
      </c>
      <c r="AB464" s="74" t="s">
        <v>182</v>
      </c>
      <c r="AC464" s="74" t="s">
        <v>183</v>
      </c>
      <c r="AD464" s="74" t="s">
        <v>947</v>
      </c>
      <c r="AG464" s="74" t="s">
        <v>971</v>
      </c>
      <c r="AH464" s="74">
        <v>0</v>
      </c>
      <c r="AI464" s="74">
        <v>175</v>
      </c>
      <c r="AJ464" s="74">
        <v>29</v>
      </c>
      <c r="AK464" s="74">
        <v>0</v>
      </c>
      <c r="AL464" s="74">
        <v>0</v>
      </c>
    </row>
    <row r="465" spans="1:38" x14ac:dyDescent="0.3">
      <c r="A465" s="74" t="s">
        <v>942</v>
      </c>
      <c r="B465" s="74">
        <v>126362</v>
      </c>
      <c r="C465" s="74">
        <v>2</v>
      </c>
      <c r="D465" s="74" t="s">
        <v>242</v>
      </c>
      <c r="E465" s="74" t="s">
        <v>250</v>
      </c>
      <c r="F465" s="74">
        <v>30</v>
      </c>
      <c r="G465" s="74">
        <v>25.93</v>
      </c>
      <c r="H465" s="74">
        <v>85.72</v>
      </c>
      <c r="I465" s="74">
        <v>20.69</v>
      </c>
      <c r="J465" s="74">
        <v>68.400000000000006</v>
      </c>
      <c r="K465" s="74">
        <v>6</v>
      </c>
      <c r="T465" s="74">
        <v>3</v>
      </c>
      <c r="U465" s="74">
        <v>2</v>
      </c>
      <c r="V465" s="74" t="s">
        <v>186</v>
      </c>
      <c r="W465" s="74">
        <v>85</v>
      </c>
      <c r="X465" s="74">
        <v>6</v>
      </c>
      <c r="Y465" s="74">
        <v>6</v>
      </c>
      <c r="Z465" s="74" t="s">
        <v>969</v>
      </c>
      <c r="AA465" s="74" t="s">
        <v>970</v>
      </c>
      <c r="AB465" s="74" t="s">
        <v>182</v>
      </c>
      <c r="AC465" s="74" t="s">
        <v>183</v>
      </c>
      <c r="AD465" s="74" t="s">
        <v>947</v>
      </c>
      <c r="AG465" s="74" t="s">
        <v>971</v>
      </c>
      <c r="AH465" s="74">
        <v>0</v>
      </c>
      <c r="AI465" s="74">
        <v>175</v>
      </c>
      <c r="AJ465" s="74">
        <v>29</v>
      </c>
      <c r="AK465" s="74">
        <v>0</v>
      </c>
      <c r="AL465" s="74">
        <v>0</v>
      </c>
    </row>
    <row r="466" spans="1:38" x14ac:dyDescent="0.3">
      <c r="A466" s="74" t="s">
        <v>942</v>
      </c>
      <c r="B466" s="74">
        <v>126362</v>
      </c>
      <c r="C466" s="74">
        <v>3</v>
      </c>
      <c r="D466" s="74" t="s">
        <v>242</v>
      </c>
      <c r="E466" s="74" t="s">
        <v>250</v>
      </c>
      <c r="F466" s="74">
        <v>30</v>
      </c>
      <c r="G466" s="74">
        <v>30.36</v>
      </c>
      <c r="H466" s="74">
        <v>100.39</v>
      </c>
      <c r="I466" s="74">
        <v>24.52</v>
      </c>
      <c r="J466" s="74">
        <v>81.06</v>
      </c>
      <c r="K466" s="74">
        <v>6</v>
      </c>
      <c r="T466" s="74">
        <v>3</v>
      </c>
      <c r="U466" s="74">
        <v>2</v>
      </c>
      <c r="V466" s="74" t="s">
        <v>186</v>
      </c>
      <c r="W466" s="74">
        <v>100</v>
      </c>
      <c r="X466" s="74">
        <v>6</v>
      </c>
      <c r="Y466" s="74">
        <v>6</v>
      </c>
      <c r="Z466" s="74" t="s">
        <v>969</v>
      </c>
      <c r="AA466" s="74" t="s">
        <v>970</v>
      </c>
      <c r="AB466" s="74" t="s">
        <v>182</v>
      </c>
      <c r="AC466" s="74" t="s">
        <v>183</v>
      </c>
      <c r="AD466" s="74" t="s">
        <v>947</v>
      </c>
      <c r="AG466" s="74" t="s">
        <v>971</v>
      </c>
      <c r="AH466" s="74">
        <v>0</v>
      </c>
      <c r="AI466" s="74">
        <v>175</v>
      </c>
      <c r="AJ466" s="74">
        <v>29</v>
      </c>
      <c r="AK466" s="74">
        <v>0</v>
      </c>
      <c r="AL466" s="74">
        <v>0</v>
      </c>
    </row>
    <row r="467" spans="1:38" x14ac:dyDescent="0.3">
      <c r="A467" s="74" t="s">
        <v>942</v>
      </c>
      <c r="B467" s="74">
        <v>126362</v>
      </c>
      <c r="C467" s="74">
        <v>4</v>
      </c>
      <c r="D467" s="74" t="s">
        <v>242</v>
      </c>
      <c r="E467" s="74" t="s">
        <v>250</v>
      </c>
      <c r="F467" s="74">
        <v>30</v>
      </c>
      <c r="G467" s="74">
        <v>31.25</v>
      </c>
      <c r="H467" s="74">
        <v>103.31</v>
      </c>
      <c r="I467" s="74">
        <v>23.1</v>
      </c>
      <c r="J467" s="74">
        <v>76.38</v>
      </c>
      <c r="K467" s="74">
        <v>6</v>
      </c>
      <c r="T467" s="74">
        <v>3</v>
      </c>
      <c r="U467" s="74">
        <v>2</v>
      </c>
      <c r="V467" s="74" t="s">
        <v>186</v>
      </c>
      <c r="W467" s="74">
        <v>103</v>
      </c>
      <c r="X467" s="74">
        <v>6</v>
      </c>
      <c r="Y467" s="74">
        <v>6</v>
      </c>
      <c r="Z467" s="74" t="s">
        <v>969</v>
      </c>
      <c r="AA467" s="74" t="s">
        <v>970</v>
      </c>
      <c r="AB467" s="74" t="s">
        <v>182</v>
      </c>
      <c r="AC467" s="74" t="s">
        <v>183</v>
      </c>
      <c r="AD467" s="74" t="s">
        <v>947</v>
      </c>
      <c r="AG467" s="74" t="s">
        <v>971</v>
      </c>
      <c r="AH467" s="74">
        <v>0</v>
      </c>
      <c r="AI467" s="74">
        <v>175</v>
      </c>
      <c r="AJ467" s="74">
        <v>29</v>
      </c>
      <c r="AK467" s="74">
        <v>0</v>
      </c>
      <c r="AL467" s="74">
        <v>0</v>
      </c>
    </row>
    <row r="468" spans="1:38" x14ac:dyDescent="0.3">
      <c r="A468" s="74" t="s">
        <v>942</v>
      </c>
      <c r="B468" s="74">
        <v>5052</v>
      </c>
      <c r="C468" s="74">
        <v>1</v>
      </c>
      <c r="D468" s="74" t="s">
        <v>187</v>
      </c>
      <c r="E468" s="74" t="s">
        <v>972</v>
      </c>
      <c r="F468" s="74">
        <v>141</v>
      </c>
      <c r="G468" s="74">
        <v>20.54</v>
      </c>
      <c r="H468" s="74">
        <v>67.92</v>
      </c>
      <c r="I468" s="74">
        <v>15.92</v>
      </c>
      <c r="J468" s="74">
        <v>52.65</v>
      </c>
      <c r="K468" s="74">
        <v>36</v>
      </c>
      <c r="T468" s="74">
        <v>3</v>
      </c>
      <c r="U468" s="74">
        <v>1</v>
      </c>
      <c r="V468" s="74" t="s">
        <v>186</v>
      </c>
      <c r="W468" s="74">
        <v>67</v>
      </c>
      <c r="X468" s="74">
        <v>10</v>
      </c>
      <c r="Y468" s="74">
        <v>5</v>
      </c>
      <c r="Z468" s="74" t="s">
        <v>973</v>
      </c>
      <c r="AA468" s="74" t="s">
        <v>974</v>
      </c>
      <c r="AB468" s="74" t="s">
        <v>182</v>
      </c>
      <c r="AC468" s="74" t="s">
        <v>183</v>
      </c>
      <c r="AD468" s="74" t="s">
        <v>947</v>
      </c>
      <c r="AG468" s="74" t="s">
        <v>975</v>
      </c>
      <c r="AH468" s="74">
        <v>0</v>
      </c>
      <c r="AI468" s="74">
        <v>0</v>
      </c>
      <c r="AJ468" s="74">
        <v>0</v>
      </c>
      <c r="AK468" s="74">
        <v>0</v>
      </c>
      <c r="AL468" s="74">
        <v>0</v>
      </c>
    </row>
    <row r="469" spans="1:38" x14ac:dyDescent="0.3">
      <c r="A469" s="74" t="s">
        <v>942</v>
      </c>
      <c r="B469" s="74">
        <v>5052</v>
      </c>
      <c r="C469" s="74">
        <v>2</v>
      </c>
      <c r="D469" s="74" t="s">
        <v>187</v>
      </c>
      <c r="E469" s="74" t="s">
        <v>972</v>
      </c>
      <c r="F469" s="74">
        <v>141</v>
      </c>
      <c r="G469" s="74">
        <v>23.15</v>
      </c>
      <c r="H469" s="74">
        <v>76.53</v>
      </c>
      <c r="I469" s="74">
        <v>18.09</v>
      </c>
      <c r="J469" s="74">
        <v>59.82</v>
      </c>
      <c r="K469" s="74">
        <v>47</v>
      </c>
      <c r="T469" s="74">
        <v>3</v>
      </c>
      <c r="U469" s="74">
        <v>1</v>
      </c>
      <c r="V469" s="74" t="s">
        <v>186</v>
      </c>
      <c r="W469" s="74">
        <v>76</v>
      </c>
      <c r="X469" s="74">
        <v>10</v>
      </c>
      <c r="Y469" s="74">
        <v>5</v>
      </c>
      <c r="Z469" s="74" t="s">
        <v>973</v>
      </c>
      <c r="AA469" s="74" t="s">
        <v>974</v>
      </c>
      <c r="AB469" s="74" t="s">
        <v>182</v>
      </c>
      <c r="AC469" s="74" t="s">
        <v>183</v>
      </c>
      <c r="AD469" s="74" t="s">
        <v>947</v>
      </c>
      <c r="AG469" s="74" t="s">
        <v>975</v>
      </c>
      <c r="AH469" s="74">
        <v>0</v>
      </c>
      <c r="AI469" s="74">
        <v>0</v>
      </c>
      <c r="AJ469" s="74">
        <v>0</v>
      </c>
      <c r="AK469" s="74">
        <v>0</v>
      </c>
      <c r="AL469" s="74">
        <v>0</v>
      </c>
    </row>
    <row r="470" spans="1:38" x14ac:dyDescent="0.3">
      <c r="A470" s="74" t="s">
        <v>942</v>
      </c>
      <c r="B470" s="74">
        <v>5052</v>
      </c>
      <c r="C470" s="74">
        <v>3</v>
      </c>
      <c r="D470" s="74" t="s">
        <v>187</v>
      </c>
      <c r="E470" s="74" t="s">
        <v>972</v>
      </c>
      <c r="F470" s="74">
        <v>141</v>
      </c>
      <c r="G470" s="74">
        <v>28.84</v>
      </c>
      <c r="H470" s="74">
        <v>95.35</v>
      </c>
      <c r="I470" s="74">
        <v>22.96</v>
      </c>
      <c r="J470" s="74">
        <v>75.930000000000007</v>
      </c>
      <c r="K470" s="74">
        <v>6</v>
      </c>
      <c r="T470" s="74">
        <v>3</v>
      </c>
      <c r="U470" s="74">
        <v>1</v>
      </c>
      <c r="V470" s="74" t="s">
        <v>186</v>
      </c>
      <c r="W470" s="74">
        <v>95</v>
      </c>
      <c r="X470" s="74">
        <v>10</v>
      </c>
      <c r="Y470" s="74">
        <v>5</v>
      </c>
      <c r="Z470" s="74" t="s">
        <v>973</v>
      </c>
      <c r="AA470" s="74" t="s">
        <v>974</v>
      </c>
      <c r="AB470" s="74" t="s">
        <v>182</v>
      </c>
      <c r="AC470" s="74" t="s">
        <v>183</v>
      </c>
      <c r="AD470" s="74" t="s">
        <v>947</v>
      </c>
      <c r="AG470" s="74" t="s">
        <v>975</v>
      </c>
      <c r="AH470" s="74">
        <v>0</v>
      </c>
      <c r="AI470" s="74">
        <v>0</v>
      </c>
      <c r="AJ470" s="74">
        <v>0</v>
      </c>
      <c r="AK470" s="74">
        <v>0</v>
      </c>
      <c r="AL470" s="74">
        <v>0</v>
      </c>
    </row>
    <row r="471" spans="1:38" x14ac:dyDescent="0.3">
      <c r="A471" s="74" t="s">
        <v>942</v>
      </c>
      <c r="B471" s="74">
        <v>5052</v>
      </c>
      <c r="C471" s="74">
        <v>4</v>
      </c>
      <c r="D471" s="74" t="s">
        <v>187</v>
      </c>
      <c r="E471" s="74" t="s">
        <v>972</v>
      </c>
      <c r="F471" s="74">
        <v>141</v>
      </c>
      <c r="G471" s="74">
        <v>30.86</v>
      </c>
      <c r="H471" s="74">
        <v>102.03</v>
      </c>
      <c r="I471" s="74">
        <v>24.96</v>
      </c>
      <c r="J471" s="74">
        <v>82.53</v>
      </c>
      <c r="K471" s="74">
        <v>44</v>
      </c>
      <c r="T471" s="74">
        <v>3</v>
      </c>
      <c r="U471" s="74">
        <v>2</v>
      </c>
      <c r="V471" s="74" t="s">
        <v>186</v>
      </c>
      <c r="W471" s="74">
        <v>102</v>
      </c>
      <c r="X471" s="74">
        <v>10</v>
      </c>
      <c r="Y471" s="74">
        <v>5</v>
      </c>
      <c r="Z471" s="74" t="s">
        <v>973</v>
      </c>
      <c r="AA471" s="74" t="s">
        <v>974</v>
      </c>
      <c r="AB471" s="74" t="s">
        <v>182</v>
      </c>
      <c r="AC471" s="74" t="s">
        <v>183</v>
      </c>
      <c r="AD471" s="74" t="s">
        <v>947</v>
      </c>
      <c r="AG471" s="74" t="s">
        <v>975</v>
      </c>
      <c r="AH471" s="74">
        <v>0</v>
      </c>
      <c r="AI471" s="74">
        <v>0</v>
      </c>
      <c r="AJ471" s="74">
        <v>0</v>
      </c>
      <c r="AK471" s="74">
        <v>0</v>
      </c>
      <c r="AL471" s="74">
        <v>0</v>
      </c>
    </row>
    <row r="472" spans="1:38" x14ac:dyDescent="0.3">
      <c r="A472" s="74" t="s">
        <v>942</v>
      </c>
      <c r="B472" s="74">
        <v>5052</v>
      </c>
      <c r="C472" s="74">
        <v>5</v>
      </c>
      <c r="D472" s="74" t="s">
        <v>187</v>
      </c>
      <c r="E472" s="74" t="s">
        <v>972</v>
      </c>
      <c r="F472" s="74">
        <v>141</v>
      </c>
      <c r="G472" s="74">
        <v>35.97</v>
      </c>
      <c r="H472" s="74">
        <v>118.92</v>
      </c>
      <c r="I472" s="74">
        <v>29.56</v>
      </c>
      <c r="J472" s="74">
        <v>97.75</v>
      </c>
      <c r="K472" s="74">
        <v>8</v>
      </c>
      <c r="T472" s="74">
        <v>4</v>
      </c>
      <c r="U472" s="74">
        <v>2</v>
      </c>
      <c r="V472" s="74" t="s">
        <v>186</v>
      </c>
      <c r="W472" s="74">
        <v>118</v>
      </c>
      <c r="X472" s="74">
        <v>10</v>
      </c>
      <c r="Y472" s="74">
        <v>5</v>
      </c>
      <c r="Z472" s="74" t="s">
        <v>973</v>
      </c>
      <c r="AA472" s="74" t="s">
        <v>974</v>
      </c>
      <c r="AB472" s="74" t="s">
        <v>182</v>
      </c>
      <c r="AC472" s="74" t="s">
        <v>183</v>
      </c>
      <c r="AD472" s="74" t="s">
        <v>947</v>
      </c>
      <c r="AG472" s="74" t="s">
        <v>975</v>
      </c>
      <c r="AH472" s="74">
        <v>0</v>
      </c>
      <c r="AI472" s="74">
        <v>0</v>
      </c>
      <c r="AJ472" s="74">
        <v>0</v>
      </c>
      <c r="AK472" s="74">
        <v>0</v>
      </c>
      <c r="AL472" s="74">
        <v>0</v>
      </c>
    </row>
    <row r="473" spans="1:38" x14ac:dyDescent="0.3">
      <c r="A473" s="74" t="s">
        <v>942</v>
      </c>
      <c r="B473" s="74">
        <v>5057</v>
      </c>
      <c r="C473" s="74">
        <v>1</v>
      </c>
      <c r="D473" s="74" t="s">
        <v>976</v>
      </c>
      <c r="E473" s="74" t="s">
        <v>977</v>
      </c>
      <c r="F473" s="74">
        <v>499</v>
      </c>
      <c r="G473" s="74">
        <v>17.399999999999999</v>
      </c>
      <c r="H473" s="74">
        <v>57.53</v>
      </c>
      <c r="I473" s="74">
        <v>13.22</v>
      </c>
      <c r="J473" s="74">
        <v>43.72</v>
      </c>
      <c r="K473" s="74">
        <v>123</v>
      </c>
      <c r="T473" s="74">
        <v>2</v>
      </c>
      <c r="U473" s="74">
        <v>1</v>
      </c>
      <c r="V473" s="74" t="s">
        <v>186</v>
      </c>
      <c r="W473" s="74">
        <v>57</v>
      </c>
      <c r="X473" s="74">
        <v>13</v>
      </c>
      <c r="Y473" s="74">
        <v>5</v>
      </c>
      <c r="Z473" s="74" t="s">
        <v>978</v>
      </c>
      <c r="AA473" s="74" t="s">
        <v>979</v>
      </c>
      <c r="AB473" s="74" t="s">
        <v>182</v>
      </c>
      <c r="AC473" s="74" t="s">
        <v>183</v>
      </c>
      <c r="AD473" s="74" t="s">
        <v>947</v>
      </c>
      <c r="AG473" s="74" t="s">
        <v>980</v>
      </c>
      <c r="AH473" s="74">
        <v>0</v>
      </c>
      <c r="AI473" s="74">
        <v>0</v>
      </c>
      <c r="AJ473" s="74">
        <v>0</v>
      </c>
      <c r="AK473" s="74">
        <v>0</v>
      </c>
      <c r="AL473" s="74">
        <v>0</v>
      </c>
    </row>
    <row r="474" spans="1:38" x14ac:dyDescent="0.3">
      <c r="A474" s="74" t="s">
        <v>942</v>
      </c>
      <c r="B474" s="74">
        <v>5057</v>
      </c>
      <c r="C474" s="74">
        <v>2</v>
      </c>
      <c r="D474" s="74" t="s">
        <v>976</v>
      </c>
      <c r="E474" s="74" t="s">
        <v>977</v>
      </c>
      <c r="F474" s="74">
        <v>499</v>
      </c>
      <c r="G474" s="74">
        <v>19.190000000000001</v>
      </c>
      <c r="H474" s="74">
        <v>63.44</v>
      </c>
      <c r="I474" s="74">
        <v>14.91</v>
      </c>
      <c r="J474" s="74">
        <v>49.3</v>
      </c>
      <c r="K474" s="74">
        <v>50</v>
      </c>
      <c r="T474" s="74">
        <v>2</v>
      </c>
      <c r="U474" s="74">
        <v>1</v>
      </c>
      <c r="V474" s="74" t="s">
        <v>186</v>
      </c>
      <c r="W474" s="74">
        <v>63</v>
      </c>
      <c r="X474" s="74">
        <v>13</v>
      </c>
      <c r="Y474" s="74">
        <v>5</v>
      </c>
      <c r="Z474" s="74" t="s">
        <v>978</v>
      </c>
      <c r="AA474" s="74" t="s">
        <v>979</v>
      </c>
      <c r="AB474" s="74" t="s">
        <v>182</v>
      </c>
      <c r="AC474" s="74" t="s">
        <v>183</v>
      </c>
      <c r="AD474" s="74" t="s">
        <v>947</v>
      </c>
      <c r="AG474" s="74" t="s">
        <v>980</v>
      </c>
      <c r="AH474" s="74">
        <v>0</v>
      </c>
      <c r="AI474" s="74">
        <v>0</v>
      </c>
      <c r="AJ474" s="74">
        <v>0</v>
      </c>
      <c r="AK474" s="74">
        <v>0</v>
      </c>
      <c r="AL474" s="74">
        <v>0</v>
      </c>
    </row>
    <row r="475" spans="1:38" x14ac:dyDescent="0.3">
      <c r="A475" s="74" t="s">
        <v>942</v>
      </c>
      <c r="B475" s="74">
        <v>5057</v>
      </c>
      <c r="C475" s="74">
        <v>3</v>
      </c>
      <c r="D475" s="74" t="s">
        <v>976</v>
      </c>
      <c r="E475" s="74" t="s">
        <v>977</v>
      </c>
      <c r="F475" s="74">
        <v>499</v>
      </c>
      <c r="G475" s="74">
        <v>21.22</v>
      </c>
      <c r="H475" s="74">
        <v>70.17</v>
      </c>
      <c r="I475" s="74">
        <v>17.89</v>
      </c>
      <c r="J475" s="74">
        <v>59.16</v>
      </c>
      <c r="K475" s="74">
        <v>25</v>
      </c>
      <c r="T475" s="74">
        <v>2</v>
      </c>
      <c r="U475" s="74">
        <v>1</v>
      </c>
      <c r="V475" s="74" t="s">
        <v>186</v>
      </c>
      <c r="W475" s="74">
        <v>70</v>
      </c>
      <c r="X475" s="74">
        <v>13</v>
      </c>
      <c r="Y475" s="74">
        <v>5</v>
      </c>
      <c r="Z475" s="74" t="s">
        <v>978</v>
      </c>
      <c r="AA475" s="74" t="s">
        <v>979</v>
      </c>
      <c r="AB475" s="74" t="s">
        <v>182</v>
      </c>
      <c r="AC475" s="74" t="s">
        <v>183</v>
      </c>
      <c r="AD475" s="74" t="s">
        <v>947</v>
      </c>
      <c r="AG475" s="74" t="s">
        <v>980</v>
      </c>
      <c r="AH475" s="74">
        <v>0</v>
      </c>
      <c r="AI475" s="74">
        <v>0</v>
      </c>
      <c r="AJ475" s="74">
        <v>0</v>
      </c>
      <c r="AK475" s="74">
        <v>0</v>
      </c>
      <c r="AL475" s="74">
        <v>0</v>
      </c>
    </row>
    <row r="476" spans="1:38" x14ac:dyDescent="0.3">
      <c r="A476" s="74" t="s">
        <v>942</v>
      </c>
      <c r="B476" s="74">
        <v>5057</v>
      </c>
      <c r="C476" s="74">
        <v>4</v>
      </c>
      <c r="D476" s="74" t="s">
        <v>976</v>
      </c>
      <c r="E476" s="74" t="s">
        <v>977</v>
      </c>
      <c r="F476" s="74">
        <v>499</v>
      </c>
      <c r="G476" s="74">
        <v>23.72</v>
      </c>
      <c r="H476" s="74">
        <v>78.42</v>
      </c>
      <c r="I476" s="74">
        <v>18.09</v>
      </c>
      <c r="J476" s="74">
        <v>59.82</v>
      </c>
      <c r="K476" s="74">
        <v>48</v>
      </c>
      <c r="T476" s="74">
        <v>3</v>
      </c>
      <c r="U476" s="74">
        <v>1</v>
      </c>
      <c r="V476" s="74" t="s">
        <v>179</v>
      </c>
      <c r="W476" s="74" t="s">
        <v>137</v>
      </c>
      <c r="X476" s="74">
        <v>13</v>
      </c>
      <c r="Y476" s="74">
        <v>5</v>
      </c>
      <c r="Z476" s="74" t="s">
        <v>978</v>
      </c>
      <c r="AA476" s="74" t="s">
        <v>979</v>
      </c>
      <c r="AB476" s="74" t="s">
        <v>182</v>
      </c>
      <c r="AC476" s="74" t="s">
        <v>183</v>
      </c>
      <c r="AD476" s="74" t="s">
        <v>947</v>
      </c>
      <c r="AG476" s="74" t="s">
        <v>980</v>
      </c>
      <c r="AH476" s="74">
        <v>0</v>
      </c>
      <c r="AI476" s="74">
        <v>0</v>
      </c>
      <c r="AJ476" s="74">
        <v>0</v>
      </c>
      <c r="AK476" s="74">
        <v>0</v>
      </c>
      <c r="AL476" s="74">
        <v>0</v>
      </c>
    </row>
    <row r="477" spans="1:38" x14ac:dyDescent="0.3">
      <c r="A477" s="74" t="s">
        <v>942</v>
      </c>
      <c r="B477" s="74">
        <v>5057</v>
      </c>
      <c r="C477" s="74">
        <v>5</v>
      </c>
      <c r="D477" s="74" t="s">
        <v>976</v>
      </c>
      <c r="E477" s="74" t="s">
        <v>977</v>
      </c>
      <c r="F477" s="74">
        <v>499</v>
      </c>
      <c r="G477" s="74">
        <v>24.42</v>
      </c>
      <c r="H477" s="74">
        <v>80.739999999999995</v>
      </c>
      <c r="I477" s="74">
        <v>20.59</v>
      </c>
      <c r="J477" s="74">
        <v>68.069999999999993</v>
      </c>
      <c r="K477" s="74">
        <v>25</v>
      </c>
      <c r="T477" s="74">
        <v>3</v>
      </c>
      <c r="U477" s="74">
        <v>1</v>
      </c>
      <c r="V477" s="74" t="s">
        <v>186</v>
      </c>
      <c r="W477" s="74" t="s">
        <v>85</v>
      </c>
      <c r="X477" s="74">
        <v>13</v>
      </c>
      <c r="Y477" s="74">
        <v>5</v>
      </c>
      <c r="Z477" s="74" t="s">
        <v>978</v>
      </c>
      <c r="AA477" s="74" t="s">
        <v>979</v>
      </c>
      <c r="AB477" s="74" t="s">
        <v>182</v>
      </c>
      <c r="AC477" s="74" t="s">
        <v>183</v>
      </c>
      <c r="AD477" s="74" t="s">
        <v>947</v>
      </c>
      <c r="AG477" s="74" t="s">
        <v>980</v>
      </c>
      <c r="AH477" s="74">
        <v>0</v>
      </c>
      <c r="AI477" s="74">
        <v>0</v>
      </c>
      <c r="AJ477" s="74">
        <v>0</v>
      </c>
      <c r="AK477" s="74">
        <v>0</v>
      </c>
      <c r="AL477" s="74">
        <v>0</v>
      </c>
    </row>
    <row r="478" spans="1:38" x14ac:dyDescent="0.3">
      <c r="A478" s="74" t="s">
        <v>942</v>
      </c>
      <c r="B478" s="74">
        <v>5057</v>
      </c>
      <c r="C478" s="74">
        <v>6</v>
      </c>
      <c r="D478" s="74" t="s">
        <v>976</v>
      </c>
      <c r="E478" s="74" t="s">
        <v>977</v>
      </c>
      <c r="F478" s="74">
        <v>499</v>
      </c>
      <c r="G478" s="74">
        <v>26.71</v>
      </c>
      <c r="H478" s="74">
        <v>88.31</v>
      </c>
      <c r="I478" s="74">
        <v>21.77</v>
      </c>
      <c r="J478" s="74">
        <v>71.98</v>
      </c>
      <c r="K478" s="74">
        <v>128</v>
      </c>
      <c r="T478" s="74">
        <v>3</v>
      </c>
      <c r="U478" s="74">
        <v>2</v>
      </c>
      <c r="V478" s="74" t="s">
        <v>186</v>
      </c>
      <c r="W478" s="74">
        <v>88</v>
      </c>
      <c r="X478" s="74">
        <v>13</v>
      </c>
      <c r="Y478" s="74">
        <v>5</v>
      </c>
      <c r="Z478" s="74" t="s">
        <v>978</v>
      </c>
      <c r="AA478" s="74" t="s">
        <v>979</v>
      </c>
      <c r="AB478" s="74" t="s">
        <v>182</v>
      </c>
      <c r="AC478" s="74" t="s">
        <v>183</v>
      </c>
      <c r="AD478" s="74" t="s">
        <v>947</v>
      </c>
      <c r="AG478" s="74" t="s">
        <v>980</v>
      </c>
      <c r="AH478" s="74">
        <v>0</v>
      </c>
      <c r="AI478" s="74">
        <v>0</v>
      </c>
      <c r="AJ478" s="74">
        <v>0</v>
      </c>
      <c r="AK478" s="74">
        <v>0</v>
      </c>
      <c r="AL478" s="74">
        <v>0</v>
      </c>
    </row>
    <row r="479" spans="1:38" x14ac:dyDescent="0.3">
      <c r="A479" s="74" t="s">
        <v>942</v>
      </c>
      <c r="B479" s="74">
        <v>5057</v>
      </c>
      <c r="C479" s="74">
        <v>7</v>
      </c>
      <c r="D479" s="74" t="s">
        <v>976</v>
      </c>
      <c r="E479" s="74" t="s">
        <v>977</v>
      </c>
      <c r="F479" s="74">
        <v>499</v>
      </c>
      <c r="G479" s="74">
        <v>31.1</v>
      </c>
      <c r="H479" s="74">
        <v>102.82</v>
      </c>
      <c r="I479" s="74">
        <v>25.7</v>
      </c>
      <c r="J479" s="74">
        <v>84.98</v>
      </c>
      <c r="K479" s="74">
        <v>100</v>
      </c>
      <c r="T479" s="74">
        <v>3</v>
      </c>
      <c r="U479" s="74">
        <v>2</v>
      </c>
      <c r="V479" s="74" t="s">
        <v>186</v>
      </c>
      <c r="W479" s="74">
        <v>102</v>
      </c>
      <c r="X479" s="74">
        <v>13</v>
      </c>
      <c r="Y479" s="74">
        <v>5</v>
      </c>
      <c r="Z479" s="74" t="s">
        <v>978</v>
      </c>
      <c r="AA479" s="74" t="s">
        <v>979</v>
      </c>
      <c r="AB479" s="74" t="s">
        <v>182</v>
      </c>
      <c r="AC479" s="74" t="s">
        <v>183</v>
      </c>
      <c r="AD479" s="74" t="s">
        <v>947</v>
      </c>
      <c r="AG479" s="74" t="s">
        <v>980</v>
      </c>
      <c r="AH479" s="74">
        <v>0</v>
      </c>
      <c r="AI479" s="74">
        <v>0</v>
      </c>
      <c r="AJ479" s="74">
        <v>0</v>
      </c>
      <c r="AK479" s="74">
        <v>0</v>
      </c>
      <c r="AL479" s="74">
        <v>0</v>
      </c>
    </row>
    <row r="480" spans="1:38" x14ac:dyDescent="0.3">
      <c r="A480" s="74" t="s">
        <v>942</v>
      </c>
      <c r="B480" s="74">
        <v>27490</v>
      </c>
      <c r="C480" s="74">
        <v>1</v>
      </c>
      <c r="D480" s="74" t="s">
        <v>981</v>
      </c>
      <c r="E480" s="74" t="s">
        <v>502</v>
      </c>
      <c r="F480" s="74">
        <v>398</v>
      </c>
      <c r="G480" s="74">
        <v>12.49</v>
      </c>
      <c r="H480" s="74">
        <v>41.29</v>
      </c>
      <c r="I480" s="74">
        <v>9.61</v>
      </c>
      <c r="J480" s="74">
        <v>31.8</v>
      </c>
      <c r="K480" s="74">
        <v>390</v>
      </c>
      <c r="T480" s="74">
        <v>1</v>
      </c>
      <c r="U480" s="74">
        <v>1</v>
      </c>
      <c r="V480" s="74" t="s">
        <v>179</v>
      </c>
      <c r="W480" s="74">
        <v>41</v>
      </c>
      <c r="X480" s="74">
        <v>14</v>
      </c>
      <c r="Y480" s="74">
        <v>8</v>
      </c>
      <c r="Z480" s="74" t="s">
        <v>982</v>
      </c>
      <c r="AA480" s="74" t="s">
        <v>983</v>
      </c>
      <c r="AB480" s="74" t="s">
        <v>182</v>
      </c>
      <c r="AC480" s="74" t="s">
        <v>183</v>
      </c>
      <c r="AD480" s="74" t="s">
        <v>947</v>
      </c>
      <c r="AG480" s="74" t="s">
        <v>984</v>
      </c>
      <c r="AH480" s="74">
        <v>0</v>
      </c>
      <c r="AI480" s="74">
        <v>312</v>
      </c>
      <c r="AJ480" s="74">
        <v>37</v>
      </c>
      <c r="AK480" s="74">
        <v>280</v>
      </c>
      <c r="AL480" s="74">
        <v>0.7</v>
      </c>
    </row>
    <row r="481" spans="1:38" x14ac:dyDescent="0.3">
      <c r="A481" s="74" t="s">
        <v>942</v>
      </c>
      <c r="B481" s="74">
        <v>27490</v>
      </c>
      <c r="C481" s="74">
        <v>2</v>
      </c>
      <c r="D481" s="74" t="s">
        <v>981</v>
      </c>
      <c r="E481" s="74" t="s">
        <v>502</v>
      </c>
      <c r="F481" s="74">
        <v>398</v>
      </c>
      <c r="G481" s="74">
        <v>16.28</v>
      </c>
      <c r="H481" s="74">
        <v>53.83</v>
      </c>
      <c r="I481" s="74">
        <v>12.54</v>
      </c>
      <c r="J481" s="74">
        <v>41.46</v>
      </c>
      <c r="K481" s="74">
        <v>8</v>
      </c>
      <c r="T481" s="74">
        <v>2</v>
      </c>
      <c r="U481" s="74">
        <v>1</v>
      </c>
      <c r="V481" s="74" t="s">
        <v>179</v>
      </c>
      <c r="W481" s="74">
        <v>53</v>
      </c>
      <c r="X481" s="74">
        <v>14</v>
      </c>
      <c r="Y481" s="74">
        <v>8</v>
      </c>
      <c r="Z481" s="74" t="s">
        <v>982</v>
      </c>
      <c r="AA481" s="74" t="s">
        <v>983</v>
      </c>
      <c r="AB481" s="74" t="s">
        <v>182</v>
      </c>
      <c r="AC481" s="74" t="s">
        <v>183</v>
      </c>
      <c r="AD481" s="74" t="s">
        <v>947</v>
      </c>
      <c r="AG481" s="74" t="s">
        <v>984</v>
      </c>
      <c r="AH481" s="74">
        <v>0</v>
      </c>
      <c r="AI481" s="74">
        <v>312</v>
      </c>
      <c r="AJ481" s="74">
        <v>37</v>
      </c>
      <c r="AK481" s="74">
        <v>280</v>
      </c>
      <c r="AL481" s="74">
        <v>0.7</v>
      </c>
    </row>
    <row r="482" spans="1:38" x14ac:dyDescent="0.3">
      <c r="A482" s="74" t="s">
        <v>942</v>
      </c>
      <c r="B482" s="74">
        <v>125416</v>
      </c>
      <c r="C482" s="74">
        <v>1</v>
      </c>
      <c r="D482" s="74" t="s">
        <v>774</v>
      </c>
      <c r="E482" s="74" t="s">
        <v>453</v>
      </c>
      <c r="F482" s="74">
        <v>60</v>
      </c>
      <c r="G482" s="74">
        <v>18.440000000000001</v>
      </c>
      <c r="H482" s="74">
        <v>60.98</v>
      </c>
      <c r="I482" s="74">
        <v>13.93</v>
      </c>
      <c r="J482" s="74">
        <v>46.05</v>
      </c>
      <c r="K482" s="74">
        <v>60</v>
      </c>
      <c r="T482" s="74">
        <v>3</v>
      </c>
      <c r="U482" s="74">
        <v>1</v>
      </c>
      <c r="V482" s="74" t="s">
        <v>186</v>
      </c>
      <c r="W482" s="74">
        <v>60</v>
      </c>
      <c r="X482" s="74">
        <v>5</v>
      </c>
      <c r="Y482" s="74">
        <v>5</v>
      </c>
      <c r="Z482" s="74" t="s">
        <v>985</v>
      </c>
      <c r="AA482" s="74" t="s">
        <v>986</v>
      </c>
      <c r="AB482" s="74" t="s">
        <v>182</v>
      </c>
      <c r="AC482" s="74" t="s">
        <v>183</v>
      </c>
      <c r="AD482" s="74" t="s">
        <v>947</v>
      </c>
      <c r="AG482" s="74" t="s">
        <v>987</v>
      </c>
      <c r="AH482" s="74">
        <v>0</v>
      </c>
      <c r="AI482" s="74">
        <v>161</v>
      </c>
      <c r="AJ482" s="74">
        <v>33</v>
      </c>
      <c r="AK482" s="74">
        <v>0</v>
      </c>
      <c r="AL482" s="74">
        <v>0</v>
      </c>
    </row>
    <row r="483" spans="1:38" x14ac:dyDescent="0.3">
      <c r="A483" s="74" t="s">
        <v>942</v>
      </c>
      <c r="B483" s="74">
        <v>122339</v>
      </c>
      <c r="C483" s="74">
        <v>1</v>
      </c>
      <c r="D483" s="74" t="s">
        <v>988</v>
      </c>
      <c r="E483" s="74" t="s">
        <v>934</v>
      </c>
      <c r="F483" s="74">
        <v>19</v>
      </c>
      <c r="G483" s="74">
        <v>21.26</v>
      </c>
      <c r="H483" s="74">
        <v>70.290000000000006</v>
      </c>
      <c r="I483" s="74">
        <v>17.59</v>
      </c>
      <c r="J483" s="74">
        <v>58.15</v>
      </c>
      <c r="K483" s="74">
        <v>19</v>
      </c>
      <c r="T483" s="74">
        <v>3</v>
      </c>
      <c r="U483" s="74">
        <v>1</v>
      </c>
      <c r="V483" s="74" t="s">
        <v>186</v>
      </c>
      <c r="W483" s="74">
        <v>70</v>
      </c>
      <c r="X483" s="74">
        <v>5</v>
      </c>
      <c r="Y483" s="74">
        <v>4</v>
      </c>
      <c r="Z483" s="74" t="s">
        <v>989</v>
      </c>
      <c r="AA483" s="74" t="s">
        <v>990</v>
      </c>
      <c r="AB483" s="74" t="s">
        <v>182</v>
      </c>
      <c r="AC483" s="74" t="s">
        <v>183</v>
      </c>
      <c r="AD483" s="74" t="s">
        <v>947</v>
      </c>
      <c r="AG483" s="74" t="s">
        <v>991</v>
      </c>
      <c r="AH483" s="74">
        <v>0</v>
      </c>
      <c r="AI483" s="74">
        <v>123</v>
      </c>
      <c r="AJ483" s="74">
        <v>25</v>
      </c>
      <c r="AK483" s="74">
        <v>0</v>
      </c>
      <c r="AL483" s="74">
        <v>0</v>
      </c>
    </row>
    <row r="484" spans="1:38" x14ac:dyDescent="0.3">
      <c r="A484" s="74" t="s">
        <v>942</v>
      </c>
      <c r="B484" s="74">
        <v>127515</v>
      </c>
      <c r="C484" s="74">
        <v>1</v>
      </c>
      <c r="D484" s="74" t="s">
        <v>992</v>
      </c>
      <c r="E484" s="74" t="s">
        <v>775</v>
      </c>
      <c r="F484" s="74">
        <v>96</v>
      </c>
      <c r="G484" s="74">
        <v>19.760000000000002</v>
      </c>
      <c r="H484" s="74">
        <v>65.349999999999994</v>
      </c>
      <c r="I484" s="74">
        <v>15.38</v>
      </c>
      <c r="J484" s="74">
        <v>50.85</v>
      </c>
      <c r="K484" s="74">
        <v>96</v>
      </c>
      <c r="T484" s="74">
        <v>3</v>
      </c>
      <c r="U484" s="74">
        <v>1</v>
      </c>
      <c r="V484" s="74" t="s">
        <v>186</v>
      </c>
      <c r="W484" s="74">
        <v>65</v>
      </c>
      <c r="X484" s="74">
        <v>6</v>
      </c>
      <c r="Y484" s="74">
        <v>6</v>
      </c>
      <c r="Z484" s="74" t="s">
        <v>993</v>
      </c>
      <c r="AA484" s="74" t="s">
        <v>994</v>
      </c>
      <c r="AB484" s="74" t="s">
        <v>182</v>
      </c>
      <c r="AC484" s="74" t="s">
        <v>183</v>
      </c>
      <c r="AD484" s="74" t="s">
        <v>947</v>
      </c>
      <c r="AG484" s="74" t="s">
        <v>995</v>
      </c>
      <c r="AH484" s="74">
        <v>0</v>
      </c>
      <c r="AI484" s="74">
        <v>153</v>
      </c>
      <c r="AJ484" s="74">
        <v>58</v>
      </c>
      <c r="AK484" s="74">
        <v>0</v>
      </c>
      <c r="AL484" s="74">
        <v>0</v>
      </c>
    </row>
    <row r="485" spans="1:38" x14ac:dyDescent="0.3">
      <c r="A485" s="74" t="s">
        <v>942</v>
      </c>
      <c r="B485" s="74">
        <v>105138</v>
      </c>
      <c r="C485" s="74">
        <v>1</v>
      </c>
      <c r="D485" s="74" t="s">
        <v>996</v>
      </c>
      <c r="E485" s="74" t="s">
        <v>746</v>
      </c>
      <c r="F485" s="74">
        <v>972</v>
      </c>
      <c r="G485" s="74">
        <v>23.48</v>
      </c>
      <c r="H485" s="74">
        <v>77.650000000000006</v>
      </c>
      <c r="I485" s="74">
        <v>18.010000000000002</v>
      </c>
      <c r="J485" s="74">
        <v>59.55</v>
      </c>
      <c r="K485" s="74">
        <v>144</v>
      </c>
      <c r="T485" s="74">
        <v>2</v>
      </c>
      <c r="U485" s="74">
        <v>1</v>
      </c>
      <c r="V485" s="74" t="s">
        <v>186</v>
      </c>
      <c r="W485" s="74" t="s">
        <v>83</v>
      </c>
      <c r="X485" s="74">
        <v>12</v>
      </c>
      <c r="Y485" s="74">
        <v>12</v>
      </c>
      <c r="Z485" s="74" t="s">
        <v>997</v>
      </c>
      <c r="AA485" s="74" t="s">
        <v>998</v>
      </c>
      <c r="AB485" s="74" t="s">
        <v>182</v>
      </c>
      <c r="AC485" s="74" t="s">
        <v>183</v>
      </c>
      <c r="AD485" s="74" t="s">
        <v>947</v>
      </c>
      <c r="AG485" s="74" t="s">
        <v>999</v>
      </c>
      <c r="AH485" s="74">
        <v>0</v>
      </c>
      <c r="AI485" s="74">
        <v>155</v>
      </c>
      <c r="AJ485" s="74">
        <v>16</v>
      </c>
      <c r="AK485" s="74">
        <v>985</v>
      </c>
      <c r="AL485" s="74">
        <v>1.01</v>
      </c>
    </row>
    <row r="486" spans="1:38" x14ac:dyDescent="0.3">
      <c r="A486" s="74" t="s">
        <v>942</v>
      </c>
      <c r="B486" s="74">
        <v>105138</v>
      </c>
      <c r="C486" s="74">
        <v>2</v>
      </c>
      <c r="D486" s="74" t="s">
        <v>996</v>
      </c>
      <c r="E486" s="74" t="s">
        <v>746</v>
      </c>
      <c r="F486" s="74">
        <v>972</v>
      </c>
      <c r="G486" s="74">
        <v>23.82</v>
      </c>
      <c r="H486" s="74">
        <v>78.760000000000005</v>
      </c>
      <c r="I486" s="74">
        <v>18.13</v>
      </c>
      <c r="J486" s="74">
        <v>59.95</v>
      </c>
      <c r="K486" s="74">
        <v>252</v>
      </c>
      <c r="T486" s="74">
        <v>2</v>
      </c>
      <c r="U486" s="74">
        <v>1</v>
      </c>
      <c r="V486" s="74" t="s">
        <v>186</v>
      </c>
      <c r="W486" s="74" t="s">
        <v>133</v>
      </c>
      <c r="X486" s="74">
        <v>12</v>
      </c>
      <c r="Y486" s="74">
        <v>12</v>
      </c>
      <c r="Z486" s="74" t="s">
        <v>997</v>
      </c>
      <c r="AA486" s="74" t="s">
        <v>998</v>
      </c>
      <c r="AB486" s="74" t="s">
        <v>182</v>
      </c>
      <c r="AC486" s="74" t="s">
        <v>183</v>
      </c>
      <c r="AD486" s="74" t="s">
        <v>947</v>
      </c>
      <c r="AG486" s="74" t="s">
        <v>999</v>
      </c>
      <c r="AH486" s="74">
        <v>0</v>
      </c>
      <c r="AI486" s="74">
        <v>155</v>
      </c>
      <c r="AJ486" s="74">
        <v>16</v>
      </c>
      <c r="AK486" s="74">
        <v>985</v>
      </c>
      <c r="AL486" s="74">
        <v>1.01</v>
      </c>
    </row>
    <row r="487" spans="1:38" x14ac:dyDescent="0.3">
      <c r="A487" s="74" t="s">
        <v>942</v>
      </c>
      <c r="B487" s="74">
        <v>105138</v>
      </c>
      <c r="C487" s="74">
        <v>3</v>
      </c>
      <c r="D487" s="74" t="s">
        <v>996</v>
      </c>
      <c r="E487" s="74" t="s">
        <v>746</v>
      </c>
      <c r="F487" s="74">
        <v>972</v>
      </c>
      <c r="G487" s="74">
        <v>32.14</v>
      </c>
      <c r="H487" s="74">
        <v>106.25</v>
      </c>
      <c r="I487" s="74">
        <v>25.56</v>
      </c>
      <c r="J487" s="74">
        <v>84.52</v>
      </c>
      <c r="K487" s="74">
        <v>576</v>
      </c>
      <c r="T487" s="74">
        <v>3</v>
      </c>
      <c r="U487" s="74">
        <v>2</v>
      </c>
      <c r="V487" s="74" t="s">
        <v>186</v>
      </c>
      <c r="W487" s="74">
        <v>106</v>
      </c>
      <c r="X487" s="74">
        <v>12</v>
      </c>
      <c r="Y487" s="74">
        <v>12</v>
      </c>
      <c r="Z487" s="74" t="s">
        <v>997</v>
      </c>
      <c r="AA487" s="74" t="s">
        <v>998</v>
      </c>
      <c r="AB487" s="74" t="s">
        <v>182</v>
      </c>
      <c r="AC487" s="74" t="s">
        <v>183</v>
      </c>
      <c r="AD487" s="74" t="s">
        <v>947</v>
      </c>
      <c r="AG487" s="74" t="s">
        <v>999</v>
      </c>
      <c r="AH487" s="74">
        <v>0</v>
      </c>
      <c r="AI487" s="74">
        <v>155</v>
      </c>
      <c r="AJ487" s="74">
        <v>16</v>
      </c>
      <c r="AK487" s="74">
        <v>985</v>
      </c>
      <c r="AL487" s="74">
        <v>1.01</v>
      </c>
    </row>
    <row r="488" spans="1:38" x14ac:dyDescent="0.3">
      <c r="A488" s="74" t="s">
        <v>942</v>
      </c>
      <c r="B488" s="74">
        <v>106428</v>
      </c>
      <c r="C488" s="74">
        <v>1</v>
      </c>
      <c r="D488" s="74" t="s">
        <v>1000</v>
      </c>
      <c r="E488" s="74" t="s">
        <v>497</v>
      </c>
      <c r="F488" s="74">
        <v>112</v>
      </c>
      <c r="G488" s="74">
        <v>21.81</v>
      </c>
      <c r="H488" s="74">
        <v>72.12</v>
      </c>
      <c r="I488" s="74">
        <v>16.13</v>
      </c>
      <c r="J488" s="74">
        <v>53.33</v>
      </c>
      <c r="K488" s="74">
        <v>106</v>
      </c>
      <c r="T488" s="74">
        <v>3</v>
      </c>
      <c r="U488" s="74">
        <v>1</v>
      </c>
      <c r="V488" s="74" t="s">
        <v>179</v>
      </c>
      <c r="W488" s="74">
        <v>72</v>
      </c>
      <c r="X488" s="74">
        <v>10</v>
      </c>
      <c r="Y488" s="74">
        <v>6</v>
      </c>
      <c r="Z488" s="74" t="s">
        <v>1001</v>
      </c>
      <c r="AA488" s="74" t="s">
        <v>1002</v>
      </c>
      <c r="AB488" s="74" t="s">
        <v>182</v>
      </c>
      <c r="AC488" s="74" t="s">
        <v>183</v>
      </c>
      <c r="AD488" s="74" t="s">
        <v>947</v>
      </c>
      <c r="AG488" s="74" t="s">
        <v>1003</v>
      </c>
      <c r="AH488" s="74">
        <v>0</v>
      </c>
      <c r="AI488" s="74">
        <v>101</v>
      </c>
      <c r="AJ488" s="74">
        <v>13</v>
      </c>
      <c r="AK488" s="74">
        <v>40</v>
      </c>
      <c r="AL488" s="74">
        <v>0.36</v>
      </c>
    </row>
    <row r="489" spans="1:38" x14ac:dyDescent="0.3">
      <c r="A489" s="74" t="s">
        <v>942</v>
      </c>
      <c r="B489" s="74">
        <v>106428</v>
      </c>
      <c r="C489" s="74">
        <v>2</v>
      </c>
      <c r="D489" s="74" t="s">
        <v>1000</v>
      </c>
      <c r="E489" s="74" t="s">
        <v>497</v>
      </c>
      <c r="F489" s="74">
        <v>112</v>
      </c>
      <c r="G489" s="74">
        <v>23.72</v>
      </c>
      <c r="H489" s="74">
        <v>78.44</v>
      </c>
      <c r="I489" s="74">
        <v>17.350000000000001</v>
      </c>
      <c r="J489" s="74">
        <v>57.38</v>
      </c>
      <c r="K489" s="74">
        <v>6</v>
      </c>
      <c r="T489" s="74">
        <v>3</v>
      </c>
      <c r="U489" s="74">
        <v>1</v>
      </c>
      <c r="V489" s="74" t="s">
        <v>179</v>
      </c>
      <c r="W489" s="74">
        <v>78</v>
      </c>
      <c r="X489" s="74">
        <v>10</v>
      </c>
      <c r="Y489" s="74">
        <v>6</v>
      </c>
      <c r="Z489" s="74" t="s">
        <v>1001</v>
      </c>
      <c r="AA489" s="74" t="s">
        <v>1002</v>
      </c>
      <c r="AB489" s="74" t="s">
        <v>182</v>
      </c>
      <c r="AC489" s="74" t="s">
        <v>183</v>
      </c>
      <c r="AD489" s="74" t="s">
        <v>947</v>
      </c>
      <c r="AG489" s="74" t="s">
        <v>1003</v>
      </c>
      <c r="AH489" s="74">
        <v>0</v>
      </c>
      <c r="AI489" s="74">
        <v>101</v>
      </c>
      <c r="AJ489" s="74">
        <v>13</v>
      </c>
      <c r="AK489" s="74">
        <v>40</v>
      </c>
      <c r="AL489" s="74">
        <v>0.36</v>
      </c>
    </row>
    <row r="490" spans="1:38" x14ac:dyDescent="0.3">
      <c r="A490" s="74" t="s">
        <v>942</v>
      </c>
      <c r="B490" s="74">
        <v>27544</v>
      </c>
      <c r="C490" s="74">
        <v>1</v>
      </c>
      <c r="D490" s="74" t="s">
        <v>1004</v>
      </c>
      <c r="E490" s="74" t="s">
        <v>1005</v>
      </c>
      <c r="F490" s="74">
        <v>720</v>
      </c>
      <c r="G490" s="74">
        <v>19.05</v>
      </c>
      <c r="H490" s="74">
        <v>62.98</v>
      </c>
      <c r="I490" s="74">
        <v>13.72</v>
      </c>
      <c r="J490" s="74">
        <v>45.36</v>
      </c>
      <c r="K490" s="74">
        <v>416</v>
      </c>
      <c r="T490" s="74">
        <v>2</v>
      </c>
      <c r="U490" s="74">
        <v>1</v>
      </c>
      <c r="V490" s="74" t="s">
        <v>179</v>
      </c>
      <c r="W490" s="74" t="s">
        <v>138</v>
      </c>
      <c r="X490" s="74">
        <v>19</v>
      </c>
      <c r="Y490" s="74">
        <v>18</v>
      </c>
      <c r="Z490" s="74" t="s">
        <v>1006</v>
      </c>
      <c r="AA490" s="74" t="s">
        <v>1007</v>
      </c>
      <c r="AB490" s="74" t="s">
        <v>182</v>
      </c>
      <c r="AC490" s="74" t="s">
        <v>183</v>
      </c>
      <c r="AD490" s="74" t="s">
        <v>947</v>
      </c>
      <c r="AG490" s="74" t="s">
        <v>1008</v>
      </c>
      <c r="AH490" s="74">
        <v>0</v>
      </c>
      <c r="AI490" s="74">
        <v>281</v>
      </c>
      <c r="AJ490" s="74">
        <v>18</v>
      </c>
      <c r="AK490" s="74">
        <v>607</v>
      </c>
      <c r="AL490" s="74">
        <v>0.84</v>
      </c>
    </row>
    <row r="491" spans="1:38" x14ac:dyDescent="0.3">
      <c r="A491" s="74" t="s">
        <v>942</v>
      </c>
      <c r="B491" s="74">
        <v>27544</v>
      </c>
      <c r="C491" s="74">
        <v>2</v>
      </c>
      <c r="D491" s="74" t="s">
        <v>1004</v>
      </c>
      <c r="E491" s="74" t="s">
        <v>1005</v>
      </c>
      <c r="F491" s="74">
        <v>720</v>
      </c>
      <c r="G491" s="74">
        <v>19.22</v>
      </c>
      <c r="H491" s="74">
        <v>63.57</v>
      </c>
      <c r="I491" s="74">
        <v>14.05</v>
      </c>
      <c r="J491" s="74">
        <v>46.45</v>
      </c>
      <c r="K491" s="74">
        <v>304</v>
      </c>
      <c r="T491" s="74">
        <v>2</v>
      </c>
      <c r="U491" s="74">
        <v>1</v>
      </c>
      <c r="V491" s="74" t="s">
        <v>179</v>
      </c>
      <c r="W491" s="74" t="s">
        <v>634</v>
      </c>
      <c r="X491" s="74">
        <v>19</v>
      </c>
      <c r="Y491" s="74">
        <v>18</v>
      </c>
      <c r="Z491" s="74" t="s">
        <v>1006</v>
      </c>
      <c r="AA491" s="74" t="s">
        <v>1007</v>
      </c>
      <c r="AB491" s="74" t="s">
        <v>182</v>
      </c>
      <c r="AC491" s="74" t="s">
        <v>183</v>
      </c>
      <c r="AD491" s="74" t="s">
        <v>947</v>
      </c>
      <c r="AG491" s="74" t="s">
        <v>1008</v>
      </c>
      <c r="AH491" s="74">
        <v>0</v>
      </c>
      <c r="AI491" s="74">
        <v>281</v>
      </c>
      <c r="AJ491" s="74">
        <v>18</v>
      </c>
      <c r="AK491" s="74">
        <v>607</v>
      </c>
      <c r="AL491" s="74">
        <v>0.84</v>
      </c>
    </row>
    <row r="492" spans="1:38" x14ac:dyDescent="0.3">
      <c r="A492" s="74" t="s">
        <v>942</v>
      </c>
      <c r="B492" s="74">
        <v>14975</v>
      </c>
      <c r="C492" s="74">
        <v>1</v>
      </c>
      <c r="D492" s="74" t="s">
        <v>1009</v>
      </c>
      <c r="E492" s="74" t="s">
        <v>1010</v>
      </c>
      <c r="F492" s="74">
        <v>204</v>
      </c>
      <c r="G492" s="74">
        <v>17.71</v>
      </c>
      <c r="H492" s="74">
        <v>58.57</v>
      </c>
      <c r="I492" s="74">
        <v>13.55</v>
      </c>
      <c r="J492" s="74">
        <v>44.81</v>
      </c>
      <c r="K492" s="74">
        <v>60</v>
      </c>
      <c r="T492" s="74">
        <v>2</v>
      </c>
      <c r="U492" s="74">
        <v>1</v>
      </c>
      <c r="V492" s="74" t="s">
        <v>186</v>
      </c>
      <c r="W492" s="74">
        <v>58</v>
      </c>
      <c r="X492" s="74">
        <v>6</v>
      </c>
      <c r="Y492" s="74">
        <v>6</v>
      </c>
      <c r="Z492" s="74" t="s">
        <v>1011</v>
      </c>
      <c r="AA492" s="74" t="s">
        <v>1012</v>
      </c>
      <c r="AB492" s="74" t="s">
        <v>182</v>
      </c>
      <c r="AC492" s="74" t="s">
        <v>183</v>
      </c>
      <c r="AD492" s="74" t="s">
        <v>947</v>
      </c>
      <c r="AG492" s="74" t="s">
        <v>1013</v>
      </c>
      <c r="AH492" s="74">
        <v>0</v>
      </c>
      <c r="AI492" s="74">
        <v>0</v>
      </c>
      <c r="AJ492" s="74">
        <v>0</v>
      </c>
      <c r="AK492" s="74">
        <v>0</v>
      </c>
      <c r="AL492" s="74">
        <v>0</v>
      </c>
    </row>
    <row r="493" spans="1:38" x14ac:dyDescent="0.3">
      <c r="A493" s="74" t="s">
        <v>942</v>
      </c>
      <c r="B493" s="74">
        <v>14975</v>
      </c>
      <c r="C493" s="74">
        <v>2</v>
      </c>
      <c r="D493" s="74" t="s">
        <v>1009</v>
      </c>
      <c r="E493" s="74" t="s">
        <v>1010</v>
      </c>
      <c r="F493" s="74">
        <v>204</v>
      </c>
      <c r="G493" s="74">
        <v>20.94</v>
      </c>
      <c r="H493" s="74">
        <v>69.25</v>
      </c>
      <c r="I493" s="74">
        <v>16.29</v>
      </c>
      <c r="J493" s="74">
        <v>53.88</v>
      </c>
      <c r="K493" s="74">
        <v>132</v>
      </c>
      <c r="T493" s="74">
        <v>3</v>
      </c>
      <c r="U493" s="74">
        <v>1</v>
      </c>
      <c r="V493" s="74" t="s">
        <v>186</v>
      </c>
      <c r="W493" s="74">
        <v>69</v>
      </c>
      <c r="X493" s="74">
        <v>6</v>
      </c>
      <c r="Y493" s="74">
        <v>6</v>
      </c>
      <c r="Z493" s="74" t="s">
        <v>1011</v>
      </c>
      <c r="AA493" s="74" t="s">
        <v>1012</v>
      </c>
      <c r="AB493" s="74" t="s">
        <v>182</v>
      </c>
      <c r="AC493" s="74" t="s">
        <v>183</v>
      </c>
      <c r="AD493" s="74" t="s">
        <v>947</v>
      </c>
      <c r="AG493" s="74" t="s">
        <v>1013</v>
      </c>
      <c r="AH493" s="74">
        <v>0</v>
      </c>
      <c r="AI493" s="74">
        <v>0</v>
      </c>
      <c r="AJ493" s="74">
        <v>0</v>
      </c>
      <c r="AK493" s="74">
        <v>0</v>
      </c>
      <c r="AL493" s="74">
        <v>0</v>
      </c>
    </row>
    <row r="494" spans="1:38" x14ac:dyDescent="0.3">
      <c r="A494" s="74" t="s">
        <v>942</v>
      </c>
      <c r="B494" s="74">
        <v>14975</v>
      </c>
      <c r="C494" s="74">
        <v>3</v>
      </c>
      <c r="D494" s="74" t="s">
        <v>1009</v>
      </c>
      <c r="E494" s="74" t="s">
        <v>1010</v>
      </c>
      <c r="F494" s="74">
        <v>204</v>
      </c>
      <c r="G494" s="74">
        <v>22.72</v>
      </c>
      <c r="H494" s="74">
        <v>75.11</v>
      </c>
      <c r="I494" s="74">
        <v>17.8</v>
      </c>
      <c r="J494" s="74">
        <v>58.85</v>
      </c>
      <c r="K494" s="74">
        <v>12</v>
      </c>
      <c r="T494" s="74">
        <v>3</v>
      </c>
      <c r="U494" s="74">
        <v>1</v>
      </c>
      <c r="V494" s="74" t="s">
        <v>186</v>
      </c>
      <c r="W494" s="74">
        <v>75</v>
      </c>
      <c r="X494" s="74">
        <v>6</v>
      </c>
      <c r="Y494" s="74">
        <v>6</v>
      </c>
      <c r="Z494" s="74" t="s">
        <v>1011</v>
      </c>
      <c r="AA494" s="74" t="s">
        <v>1012</v>
      </c>
      <c r="AB494" s="74" t="s">
        <v>182</v>
      </c>
      <c r="AC494" s="74" t="s">
        <v>183</v>
      </c>
      <c r="AD494" s="74" t="s">
        <v>947</v>
      </c>
      <c r="AG494" s="74" t="s">
        <v>1013</v>
      </c>
      <c r="AH494" s="74">
        <v>0</v>
      </c>
      <c r="AI494" s="74">
        <v>0</v>
      </c>
      <c r="AJ494" s="74">
        <v>0</v>
      </c>
      <c r="AK494" s="74">
        <v>0</v>
      </c>
      <c r="AL494" s="74">
        <v>0</v>
      </c>
    </row>
    <row r="495" spans="1:38" x14ac:dyDescent="0.3">
      <c r="A495" s="74" t="s">
        <v>1014</v>
      </c>
      <c r="B495" s="74">
        <v>132331</v>
      </c>
      <c r="C495" s="74">
        <v>1</v>
      </c>
      <c r="D495" s="74" t="s">
        <v>1015</v>
      </c>
      <c r="E495" s="74" t="s">
        <v>1016</v>
      </c>
      <c r="F495" s="74">
        <v>40</v>
      </c>
      <c r="G495" s="74">
        <v>21.51</v>
      </c>
      <c r="H495" s="74">
        <v>71.14</v>
      </c>
      <c r="I495" s="74">
        <v>16.45</v>
      </c>
      <c r="J495" s="74">
        <v>54.41</v>
      </c>
      <c r="K495" s="74">
        <v>16</v>
      </c>
      <c r="T495" s="74">
        <v>3</v>
      </c>
      <c r="U495" s="74">
        <v>1</v>
      </c>
      <c r="V495" s="74" t="s">
        <v>186</v>
      </c>
      <c r="W495" s="74">
        <v>71</v>
      </c>
      <c r="X495" s="74">
        <v>5</v>
      </c>
      <c r="Y495" s="74">
        <v>5</v>
      </c>
      <c r="Z495" s="74" t="s">
        <v>1017</v>
      </c>
      <c r="AA495" s="74" t="s">
        <v>1018</v>
      </c>
      <c r="AB495" s="74" t="s">
        <v>182</v>
      </c>
      <c r="AC495" s="74" t="s">
        <v>183</v>
      </c>
      <c r="AD495" s="74" t="s">
        <v>157</v>
      </c>
      <c r="AG495" s="74" t="s">
        <v>1019</v>
      </c>
      <c r="AH495" s="74">
        <v>0</v>
      </c>
      <c r="AI495" s="74">
        <v>161</v>
      </c>
      <c r="AJ495" s="74">
        <v>44</v>
      </c>
      <c r="AK495" s="74">
        <v>43</v>
      </c>
      <c r="AL495" s="74">
        <v>1.07</v>
      </c>
    </row>
    <row r="496" spans="1:38" x14ac:dyDescent="0.3">
      <c r="A496" s="74" t="s">
        <v>1014</v>
      </c>
      <c r="B496" s="74">
        <v>132331</v>
      </c>
      <c r="C496" s="74">
        <v>2</v>
      </c>
      <c r="D496" s="74" t="s">
        <v>1015</v>
      </c>
      <c r="E496" s="74" t="s">
        <v>1016</v>
      </c>
      <c r="F496" s="74">
        <v>40</v>
      </c>
      <c r="G496" s="74">
        <v>27.96</v>
      </c>
      <c r="H496" s="74">
        <v>92.45</v>
      </c>
      <c r="I496" s="74">
        <v>21.5</v>
      </c>
      <c r="J496" s="74">
        <v>71.08</v>
      </c>
      <c r="K496" s="74">
        <v>24</v>
      </c>
      <c r="T496" s="74">
        <v>3</v>
      </c>
      <c r="U496" s="74">
        <v>2</v>
      </c>
      <c r="V496" s="74" t="s">
        <v>186</v>
      </c>
      <c r="W496" s="74">
        <v>92</v>
      </c>
      <c r="X496" s="74">
        <v>5</v>
      </c>
      <c r="Y496" s="74">
        <v>5</v>
      </c>
      <c r="Z496" s="74" t="s">
        <v>1017</v>
      </c>
      <c r="AA496" s="74" t="s">
        <v>1018</v>
      </c>
      <c r="AB496" s="74" t="s">
        <v>182</v>
      </c>
      <c r="AC496" s="74" t="s">
        <v>183</v>
      </c>
      <c r="AD496" s="74" t="s">
        <v>157</v>
      </c>
      <c r="AG496" s="74" t="s">
        <v>1019</v>
      </c>
      <c r="AH496" s="74">
        <v>0</v>
      </c>
      <c r="AI496" s="74">
        <v>161</v>
      </c>
      <c r="AJ496" s="74">
        <v>44</v>
      </c>
      <c r="AK496" s="74">
        <v>43</v>
      </c>
      <c r="AL496" s="74">
        <v>1.07</v>
      </c>
    </row>
    <row r="497" spans="1:38" x14ac:dyDescent="0.3">
      <c r="A497" s="74" t="s">
        <v>1014</v>
      </c>
      <c r="B497" s="74">
        <v>100426</v>
      </c>
      <c r="C497" s="74">
        <v>1</v>
      </c>
      <c r="D497" s="74" t="s">
        <v>1020</v>
      </c>
      <c r="E497" s="74" t="s">
        <v>1021</v>
      </c>
      <c r="F497" s="74">
        <v>782</v>
      </c>
      <c r="G497" s="74">
        <v>34.28</v>
      </c>
      <c r="H497" s="74">
        <v>113.34</v>
      </c>
      <c r="I497" s="74">
        <v>25.7</v>
      </c>
      <c r="J497" s="74">
        <v>84.96</v>
      </c>
      <c r="K497" s="74">
        <v>480</v>
      </c>
      <c r="T497" s="74">
        <v>3</v>
      </c>
      <c r="U497" s="74">
        <v>2</v>
      </c>
      <c r="V497" s="74" t="s">
        <v>186</v>
      </c>
      <c r="W497" s="74">
        <v>113</v>
      </c>
      <c r="X497" s="74">
        <v>20</v>
      </c>
      <c r="Y497" s="74">
        <v>10</v>
      </c>
      <c r="Z497" s="74" t="s">
        <v>1022</v>
      </c>
      <c r="AA497" s="74" t="s">
        <v>1023</v>
      </c>
      <c r="AB497" s="74" t="s">
        <v>182</v>
      </c>
      <c r="AC497" s="74" t="s">
        <v>183</v>
      </c>
      <c r="AD497" s="74" t="s">
        <v>157</v>
      </c>
      <c r="AG497" s="74" t="s">
        <v>1024</v>
      </c>
      <c r="AH497" s="74">
        <v>0</v>
      </c>
      <c r="AI497" s="74">
        <v>208</v>
      </c>
      <c r="AJ497" s="74">
        <v>15</v>
      </c>
      <c r="AK497" s="74">
        <v>977</v>
      </c>
      <c r="AL497" s="74">
        <v>1.25</v>
      </c>
    </row>
    <row r="498" spans="1:38" x14ac:dyDescent="0.3">
      <c r="A498" s="74" t="s">
        <v>1014</v>
      </c>
      <c r="B498" s="74">
        <v>100426</v>
      </c>
      <c r="C498" s="74">
        <v>2</v>
      </c>
      <c r="D498" s="74" t="s">
        <v>1020</v>
      </c>
      <c r="E498" s="74" t="s">
        <v>1021</v>
      </c>
      <c r="F498" s="74">
        <v>782</v>
      </c>
      <c r="G498" s="74">
        <v>34.53</v>
      </c>
      <c r="H498" s="74">
        <v>114.17</v>
      </c>
      <c r="I498" s="74">
        <v>25.7</v>
      </c>
      <c r="J498" s="74">
        <v>84.97</v>
      </c>
      <c r="K498" s="74">
        <v>160</v>
      </c>
      <c r="T498" s="74">
        <v>3</v>
      </c>
      <c r="U498" s="74">
        <v>2</v>
      </c>
      <c r="V498" s="74" t="s">
        <v>186</v>
      </c>
      <c r="W498" s="74" t="s">
        <v>110</v>
      </c>
      <c r="X498" s="74">
        <v>20</v>
      </c>
      <c r="Y498" s="74">
        <v>10</v>
      </c>
      <c r="Z498" s="74" t="s">
        <v>1022</v>
      </c>
      <c r="AA498" s="74" t="s">
        <v>1023</v>
      </c>
      <c r="AB498" s="74" t="s">
        <v>182</v>
      </c>
      <c r="AC498" s="74" t="s">
        <v>183</v>
      </c>
      <c r="AD498" s="74" t="s">
        <v>157</v>
      </c>
      <c r="AG498" s="74" t="s">
        <v>1024</v>
      </c>
      <c r="AH498" s="74">
        <v>0</v>
      </c>
      <c r="AI498" s="74">
        <v>208</v>
      </c>
      <c r="AJ498" s="74">
        <v>15</v>
      </c>
      <c r="AK498" s="74">
        <v>977</v>
      </c>
      <c r="AL498" s="74">
        <v>1.25</v>
      </c>
    </row>
    <row r="499" spans="1:38" x14ac:dyDescent="0.3">
      <c r="A499" s="74" t="s">
        <v>1014</v>
      </c>
      <c r="B499" s="74">
        <v>100426</v>
      </c>
      <c r="C499" s="74">
        <v>3</v>
      </c>
      <c r="D499" s="74" t="s">
        <v>1020</v>
      </c>
      <c r="E499" s="74" t="s">
        <v>1021</v>
      </c>
      <c r="F499" s="74">
        <v>782</v>
      </c>
      <c r="G499" s="74">
        <v>34.83</v>
      </c>
      <c r="H499" s="74">
        <v>115.17</v>
      </c>
      <c r="I499" s="74">
        <v>25.7</v>
      </c>
      <c r="J499" s="74">
        <v>84.97</v>
      </c>
      <c r="K499" s="74">
        <v>142</v>
      </c>
      <c r="T499" s="74">
        <v>3</v>
      </c>
      <c r="U499" s="74">
        <v>2</v>
      </c>
      <c r="V499" s="74" t="s">
        <v>186</v>
      </c>
      <c r="W499" s="74" t="s">
        <v>94</v>
      </c>
      <c r="X499" s="74">
        <v>20</v>
      </c>
      <c r="Y499" s="74">
        <v>10</v>
      </c>
      <c r="Z499" s="74" t="s">
        <v>1022</v>
      </c>
      <c r="AA499" s="74" t="s">
        <v>1023</v>
      </c>
      <c r="AB499" s="74" t="s">
        <v>182</v>
      </c>
      <c r="AC499" s="74" t="s">
        <v>183</v>
      </c>
      <c r="AD499" s="74" t="s">
        <v>157</v>
      </c>
      <c r="AG499" s="74" t="s">
        <v>1024</v>
      </c>
      <c r="AH499" s="74">
        <v>0</v>
      </c>
      <c r="AI499" s="74">
        <v>208</v>
      </c>
      <c r="AJ499" s="74">
        <v>15</v>
      </c>
      <c r="AK499" s="74">
        <v>977</v>
      </c>
      <c r="AL499" s="74">
        <v>1.25</v>
      </c>
    </row>
    <row r="500" spans="1:38" x14ac:dyDescent="0.3">
      <c r="A500" s="74" t="s">
        <v>1014</v>
      </c>
      <c r="B500" s="74">
        <v>26635</v>
      </c>
      <c r="C500" s="74">
        <v>1</v>
      </c>
      <c r="D500" s="74" t="s">
        <v>1025</v>
      </c>
      <c r="E500" s="74" t="s">
        <v>1021</v>
      </c>
      <c r="F500" s="74">
        <v>332</v>
      </c>
      <c r="G500" s="74">
        <v>40.21</v>
      </c>
      <c r="H500" s="74">
        <v>132.94999999999999</v>
      </c>
      <c r="I500" s="74">
        <v>30.36</v>
      </c>
      <c r="J500" s="74">
        <v>100.37</v>
      </c>
      <c r="K500" s="74">
        <v>59</v>
      </c>
      <c r="T500" s="74">
        <v>3</v>
      </c>
      <c r="U500" s="74">
        <v>2</v>
      </c>
      <c r="V500" s="74" t="s">
        <v>186</v>
      </c>
      <c r="W500" s="74" t="s">
        <v>148</v>
      </c>
      <c r="X500" s="74">
        <v>20</v>
      </c>
      <c r="Y500" s="74">
        <v>19</v>
      </c>
      <c r="Z500" s="74" t="s">
        <v>1026</v>
      </c>
      <c r="AA500" s="74" t="s">
        <v>1027</v>
      </c>
      <c r="AB500" s="74" t="s">
        <v>182</v>
      </c>
      <c r="AC500" s="74" t="s">
        <v>183</v>
      </c>
      <c r="AD500" s="74" t="s">
        <v>157</v>
      </c>
      <c r="AG500" s="74" t="s">
        <v>1028</v>
      </c>
      <c r="AH500" s="74">
        <v>0</v>
      </c>
      <c r="AI500" s="74">
        <v>217</v>
      </c>
      <c r="AJ500" s="74">
        <v>15</v>
      </c>
      <c r="AK500" s="74">
        <v>579</v>
      </c>
      <c r="AL500" s="74">
        <v>1.74</v>
      </c>
    </row>
    <row r="501" spans="1:38" x14ac:dyDescent="0.3">
      <c r="A501" s="74" t="s">
        <v>1014</v>
      </c>
      <c r="B501" s="74">
        <v>26635</v>
      </c>
      <c r="C501" s="74">
        <v>2</v>
      </c>
      <c r="D501" s="74" t="s">
        <v>1025</v>
      </c>
      <c r="E501" s="74" t="s">
        <v>1021</v>
      </c>
      <c r="F501" s="74">
        <v>332</v>
      </c>
      <c r="G501" s="74">
        <v>40.94</v>
      </c>
      <c r="H501" s="74">
        <v>135.34</v>
      </c>
      <c r="I501" s="74">
        <v>31.32</v>
      </c>
      <c r="J501" s="74">
        <v>103.57</v>
      </c>
      <c r="K501" s="74">
        <v>39</v>
      </c>
      <c r="T501" s="74">
        <v>3</v>
      </c>
      <c r="U501" s="74">
        <v>2</v>
      </c>
      <c r="V501" s="74" t="s">
        <v>186</v>
      </c>
      <c r="W501" s="74" t="s">
        <v>785</v>
      </c>
      <c r="X501" s="74">
        <v>20</v>
      </c>
      <c r="Y501" s="74">
        <v>19</v>
      </c>
      <c r="Z501" s="74" t="s">
        <v>1026</v>
      </c>
      <c r="AA501" s="74" t="s">
        <v>1027</v>
      </c>
      <c r="AB501" s="74" t="s">
        <v>182</v>
      </c>
      <c r="AC501" s="74" t="s">
        <v>183</v>
      </c>
      <c r="AD501" s="74" t="s">
        <v>157</v>
      </c>
      <c r="AG501" s="74" t="s">
        <v>1028</v>
      </c>
      <c r="AH501" s="74">
        <v>0</v>
      </c>
      <c r="AI501" s="74">
        <v>217</v>
      </c>
      <c r="AJ501" s="74">
        <v>15</v>
      </c>
      <c r="AK501" s="74">
        <v>579</v>
      </c>
      <c r="AL501" s="74">
        <v>1.74</v>
      </c>
    </row>
    <row r="502" spans="1:38" x14ac:dyDescent="0.3">
      <c r="A502" s="74" t="s">
        <v>1014</v>
      </c>
      <c r="B502" s="74">
        <v>26635</v>
      </c>
      <c r="C502" s="74">
        <v>3</v>
      </c>
      <c r="D502" s="74" t="s">
        <v>1025</v>
      </c>
      <c r="E502" s="74" t="s">
        <v>1021</v>
      </c>
      <c r="F502" s="74">
        <v>332</v>
      </c>
      <c r="G502" s="74">
        <v>48.16</v>
      </c>
      <c r="H502" s="74">
        <v>159.21</v>
      </c>
      <c r="I502" s="74">
        <v>37.22</v>
      </c>
      <c r="J502" s="74">
        <v>123.05</v>
      </c>
      <c r="K502" s="74">
        <v>80</v>
      </c>
      <c r="T502" s="74">
        <v>4</v>
      </c>
      <c r="U502" s="74">
        <v>2</v>
      </c>
      <c r="V502" s="74" t="s">
        <v>186</v>
      </c>
      <c r="W502" s="74" t="s">
        <v>149</v>
      </c>
      <c r="X502" s="74">
        <v>20</v>
      </c>
      <c r="Y502" s="74">
        <v>19</v>
      </c>
      <c r="Z502" s="74" t="s">
        <v>1026</v>
      </c>
      <c r="AA502" s="74" t="s">
        <v>1027</v>
      </c>
      <c r="AB502" s="74" t="s">
        <v>182</v>
      </c>
      <c r="AC502" s="74" t="s">
        <v>183</v>
      </c>
      <c r="AD502" s="74" t="s">
        <v>157</v>
      </c>
      <c r="AG502" s="74" t="s">
        <v>1028</v>
      </c>
      <c r="AH502" s="74">
        <v>0</v>
      </c>
      <c r="AI502" s="74">
        <v>217</v>
      </c>
      <c r="AJ502" s="74">
        <v>15</v>
      </c>
      <c r="AK502" s="74">
        <v>579</v>
      </c>
      <c r="AL502" s="74">
        <v>1.74</v>
      </c>
    </row>
    <row r="503" spans="1:38" x14ac:dyDescent="0.3">
      <c r="A503" s="74" t="s">
        <v>1014</v>
      </c>
      <c r="B503" s="74">
        <v>26635</v>
      </c>
      <c r="C503" s="74">
        <v>4</v>
      </c>
      <c r="D503" s="74" t="s">
        <v>1025</v>
      </c>
      <c r="E503" s="74" t="s">
        <v>1021</v>
      </c>
      <c r="F503" s="74">
        <v>332</v>
      </c>
      <c r="G503" s="74">
        <v>48.83</v>
      </c>
      <c r="H503" s="74">
        <v>161.44999999999999</v>
      </c>
      <c r="I503" s="74">
        <v>40.020000000000003</v>
      </c>
      <c r="J503" s="74">
        <v>132.31</v>
      </c>
      <c r="K503" s="74">
        <v>79</v>
      </c>
      <c r="T503" s="74">
        <v>4</v>
      </c>
      <c r="U503" s="74">
        <v>2</v>
      </c>
      <c r="V503" s="74" t="s">
        <v>186</v>
      </c>
      <c r="W503" s="74" t="s">
        <v>150</v>
      </c>
      <c r="X503" s="74">
        <v>20</v>
      </c>
      <c r="Y503" s="74">
        <v>19</v>
      </c>
      <c r="Z503" s="74" t="s">
        <v>1026</v>
      </c>
      <c r="AA503" s="74" t="s">
        <v>1027</v>
      </c>
      <c r="AB503" s="74" t="s">
        <v>182</v>
      </c>
      <c r="AC503" s="74" t="s">
        <v>183</v>
      </c>
      <c r="AD503" s="74" t="s">
        <v>157</v>
      </c>
      <c r="AG503" s="74" t="s">
        <v>1028</v>
      </c>
      <c r="AH503" s="74">
        <v>0</v>
      </c>
      <c r="AI503" s="74">
        <v>217</v>
      </c>
      <c r="AJ503" s="74">
        <v>15</v>
      </c>
      <c r="AK503" s="74">
        <v>579</v>
      </c>
      <c r="AL503" s="74">
        <v>1.74</v>
      </c>
    </row>
    <row r="504" spans="1:38" x14ac:dyDescent="0.3">
      <c r="A504" s="74" t="s">
        <v>1014</v>
      </c>
      <c r="B504" s="74">
        <v>26635</v>
      </c>
      <c r="C504" s="74">
        <v>5</v>
      </c>
      <c r="D504" s="74" t="s">
        <v>1025</v>
      </c>
      <c r="E504" s="74" t="s">
        <v>1021</v>
      </c>
      <c r="F504" s="74">
        <v>332</v>
      </c>
      <c r="G504" s="74">
        <v>57.32</v>
      </c>
      <c r="H504" s="74">
        <v>189.51</v>
      </c>
      <c r="I504" s="74">
        <v>47.15</v>
      </c>
      <c r="J504" s="74">
        <v>155.9</v>
      </c>
      <c r="K504" s="74">
        <v>71</v>
      </c>
      <c r="T504" s="74">
        <v>4</v>
      </c>
      <c r="U504" s="74">
        <v>2</v>
      </c>
      <c r="V504" s="74" t="s">
        <v>186</v>
      </c>
      <c r="W504" s="74">
        <v>189</v>
      </c>
      <c r="X504" s="74">
        <v>20</v>
      </c>
      <c r="Y504" s="74">
        <v>19</v>
      </c>
      <c r="Z504" s="74" t="s">
        <v>1026</v>
      </c>
      <c r="AA504" s="74" t="s">
        <v>1027</v>
      </c>
      <c r="AB504" s="74" t="s">
        <v>182</v>
      </c>
      <c r="AC504" s="74" t="s">
        <v>183</v>
      </c>
      <c r="AD504" s="74" t="s">
        <v>157</v>
      </c>
      <c r="AG504" s="74" t="s">
        <v>1028</v>
      </c>
      <c r="AH504" s="74">
        <v>0</v>
      </c>
      <c r="AI504" s="74">
        <v>217</v>
      </c>
      <c r="AJ504" s="74">
        <v>15</v>
      </c>
      <c r="AK504" s="74">
        <v>579</v>
      </c>
      <c r="AL504" s="74">
        <v>1.74</v>
      </c>
    </row>
    <row r="505" spans="1:38" x14ac:dyDescent="0.3">
      <c r="A505" s="74" t="s">
        <v>1014</v>
      </c>
      <c r="B505" s="74">
        <v>26635</v>
      </c>
      <c r="C505" s="74">
        <v>6</v>
      </c>
      <c r="D505" s="74" t="s">
        <v>1025</v>
      </c>
      <c r="E505" s="74" t="s">
        <v>1021</v>
      </c>
      <c r="F505" s="74">
        <v>332</v>
      </c>
      <c r="G505" s="74">
        <v>97.07</v>
      </c>
      <c r="H505" s="74">
        <v>320.89999999999998</v>
      </c>
      <c r="I505" s="74">
        <v>79</v>
      </c>
      <c r="J505" s="74">
        <v>261.19</v>
      </c>
      <c r="K505" s="74">
        <v>4</v>
      </c>
      <c r="T505" s="74">
        <v>6</v>
      </c>
      <c r="U505" s="74">
        <v>4</v>
      </c>
      <c r="V505" s="74" t="s">
        <v>186</v>
      </c>
      <c r="W505" s="74">
        <v>320</v>
      </c>
      <c r="X505" s="74">
        <v>20</v>
      </c>
      <c r="Y505" s="74">
        <v>19</v>
      </c>
      <c r="Z505" s="74" t="s">
        <v>1026</v>
      </c>
      <c r="AA505" s="74" t="s">
        <v>1027</v>
      </c>
      <c r="AB505" s="74" t="s">
        <v>182</v>
      </c>
      <c r="AC505" s="74" t="s">
        <v>183</v>
      </c>
      <c r="AD505" s="74" t="s">
        <v>157</v>
      </c>
      <c r="AG505" s="74" t="s">
        <v>1028</v>
      </c>
      <c r="AH505" s="74">
        <v>0</v>
      </c>
      <c r="AI505" s="74">
        <v>217</v>
      </c>
      <c r="AJ505" s="74">
        <v>15</v>
      </c>
      <c r="AK505" s="74">
        <v>579</v>
      </c>
      <c r="AL505" s="74">
        <v>1.74</v>
      </c>
    </row>
    <row r="506" spans="1:38" x14ac:dyDescent="0.3">
      <c r="A506" s="74" t="s">
        <v>1014</v>
      </c>
      <c r="B506" s="74">
        <v>27518</v>
      </c>
      <c r="C506" s="74">
        <v>1</v>
      </c>
      <c r="D506" s="74" t="s">
        <v>249</v>
      </c>
      <c r="E506" s="74" t="s">
        <v>401</v>
      </c>
      <c r="F506" s="74">
        <v>660</v>
      </c>
      <c r="G506" s="74">
        <v>22.24</v>
      </c>
      <c r="H506" s="74">
        <v>73.55</v>
      </c>
      <c r="I506" s="74">
        <v>17.989999999999998</v>
      </c>
      <c r="J506" s="74">
        <v>59.49</v>
      </c>
      <c r="K506" s="74">
        <v>120</v>
      </c>
      <c r="T506" s="74">
        <v>2</v>
      </c>
      <c r="U506" s="74">
        <v>1</v>
      </c>
      <c r="V506" s="74" t="s">
        <v>186</v>
      </c>
      <c r="W506" s="74">
        <v>73</v>
      </c>
      <c r="X506" s="74">
        <v>15</v>
      </c>
      <c r="Y506" s="74">
        <v>15</v>
      </c>
      <c r="Z506" s="74" t="s">
        <v>1029</v>
      </c>
      <c r="AA506" s="74" t="s">
        <v>1030</v>
      </c>
      <c r="AB506" s="74" t="s">
        <v>182</v>
      </c>
      <c r="AC506" s="74" t="s">
        <v>183</v>
      </c>
      <c r="AD506" s="74" t="s">
        <v>157</v>
      </c>
      <c r="AG506" s="74" t="s">
        <v>1031</v>
      </c>
      <c r="AH506" s="74">
        <v>0</v>
      </c>
      <c r="AI506" s="74">
        <v>264</v>
      </c>
      <c r="AJ506" s="74">
        <v>55</v>
      </c>
      <c r="AK506" s="74">
        <v>0</v>
      </c>
      <c r="AL506" s="74">
        <v>0</v>
      </c>
    </row>
    <row r="507" spans="1:38" x14ac:dyDescent="0.3">
      <c r="A507" s="74" t="s">
        <v>1014</v>
      </c>
      <c r="B507" s="74">
        <v>27518</v>
      </c>
      <c r="C507" s="74">
        <v>2</v>
      </c>
      <c r="D507" s="74" t="s">
        <v>249</v>
      </c>
      <c r="E507" s="74" t="s">
        <v>401</v>
      </c>
      <c r="F507" s="74">
        <v>660</v>
      </c>
      <c r="G507" s="74">
        <v>25.24</v>
      </c>
      <c r="H507" s="74">
        <v>83.47</v>
      </c>
      <c r="I507" s="74">
        <v>20.39</v>
      </c>
      <c r="J507" s="74">
        <v>67.41</v>
      </c>
      <c r="K507" s="74">
        <v>120</v>
      </c>
      <c r="T507" s="74">
        <v>3</v>
      </c>
      <c r="U507" s="74">
        <v>1</v>
      </c>
      <c r="V507" s="74" t="s">
        <v>179</v>
      </c>
      <c r="W507" s="74">
        <v>83</v>
      </c>
      <c r="X507" s="74">
        <v>15</v>
      </c>
      <c r="Y507" s="74">
        <v>15</v>
      </c>
      <c r="Z507" s="74" t="s">
        <v>1029</v>
      </c>
      <c r="AA507" s="74" t="s">
        <v>1030</v>
      </c>
      <c r="AB507" s="74" t="s">
        <v>182</v>
      </c>
      <c r="AC507" s="74" t="s">
        <v>183</v>
      </c>
      <c r="AD507" s="74" t="s">
        <v>157</v>
      </c>
      <c r="AG507" s="74" t="s">
        <v>1031</v>
      </c>
      <c r="AH507" s="74">
        <v>0</v>
      </c>
      <c r="AI507" s="74">
        <v>264</v>
      </c>
      <c r="AJ507" s="74">
        <v>55</v>
      </c>
      <c r="AK507" s="74">
        <v>0</v>
      </c>
      <c r="AL507" s="74">
        <v>0</v>
      </c>
    </row>
    <row r="508" spans="1:38" x14ac:dyDescent="0.3">
      <c r="A508" s="74" t="s">
        <v>1014</v>
      </c>
      <c r="B508" s="74">
        <v>27518</v>
      </c>
      <c r="C508" s="74">
        <v>3</v>
      </c>
      <c r="D508" s="74" t="s">
        <v>249</v>
      </c>
      <c r="E508" s="74" t="s">
        <v>401</v>
      </c>
      <c r="F508" s="74">
        <v>660</v>
      </c>
      <c r="G508" s="74">
        <v>28.6</v>
      </c>
      <c r="H508" s="74">
        <v>94.55</v>
      </c>
      <c r="I508" s="74">
        <v>23.09</v>
      </c>
      <c r="J508" s="74">
        <v>76.349999999999994</v>
      </c>
      <c r="K508" s="74">
        <v>60</v>
      </c>
      <c r="T508" s="74">
        <v>3</v>
      </c>
      <c r="U508" s="74">
        <v>2</v>
      </c>
      <c r="V508" s="74" t="s">
        <v>179</v>
      </c>
      <c r="W508" s="74">
        <v>94</v>
      </c>
      <c r="X508" s="74">
        <v>15</v>
      </c>
      <c r="Y508" s="74">
        <v>15</v>
      </c>
      <c r="Z508" s="74" t="s">
        <v>1029</v>
      </c>
      <c r="AA508" s="74" t="s">
        <v>1030</v>
      </c>
      <c r="AB508" s="74" t="s">
        <v>182</v>
      </c>
      <c r="AC508" s="74" t="s">
        <v>183</v>
      </c>
      <c r="AD508" s="74" t="s">
        <v>157</v>
      </c>
      <c r="AG508" s="74" t="s">
        <v>1031</v>
      </c>
      <c r="AH508" s="74">
        <v>0</v>
      </c>
      <c r="AI508" s="74">
        <v>264</v>
      </c>
      <c r="AJ508" s="74">
        <v>55</v>
      </c>
      <c r="AK508" s="74">
        <v>0</v>
      </c>
      <c r="AL508" s="74">
        <v>0</v>
      </c>
    </row>
    <row r="509" spans="1:38" x14ac:dyDescent="0.3">
      <c r="A509" s="74" t="s">
        <v>1014</v>
      </c>
      <c r="B509" s="74">
        <v>27518</v>
      </c>
      <c r="C509" s="74">
        <v>4</v>
      </c>
      <c r="D509" s="74" t="s">
        <v>249</v>
      </c>
      <c r="E509" s="74" t="s">
        <v>401</v>
      </c>
      <c r="F509" s="74">
        <v>660</v>
      </c>
      <c r="G509" s="74">
        <v>29.4</v>
      </c>
      <c r="H509" s="74">
        <v>97.2</v>
      </c>
      <c r="I509" s="74">
        <v>23.74</v>
      </c>
      <c r="J509" s="74">
        <v>78.48</v>
      </c>
      <c r="K509" s="74">
        <v>120</v>
      </c>
      <c r="T509" s="74">
        <v>3</v>
      </c>
      <c r="U509" s="74">
        <v>2</v>
      </c>
      <c r="V509" s="74" t="s">
        <v>186</v>
      </c>
      <c r="W509" s="74">
        <v>97</v>
      </c>
      <c r="X509" s="74">
        <v>15</v>
      </c>
      <c r="Y509" s="74">
        <v>15</v>
      </c>
      <c r="Z509" s="74" t="s">
        <v>1029</v>
      </c>
      <c r="AA509" s="74" t="s">
        <v>1030</v>
      </c>
      <c r="AB509" s="74" t="s">
        <v>182</v>
      </c>
      <c r="AC509" s="74" t="s">
        <v>183</v>
      </c>
      <c r="AD509" s="74" t="s">
        <v>157</v>
      </c>
      <c r="AG509" s="74" t="s">
        <v>1031</v>
      </c>
      <c r="AH509" s="74">
        <v>0</v>
      </c>
      <c r="AI509" s="74">
        <v>264</v>
      </c>
      <c r="AJ509" s="74">
        <v>55</v>
      </c>
      <c r="AK509" s="74">
        <v>0</v>
      </c>
      <c r="AL509" s="74">
        <v>0</v>
      </c>
    </row>
    <row r="510" spans="1:38" x14ac:dyDescent="0.3">
      <c r="A510" s="74" t="s">
        <v>1014</v>
      </c>
      <c r="B510" s="74">
        <v>27518</v>
      </c>
      <c r="C510" s="74">
        <v>5</v>
      </c>
      <c r="D510" s="74" t="s">
        <v>249</v>
      </c>
      <c r="E510" s="74" t="s">
        <v>401</v>
      </c>
      <c r="F510" s="74">
        <v>660</v>
      </c>
      <c r="G510" s="74">
        <v>31.77</v>
      </c>
      <c r="H510" s="74">
        <v>105.03</v>
      </c>
      <c r="I510" s="74">
        <v>25.66</v>
      </c>
      <c r="J510" s="74">
        <v>84.84</v>
      </c>
      <c r="K510" s="74">
        <v>240</v>
      </c>
      <c r="T510" s="74">
        <v>3</v>
      </c>
      <c r="U510" s="74">
        <v>2</v>
      </c>
      <c r="V510" s="74" t="s">
        <v>179</v>
      </c>
      <c r="W510" s="74">
        <v>105</v>
      </c>
      <c r="X510" s="74">
        <v>15</v>
      </c>
      <c r="Y510" s="74">
        <v>15</v>
      </c>
      <c r="Z510" s="74" t="s">
        <v>1029</v>
      </c>
      <c r="AA510" s="74" t="s">
        <v>1030</v>
      </c>
      <c r="AB510" s="74" t="s">
        <v>182</v>
      </c>
      <c r="AC510" s="74" t="s">
        <v>183</v>
      </c>
      <c r="AD510" s="74" t="s">
        <v>157</v>
      </c>
      <c r="AG510" s="74" t="s">
        <v>1031</v>
      </c>
      <c r="AH510" s="74">
        <v>0</v>
      </c>
      <c r="AI510" s="74">
        <v>264</v>
      </c>
      <c r="AJ510" s="74">
        <v>55</v>
      </c>
      <c r="AK510" s="74">
        <v>0</v>
      </c>
      <c r="AL510" s="74">
        <v>0</v>
      </c>
    </row>
    <row r="511" spans="1:38" x14ac:dyDescent="0.3">
      <c r="A511" s="74" t="s">
        <v>1014</v>
      </c>
      <c r="B511" s="74">
        <v>26634</v>
      </c>
      <c r="C511" s="74">
        <v>1</v>
      </c>
      <c r="D511" s="74" t="s">
        <v>1032</v>
      </c>
      <c r="E511" s="74" t="s">
        <v>1033</v>
      </c>
      <c r="F511" s="74">
        <v>566</v>
      </c>
      <c r="G511" s="74">
        <v>39.520000000000003</v>
      </c>
      <c r="H511" s="74">
        <v>130.66999999999999</v>
      </c>
      <c r="I511" s="74">
        <v>30.28</v>
      </c>
      <c r="J511" s="74">
        <v>100.1</v>
      </c>
      <c r="K511" s="74">
        <v>87</v>
      </c>
      <c r="T511" s="74">
        <v>3</v>
      </c>
      <c r="U511" s="74">
        <v>2</v>
      </c>
      <c r="V511" s="74" t="s">
        <v>186</v>
      </c>
      <c r="W511" s="74">
        <v>130</v>
      </c>
      <c r="X511" s="74">
        <v>20</v>
      </c>
      <c r="Y511" s="74">
        <v>15</v>
      </c>
      <c r="Z511" s="74" t="s">
        <v>1034</v>
      </c>
      <c r="AA511" s="74" t="s">
        <v>1035</v>
      </c>
      <c r="AB511" s="74" t="s">
        <v>182</v>
      </c>
      <c r="AC511" s="74" t="s">
        <v>183</v>
      </c>
      <c r="AD511" s="74" t="s">
        <v>157</v>
      </c>
      <c r="AG511" s="74" t="s">
        <v>1036</v>
      </c>
      <c r="AH511" s="74">
        <v>0</v>
      </c>
      <c r="AI511" s="74">
        <v>218</v>
      </c>
      <c r="AJ511" s="74">
        <v>18</v>
      </c>
      <c r="AK511" s="74">
        <v>930</v>
      </c>
      <c r="AL511" s="74">
        <v>1.64</v>
      </c>
    </row>
    <row r="512" spans="1:38" x14ac:dyDescent="0.3">
      <c r="A512" s="74" t="s">
        <v>1014</v>
      </c>
      <c r="B512" s="74">
        <v>26634</v>
      </c>
      <c r="C512" s="74">
        <v>2</v>
      </c>
      <c r="D512" s="74" t="s">
        <v>1032</v>
      </c>
      <c r="E512" s="74" t="s">
        <v>1033</v>
      </c>
      <c r="F512" s="74">
        <v>566</v>
      </c>
      <c r="G512" s="74">
        <v>40.630000000000003</v>
      </c>
      <c r="H512" s="74">
        <v>134.33000000000001</v>
      </c>
      <c r="I512" s="74">
        <v>31.61</v>
      </c>
      <c r="J512" s="74">
        <v>104.5</v>
      </c>
      <c r="K512" s="74">
        <v>54</v>
      </c>
      <c r="T512" s="74">
        <v>3</v>
      </c>
      <c r="U512" s="74">
        <v>2</v>
      </c>
      <c r="V512" s="74" t="s">
        <v>186</v>
      </c>
      <c r="W512" s="74">
        <v>134</v>
      </c>
      <c r="X512" s="74">
        <v>20</v>
      </c>
      <c r="Y512" s="74">
        <v>15</v>
      </c>
      <c r="Z512" s="74" t="s">
        <v>1034</v>
      </c>
      <c r="AA512" s="74" t="s">
        <v>1035</v>
      </c>
      <c r="AB512" s="74" t="s">
        <v>182</v>
      </c>
      <c r="AC512" s="74" t="s">
        <v>183</v>
      </c>
      <c r="AD512" s="74" t="s">
        <v>157</v>
      </c>
      <c r="AG512" s="74" t="s">
        <v>1036</v>
      </c>
      <c r="AH512" s="74">
        <v>0</v>
      </c>
      <c r="AI512" s="74">
        <v>218</v>
      </c>
      <c r="AJ512" s="74">
        <v>18</v>
      </c>
      <c r="AK512" s="74">
        <v>930</v>
      </c>
      <c r="AL512" s="74">
        <v>1.64</v>
      </c>
    </row>
    <row r="513" spans="1:38" x14ac:dyDescent="0.3">
      <c r="A513" s="74" t="s">
        <v>1014</v>
      </c>
      <c r="B513" s="74">
        <v>26634</v>
      </c>
      <c r="C513" s="74">
        <v>3</v>
      </c>
      <c r="D513" s="74" t="s">
        <v>1032</v>
      </c>
      <c r="E513" s="74" t="s">
        <v>1033</v>
      </c>
      <c r="F513" s="74">
        <v>566</v>
      </c>
      <c r="G513" s="74">
        <v>46.54</v>
      </c>
      <c r="H513" s="74">
        <v>153.86000000000001</v>
      </c>
      <c r="I513" s="74">
        <v>36.28</v>
      </c>
      <c r="J513" s="74">
        <v>119.94</v>
      </c>
      <c r="K513" s="74">
        <v>328</v>
      </c>
      <c r="T513" s="74">
        <v>4</v>
      </c>
      <c r="U513" s="74">
        <v>2</v>
      </c>
      <c r="V513" s="74" t="s">
        <v>186</v>
      </c>
      <c r="W513" s="74">
        <v>153</v>
      </c>
      <c r="X513" s="74">
        <v>20</v>
      </c>
      <c r="Y513" s="74">
        <v>15</v>
      </c>
      <c r="Z513" s="74" t="s">
        <v>1034</v>
      </c>
      <c r="AA513" s="74" t="s">
        <v>1035</v>
      </c>
      <c r="AB513" s="74" t="s">
        <v>182</v>
      </c>
      <c r="AC513" s="74" t="s">
        <v>183</v>
      </c>
      <c r="AD513" s="74" t="s">
        <v>157</v>
      </c>
      <c r="AG513" s="74" t="s">
        <v>1036</v>
      </c>
      <c r="AH513" s="74">
        <v>0</v>
      </c>
      <c r="AI513" s="74">
        <v>218</v>
      </c>
      <c r="AJ513" s="74">
        <v>18</v>
      </c>
      <c r="AK513" s="74">
        <v>930</v>
      </c>
      <c r="AL513" s="74">
        <v>1.64</v>
      </c>
    </row>
    <row r="514" spans="1:38" x14ac:dyDescent="0.3">
      <c r="A514" s="74" t="s">
        <v>1014</v>
      </c>
      <c r="B514" s="74">
        <v>26634</v>
      </c>
      <c r="C514" s="74">
        <v>4</v>
      </c>
      <c r="D514" s="74" t="s">
        <v>1032</v>
      </c>
      <c r="E514" s="74" t="s">
        <v>1033</v>
      </c>
      <c r="F514" s="74">
        <v>566</v>
      </c>
      <c r="G514" s="74">
        <v>54.04</v>
      </c>
      <c r="H514" s="74">
        <v>178.66</v>
      </c>
      <c r="I514" s="74">
        <v>43.5</v>
      </c>
      <c r="J514" s="74">
        <v>143.83000000000001</v>
      </c>
      <c r="K514" s="74">
        <v>94</v>
      </c>
      <c r="T514" s="74">
        <v>4</v>
      </c>
      <c r="U514" s="74">
        <v>2</v>
      </c>
      <c r="V514" s="74" t="s">
        <v>186</v>
      </c>
      <c r="W514" s="74">
        <v>178</v>
      </c>
      <c r="X514" s="74">
        <v>20</v>
      </c>
      <c r="Y514" s="74">
        <v>15</v>
      </c>
      <c r="Z514" s="74" t="s">
        <v>1034</v>
      </c>
      <c r="AA514" s="74" t="s">
        <v>1035</v>
      </c>
      <c r="AB514" s="74" t="s">
        <v>182</v>
      </c>
      <c r="AC514" s="74" t="s">
        <v>183</v>
      </c>
      <c r="AD514" s="74" t="s">
        <v>157</v>
      </c>
      <c r="AG514" s="74" t="s">
        <v>1036</v>
      </c>
      <c r="AH514" s="74">
        <v>0</v>
      </c>
      <c r="AI514" s="74">
        <v>218</v>
      </c>
      <c r="AJ514" s="74">
        <v>18</v>
      </c>
      <c r="AK514" s="74">
        <v>930</v>
      </c>
      <c r="AL514" s="74">
        <v>1.64</v>
      </c>
    </row>
    <row r="515" spans="1:38" x14ac:dyDescent="0.3">
      <c r="A515" s="74" t="s">
        <v>1014</v>
      </c>
      <c r="B515" s="74">
        <v>26634</v>
      </c>
      <c r="C515" s="74">
        <v>5</v>
      </c>
      <c r="D515" s="74" t="s">
        <v>1032</v>
      </c>
      <c r="E515" s="74" t="s">
        <v>1033</v>
      </c>
      <c r="F515" s="74">
        <v>566</v>
      </c>
      <c r="G515" s="74">
        <v>86.8</v>
      </c>
      <c r="H515" s="74">
        <v>286.95999999999998</v>
      </c>
      <c r="I515" s="74">
        <v>70.22</v>
      </c>
      <c r="J515" s="74">
        <v>232.14</v>
      </c>
      <c r="K515" s="74">
        <v>3</v>
      </c>
      <c r="T515" s="74">
        <v>5</v>
      </c>
      <c r="U515" s="74">
        <v>4</v>
      </c>
      <c r="V515" s="74" t="s">
        <v>186</v>
      </c>
      <c r="W515" s="74">
        <v>286</v>
      </c>
      <c r="X515" s="74">
        <v>20</v>
      </c>
      <c r="Y515" s="74">
        <v>15</v>
      </c>
      <c r="Z515" s="74" t="s">
        <v>1034</v>
      </c>
      <c r="AA515" s="74" t="s">
        <v>1035</v>
      </c>
      <c r="AB515" s="74" t="s">
        <v>182</v>
      </c>
      <c r="AC515" s="74" t="s">
        <v>183</v>
      </c>
      <c r="AD515" s="74" t="s">
        <v>157</v>
      </c>
      <c r="AG515" s="74" t="s">
        <v>1036</v>
      </c>
      <c r="AH515" s="74">
        <v>0</v>
      </c>
      <c r="AI515" s="74">
        <v>218</v>
      </c>
      <c r="AJ515" s="74">
        <v>18</v>
      </c>
      <c r="AK515" s="74">
        <v>930</v>
      </c>
      <c r="AL515" s="74">
        <v>1.64</v>
      </c>
    </row>
    <row r="516" spans="1:38" x14ac:dyDescent="0.3">
      <c r="A516" s="74" t="s">
        <v>1014</v>
      </c>
      <c r="B516" s="74">
        <v>101738</v>
      </c>
      <c r="C516" s="74">
        <v>1</v>
      </c>
      <c r="D516" s="74" t="s">
        <v>1037</v>
      </c>
      <c r="E516" s="74" t="s">
        <v>1038</v>
      </c>
      <c r="F516" s="74">
        <v>1041</v>
      </c>
      <c r="G516" s="74">
        <v>32.950000000000003</v>
      </c>
      <c r="H516" s="74">
        <v>108.94</v>
      </c>
      <c r="I516" s="74">
        <v>25.62</v>
      </c>
      <c r="J516" s="74">
        <v>84.7</v>
      </c>
      <c r="K516" s="74">
        <v>160</v>
      </c>
      <c r="T516" s="74">
        <v>3</v>
      </c>
      <c r="U516" s="74">
        <v>2</v>
      </c>
      <c r="V516" s="74" t="s">
        <v>186</v>
      </c>
      <c r="W516" s="74">
        <v>108</v>
      </c>
      <c r="X516" s="74">
        <v>20</v>
      </c>
      <c r="Y516" s="74">
        <v>12</v>
      </c>
      <c r="Z516" s="74" t="s">
        <v>1039</v>
      </c>
      <c r="AA516" s="74" t="s">
        <v>1040</v>
      </c>
      <c r="AB516" s="74" t="s">
        <v>182</v>
      </c>
      <c r="AC516" s="74" t="s">
        <v>183</v>
      </c>
      <c r="AD516" s="74" t="s">
        <v>157</v>
      </c>
      <c r="AG516" s="74" t="s">
        <v>1041</v>
      </c>
      <c r="AH516" s="74">
        <v>0</v>
      </c>
      <c r="AI516" s="74">
        <v>219</v>
      </c>
      <c r="AJ516" s="74">
        <v>17</v>
      </c>
      <c r="AK516" s="74">
        <v>1323</v>
      </c>
      <c r="AL516" s="74">
        <v>1.27</v>
      </c>
    </row>
    <row r="517" spans="1:38" x14ac:dyDescent="0.3">
      <c r="A517" s="74" t="s">
        <v>1014</v>
      </c>
      <c r="B517" s="74">
        <v>101738</v>
      </c>
      <c r="C517" s="74">
        <v>2</v>
      </c>
      <c r="D517" s="74" t="s">
        <v>1037</v>
      </c>
      <c r="E517" s="74" t="s">
        <v>1038</v>
      </c>
      <c r="F517" s="74">
        <v>1041</v>
      </c>
      <c r="G517" s="74">
        <v>34.54</v>
      </c>
      <c r="H517" s="74">
        <v>114.19</v>
      </c>
      <c r="I517" s="74">
        <v>25.69</v>
      </c>
      <c r="J517" s="74">
        <v>84.95</v>
      </c>
      <c r="K517" s="74">
        <v>466</v>
      </c>
      <c r="T517" s="74">
        <v>3</v>
      </c>
      <c r="U517" s="74">
        <v>2</v>
      </c>
      <c r="V517" s="74" t="s">
        <v>186</v>
      </c>
      <c r="W517" s="74" t="s">
        <v>110</v>
      </c>
      <c r="X517" s="74">
        <v>20</v>
      </c>
      <c r="Y517" s="74">
        <v>12</v>
      </c>
      <c r="Z517" s="74" t="s">
        <v>1039</v>
      </c>
      <c r="AA517" s="74" t="s">
        <v>1040</v>
      </c>
      <c r="AB517" s="74" t="s">
        <v>182</v>
      </c>
      <c r="AC517" s="74" t="s">
        <v>183</v>
      </c>
      <c r="AD517" s="74" t="s">
        <v>157</v>
      </c>
      <c r="AG517" s="74" t="s">
        <v>1041</v>
      </c>
      <c r="AH517" s="74">
        <v>0</v>
      </c>
      <c r="AI517" s="74">
        <v>219</v>
      </c>
      <c r="AJ517" s="74">
        <v>17</v>
      </c>
      <c r="AK517" s="74">
        <v>1323</v>
      </c>
      <c r="AL517" s="74">
        <v>1.27</v>
      </c>
    </row>
    <row r="518" spans="1:38" x14ac:dyDescent="0.3">
      <c r="A518" s="74" t="s">
        <v>1014</v>
      </c>
      <c r="B518" s="74">
        <v>101738</v>
      </c>
      <c r="C518" s="74">
        <v>3</v>
      </c>
      <c r="D518" s="74" t="s">
        <v>1037</v>
      </c>
      <c r="E518" s="74" t="s">
        <v>1038</v>
      </c>
      <c r="F518" s="74">
        <v>1041</v>
      </c>
      <c r="G518" s="74">
        <v>34.590000000000003</v>
      </c>
      <c r="H518" s="74">
        <v>114.38</v>
      </c>
      <c r="I518" s="74">
        <v>25.69</v>
      </c>
      <c r="J518" s="74">
        <v>84.94</v>
      </c>
      <c r="K518" s="74">
        <v>120</v>
      </c>
      <c r="T518" s="74">
        <v>3</v>
      </c>
      <c r="U518" s="74">
        <v>2</v>
      </c>
      <c r="V518" s="74" t="s">
        <v>186</v>
      </c>
      <c r="W518" s="74" t="s">
        <v>1042</v>
      </c>
      <c r="X518" s="74">
        <v>20</v>
      </c>
      <c r="Y518" s="74">
        <v>12</v>
      </c>
      <c r="Z518" s="74" t="s">
        <v>1039</v>
      </c>
      <c r="AA518" s="74" t="s">
        <v>1040</v>
      </c>
      <c r="AB518" s="74" t="s">
        <v>182</v>
      </c>
      <c r="AC518" s="74" t="s">
        <v>183</v>
      </c>
      <c r="AD518" s="74" t="s">
        <v>157</v>
      </c>
      <c r="AG518" s="74" t="s">
        <v>1041</v>
      </c>
      <c r="AH518" s="74">
        <v>0</v>
      </c>
      <c r="AI518" s="74">
        <v>219</v>
      </c>
      <c r="AJ518" s="74">
        <v>17</v>
      </c>
      <c r="AK518" s="74">
        <v>1323</v>
      </c>
      <c r="AL518" s="74">
        <v>1.27</v>
      </c>
    </row>
    <row r="519" spans="1:38" x14ac:dyDescent="0.3">
      <c r="A519" s="74" t="s">
        <v>1014</v>
      </c>
      <c r="B519" s="74">
        <v>101738</v>
      </c>
      <c r="C519" s="74">
        <v>4</v>
      </c>
      <c r="D519" s="74" t="s">
        <v>1037</v>
      </c>
      <c r="E519" s="74" t="s">
        <v>1038</v>
      </c>
      <c r="F519" s="74">
        <v>1041</v>
      </c>
      <c r="G519" s="74">
        <v>36.1</v>
      </c>
      <c r="H519" s="74">
        <v>119.34</v>
      </c>
      <c r="I519" s="74">
        <v>25.68</v>
      </c>
      <c r="J519" s="74">
        <v>84.9</v>
      </c>
      <c r="K519" s="74">
        <v>295</v>
      </c>
      <c r="T519" s="74">
        <v>3</v>
      </c>
      <c r="U519" s="74">
        <v>2</v>
      </c>
      <c r="V519" s="74" t="s">
        <v>186</v>
      </c>
      <c r="W519" s="74">
        <v>119</v>
      </c>
      <c r="X519" s="74">
        <v>20</v>
      </c>
      <c r="Y519" s="74">
        <v>12</v>
      </c>
      <c r="Z519" s="74" t="s">
        <v>1039</v>
      </c>
      <c r="AA519" s="74" t="s">
        <v>1040</v>
      </c>
      <c r="AB519" s="74" t="s">
        <v>182</v>
      </c>
      <c r="AC519" s="74" t="s">
        <v>183</v>
      </c>
      <c r="AD519" s="74" t="s">
        <v>157</v>
      </c>
      <c r="AG519" s="74" t="s">
        <v>1041</v>
      </c>
      <c r="AH519" s="74">
        <v>0</v>
      </c>
      <c r="AI519" s="74">
        <v>219</v>
      </c>
      <c r="AJ519" s="74">
        <v>17</v>
      </c>
      <c r="AK519" s="74">
        <v>1323</v>
      </c>
      <c r="AL519" s="74">
        <v>1.27</v>
      </c>
    </row>
    <row r="520" spans="1:38" x14ac:dyDescent="0.3">
      <c r="A520" s="74" t="s">
        <v>1014</v>
      </c>
      <c r="B520" s="74">
        <v>103002</v>
      </c>
      <c r="C520" s="74">
        <v>1</v>
      </c>
      <c r="D520" s="74" t="s">
        <v>1043</v>
      </c>
      <c r="E520" s="74" t="s">
        <v>1044</v>
      </c>
      <c r="F520" s="74">
        <v>570</v>
      </c>
      <c r="G520" s="74">
        <v>21.7</v>
      </c>
      <c r="H520" s="74">
        <v>71.75</v>
      </c>
      <c r="I520" s="74">
        <v>15.09</v>
      </c>
      <c r="J520" s="74">
        <v>49.91</v>
      </c>
      <c r="K520" s="74">
        <v>104</v>
      </c>
      <c r="T520" s="74">
        <v>2</v>
      </c>
      <c r="U520" s="74">
        <v>1</v>
      </c>
      <c r="V520" s="74" t="s">
        <v>186</v>
      </c>
      <c r="W520" s="74">
        <v>71</v>
      </c>
      <c r="X520" s="74">
        <v>20</v>
      </c>
      <c r="Y520" s="74">
        <v>10</v>
      </c>
      <c r="Z520" s="74" t="s">
        <v>1045</v>
      </c>
      <c r="AA520" s="74" t="s">
        <v>1046</v>
      </c>
      <c r="AB520" s="74" t="s">
        <v>182</v>
      </c>
      <c r="AC520" s="74" t="s">
        <v>183</v>
      </c>
      <c r="AD520" s="74" t="s">
        <v>157</v>
      </c>
      <c r="AG520" s="74" t="s">
        <v>1047</v>
      </c>
      <c r="AH520" s="74">
        <v>0</v>
      </c>
      <c r="AI520" s="74">
        <v>219</v>
      </c>
      <c r="AJ520" s="74">
        <v>24</v>
      </c>
      <c r="AK520" s="74">
        <v>636</v>
      </c>
      <c r="AL520" s="74">
        <v>1.1200000000000001</v>
      </c>
    </row>
    <row r="521" spans="1:38" x14ac:dyDescent="0.3">
      <c r="A521" s="74" t="s">
        <v>1014</v>
      </c>
      <c r="B521" s="74">
        <v>103002</v>
      </c>
      <c r="C521" s="74">
        <v>2</v>
      </c>
      <c r="D521" s="74" t="s">
        <v>1043</v>
      </c>
      <c r="E521" s="74" t="s">
        <v>1044</v>
      </c>
      <c r="F521" s="74">
        <v>570</v>
      </c>
      <c r="G521" s="74">
        <v>25.09</v>
      </c>
      <c r="H521" s="74">
        <v>82.97</v>
      </c>
      <c r="I521" s="74">
        <v>18.14</v>
      </c>
      <c r="J521" s="74">
        <v>59.99</v>
      </c>
      <c r="K521" s="74">
        <v>235</v>
      </c>
      <c r="T521" s="74">
        <v>3</v>
      </c>
      <c r="U521" s="74">
        <v>2</v>
      </c>
      <c r="V521" s="74" t="s">
        <v>186</v>
      </c>
      <c r="W521" s="74" t="s">
        <v>90</v>
      </c>
      <c r="X521" s="74">
        <v>20</v>
      </c>
      <c r="Y521" s="74">
        <v>10</v>
      </c>
      <c r="Z521" s="74" t="s">
        <v>1045</v>
      </c>
      <c r="AA521" s="74" t="s">
        <v>1046</v>
      </c>
      <c r="AB521" s="74" t="s">
        <v>182</v>
      </c>
      <c r="AC521" s="74" t="s">
        <v>183</v>
      </c>
      <c r="AD521" s="74" t="s">
        <v>157</v>
      </c>
      <c r="AG521" s="74" t="s">
        <v>1047</v>
      </c>
      <c r="AH521" s="74">
        <v>0</v>
      </c>
      <c r="AI521" s="74">
        <v>219</v>
      </c>
      <c r="AJ521" s="74">
        <v>24</v>
      </c>
      <c r="AK521" s="74">
        <v>636</v>
      </c>
      <c r="AL521" s="74">
        <v>1.1200000000000001</v>
      </c>
    </row>
    <row r="522" spans="1:38" x14ac:dyDescent="0.3">
      <c r="A522" s="74" t="s">
        <v>1014</v>
      </c>
      <c r="B522" s="74">
        <v>103002</v>
      </c>
      <c r="C522" s="74">
        <v>3</v>
      </c>
      <c r="D522" s="74" t="s">
        <v>1043</v>
      </c>
      <c r="E522" s="74" t="s">
        <v>1044</v>
      </c>
      <c r="F522" s="74">
        <v>570</v>
      </c>
      <c r="G522" s="74">
        <v>24.97</v>
      </c>
      <c r="H522" s="74">
        <v>82.55</v>
      </c>
      <c r="I522" s="74">
        <v>18.04</v>
      </c>
      <c r="J522" s="74">
        <v>59.66</v>
      </c>
      <c r="K522" s="74">
        <v>231</v>
      </c>
      <c r="T522" s="74">
        <v>3</v>
      </c>
      <c r="U522" s="74">
        <v>2</v>
      </c>
      <c r="V522" s="74" t="s">
        <v>186</v>
      </c>
      <c r="W522" s="74" t="s">
        <v>1048</v>
      </c>
      <c r="X522" s="74">
        <v>20</v>
      </c>
      <c r="Y522" s="74">
        <v>10</v>
      </c>
      <c r="Z522" s="74" t="s">
        <v>1045</v>
      </c>
      <c r="AA522" s="74" t="s">
        <v>1046</v>
      </c>
      <c r="AB522" s="74" t="s">
        <v>182</v>
      </c>
      <c r="AC522" s="74" t="s">
        <v>183</v>
      </c>
      <c r="AD522" s="74" t="s">
        <v>157</v>
      </c>
      <c r="AG522" s="74" t="s">
        <v>1047</v>
      </c>
      <c r="AH522" s="74">
        <v>0</v>
      </c>
      <c r="AI522" s="74">
        <v>219</v>
      </c>
      <c r="AJ522" s="74">
        <v>24</v>
      </c>
      <c r="AK522" s="74">
        <v>636</v>
      </c>
      <c r="AL522" s="74">
        <v>1.1200000000000001</v>
      </c>
    </row>
    <row r="523" spans="1:38" x14ac:dyDescent="0.3">
      <c r="A523" s="74" t="s">
        <v>1014</v>
      </c>
      <c r="B523" s="74">
        <v>119546</v>
      </c>
      <c r="C523" s="74">
        <v>1</v>
      </c>
      <c r="D523" s="74" t="s">
        <v>1049</v>
      </c>
      <c r="E523" s="74" t="s">
        <v>1050</v>
      </c>
      <c r="F523" s="74">
        <v>28</v>
      </c>
      <c r="G523" s="74">
        <v>26.03</v>
      </c>
      <c r="H523" s="74">
        <v>86.07</v>
      </c>
      <c r="I523" s="74">
        <v>18.03</v>
      </c>
      <c r="J523" s="74">
        <v>59.63</v>
      </c>
      <c r="K523" s="74">
        <v>28</v>
      </c>
      <c r="T523" s="74">
        <v>3</v>
      </c>
      <c r="U523" s="74">
        <v>1</v>
      </c>
      <c r="V523" s="74" t="s">
        <v>186</v>
      </c>
      <c r="W523" s="74">
        <v>86</v>
      </c>
      <c r="X523" s="74">
        <v>14</v>
      </c>
      <c r="Y523" s="74">
        <v>14</v>
      </c>
      <c r="Z523" s="74" t="s">
        <v>1051</v>
      </c>
      <c r="AA523" s="74" t="s">
        <v>1052</v>
      </c>
      <c r="AB523" s="74" t="s">
        <v>182</v>
      </c>
      <c r="AC523" s="74" t="s">
        <v>183</v>
      </c>
      <c r="AD523" s="74" t="s">
        <v>157</v>
      </c>
      <c r="AG523" s="74" t="s">
        <v>1053</v>
      </c>
      <c r="AH523" s="74">
        <v>0</v>
      </c>
      <c r="AI523" s="74">
        <v>598</v>
      </c>
      <c r="AJ523" s="74">
        <v>69</v>
      </c>
      <c r="AK523" s="74">
        <v>31</v>
      </c>
      <c r="AL523" s="74">
        <v>1.1100000000000001</v>
      </c>
    </row>
    <row r="524" spans="1:38" x14ac:dyDescent="0.3">
      <c r="A524" s="74" t="s">
        <v>1014</v>
      </c>
      <c r="B524" s="74">
        <v>5059</v>
      </c>
      <c r="C524" s="74">
        <v>1</v>
      </c>
      <c r="D524" s="74" t="s">
        <v>217</v>
      </c>
      <c r="E524" s="74" t="s">
        <v>1054</v>
      </c>
      <c r="F524" s="74">
        <v>657</v>
      </c>
      <c r="G524" s="74">
        <v>23.67</v>
      </c>
      <c r="H524" s="74">
        <v>78.25</v>
      </c>
      <c r="I524" s="74">
        <v>18.13</v>
      </c>
      <c r="J524" s="74">
        <v>59.95</v>
      </c>
      <c r="K524" s="74">
        <v>272</v>
      </c>
      <c r="T524" s="74">
        <v>3</v>
      </c>
      <c r="U524" s="74">
        <v>1</v>
      </c>
      <c r="V524" s="74" t="s">
        <v>186</v>
      </c>
      <c r="W524" s="74">
        <v>78</v>
      </c>
      <c r="X524" s="74">
        <v>20</v>
      </c>
      <c r="Y524" s="74">
        <v>15</v>
      </c>
      <c r="Z524" s="74" t="s">
        <v>1055</v>
      </c>
      <c r="AA524" s="74" t="s">
        <v>1056</v>
      </c>
      <c r="AB524" s="74" t="s">
        <v>182</v>
      </c>
      <c r="AC524" s="74" t="s">
        <v>183</v>
      </c>
      <c r="AD524" s="74" t="s">
        <v>157</v>
      </c>
      <c r="AG524" s="74" t="s">
        <v>1057</v>
      </c>
      <c r="AH524" s="74">
        <v>0</v>
      </c>
      <c r="AI524" s="74">
        <v>230</v>
      </c>
      <c r="AJ524" s="74">
        <v>19</v>
      </c>
      <c r="AK524" s="74">
        <v>657</v>
      </c>
      <c r="AL524" s="74">
        <v>1</v>
      </c>
    </row>
    <row r="525" spans="1:38" x14ac:dyDescent="0.3">
      <c r="A525" s="74" t="s">
        <v>1014</v>
      </c>
      <c r="B525" s="74">
        <v>5059</v>
      </c>
      <c r="C525" s="74">
        <v>2</v>
      </c>
      <c r="D525" s="74" t="s">
        <v>217</v>
      </c>
      <c r="E525" s="74" t="s">
        <v>1054</v>
      </c>
      <c r="F525" s="74">
        <v>657</v>
      </c>
      <c r="G525" s="74">
        <v>29.16</v>
      </c>
      <c r="H525" s="74">
        <v>96.41</v>
      </c>
      <c r="I525" s="74">
        <v>22.74</v>
      </c>
      <c r="J525" s="74">
        <v>75.180000000000007</v>
      </c>
      <c r="K525" s="74">
        <v>136</v>
      </c>
      <c r="T525" s="74">
        <v>3</v>
      </c>
      <c r="U525" s="74">
        <v>1</v>
      </c>
      <c r="V525" s="74" t="s">
        <v>186</v>
      </c>
      <c r="W525" s="74">
        <v>96</v>
      </c>
      <c r="X525" s="74">
        <v>20</v>
      </c>
      <c r="Y525" s="74">
        <v>15</v>
      </c>
      <c r="Z525" s="74" t="s">
        <v>1055</v>
      </c>
      <c r="AA525" s="74" t="s">
        <v>1056</v>
      </c>
      <c r="AB525" s="74" t="s">
        <v>182</v>
      </c>
      <c r="AC525" s="74" t="s">
        <v>183</v>
      </c>
      <c r="AD525" s="74" t="s">
        <v>157</v>
      </c>
      <c r="AG525" s="74" t="s">
        <v>1057</v>
      </c>
      <c r="AH525" s="74">
        <v>0</v>
      </c>
      <c r="AI525" s="74">
        <v>230</v>
      </c>
      <c r="AJ525" s="74">
        <v>19</v>
      </c>
      <c r="AK525" s="74">
        <v>657</v>
      </c>
      <c r="AL525" s="74">
        <v>1</v>
      </c>
    </row>
    <row r="526" spans="1:38" x14ac:dyDescent="0.3">
      <c r="A526" s="74" t="s">
        <v>1014</v>
      </c>
      <c r="B526" s="74">
        <v>5059</v>
      </c>
      <c r="C526" s="74">
        <v>3</v>
      </c>
      <c r="D526" s="74" t="s">
        <v>217</v>
      </c>
      <c r="E526" s="74" t="s">
        <v>1054</v>
      </c>
      <c r="F526" s="74">
        <v>657</v>
      </c>
      <c r="G526" s="74">
        <v>31.81</v>
      </c>
      <c r="H526" s="74">
        <v>105.16</v>
      </c>
      <c r="I526" s="74">
        <v>25.7</v>
      </c>
      <c r="J526" s="74">
        <v>84.96</v>
      </c>
      <c r="K526" s="74">
        <v>249</v>
      </c>
      <c r="T526" s="74">
        <v>3</v>
      </c>
      <c r="U526" s="74">
        <v>2</v>
      </c>
      <c r="V526" s="74" t="s">
        <v>186</v>
      </c>
      <c r="W526" s="74">
        <v>105</v>
      </c>
      <c r="X526" s="74">
        <v>20</v>
      </c>
      <c r="Y526" s="74">
        <v>15</v>
      </c>
      <c r="Z526" s="74" t="s">
        <v>1055</v>
      </c>
      <c r="AA526" s="74" t="s">
        <v>1056</v>
      </c>
      <c r="AB526" s="74" t="s">
        <v>182</v>
      </c>
      <c r="AC526" s="74" t="s">
        <v>183</v>
      </c>
      <c r="AD526" s="74" t="s">
        <v>157</v>
      </c>
      <c r="AG526" s="74" t="s">
        <v>1057</v>
      </c>
      <c r="AH526" s="74">
        <v>0</v>
      </c>
      <c r="AI526" s="74">
        <v>230</v>
      </c>
      <c r="AJ526" s="74">
        <v>19</v>
      </c>
      <c r="AK526" s="74">
        <v>657</v>
      </c>
      <c r="AL526" s="74">
        <v>1</v>
      </c>
    </row>
    <row r="527" spans="1:38" x14ac:dyDescent="0.3">
      <c r="A527" s="74" t="s">
        <v>1014</v>
      </c>
      <c r="B527" s="74">
        <v>16996</v>
      </c>
      <c r="C527" s="74">
        <v>1</v>
      </c>
      <c r="D527" s="74" t="s">
        <v>1058</v>
      </c>
      <c r="E527" s="74" t="s">
        <v>1059</v>
      </c>
      <c r="F527" s="74">
        <v>941</v>
      </c>
      <c r="G527" s="74">
        <v>33.729999999999997</v>
      </c>
      <c r="H527" s="74">
        <v>111.53</v>
      </c>
      <c r="I527" s="74">
        <v>25.62</v>
      </c>
      <c r="J527" s="74">
        <v>84.7</v>
      </c>
      <c r="K527" s="74">
        <v>729</v>
      </c>
      <c r="T527" s="74">
        <v>3</v>
      </c>
      <c r="U527" s="74">
        <v>2</v>
      </c>
      <c r="V527" s="74" t="s">
        <v>186</v>
      </c>
      <c r="W527" s="74" t="s">
        <v>92</v>
      </c>
      <c r="X527" s="74">
        <v>20</v>
      </c>
      <c r="Y527" s="74">
        <v>7</v>
      </c>
      <c r="Z527" s="74" t="s">
        <v>1060</v>
      </c>
      <c r="AA527" s="74" t="s">
        <v>1061</v>
      </c>
      <c r="AB527" s="74" t="s">
        <v>182</v>
      </c>
      <c r="AC527" s="74" t="s">
        <v>183</v>
      </c>
      <c r="AD527" s="74" t="s">
        <v>157</v>
      </c>
      <c r="AG527" s="74" t="s">
        <v>1062</v>
      </c>
      <c r="AH527" s="74">
        <v>0</v>
      </c>
      <c r="AI527" s="74">
        <v>239</v>
      </c>
      <c r="AJ527" s="74">
        <v>18</v>
      </c>
      <c r="AK527" s="74">
        <v>974</v>
      </c>
      <c r="AL527" s="74">
        <v>1.04</v>
      </c>
    </row>
    <row r="528" spans="1:38" x14ac:dyDescent="0.3">
      <c r="A528" s="74" t="s">
        <v>1014</v>
      </c>
      <c r="B528" s="74">
        <v>16996</v>
      </c>
      <c r="C528" s="74">
        <v>2</v>
      </c>
      <c r="D528" s="74" t="s">
        <v>1058</v>
      </c>
      <c r="E528" s="74" t="s">
        <v>1059</v>
      </c>
      <c r="F528" s="74">
        <v>941</v>
      </c>
      <c r="G528" s="74">
        <v>33.58</v>
      </c>
      <c r="H528" s="74">
        <v>111.02</v>
      </c>
      <c r="I528" s="74">
        <v>25.65</v>
      </c>
      <c r="J528" s="74">
        <v>84.82</v>
      </c>
      <c r="K528" s="74">
        <v>178</v>
      </c>
      <c r="T528" s="74">
        <v>3</v>
      </c>
      <c r="U528" s="74">
        <v>2</v>
      </c>
      <c r="V528" s="74" t="s">
        <v>186</v>
      </c>
      <c r="W528" s="74" t="s">
        <v>79</v>
      </c>
      <c r="X528" s="74">
        <v>20</v>
      </c>
      <c r="Y528" s="74">
        <v>7</v>
      </c>
      <c r="Z528" s="74" t="s">
        <v>1060</v>
      </c>
      <c r="AA528" s="74" t="s">
        <v>1061</v>
      </c>
      <c r="AB528" s="74" t="s">
        <v>182</v>
      </c>
      <c r="AC528" s="74" t="s">
        <v>183</v>
      </c>
      <c r="AD528" s="74" t="s">
        <v>157</v>
      </c>
      <c r="AG528" s="74" t="s">
        <v>1062</v>
      </c>
      <c r="AH528" s="74">
        <v>0</v>
      </c>
      <c r="AI528" s="74">
        <v>239</v>
      </c>
      <c r="AJ528" s="74">
        <v>18</v>
      </c>
      <c r="AK528" s="74">
        <v>974</v>
      </c>
      <c r="AL528" s="74">
        <v>1.04</v>
      </c>
    </row>
    <row r="529" spans="1:38" x14ac:dyDescent="0.3">
      <c r="A529" s="74" t="s">
        <v>1014</v>
      </c>
      <c r="B529" s="74">
        <v>16996</v>
      </c>
      <c r="C529" s="74">
        <v>3</v>
      </c>
      <c r="D529" s="74" t="s">
        <v>1058</v>
      </c>
      <c r="E529" s="74" t="s">
        <v>1059</v>
      </c>
      <c r="F529" s="74">
        <v>941</v>
      </c>
      <c r="G529" s="74">
        <v>33.590000000000003</v>
      </c>
      <c r="H529" s="74">
        <v>111.06</v>
      </c>
      <c r="I529" s="74">
        <v>25.65</v>
      </c>
      <c r="J529" s="74">
        <v>84.8</v>
      </c>
      <c r="K529" s="74">
        <v>34</v>
      </c>
      <c r="T529" s="74">
        <v>3</v>
      </c>
      <c r="U529" s="74">
        <v>2</v>
      </c>
      <c r="V529" s="74" t="s">
        <v>186</v>
      </c>
      <c r="W529" s="74" t="s">
        <v>78</v>
      </c>
      <c r="X529" s="74">
        <v>20</v>
      </c>
      <c r="Y529" s="74">
        <v>7</v>
      </c>
      <c r="Z529" s="74" t="s">
        <v>1060</v>
      </c>
      <c r="AA529" s="74" t="s">
        <v>1061</v>
      </c>
      <c r="AB529" s="74" t="s">
        <v>182</v>
      </c>
      <c r="AC529" s="74" t="s">
        <v>183</v>
      </c>
      <c r="AD529" s="74" t="s">
        <v>157</v>
      </c>
      <c r="AG529" s="74" t="s">
        <v>1062</v>
      </c>
      <c r="AH529" s="74">
        <v>0</v>
      </c>
      <c r="AI529" s="74">
        <v>239</v>
      </c>
      <c r="AJ529" s="74">
        <v>18</v>
      </c>
      <c r="AK529" s="74">
        <v>974</v>
      </c>
      <c r="AL529" s="74">
        <v>1.04</v>
      </c>
    </row>
    <row r="530" spans="1:38" x14ac:dyDescent="0.3">
      <c r="A530" s="74" t="s">
        <v>1014</v>
      </c>
      <c r="B530" s="74">
        <v>109957</v>
      </c>
      <c r="C530" s="74">
        <v>1</v>
      </c>
      <c r="D530" s="74" t="s">
        <v>1063</v>
      </c>
      <c r="E530" s="74" t="s">
        <v>763</v>
      </c>
      <c r="F530" s="74">
        <v>283</v>
      </c>
      <c r="G530" s="74">
        <v>11.24</v>
      </c>
      <c r="H530" s="74">
        <v>37.18</v>
      </c>
      <c r="I530" s="74">
        <v>7.91</v>
      </c>
      <c r="J530" s="74">
        <v>26.17</v>
      </c>
      <c r="K530" s="74">
        <v>2</v>
      </c>
      <c r="T530" s="74">
        <v>1</v>
      </c>
      <c r="U530" s="74">
        <v>1</v>
      </c>
      <c r="V530" s="74" t="s">
        <v>179</v>
      </c>
      <c r="W530" s="74" t="s">
        <v>1064</v>
      </c>
      <c r="X530" s="74">
        <v>23</v>
      </c>
      <c r="Y530" s="74">
        <v>14</v>
      </c>
      <c r="Z530" s="74" t="s">
        <v>1065</v>
      </c>
      <c r="AA530" s="74" t="s">
        <v>1066</v>
      </c>
      <c r="AB530" s="74" t="s">
        <v>182</v>
      </c>
      <c r="AC530" s="74" t="s">
        <v>183</v>
      </c>
      <c r="AD530" s="74" t="s">
        <v>157</v>
      </c>
      <c r="AG530" s="74" t="s">
        <v>1067</v>
      </c>
      <c r="AH530" s="74">
        <v>0</v>
      </c>
      <c r="AI530" s="74">
        <v>533</v>
      </c>
      <c r="AJ530" s="74">
        <v>75</v>
      </c>
      <c r="AK530" s="74">
        <v>163</v>
      </c>
      <c r="AL530" s="74">
        <v>0.57999999999999996</v>
      </c>
    </row>
    <row r="531" spans="1:38" x14ac:dyDescent="0.3">
      <c r="A531" s="74" t="s">
        <v>1014</v>
      </c>
      <c r="B531" s="74">
        <v>109957</v>
      </c>
      <c r="C531" s="74">
        <v>2</v>
      </c>
      <c r="D531" s="74" t="s">
        <v>1063</v>
      </c>
      <c r="E531" s="74" t="s">
        <v>763</v>
      </c>
      <c r="F531" s="74">
        <v>283</v>
      </c>
      <c r="G531" s="74">
        <v>12.65</v>
      </c>
      <c r="H531" s="74">
        <v>41.84</v>
      </c>
      <c r="I531" s="74">
        <v>8.9</v>
      </c>
      <c r="J531" s="74">
        <v>29.45</v>
      </c>
      <c r="K531" s="74">
        <v>94</v>
      </c>
      <c r="T531" s="74">
        <v>1</v>
      </c>
      <c r="U531" s="74">
        <v>1</v>
      </c>
      <c r="V531" s="74" t="s">
        <v>179</v>
      </c>
      <c r="W531" s="74" t="s">
        <v>1068</v>
      </c>
      <c r="X531" s="74">
        <v>23</v>
      </c>
      <c r="Y531" s="74">
        <v>14</v>
      </c>
      <c r="Z531" s="74" t="s">
        <v>1065</v>
      </c>
      <c r="AA531" s="74" t="s">
        <v>1066</v>
      </c>
      <c r="AB531" s="74" t="s">
        <v>182</v>
      </c>
      <c r="AC531" s="74" t="s">
        <v>183</v>
      </c>
      <c r="AD531" s="74" t="s">
        <v>157</v>
      </c>
      <c r="AG531" s="74" t="s">
        <v>1067</v>
      </c>
      <c r="AH531" s="74">
        <v>0</v>
      </c>
      <c r="AI531" s="74">
        <v>533</v>
      </c>
      <c r="AJ531" s="74">
        <v>75</v>
      </c>
      <c r="AK531" s="74">
        <v>163</v>
      </c>
      <c r="AL531" s="74">
        <v>0.57999999999999996</v>
      </c>
    </row>
    <row r="532" spans="1:38" x14ac:dyDescent="0.3">
      <c r="A532" s="74" t="s">
        <v>1014</v>
      </c>
      <c r="B532" s="74">
        <v>109957</v>
      </c>
      <c r="C532" s="74">
        <v>3</v>
      </c>
      <c r="D532" s="74" t="s">
        <v>1063</v>
      </c>
      <c r="E532" s="74" t="s">
        <v>763</v>
      </c>
      <c r="F532" s="74">
        <v>283</v>
      </c>
      <c r="G532" s="74">
        <v>14.8</v>
      </c>
      <c r="H532" s="74">
        <v>48.95</v>
      </c>
      <c r="I532" s="74">
        <v>10.42</v>
      </c>
      <c r="J532" s="74">
        <v>34.46</v>
      </c>
      <c r="K532" s="74">
        <v>3</v>
      </c>
      <c r="T532" s="74">
        <v>1</v>
      </c>
      <c r="U532" s="74">
        <v>1</v>
      </c>
      <c r="V532" s="74" t="s">
        <v>179</v>
      </c>
      <c r="W532" s="74" t="s">
        <v>1069</v>
      </c>
      <c r="X532" s="74">
        <v>23</v>
      </c>
      <c r="Y532" s="74">
        <v>14</v>
      </c>
      <c r="Z532" s="74" t="s">
        <v>1065</v>
      </c>
      <c r="AA532" s="74" t="s">
        <v>1066</v>
      </c>
      <c r="AB532" s="74" t="s">
        <v>182</v>
      </c>
      <c r="AC532" s="74" t="s">
        <v>183</v>
      </c>
      <c r="AD532" s="74" t="s">
        <v>157</v>
      </c>
      <c r="AG532" s="74" t="s">
        <v>1067</v>
      </c>
      <c r="AH532" s="74">
        <v>0</v>
      </c>
      <c r="AI532" s="74">
        <v>533</v>
      </c>
      <c r="AJ532" s="74">
        <v>75</v>
      </c>
      <c r="AK532" s="74">
        <v>163</v>
      </c>
      <c r="AL532" s="74">
        <v>0.57999999999999996</v>
      </c>
    </row>
    <row r="533" spans="1:38" x14ac:dyDescent="0.3">
      <c r="A533" s="74" t="s">
        <v>1014</v>
      </c>
      <c r="B533" s="74">
        <v>109957</v>
      </c>
      <c r="C533" s="74">
        <v>4</v>
      </c>
      <c r="D533" s="74" t="s">
        <v>1063</v>
      </c>
      <c r="E533" s="74" t="s">
        <v>763</v>
      </c>
      <c r="F533" s="74">
        <v>283</v>
      </c>
      <c r="G533" s="74">
        <v>15.3</v>
      </c>
      <c r="H533" s="74">
        <v>50.61</v>
      </c>
      <c r="I533" s="74">
        <v>10.77</v>
      </c>
      <c r="J533" s="74">
        <v>35.630000000000003</v>
      </c>
      <c r="K533" s="74">
        <v>36</v>
      </c>
      <c r="T533" s="74">
        <v>1</v>
      </c>
      <c r="U533" s="74">
        <v>1</v>
      </c>
      <c r="V533" s="74" t="s">
        <v>179</v>
      </c>
      <c r="W533" s="74" t="s">
        <v>1070</v>
      </c>
      <c r="X533" s="74">
        <v>23</v>
      </c>
      <c r="Y533" s="74">
        <v>14</v>
      </c>
      <c r="Z533" s="74" t="s">
        <v>1065</v>
      </c>
      <c r="AA533" s="74" t="s">
        <v>1066</v>
      </c>
      <c r="AB533" s="74" t="s">
        <v>182</v>
      </c>
      <c r="AC533" s="74" t="s">
        <v>183</v>
      </c>
      <c r="AD533" s="74" t="s">
        <v>157</v>
      </c>
      <c r="AG533" s="74" t="s">
        <v>1067</v>
      </c>
      <c r="AH533" s="74">
        <v>0</v>
      </c>
      <c r="AI533" s="74">
        <v>533</v>
      </c>
      <c r="AJ533" s="74">
        <v>75</v>
      </c>
      <c r="AK533" s="74">
        <v>163</v>
      </c>
      <c r="AL533" s="74">
        <v>0.57999999999999996</v>
      </c>
    </row>
    <row r="534" spans="1:38" x14ac:dyDescent="0.3">
      <c r="A534" s="74" t="s">
        <v>1014</v>
      </c>
      <c r="B534" s="74">
        <v>109957</v>
      </c>
      <c r="C534" s="74">
        <v>5</v>
      </c>
      <c r="D534" s="74" t="s">
        <v>1063</v>
      </c>
      <c r="E534" s="74" t="s">
        <v>763</v>
      </c>
      <c r="F534" s="74">
        <v>283</v>
      </c>
      <c r="G534" s="74">
        <v>16.05</v>
      </c>
      <c r="H534" s="74">
        <v>53.06</v>
      </c>
      <c r="I534" s="74">
        <v>11.29</v>
      </c>
      <c r="J534" s="74">
        <v>37.35</v>
      </c>
      <c r="K534" s="74">
        <v>3</v>
      </c>
      <c r="T534" s="74">
        <v>1</v>
      </c>
      <c r="U534" s="74">
        <v>1</v>
      </c>
      <c r="V534" s="74" t="s">
        <v>179</v>
      </c>
      <c r="W534" s="74" t="s">
        <v>1071</v>
      </c>
      <c r="X534" s="74">
        <v>23</v>
      </c>
      <c r="Y534" s="74">
        <v>14</v>
      </c>
      <c r="Z534" s="74" t="s">
        <v>1065</v>
      </c>
      <c r="AA534" s="74" t="s">
        <v>1066</v>
      </c>
      <c r="AB534" s="74" t="s">
        <v>182</v>
      </c>
      <c r="AC534" s="74" t="s">
        <v>183</v>
      </c>
      <c r="AD534" s="74" t="s">
        <v>157</v>
      </c>
      <c r="AG534" s="74" t="s">
        <v>1067</v>
      </c>
      <c r="AH534" s="74">
        <v>0</v>
      </c>
      <c r="AI534" s="74">
        <v>533</v>
      </c>
      <c r="AJ534" s="74">
        <v>75</v>
      </c>
      <c r="AK534" s="74">
        <v>163</v>
      </c>
      <c r="AL534" s="74">
        <v>0.57999999999999996</v>
      </c>
    </row>
    <row r="535" spans="1:38" x14ac:dyDescent="0.3">
      <c r="A535" s="74" t="s">
        <v>1014</v>
      </c>
      <c r="B535" s="74">
        <v>109957</v>
      </c>
      <c r="C535" s="74">
        <v>6</v>
      </c>
      <c r="D535" s="74" t="s">
        <v>1063</v>
      </c>
      <c r="E535" s="74" t="s">
        <v>763</v>
      </c>
      <c r="F535" s="74">
        <v>283</v>
      </c>
      <c r="G535" s="74">
        <v>16.38</v>
      </c>
      <c r="H535" s="74">
        <v>54.18</v>
      </c>
      <c r="I535" s="74">
        <v>11.53</v>
      </c>
      <c r="J535" s="74">
        <v>38.14</v>
      </c>
      <c r="K535" s="74">
        <v>2</v>
      </c>
      <c r="T535" s="74">
        <v>1</v>
      </c>
      <c r="U535" s="74">
        <v>1</v>
      </c>
      <c r="V535" s="74" t="s">
        <v>179</v>
      </c>
      <c r="W535" s="74" t="s">
        <v>1072</v>
      </c>
      <c r="X535" s="74">
        <v>23</v>
      </c>
      <c r="Y535" s="74">
        <v>14</v>
      </c>
      <c r="Z535" s="74" t="s">
        <v>1065</v>
      </c>
      <c r="AA535" s="74" t="s">
        <v>1066</v>
      </c>
      <c r="AB535" s="74" t="s">
        <v>182</v>
      </c>
      <c r="AC535" s="74" t="s">
        <v>183</v>
      </c>
      <c r="AD535" s="74" t="s">
        <v>157</v>
      </c>
      <c r="AG535" s="74" t="s">
        <v>1067</v>
      </c>
      <c r="AH535" s="74">
        <v>0</v>
      </c>
      <c r="AI535" s="74">
        <v>533</v>
      </c>
      <c r="AJ535" s="74">
        <v>75</v>
      </c>
      <c r="AK535" s="74">
        <v>163</v>
      </c>
      <c r="AL535" s="74">
        <v>0.57999999999999996</v>
      </c>
    </row>
    <row r="536" spans="1:38" x14ac:dyDescent="0.3">
      <c r="A536" s="74" t="s">
        <v>1014</v>
      </c>
      <c r="B536" s="74">
        <v>109957</v>
      </c>
      <c r="C536" s="74">
        <v>7</v>
      </c>
      <c r="D536" s="74" t="s">
        <v>1063</v>
      </c>
      <c r="E536" s="74" t="s">
        <v>763</v>
      </c>
      <c r="F536" s="74">
        <v>283</v>
      </c>
      <c r="G536" s="74">
        <v>18.02</v>
      </c>
      <c r="H536" s="74">
        <v>59.59</v>
      </c>
      <c r="I536" s="74">
        <v>12.68</v>
      </c>
      <c r="J536" s="74">
        <v>41.95</v>
      </c>
      <c r="K536" s="74">
        <v>3</v>
      </c>
      <c r="T536" s="74">
        <v>1</v>
      </c>
      <c r="U536" s="74">
        <v>1</v>
      </c>
      <c r="V536" s="74" t="s">
        <v>179</v>
      </c>
      <c r="W536" s="74" t="s">
        <v>1073</v>
      </c>
      <c r="X536" s="74">
        <v>23</v>
      </c>
      <c r="Y536" s="74">
        <v>14</v>
      </c>
      <c r="Z536" s="74" t="s">
        <v>1065</v>
      </c>
      <c r="AA536" s="74" t="s">
        <v>1066</v>
      </c>
      <c r="AB536" s="74" t="s">
        <v>182</v>
      </c>
      <c r="AC536" s="74" t="s">
        <v>183</v>
      </c>
      <c r="AD536" s="74" t="s">
        <v>157</v>
      </c>
      <c r="AG536" s="74" t="s">
        <v>1067</v>
      </c>
      <c r="AH536" s="74">
        <v>0</v>
      </c>
      <c r="AI536" s="74">
        <v>533</v>
      </c>
      <c r="AJ536" s="74">
        <v>75</v>
      </c>
      <c r="AK536" s="74">
        <v>163</v>
      </c>
      <c r="AL536" s="74">
        <v>0.57999999999999996</v>
      </c>
    </row>
    <row r="537" spans="1:38" x14ac:dyDescent="0.3">
      <c r="A537" s="74" t="s">
        <v>1014</v>
      </c>
      <c r="B537" s="74">
        <v>109957</v>
      </c>
      <c r="C537" s="74">
        <v>8</v>
      </c>
      <c r="D537" s="74" t="s">
        <v>1063</v>
      </c>
      <c r="E537" s="74" t="s">
        <v>763</v>
      </c>
      <c r="F537" s="74">
        <v>283</v>
      </c>
      <c r="G537" s="74">
        <v>20.28</v>
      </c>
      <c r="H537" s="74">
        <v>67.05</v>
      </c>
      <c r="I537" s="74">
        <v>14.27</v>
      </c>
      <c r="J537" s="74">
        <v>47.2</v>
      </c>
      <c r="K537" s="74">
        <v>3</v>
      </c>
      <c r="T537" s="74">
        <v>2</v>
      </c>
      <c r="U537" s="74">
        <v>1</v>
      </c>
      <c r="V537" s="74" t="s">
        <v>179</v>
      </c>
      <c r="W537" s="74" t="s">
        <v>1074</v>
      </c>
      <c r="X537" s="74">
        <v>23</v>
      </c>
      <c r="Y537" s="74">
        <v>14</v>
      </c>
      <c r="Z537" s="74" t="s">
        <v>1065</v>
      </c>
      <c r="AA537" s="74" t="s">
        <v>1066</v>
      </c>
      <c r="AB537" s="74" t="s">
        <v>182</v>
      </c>
      <c r="AC537" s="74" t="s">
        <v>183</v>
      </c>
      <c r="AD537" s="74" t="s">
        <v>157</v>
      </c>
      <c r="AG537" s="74" t="s">
        <v>1067</v>
      </c>
      <c r="AH537" s="74">
        <v>0</v>
      </c>
      <c r="AI537" s="74">
        <v>533</v>
      </c>
      <c r="AJ537" s="74">
        <v>75</v>
      </c>
      <c r="AK537" s="74">
        <v>163</v>
      </c>
      <c r="AL537" s="74">
        <v>0.57999999999999996</v>
      </c>
    </row>
    <row r="538" spans="1:38" x14ac:dyDescent="0.3">
      <c r="A538" s="74" t="s">
        <v>1014</v>
      </c>
      <c r="B538" s="74">
        <v>109957</v>
      </c>
      <c r="C538" s="74">
        <v>9</v>
      </c>
      <c r="D538" s="74" t="s">
        <v>1063</v>
      </c>
      <c r="E538" s="74" t="s">
        <v>763</v>
      </c>
      <c r="F538" s="74">
        <v>283</v>
      </c>
      <c r="G538" s="74">
        <v>20.96</v>
      </c>
      <c r="H538" s="74">
        <v>69.3</v>
      </c>
      <c r="I538" s="74">
        <v>14.75</v>
      </c>
      <c r="J538" s="74">
        <v>48.79</v>
      </c>
      <c r="K538" s="74">
        <v>1</v>
      </c>
      <c r="T538" s="74">
        <v>2</v>
      </c>
      <c r="U538" s="74">
        <v>1</v>
      </c>
      <c r="V538" s="74" t="s">
        <v>179</v>
      </c>
      <c r="W538" s="74" t="s">
        <v>1075</v>
      </c>
      <c r="X538" s="74">
        <v>23</v>
      </c>
      <c r="Y538" s="74">
        <v>14</v>
      </c>
      <c r="Z538" s="74" t="s">
        <v>1065</v>
      </c>
      <c r="AA538" s="74" t="s">
        <v>1066</v>
      </c>
      <c r="AB538" s="74" t="s">
        <v>182</v>
      </c>
      <c r="AC538" s="74" t="s">
        <v>183</v>
      </c>
      <c r="AD538" s="74" t="s">
        <v>157</v>
      </c>
      <c r="AG538" s="74" t="s">
        <v>1067</v>
      </c>
      <c r="AH538" s="74">
        <v>0</v>
      </c>
      <c r="AI538" s="74">
        <v>533</v>
      </c>
      <c r="AJ538" s="74">
        <v>75</v>
      </c>
      <c r="AK538" s="74">
        <v>163</v>
      </c>
      <c r="AL538" s="74">
        <v>0.57999999999999996</v>
      </c>
    </row>
    <row r="539" spans="1:38" x14ac:dyDescent="0.3">
      <c r="A539" s="74" t="s">
        <v>1014</v>
      </c>
      <c r="B539" s="74">
        <v>109957</v>
      </c>
      <c r="C539" s="74">
        <v>10</v>
      </c>
      <c r="D539" s="74" t="s">
        <v>1063</v>
      </c>
      <c r="E539" s="74" t="s">
        <v>763</v>
      </c>
      <c r="F539" s="74">
        <v>283</v>
      </c>
      <c r="G539" s="74">
        <v>21.42</v>
      </c>
      <c r="H539" s="74">
        <v>70.81</v>
      </c>
      <c r="I539" s="74">
        <v>15.07</v>
      </c>
      <c r="J539" s="74">
        <v>49.85</v>
      </c>
      <c r="K539" s="74">
        <v>105</v>
      </c>
      <c r="T539" s="74">
        <v>2</v>
      </c>
      <c r="U539" s="74">
        <v>1</v>
      </c>
      <c r="V539" s="74" t="s">
        <v>179</v>
      </c>
      <c r="W539" s="74" t="s">
        <v>927</v>
      </c>
      <c r="X539" s="74">
        <v>23</v>
      </c>
      <c r="Y539" s="74">
        <v>14</v>
      </c>
      <c r="Z539" s="74" t="s">
        <v>1065</v>
      </c>
      <c r="AA539" s="74" t="s">
        <v>1066</v>
      </c>
      <c r="AB539" s="74" t="s">
        <v>182</v>
      </c>
      <c r="AC539" s="74" t="s">
        <v>183</v>
      </c>
      <c r="AD539" s="74" t="s">
        <v>157</v>
      </c>
      <c r="AG539" s="74" t="s">
        <v>1067</v>
      </c>
      <c r="AH539" s="74">
        <v>0</v>
      </c>
      <c r="AI539" s="74">
        <v>533</v>
      </c>
      <c r="AJ539" s="74">
        <v>75</v>
      </c>
      <c r="AK539" s="74">
        <v>163</v>
      </c>
      <c r="AL539" s="74">
        <v>0.57999999999999996</v>
      </c>
    </row>
    <row r="540" spans="1:38" x14ac:dyDescent="0.3">
      <c r="A540" s="74" t="s">
        <v>1014</v>
      </c>
      <c r="B540" s="74">
        <v>109957</v>
      </c>
      <c r="C540" s="74">
        <v>11</v>
      </c>
      <c r="D540" s="74" t="s">
        <v>1063</v>
      </c>
      <c r="E540" s="74" t="s">
        <v>763</v>
      </c>
      <c r="F540" s="74">
        <v>283</v>
      </c>
      <c r="G540" s="74">
        <v>21.22</v>
      </c>
      <c r="H540" s="74">
        <v>70.180000000000007</v>
      </c>
      <c r="I540" s="74">
        <v>14.94</v>
      </c>
      <c r="J540" s="74">
        <v>49.41</v>
      </c>
      <c r="K540" s="74">
        <v>28</v>
      </c>
      <c r="T540" s="74">
        <v>2</v>
      </c>
      <c r="U540" s="74">
        <v>1</v>
      </c>
      <c r="V540" s="74" t="s">
        <v>179</v>
      </c>
      <c r="W540" s="74" t="s">
        <v>1076</v>
      </c>
      <c r="X540" s="74">
        <v>23</v>
      </c>
      <c r="Y540" s="74">
        <v>14</v>
      </c>
      <c r="Z540" s="74" t="s">
        <v>1065</v>
      </c>
      <c r="AA540" s="74" t="s">
        <v>1066</v>
      </c>
      <c r="AB540" s="74" t="s">
        <v>182</v>
      </c>
      <c r="AC540" s="74" t="s">
        <v>183</v>
      </c>
      <c r="AD540" s="74" t="s">
        <v>157</v>
      </c>
      <c r="AG540" s="74" t="s">
        <v>1067</v>
      </c>
      <c r="AH540" s="74">
        <v>0</v>
      </c>
      <c r="AI540" s="74">
        <v>533</v>
      </c>
      <c r="AJ540" s="74">
        <v>75</v>
      </c>
      <c r="AK540" s="74">
        <v>163</v>
      </c>
      <c r="AL540" s="74">
        <v>0.57999999999999996</v>
      </c>
    </row>
    <row r="541" spans="1:38" x14ac:dyDescent="0.3">
      <c r="A541" s="74" t="s">
        <v>1014</v>
      </c>
      <c r="B541" s="74">
        <v>109957</v>
      </c>
      <c r="C541" s="74">
        <v>12</v>
      </c>
      <c r="D541" s="74" t="s">
        <v>1063</v>
      </c>
      <c r="E541" s="74" t="s">
        <v>763</v>
      </c>
      <c r="F541" s="74">
        <v>283</v>
      </c>
      <c r="G541" s="74">
        <v>21.22</v>
      </c>
      <c r="H541" s="74">
        <v>70.16</v>
      </c>
      <c r="I541" s="74">
        <v>14.94</v>
      </c>
      <c r="J541" s="74">
        <v>49.39</v>
      </c>
      <c r="K541" s="74">
        <v>2</v>
      </c>
      <c r="T541" s="74">
        <v>3</v>
      </c>
      <c r="U541" s="74">
        <v>1</v>
      </c>
      <c r="V541" s="74" t="s">
        <v>179</v>
      </c>
      <c r="W541" s="74" t="s">
        <v>1077</v>
      </c>
      <c r="X541" s="74">
        <v>23</v>
      </c>
      <c r="Y541" s="74">
        <v>14</v>
      </c>
      <c r="Z541" s="74" t="s">
        <v>1065</v>
      </c>
      <c r="AA541" s="74" t="s">
        <v>1066</v>
      </c>
      <c r="AB541" s="74" t="s">
        <v>182</v>
      </c>
      <c r="AC541" s="74" t="s">
        <v>183</v>
      </c>
      <c r="AD541" s="74" t="s">
        <v>157</v>
      </c>
      <c r="AG541" s="74" t="s">
        <v>1067</v>
      </c>
      <c r="AH541" s="74">
        <v>0</v>
      </c>
      <c r="AI541" s="74">
        <v>533</v>
      </c>
      <c r="AJ541" s="74">
        <v>75</v>
      </c>
      <c r="AK541" s="74">
        <v>163</v>
      </c>
      <c r="AL541" s="74">
        <v>0.57999999999999996</v>
      </c>
    </row>
    <row r="542" spans="1:38" x14ac:dyDescent="0.3">
      <c r="A542" s="74" t="s">
        <v>1014</v>
      </c>
      <c r="B542" s="74">
        <v>109957</v>
      </c>
      <c r="C542" s="74">
        <v>13</v>
      </c>
      <c r="D542" s="74" t="s">
        <v>1063</v>
      </c>
      <c r="E542" s="74" t="s">
        <v>763</v>
      </c>
      <c r="F542" s="74">
        <v>283</v>
      </c>
      <c r="G542" s="74">
        <v>21.38</v>
      </c>
      <c r="H542" s="74">
        <v>70.69</v>
      </c>
      <c r="I542" s="74">
        <v>15.05</v>
      </c>
      <c r="J542" s="74">
        <v>49.76</v>
      </c>
      <c r="K542" s="74">
        <v>1</v>
      </c>
      <c r="T542" s="74">
        <v>2</v>
      </c>
      <c r="U542" s="74">
        <v>1</v>
      </c>
      <c r="V542" s="74" t="s">
        <v>179</v>
      </c>
      <c r="W542" s="74" t="s">
        <v>1078</v>
      </c>
      <c r="X542" s="74">
        <v>23</v>
      </c>
      <c r="Y542" s="74">
        <v>14</v>
      </c>
      <c r="Z542" s="74" t="s">
        <v>1065</v>
      </c>
      <c r="AA542" s="74" t="s">
        <v>1066</v>
      </c>
      <c r="AB542" s="74" t="s">
        <v>182</v>
      </c>
      <c r="AC542" s="74" t="s">
        <v>183</v>
      </c>
      <c r="AD542" s="74" t="s">
        <v>157</v>
      </c>
      <c r="AG542" s="74" t="s">
        <v>1067</v>
      </c>
      <c r="AH542" s="74">
        <v>0</v>
      </c>
      <c r="AI542" s="74">
        <v>533</v>
      </c>
      <c r="AJ542" s="74">
        <v>75</v>
      </c>
      <c r="AK542" s="74">
        <v>163</v>
      </c>
      <c r="AL542" s="74">
        <v>0.57999999999999996</v>
      </c>
    </row>
    <row r="543" spans="1:38" x14ac:dyDescent="0.3">
      <c r="A543" s="74" t="s">
        <v>1014</v>
      </c>
      <c r="B543" s="74">
        <v>123068</v>
      </c>
      <c r="C543" s="74">
        <v>1</v>
      </c>
      <c r="D543" s="74" t="s">
        <v>658</v>
      </c>
      <c r="E543" s="74" t="s">
        <v>205</v>
      </c>
      <c r="F543" s="74">
        <v>360</v>
      </c>
      <c r="G543" s="74">
        <v>14.19</v>
      </c>
      <c r="H543" s="74">
        <v>46.92</v>
      </c>
      <c r="I543" s="74">
        <v>11.94</v>
      </c>
      <c r="J543" s="74">
        <v>39.5</v>
      </c>
      <c r="K543" s="74">
        <v>205</v>
      </c>
      <c r="T543" s="74">
        <v>2</v>
      </c>
      <c r="U543" s="74">
        <v>1</v>
      </c>
      <c r="V543" s="74" t="s">
        <v>186</v>
      </c>
      <c r="W543" s="74">
        <v>46</v>
      </c>
      <c r="X543" s="74">
        <v>15</v>
      </c>
      <c r="Y543" s="74">
        <v>15</v>
      </c>
      <c r="Z543" s="74" t="s">
        <v>1079</v>
      </c>
      <c r="AA543" s="74" t="s">
        <v>1080</v>
      </c>
      <c r="AB543" s="74" t="s">
        <v>182</v>
      </c>
      <c r="AC543" s="74" t="s">
        <v>183</v>
      </c>
      <c r="AD543" s="74" t="s">
        <v>157</v>
      </c>
      <c r="AG543" s="74" t="s">
        <v>1081</v>
      </c>
      <c r="AH543" s="74">
        <v>0</v>
      </c>
      <c r="AI543" s="74">
        <v>263</v>
      </c>
      <c r="AJ543" s="74">
        <v>24</v>
      </c>
      <c r="AK543" s="74">
        <v>0</v>
      </c>
      <c r="AL543" s="74">
        <v>0</v>
      </c>
    </row>
    <row r="544" spans="1:38" x14ac:dyDescent="0.3">
      <c r="A544" s="74" t="s">
        <v>1014</v>
      </c>
      <c r="B544" s="74">
        <v>123068</v>
      </c>
      <c r="C544" s="74">
        <v>2</v>
      </c>
      <c r="D544" s="74" t="s">
        <v>658</v>
      </c>
      <c r="E544" s="74" t="s">
        <v>205</v>
      </c>
      <c r="F544" s="74">
        <v>360</v>
      </c>
      <c r="G544" s="74">
        <v>16.46</v>
      </c>
      <c r="H544" s="74">
        <v>54.42</v>
      </c>
      <c r="I544" s="74">
        <v>11.94</v>
      </c>
      <c r="J544" s="74">
        <v>39.5</v>
      </c>
      <c r="K544" s="74">
        <v>5</v>
      </c>
      <c r="T544" s="74">
        <v>2</v>
      </c>
      <c r="U544" s="74">
        <v>1</v>
      </c>
      <c r="V544" s="74" t="s">
        <v>186</v>
      </c>
      <c r="W544" s="74">
        <v>54</v>
      </c>
      <c r="X544" s="74">
        <v>15</v>
      </c>
      <c r="Y544" s="74">
        <v>15</v>
      </c>
      <c r="Z544" s="74" t="s">
        <v>1079</v>
      </c>
      <c r="AA544" s="74" t="s">
        <v>1080</v>
      </c>
      <c r="AB544" s="74" t="s">
        <v>182</v>
      </c>
      <c r="AC544" s="74" t="s">
        <v>183</v>
      </c>
      <c r="AD544" s="74" t="s">
        <v>157</v>
      </c>
      <c r="AG544" s="74" t="s">
        <v>1081</v>
      </c>
      <c r="AH544" s="74">
        <v>0</v>
      </c>
      <c r="AI544" s="74">
        <v>263</v>
      </c>
      <c r="AJ544" s="74">
        <v>24</v>
      </c>
      <c r="AK544" s="74">
        <v>0</v>
      </c>
      <c r="AL544" s="74">
        <v>0</v>
      </c>
    </row>
    <row r="545" spans="1:38" x14ac:dyDescent="0.3">
      <c r="A545" s="74" t="s">
        <v>1014</v>
      </c>
      <c r="B545" s="74">
        <v>123068</v>
      </c>
      <c r="C545" s="74">
        <v>3</v>
      </c>
      <c r="D545" s="74" t="s">
        <v>658</v>
      </c>
      <c r="E545" s="74" t="s">
        <v>205</v>
      </c>
      <c r="F545" s="74">
        <v>360</v>
      </c>
      <c r="G545" s="74">
        <v>22.98</v>
      </c>
      <c r="H545" s="74">
        <v>75.97</v>
      </c>
      <c r="I545" s="74">
        <v>18.12</v>
      </c>
      <c r="J545" s="74">
        <v>59.91</v>
      </c>
      <c r="K545" s="74">
        <v>15</v>
      </c>
      <c r="T545" s="74">
        <v>3</v>
      </c>
      <c r="U545" s="74">
        <v>1</v>
      </c>
      <c r="V545" s="74" t="s">
        <v>186</v>
      </c>
      <c r="W545" s="74" t="s">
        <v>1082</v>
      </c>
      <c r="X545" s="74">
        <v>15</v>
      </c>
      <c r="Y545" s="74">
        <v>15</v>
      </c>
      <c r="Z545" s="74" t="s">
        <v>1079</v>
      </c>
      <c r="AA545" s="74" t="s">
        <v>1080</v>
      </c>
      <c r="AB545" s="74" t="s">
        <v>182</v>
      </c>
      <c r="AC545" s="74" t="s">
        <v>183</v>
      </c>
      <c r="AD545" s="74" t="s">
        <v>157</v>
      </c>
      <c r="AG545" s="74" t="s">
        <v>1081</v>
      </c>
      <c r="AH545" s="74">
        <v>0</v>
      </c>
      <c r="AI545" s="74">
        <v>263</v>
      </c>
      <c r="AJ545" s="74">
        <v>24</v>
      </c>
      <c r="AK545" s="74">
        <v>0</v>
      </c>
      <c r="AL545" s="74">
        <v>0</v>
      </c>
    </row>
    <row r="546" spans="1:38" x14ac:dyDescent="0.3">
      <c r="A546" s="74" t="s">
        <v>1014</v>
      </c>
      <c r="B546" s="74">
        <v>123068</v>
      </c>
      <c r="C546" s="74">
        <v>4</v>
      </c>
      <c r="D546" s="74" t="s">
        <v>658</v>
      </c>
      <c r="E546" s="74" t="s">
        <v>205</v>
      </c>
      <c r="F546" s="74">
        <v>360</v>
      </c>
      <c r="G546" s="74">
        <v>22.99</v>
      </c>
      <c r="H546" s="74">
        <v>76</v>
      </c>
      <c r="I546" s="74">
        <v>18.13</v>
      </c>
      <c r="J546" s="74">
        <v>59.94</v>
      </c>
      <c r="K546" s="74">
        <v>135</v>
      </c>
      <c r="T546" s="74">
        <v>3</v>
      </c>
      <c r="U546" s="74">
        <v>1</v>
      </c>
      <c r="V546" s="74" t="s">
        <v>186</v>
      </c>
      <c r="W546" s="74" t="s">
        <v>151</v>
      </c>
      <c r="X546" s="74">
        <v>15</v>
      </c>
      <c r="Y546" s="74">
        <v>15</v>
      </c>
      <c r="Z546" s="74" t="s">
        <v>1079</v>
      </c>
      <c r="AA546" s="74" t="s">
        <v>1080</v>
      </c>
      <c r="AB546" s="74" t="s">
        <v>182</v>
      </c>
      <c r="AC546" s="74" t="s">
        <v>183</v>
      </c>
      <c r="AD546" s="74" t="s">
        <v>157</v>
      </c>
      <c r="AG546" s="74" t="s">
        <v>1081</v>
      </c>
      <c r="AH546" s="74">
        <v>0</v>
      </c>
      <c r="AI546" s="74">
        <v>263</v>
      </c>
      <c r="AJ546" s="74">
        <v>24</v>
      </c>
      <c r="AK546" s="74">
        <v>0</v>
      </c>
      <c r="AL546" s="74">
        <v>0</v>
      </c>
    </row>
    <row r="547" spans="1:38" x14ac:dyDescent="0.3">
      <c r="A547" s="74" t="s">
        <v>1014</v>
      </c>
      <c r="B547" s="74">
        <v>100415</v>
      </c>
      <c r="C547" s="74">
        <v>1</v>
      </c>
      <c r="D547" s="74" t="s">
        <v>1083</v>
      </c>
      <c r="E547" s="74" t="s">
        <v>1084</v>
      </c>
      <c r="F547" s="74">
        <v>656</v>
      </c>
      <c r="G547" s="74">
        <v>35.6</v>
      </c>
      <c r="H547" s="74">
        <v>117.69</v>
      </c>
      <c r="I547" s="74">
        <v>27.61</v>
      </c>
      <c r="J547" s="74">
        <v>91.28</v>
      </c>
      <c r="K547" s="74">
        <v>114</v>
      </c>
      <c r="T547" s="74">
        <v>3</v>
      </c>
      <c r="U547" s="74">
        <v>2</v>
      </c>
      <c r="V547" s="74" t="s">
        <v>186</v>
      </c>
      <c r="W547" s="74" t="s">
        <v>1085</v>
      </c>
      <c r="X547" s="74">
        <v>20</v>
      </c>
      <c r="Y547" s="74">
        <v>10</v>
      </c>
      <c r="Z547" s="74" t="s">
        <v>1086</v>
      </c>
      <c r="AA547" s="74" t="s">
        <v>1087</v>
      </c>
      <c r="AB547" s="74" t="s">
        <v>182</v>
      </c>
      <c r="AC547" s="74" t="s">
        <v>183</v>
      </c>
      <c r="AD547" s="74" t="s">
        <v>157</v>
      </c>
      <c r="AG547" s="74" t="s">
        <v>1088</v>
      </c>
      <c r="AH547" s="74">
        <v>0</v>
      </c>
      <c r="AI547" s="74">
        <v>198</v>
      </c>
      <c r="AJ547" s="74">
        <v>20</v>
      </c>
      <c r="AK547" s="74">
        <v>901</v>
      </c>
      <c r="AL547" s="74">
        <v>1.37</v>
      </c>
    </row>
    <row r="548" spans="1:38" x14ac:dyDescent="0.3">
      <c r="A548" s="74" t="s">
        <v>1014</v>
      </c>
      <c r="B548" s="74">
        <v>100415</v>
      </c>
      <c r="C548" s="74">
        <v>2</v>
      </c>
      <c r="D548" s="74" t="s">
        <v>1083</v>
      </c>
      <c r="E548" s="74" t="s">
        <v>1084</v>
      </c>
      <c r="F548" s="74">
        <v>656</v>
      </c>
      <c r="G548" s="74">
        <v>35.92</v>
      </c>
      <c r="H548" s="74">
        <v>118.76</v>
      </c>
      <c r="I548" s="74">
        <v>27.58</v>
      </c>
      <c r="J548" s="74">
        <v>91.19</v>
      </c>
      <c r="K548" s="74">
        <v>136</v>
      </c>
      <c r="T548" s="74">
        <v>3</v>
      </c>
      <c r="U548" s="74">
        <v>2</v>
      </c>
      <c r="V548" s="74" t="s">
        <v>186</v>
      </c>
      <c r="W548" s="74" t="s">
        <v>1089</v>
      </c>
      <c r="X548" s="74">
        <v>20</v>
      </c>
      <c r="Y548" s="74">
        <v>10</v>
      </c>
      <c r="Z548" s="74" t="s">
        <v>1086</v>
      </c>
      <c r="AA548" s="74" t="s">
        <v>1087</v>
      </c>
      <c r="AB548" s="74" t="s">
        <v>182</v>
      </c>
      <c r="AC548" s="74" t="s">
        <v>183</v>
      </c>
      <c r="AD548" s="74" t="s">
        <v>157</v>
      </c>
      <c r="AG548" s="74" t="s">
        <v>1088</v>
      </c>
      <c r="AH548" s="74">
        <v>0</v>
      </c>
      <c r="AI548" s="74">
        <v>198</v>
      </c>
      <c r="AJ548" s="74">
        <v>20</v>
      </c>
      <c r="AK548" s="74">
        <v>901</v>
      </c>
      <c r="AL548" s="74">
        <v>1.37</v>
      </c>
    </row>
    <row r="549" spans="1:38" x14ac:dyDescent="0.3">
      <c r="A549" s="74" t="s">
        <v>1014</v>
      </c>
      <c r="B549" s="74">
        <v>100415</v>
      </c>
      <c r="C549" s="74">
        <v>3</v>
      </c>
      <c r="D549" s="74" t="s">
        <v>1083</v>
      </c>
      <c r="E549" s="74" t="s">
        <v>1084</v>
      </c>
      <c r="F549" s="74">
        <v>656</v>
      </c>
      <c r="G549" s="74">
        <v>37.99</v>
      </c>
      <c r="H549" s="74">
        <v>125.59</v>
      </c>
      <c r="I549" s="74">
        <v>28.04</v>
      </c>
      <c r="J549" s="74">
        <v>92.72</v>
      </c>
      <c r="K549" s="74">
        <v>274</v>
      </c>
      <c r="T549" s="74">
        <v>3</v>
      </c>
      <c r="U549" s="74">
        <v>2</v>
      </c>
      <c r="V549" s="74" t="s">
        <v>186</v>
      </c>
      <c r="W549" s="74">
        <v>125</v>
      </c>
      <c r="X549" s="74">
        <v>20</v>
      </c>
      <c r="Y549" s="74">
        <v>10</v>
      </c>
      <c r="Z549" s="74" t="s">
        <v>1086</v>
      </c>
      <c r="AA549" s="74" t="s">
        <v>1087</v>
      </c>
      <c r="AB549" s="74" t="s">
        <v>182</v>
      </c>
      <c r="AC549" s="74" t="s">
        <v>183</v>
      </c>
      <c r="AD549" s="74" t="s">
        <v>157</v>
      </c>
      <c r="AG549" s="74" t="s">
        <v>1088</v>
      </c>
      <c r="AH549" s="74">
        <v>0</v>
      </c>
      <c r="AI549" s="74">
        <v>198</v>
      </c>
      <c r="AJ549" s="74">
        <v>20</v>
      </c>
      <c r="AK549" s="74">
        <v>901</v>
      </c>
      <c r="AL549" s="74">
        <v>1.37</v>
      </c>
    </row>
    <row r="550" spans="1:38" x14ac:dyDescent="0.3">
      <c r="A550" s="74" t="s">
        <v>1014</v>
      </c>
      <c r="B550" s="74">
        <v>100415</v>
      </c>
      <c r="C550" s="74">
        <v>4</v>
      </c>
      <c r="D550" s="74" t="s">
        <v>1083</v>
      </c>
      <c r="E550" s="74" t="s">
        <v>1084</v>
      </c>
      <c r="F550" s="74">
        <v>656</v>
      </c>
      <c r="G550" s="74">
        <v>42.56</v>
      </c>
      <c r="H550" s="74">
        <v>140.71</v>
      </c>
      <c r="I550" s="74">
        <v>33.33</v>
      </c>
      <c r="J550" s="74">
        <v>110.19</v>
      </c>
      <c r="K550" s="74">
        <v>132</v>
      </c>
      <c r="T550" s="74">
        <v>4</v>
      </c>
      <c r="U550" s="74">
        <v>2</v>
      </c>
      <c r="V550" s="74" t="s">
        <v>186</v>
      </c>
      <c r="W550" s="74">
        <v>140</v>
      </c>
      <c r="X550" s="74">
        <v>20</v>
      </c>
      <c r="Y550" s="74">
        <v>10</v>
      </c>
      <c r="Z550" s="74" t="s">
        <v>1086</v>
      </c>
      <c r="AA550" s="74" t="s">
        <v>1087</v>
      </c>
      <c r="AB550" s="74" t="s">
        <v>182</v>
      </c>
      <c r="AC550" s="74" t="s">
        <v>183</v>
      </c>
      <c r="AD550" s="74" t="s">
        <v>157</v>
      </c>
      <c r="AG550" s="74" t="s">
        <v>1088</v>
      </c>
      <c r="AH550" s="74">
        <v>0</v>
      </c>
      <c r="AI550" s="74">
        <v>198</v>
      </c>
      <c r="AJ550" s="74">
        <v>20</v>
      </c>
      <c r="AK550" s="74">
        <v>901</v>
      </c>
      <c r="AL550" s="74">
        <v>1.37</v>
      </c>
    </row>
    <row r="551" spans="1:38" x14ac:dyDescent="0.3">
      <c r="A551" s="74" t="s">
        <v>1014</v>
      </c>
      <c r="B551" s="74">
        <v>26633</v>
      </c>
      <c r="C551" s="74">
        <v>1</v>
      </c>
      <c r="D551" s="74" t="s">
        <v>1090</v>
      </c>
      <c r="E551" s="74" t="s">
        <v>1084</v>
      </c>
      <c r="F551" s="74">
        <v>724</v>
      </c>
      <c r="G551" s="74">
        <v>29.94</v>
      </c>
      <c r="H551" s="74">
        <v>99</v>
      </c>
      <c r="I551" s="74">
        <v>20.86</v>
      </c>
      <c r="J551" s="74">
        <v>68.97</v>
      </c>
      <c r="K551" s="74">
        <v>212</v>
      </c>
      <c r="T551" s="74">
        <v>3</v>
      </c>
      <c r="U551" s="74">
        <v>2</v>
      </c>
      <c r="V551" s="74" t="s">
        <v>186</v>
      </c>
      <c r="W551" s="74">
        <v>99</v>
      </c>
      <c r="X551" s="74">
        <v>20</v>
      </c>
      <c r="Y551" s="74">
        <v>17</v>
      </c>
      <c r="Z551" s="74" t="s">
        <v>1091</v>
      </c>
      <c r="AA551" s="74" t="s">
        <v>1092</v>
      </c>
      <c r="AB551" s="74" t="s">
        <v>182</v>
      </c>
      <c r="AC551" s="74" t="s">
        <v>183</v>
      </c>
      <c r="AD551" s="74" t="s">
        <v>157</v>
      </c>
      <c r="AG551" s="74" t="s">
        <v>1093</v>
      </c>
      <c r="AH551" s="74">
        <v>0</v>
      </c>
      <c r="AI551" s="74">
        <v>229</v>
      </c>
      <c r="AJ551" s="74">
        <v>20</v>
      </c>
      <c r="AK551" s="74">
        <v>908</v>
      </c>
      <c r="AL551" s="74">
        <v>1.25</v>
      </c>
    </row>
    <row r="552" spans="1:38" x14ac:dyDescent="0.3">
      <c r="A552" s="74" t="s">
        <v>1014</v>
      </c>
      <c r="B552" s="74">
        <v>26633</v>
      </c>
      <c r="C552" s="74">
        <v>2</v>
      </c>
      <c r="D552" s="74" t="s">
        <v>1090</v>
      </c>
      <c r="E552" s="74" t="s">
        <v>1084</v>
      </c>
      <c r="F552" s="74">
        <v>724</v>
      </c>
      <c r="G552" s="74">
        <v>34.96</v>
      </c>
      <c r="H552" s="74">
        <v>115.59</v>
      </c>
      <c r="I552" s="74">
        <v>25.69</v>
      </c>
      <c r="J552" s="74">
        <v>84.93</v>
      </c>
      <c r="K552" s="74">
        <v>206</v>
      </c>
      <c r="T552" s="74">
        <v>3</v>
      </c>
      <c r="U552" s="74">
        <v>2</v>
      </c>
      <c r="V552" s="74" t="s">
        <v>186</v>
      </c>
      <c r="W552" s="74" t="s">
        <v>93</v>
      </c>
      <c r="X552" s="74">
        <v>20</v>
      </c>
      <c r="Y552" s="74">
        <v>17</v>
      </c>
      <c r="Z552" s="74" t="s">
        <v>1091</v>
      </c>
      <c r="AA552" s="74" t="s">
        <v>1092</v>
      </c>
      <c r="AB552" s="74" t="s">
        <v>182</v>
      </c>
      <c r="AC552" s="74" t="s">
        <v>183</v>
      </c>
      <c r="AD552" s="74" t="s">
        <v>157</v>
      </c>
      <c r="AG552" s="74" t="s">
        <v>1093</v>
      </c>
      <c r="AH552" s="74">
        <v>0</v>
      </c>
      <c r="AI552" s="74">
        <v>229</v>
      </c>
      <c r="AJ552" s="74">
        <v>20</v>
      </c>
      <c r="AK552" s="74">
        <v>908</v>
      </c>
      <c r="AL552" s="74">
        <v>1.25</v>
      </c>
    </row>
    <row r="553" spans="1:38" x14ac:dyDescent="0.3">
      <c r="A553" s="74" t="s">
        <v>1014</v>
      </c>
      <c r="B553" s="74">
        <v>26633</v>
      </c>
      <c r="C553" s="74">
        <v>3</v>
      </c>
      <c r="D553" s="74" t="s">
        <v>1090</v>
      </c>
      <c r="E553" s="74" t="s">
        <v>1084</v>
      </c>
      <c r="F553" s="74">
        <v>724</v>
      </c>
      <c r="G553" s="74">
        <v>34.99</v>
      </c>
      <c r="H553" s="74">
        <v>115.69</v>
      </c>
      <c r="I553" s="74">
        <v>25.66</v>
      </c>
      <c r="J553" s="74">
        <v>84.85</v>
      </c>
      <c r="K553" s="74">
        <v>160</v>
      </c>
      <c r="T553" s="74">
        <v>3</v>
      </c>
      <c r="U553" s="74">
        <v>2</v>
      </c>
      <c r="V553" s="74" t="s">
        <v>186</v>
      </c>
      <c r="W553" s="74" t="s">
        <v>141</v>
      </c>
      <c r="X553" s="74">
        <v>20</v>
      </c>
      <c r="Y553" s="74">
        <v>17</v>
      </c>
      <c r="Z553" s="74" t="s">
        <v>1091</v>
      </c>
      <c r="AA553" s="74" t="s">
        <v>1092</v>
      </c>
      <c r="AB553" s="74" t="s">
        <v>182</v>
      </c>
      <c r="AC553" s="74" t="s">
        <v>183</v>
      </c>
      <c r="AD553" s="74" t="s">
        <v>157</v>
      </c>
      <c r="AG553" s="74" t="s">
        <v>1093</v>
      </c>
      <c r="AH553" s="74">
        <v>0</v>
      </c>
      <c r="AI553" s="74">
        <v>229</v>
      </c>
      <c r="AJ553" s="74">
        <v>20</v>
      </c>
      <c r="AK553" s="74">
        <v>908</v>
      </c>
      <c r="AL553" s="74">
        <v>1.25</v>
      </c>
    </row>
    <row r="554" spans="1:38" x14ac:dyDescent="0.3">
      <c r="A554" s="74" t="s">
        <v>1014</v>
      </c>
      <c r="B554" s="74">
        <v>26633</v>
      </c>
      <c r="C554" s="74">
        <v>4</v>
      </c>
      <c r="D554" s="74" t="s">
        <v>1090</v>
      </c>
      <c r="E554" s="74" t="s">
        <v>1084</v>
      </c>
      <c r="F554" s="74">
        <v>724</v>
      </c>
      <c r="G554" s="74">
        <v>34.97</v>
      </c>
      <c r="H554" s="74">
        <v>115.62</v>
      </c>
      <c r="I554" s="74">
        <v>25.68</v>
      </c>
      <c r="J554" s="74">
        <v>84.91</v>
      </c>
      <c r="K554" s="74">
        <v>146</v>
      </c>
      <c r="T554" s="74">
        <v>3</v>
      </c>
      <c r="U554" s="74">
        <v>2</v>
      </c>
      <c r="V554" s="74" t="s">
        <v>186</v>
      </c>
      <c r="W554" s="74" t="s">
        <v>94</v>
      </c>
      <c r="X554" s="74">
        <v>20</v>
      </c>
      <c r="Y554" s="74">
        <v>17</v>
      </c>
      <c r="Z554" s="74" t="s">
        <v>1091</v>
      </c>
      <c r="AA554" s="74" t="s">
        <v>1092</v>
      </c>
      <c r="AB554" s="74" t="s">
        <v>182</v>
      </c>
      <c r="AC554" s="74" t="s">
        <v>183</v>
      </c>
      <c r="AD554" s="74" t="s">
        <v>157</v>
      </c>
      <c r="AG554" s="74" t="s">
        <v>1093</v>
      </c>
      <c r="AH554" s="74">
        <v>0</v>
      </c>
      <c r="AI554" s="74">
        <v>229</v>
      </c>
      <c r="AJ554" s="74">
        <v>20</v>
      </c>
      <c r="AK554" s="74">
        <v>908</v>
      </c>
      <c r="AL554" s="74">
        <v>1.25</v>
      </c>
    </row>
    <row r="555" spans="1:38" x14ac:dyDescent="0.3">
      <c r="A555" s="74" t="s">
        <v>1094</v>
      </c>
      <c r="B555" s="74">
        <v>14976</v>
      </c>
      <c r="C555" s="74">
        <v>1</v>
      </c>
      <c r="D555" s="74" t="s">
        <v>1095</v>
      </c>
      <c r="E555" s="74" t="s">
        <v>1096</v>
      </c>
      <c r="F555" s="74">
        <v>240</v>
      </c>
      <c r="G555" s="74">
        <v>18.739999999999998</v>
      </c>
      <c r="H555" s="74">
        <v>61.98</v>
      </c>
      <c r="I555" s="74">
        <v>18.739999999999998</v>
      </c>
      <c r="J555" s="74">
        <v>61.98</v>
      </c>
      <c r="K555" s="74">
        <v>30</v>
      </c>
      <c r="T555" s="74">
        <v>2</v>
      </c>
      <c r="U555" s="74">
        <v>1</v>
      </c>
      <c r="V555" s="74" t="s">
        <v>186</v>
      </c>
      <c r="W555" s="74">
        <v>61</v>
      </c>
      <c r="X555" s="74">
        <v>5</v>
      </c>
      <c r="Y555" s="74">
        <v>5</v>
      </c>
      <c r="Z555" s="74" t="s">
        <v>1097</v>
      </c>
      <c r="AA555" s="74" t="s">
        <v>1098</v>
      </c>
      <c r="AB555" s="74" t="s">
        <v>182</v>
      </c>
      <c r="AC555" s="74" t="s">
        <v>183</v>
      </c>
      <c r="AD555" s="74" t="s">
        <v>1099</v>
      </c>
      <c r="AG555" s="74" t="s">
        <v>1100</v>
      </c>
      <c r="AH555" s="74">
        <v>0</v>
      </c>
      <c r="AI555" s="74">
        <v>0</v>
      </c>
      <c r="AJ555" s="74">
        <v>0</v>
      </c>
      <c r="AK555" s="74">
        <v>0</v>
      </c>
      <c r="AL555" s="74">
        <v>0</v>
      </c>
    </row>
    <row r="556" spans="1:38" x14ac:dyDescent="0.3">
      <c r="A556" s="74" t="s">
        <v>1094</v>
      </c>
      <c r="B556" s="74">
        <v>14976</v>
      </c>
      <c r="C556" s="74">
        <v>2</v>
      </c>
      <c r="D556" s="74" t="s">
        <v>1095</v>
      </c>
      <c r="E556" s="74" t="s">
        <v>1096</v>
      </c>
      <c r="F556" s="74">
        <v>240</v>
      </c>
      <c r="G556" s="74">
        <v>21.39</v>
      </c>
      <c r="H556" s="74">
        <v>70.739999999999995</v>
      </c>
      <c r="I556" s="74">
        <v>21.39</v>
      </c>
      <c r="J556" s="74">
        <v>70.739999999999995</v>
      </c>
      <c r="K556" s="74">
        <v>30</v>
      </c>
      <c r="T556" s="74">
        <v>2</v>
      </c>
      <c r="U556" s="74">
        <v>1</v>
      </c>
      <c r="V556" s="74" t="s">
        <v>186</v>
      </c>
      <c r="W556" s="74">
        <v>70</v>
      </c>
      <c r="X556" s="74">
        <v>5</v>
      </c>
      <c r="Y556" s="74">
        <v>5</v>
      </c>
      <c r="Z556" s="74" t="s">
        <v>1097</v>
      </c>
      <c r="AA556" s="74" t="s">
        <v>1098</v>
      </c>
      <c r="AB556" s="74" t="s">
        <v>182</v>
      </c>
      <c r="AC556" s="74" t="s">
        <v>183</v>
      </c>
      <c r="AD556" s="74" t="s">
        <v>1099</v>
      </c>
      <c r="AG556" s="74" t="s">
        <v>1100</v>
      </c>
      <c r="AH556" s="74">
        <v>0</v>
      </c>
      <c r="AI556" s="74">
        <v>0</v>
      </c>
      <c r="AJ556" s="74">
        <v>0</v>
      </c>
      <c r="AK556" s="74">
        <v>0</v>
      </c>
      <c r="AL556" s="74">
        <v>0</v>
      </c>
    </row>
    <row r="557" spans="1:38" x14ac:dyDescent="0.3">
      <c r="A557" s="74" t="s">
        <v>1094</v>
      </c>
      <c r="B557" s="74">
        <v>14976</v>
      </c>
      <c r="C557" s="74">
        <v>3</v>
      </c>
      <c r="D557" s="74" t="s">
        <v>1095</v>
      </c>
      <c r="E557" s="74" t="s">
        <v>1096</v>
      </c>
      <c r="F557" s="74">
        <v>240</v>
      </c>
      <c r="G557" s="74">
        <v>23.02</v>
      </c>
      <c r="H557" s="74">
        <v>76.099999999999994</v>
      </c>
      <c r="I557" s="74">
        <v>23.02</v>
      </c>
      <c r="J557" s="74">
        <v>76.099999999999994</v>
      </c>
      <c r="K557" s="74">
        <v>60</v>
      </c>
      <c r="T557" s="74">
        <v>3</v>
      </c>
      <c r="U557" s="74">
        <v>1</v>
      </c>
      <c r="V557" s="74" t="s">
        <v>179</v>
      </c>
      <c r="W557" s="74">
        <v>76</v>
      </c>
      <c r="X557" s="74">
        <v>5</v>
      </c>
      <c r="Y557" s="74">
        <v>5</v>
      </c>
      <c r="Z557" s="74" t="s">
        <v>1097</v>
      </c>
      <c r="AA557" s="74" t="s">
        <v>1098</v>
      </c>
      <c r="AB557" s="74" t="s">
        <v>182</v>
      </c>
      <c r="AC557" s="74" t="s">
        <v>183</v>
      </c>
      <c r="AD557" s="74" t="s">
        <v>1099</v>
      </c>
      <c r="AG557" s="74" t="s">
        <v>1100</v>
      </c>
      <c r="AH557" s="74">
        <v>0</v>
      </c>
      <c r="AI557" s="74">
        <v>0</v>
      </c>
      <c r="AJ557" s="74">
        <v>0</v>
      </c>
      <c r="AK557" s="74">
        <v>0</v>
      </c>
      <c r="AL557" s="74">
        <v>0</v>
      </c>
    </row>
    <row r="558" spans="1:38" x14ac:dyDescent="0.3">
      <c r="A558" s="74" t="s">
        <v>1094</v>
      </c>
      <c r="B558" s="74">
        <v>14976</v>
      </c>
      <c r="C558" s="74">
        <v>4</v>
      </c>
      <c r="D558" s="74" t="s">
        <v>1095</v>
      </c>
      <c r="E558" s="74" t="s">
        <v>1096</v>
      </c>
      <c r="F558" s="74">
        <v>240</v>
      </c>
      <c r="G558" s="74">
        <v>23.73</v>
      </c>
      <c r="H558" s="74">
        <v>78.45</v>
      </c>
      <c r="I558" s="74">
        <v>23.73</v>
      </c>
      <c r="J558" s="74">
        <v>78.45</v>
      </c>
      <c r="K558" s="74">
        <v>60</v>
      </c>
      <c r="T558" s="74">
        <v>2</v>
      </c>
      <c r="U558" s="74">
        <v>1</v>
      </c>
      <c r="V558" s="74" t="s">
        <v>186</v>
      </c>
      <c r="W558" s="74">
        <v>78</v>
      </c>
      <c r="X558" s="74">
        <v>5</v>
      </c>
      <c r="Y558" s="74">
        <v>5</v>
      </c>
      <c r="Z558" s="74" t="s">
        <v>1097</v>
      </c>
      <c r="AA558" s="74" t="s">
        <v>1098</v>
      </c>
      <c r="AB558" s="74" t="s">
        <v>182</v>
      </c>
      <c r="AC558" s="74" t="s">
        <v>183</v>
      </c>
      <c r="AD558" s="74" t="s">
        <v>1099</v>
      </c>
      <c r="AG558" s="74" t="s">
        <v>1100</v>
      </c>
      <c r="AH558" s="74">
        <v>0</v>
      </c>
      <c r="AI558" s="74">
        <v>0</v>
      </c>
      <c r="AJ558" s="74">
        <v>0</v>
      </c>
      <c r="AK558" s="74">
        <v>0</v>
      </c>
      <c r="AL558" s="74">
        <v>0</v>
      </c>
    </row>
    <row r="559" spans="1:38" x14ac:dyDescent="0.3">
      <c r="A559" s="74" t="s">
        <v>1094</v>
      </c>
      <c r="B559" s="74">
        <v>14976</v>
      </c>
      <c r="C559" s="74">
        <v>5</v>
      </c>
      <c r="D559" s="74" t="s">
        <v>1095</v>
      </c>
      <c r="E559" s="74" t="s">
        <v>1096</v>
      </c>
      <c r="F559" s="74">
        <v>240</v>
      </c>
      <c r="G559" s="74">
        <v>24.57</v>
      </c>
      <c r="H559" s="74">
        <v>81.239999999999995</v>
      </c>
      <c r="I559" s="74">
        <v>24.57</v>
      </c>
      <c r="J559" s="74">
        <v>81.239999999999995</v>
      </c>
      <c r="K559" s="74">
        <v>40</v>
      </c>
      <c r="T559" s="74">
        <v>3</v>
      </c>
      <c r="U559" s="74">
        <v>1</v>
      </c>
      <c r="V559" s="74" t="s">
        <v>186</v>
      </c>
      <c r="W559" s="74">
        <v>81</v>
      </c>
      <c r="X559" s="74">
        <v>5</v>
      </c>
      <c r="Y559" s="74">
        <v>5</v>
      </c>
      <c r="Z559" s="74" t="s">
        <v>1097</v>
      </c>
      <c r="AA559" s="74" t="s">
        <v>1098</v>
      </c>
      <c r="AB559" s="74" t="s">
        <v>182</v>
      </c>
      <c r="AC559" s="74" t="s">
        <v>183</v>
      </c>
      <c r="AD559" s="74" t="s">
        <v>1099</v>
      </c>
      <c r="AG559" s="74" t="s">
        <v>1100</v>
      </c>
      <c r="AH559" s="74">
        <v>0</v>
      </c>
      <c r="AI559" s="74">
        <v>0</v>
      </c>
      <c r="AJ559" s="74">
        <v>0</v>
      </c>
      <c r="AK559" s="74">
        <v>0</v>
      </c>
      <c r="AL559" s="74">
        <v>0</v>
      </c>
    </row>
    <row r="560" spans="1:38" x14ac:dyDescent="0.3">
      <c r="A560" s="74" t="s">
        <v>1094</v>
      </c>
      <c r="B560" s="74">
        <v>14976</v>
      </c>
      <c r="C560" s="74">
        <v>6</v>
      </c>
      <c r="D560" s="74" t="s">
        <v>1095</v>
      </c>
      <c r="E560" s="74" t="s">
        <v>1096</v>
      </c>
      <c r="F560" s="74">
        <v>240</v>
      </c>
      <c r="G560" s="74">
        <v>25.27</v>
      </c>
      <c r="H560" s="74">
        <v>83.57</v>
      </c>
      <c r="I560" s="74">
        <v>25.27</v>
      </c>
      <c r="J560" s="74">
        <v>83.57</v>
      </c>
      <c r="K560" s="74">
        <v>20</v>
      </c>
      <c r="T560" s="74">
        <v>3</v>
      </c>
      <c r="U560" s="74">
        <v>1</v>
      </c>
      <c r="V560" s="74" t="s">
        <v>186</v>
      </c>
      <c r="W560" s="74">
        <v>83</v>
      </c>
      <c r="X560" s="74">
        <v>5</v>
      </c>
      <c r="Y560" s="74">
        <v>5</v>
      </c>
      <c r="Z560" s="74" t="s">
        <v>1097</v>
      </c>
      <c r="AA560" s="74" t="s">
        <v>1098</v>
      </c>
      <c r="AB560" s="74" t="s">
        <v>182</v>
      </c>
      <c r="AC560" s="74" t="s">
        <v>183</v>
      </c>
      <c r="AD560" s="74" t="s">
        <v>1099</v>
      </c>
      <c r="AG560" s="74" t="s">
        <v>1100</v>
      </c>
      <c r="AH560" s="74">
        <v>0</v>
      </c>
      <c r="AI560" s="74">
        <v>0</v>
      </c>
      <c r="AJ560" s="74">
        <v>0</v>
      </c>
      <c r="AK560" s="74">
        <v>0</v>
      </c>
      <c r="AL560" s="74">
        <v>0</v>
      </c>
    </row>
    <row r="561" spans="1:38" x14ac:dyDescent="0.3">
      <c r="A561" s="74" t="s">
        <v>1101</v>
      </c>
      <c r="B561" s="74">
        <v>140671</v>
      </c>
      <c r="C561" s="74">
        <v>1</v>
      </c>
      <c r="D561" s="74" t="s">
        <v>1102</v>
      </c>
      <c r="E561" s="74" t="s">
        <v>1103</v>
      </c>
      <c r="F561" s="74">
        <v>892</v>
      </c>
      <c r="G561" s="74">
        <v>15.18</v>
      </c>
      <c r="H561" s="74">
        <v>50.2</v>
      </c>
      <c r="I561" s="74">
        <v>10.71</v>
      </c>
      <c r="J561" s="74">
        <v>35.409999999999997</v>
      </c>
      <c r="K561" s="74">
        <v>4</v>
      </c>
      <c r="T561" s="74">
        <v>2</v>
      </c>
      <c r="U561" s="74">
        <v>1</v>
      </c>
      <c r="V561" s="74" t="s">
        <v>186</v>
      </c>
      <c r="W561" s="74">
        <v>50</v>
      </c>
      <c r="X561" s="74">
        <v>23</v>
      </c>
      <c r="Y561" s="74">
        <v>14</v>
      </c>
      <c r="Z561" s="74" t="s">
        <v>1104</v>
      </c>
      <c r="AA561" s="74" t="s">
        <v>1105</v>
      </c>
      <c r="AB561" s="74" t="s">
        <v>182</v>
      </c>
      <c r="AC561" s="74" t="s">
        <v>183</v>
      </c>
      <c r="AD561" s="74" t="s">
        <v>1106</v>
      </c>
      <c r="AG561" s="74" t="s">
        <v>1107</v>
      </c>
      <c r="AH561" s="74">
        <v>355</v>
      </c>
      <c r="AI561" s="74">
        <v>231</v>
      </c>
      <c r="AJ561" s="74">
        <v>20</v>
      </c>
      <c r="AK561" s="74">
        <v>905</v>
      </c>
      <c r="AL561" s="74">
        <v>1.01</v>
      </c>
    </row>
    <row r="562" spans="1:38" x14ac:dyDescent="0.3">
      <c r="A562" s="74" t="s">
        <v>1101</v>
      </c>
      <c r="B562" s="74">
        <v>140671</v>
      </c>
      <c r="C562" s="74">
        <v>2</v>
      </c>
      <c r="D562" s="74" t="s">
        <v>1102</v>
      </c>
      <c r="E562" s="74" t="s">
        <v>1103</v>
      </c>
      <c r="F562" s="74">
        <v>892</v>
      </c>
      <c r="G562" s="74">
        <v>24.99</v>
      </c>
      <c r="H562" s="74">
        <v>82.62</v>
      </c>
      <c r="I562" s="74">
        <v>18.13</v>
      </c>
      <c r="J562" s="74">
        <v>59.95</v>
      </c>
      <c r="K562" s="74">
        <v>17</v>
      </c>
      <c r="T562" s="74">
        <v>3</v>
      </c>
      <c r="U562" s="74">
        <v>2</v>
      </c>
      <c r="V562" s="74" t="s">
        <v>186</v>
      </c>
      <c r="W562" s="74" t="s">
        <v>90</v>
      </c>
      <c r="X562" s="74">
        <v>23</v>
      </c>
      <c r="Y562" s="74">
        <v>14</v>
      </c>
      <c r="Z562" s="74" t="s">
        <v>1104</v>
      </c>
      <c r="AA562" s="74" t="s">
        <v>1105</v>
      </c>
      <c r="AB562" s="74" t="s">
        <v>182</v>
      </c>
      <c r="AC562" s="74" t="s">
        <v>183</v>
      </c>
      <c r="AD562" s="74" t="s">
        <v>1106</v>
      </c>
      <c r="AG562" s="74" t="s">
        <v>1107</v>
      </c>
      <c r="AH562" s="74">
        <v>355</v>
      </c>
      <c r="AI562" s="74">
        <v>231</v>
      </c>
      <c r="AJ562" s="74">
        <v>20</v>
      </c>
      <c r="AK562" s="74">
        <v>905</v>
      </c>
      <c r="AL562" s="74">
        <v>1.01</v>
      </c>
    </row>
    <row r="563" spans="1:38" x14ac:dyDescent="0.3">
      <c r="A563" s="74" t="s">
        <v>1101</v>
      </c>
      <c r="B563" s="74">
        <v>140671</v>
      </c>
      <c r="C563" s="74">
        <v>3</v>
      </c>
      <c r="D563" s="74" t="s">
        <v>1102</v>
      </c>
      <c r="E563" s="74" t="s">
        <v>1103</v>
      </c>
      <c r="F563" s="74">
        <v>892</v>
      </c>
      <c r="G563" s="74">
        <v>25.34</v>
      </c>
      <c r="H563" s="74">
        <v>83.79</v>
      </c>
      <c r="I563" s="74">
        <v>18.13</v>
      </c>
      <c r="J563" s="74">
        <v>59.95</v>
      </c>
      <c r="K563" s="74">
        <v>51</v>
      </c>
      <c r="T563" s="74">
        <v>3</v>
      </c>
      <c r="U563" s="74">
        <v>2</v>
      </c>
      <c r="V563" s="74" t="s">
        <v>186</v>
      </c>
      <c r="W563" s="74" t="s">
        <v>1108</v>
      </c>
      <c r="X563" s="74">
        <v>23</v>
      </c>
      <c r="Y563" s="74">
        <v>14</v>
      </c>
      <c r="Z563" s="74" t="s">
        <v>1104</v>
      </c>
      <c r="AA563" s="74" t="s">
        <v>1105</v>
      </c>
      <c r="AB563" s="74" t="s">
        <v>182</v>
      </c>
      <c r="AC563" s="74" t="s">
        <v>183</v>
      </c>
      <c r="AD563" s="74" t="s">
        <v>1106</v>
      </c>
      <c r="AG563" s="74" t="s">
        <v>1107</v>
      </c>
      <c r="AH563" s="74">
        <v>355</v>
      </c>
      <c r="AI563" s="74">
        <v>231</v>
      </c>
      <c r="AJ563" s="74">
        <v>20</v>
      </c>
      <c r="AK563" s="74">
        <v>905</v>
      </c>
      <c r="AL563" s="74">
        <v>1.01</v>
      </c>
    </row>
    <row r="564" spans="1:38" x14ac:dyDescent="0.3">
      <c r="A564" s="74" t="s">
        <v>1101</v>
      </c>
      <c r="B564" s="74">
        <v>140671</v>
      </c>
      <c r="C564" s="74">
        <v>4</v>
      </c>
      <c r="D564" s="74" t="s">
        <v>1102</v>
      </c>
      <c r="E564" s="74" t="s">
        <v>1103</v>
      </c>
      <c r="F564" s="74">
        <v>892</v>
      </c>
      <c r="G564" s="74">
        <v>25.53</v>
      </c>
      <c r="H564" s="74">
        <v>84.42</v>
      </c>
      <c r="I564" s="74">
        <v>18.12</v>
      </c>
      <c r="J564" s="74">
        <v>59.93</v>
      </c>
      <c r="K564" s="74">
        <v>465</v>
      </c>
      <c r="T564" s="74">
        <v>3</v>
      </c>
      <c r="U564" s="74">
        <v>2</v>
      </c>
      <c r="V564" s="74" t="s">
        <v>186</v>
      </c>
      <c r="W564" s="74" t="s">
        <v>131</v>
      </c>
      <c r="X564" s="74">
        <v>23</v>
      </c>
      <c r="Y564" s="74">
        <v>14</v>
      </c>
      <c r="Z564" s="74" t="s">
        <v>1104</v>
      </c>
      <c r="AA564" s="74" t="s">
        <v>1105</v>
      </c>
      <c r="AB564" s="74" t="s">
        <v>182</v>
      </c>
      <c r="AC564" s="74" t="s">
        <v>183</v>
      </c>
      <c r="AD564" s="74" t="s">
        <v>1106</v>
      </c>
      <c r="AG564" s="74" t="s">
        <v>1107</v>
      </c>
      <c r="AH564" s="74">
        <v>355</v>
      </c>
      <c r="AI564" s="74">
        <v>231</v>
      </c>
      <c r="AJ564" s="74">
        <v>20</v>
      </c>
      <c r="AK564" s="74">
        <v>905</v>
      </c>
      <c r="AL564" s="74">
        <v>1.01</v>
      </c>
    </row>
    <row r="565" spans="1:38" x14ac:dyDescent="0.3">
      <c r="A565" s="74" t="s">
        <v>1109</v>
      </c>
      <c r="B565" s="74">
        <v>111365</v>
      </c>
      <c r="C565" s="74">
        <v>1</v>
      </c>
      <c r="D565" s="74" t="s">
        <v>1110</v>
      </c>
      <c r="E565" s="74" t="s">
        <v>1111</v>
      </c>
      <c r="F565" s="74">
        <v>449</v>
      </c>
      <c r="G565" s="74">
        <v>33.54</v>
      </c>
      <c r="H565" s="74">
        <v>110.89</v>
      </c>
      <c r="I565" s="74">
        <v>25.7</v>
      </c>
      <c r="J565" s="74">
        <v>84.98</v>
      </c>
      <c r="K565" s="74">
        <v>449</v>
      </c>
      <c r="T565" s="74">
        <v>3</v>
      </c>
      <c r="U565" s="74">
        <v>2</v>
      </c>
      <c r="V565" s="74" t="s">
        <v>186</v>
      </c>
      <c r="W565" s="74">
        <v>110</v>
      </c>
      <c r="X565" s="74">
        <v>26</v>
      </c>
      <c r="Y565" s="74">
        <v>19</v>
      </c>
      <c r="Z565" s="74" t="s">
        <v>1112</v>
      </c>
      <c r="AA565" s="74" t="s">
        <v>1113</v>
      </c>
      <c r="AB565" s="74" t="s">
        <v>182</v>
      </c>
      <c r="AC565" s="74" t="s">
        <v>183</v>
      </c>
      <c r="AD565" s="74" t="s">
        <v>1114</v>
      </c>
      <c r="AG565" s="74" t="s">
        <v>1115</v>
      </c>
      <c r="AH565" s="74">
        <v>0</v>
      </c>
      <c r="AI565" s="74">
        <v>242</v>
      </c>
      <c r="AJ565" s="74">
        <v>16</v>
      </c>
      <c r="AK565" s="74">
        <v>542</v>
      </c>
      <c r="AL565" s="74">
        <v>1.21</v>
      </c>
    </row>
    <row r="566" spans="1:38" x14ac:dyDescent="0.3">
      <c r="A566" s="74" t="s">
        <v>1109</v>
      </c>
      <c r="B566" s="74">
        <v>110515</v>
      </c>
      <c r="C566" s="74">
        <v>1</v>
      </c>
      <c r="D566" s="74" t="s">
        <v>1116</v>
      </c>
      <c r="E566" s="74" t="s">
        <v>912</v>
      </c>
      <c r="F566" s="74">
        <v>469</v>
      </c>
      <c r="G566" s="74">
        <v>33.200000000000003</v>
      </c>
      <c r="H566" s="74">
        <v>109.77</v>
      </c>
      <c r="I566" s="74">
        <v>25.7</v>
      </c>
      <c r="J566" s="74">
        <v>84.99</v>
      </c>
      <c r="K566" s="74">
        <v>380</v>
      </c>
      <c r="T566" s="74">
        <v>3</v>
      </c>
      <c r="U566" s="74">
        <v>2</v>
      </c>
      <c r="V566" s="74" t="s">
        <v>186</v>
      </c>
      <c r="W566" s="74" t="s">
        <v>123</v>
      </c>
      <c r="X566" s="74">
        <v>29</v>
      </c>
      <c r="Y566" s="74">
        <v>21</v>
      </c>
      <c r="Z566" s="74" t="s">
        <v>1117</v>
      </c>
      <c r="AA566" s="74" t="s">
        <v>1118</v>
      </c>
      <c r="AB566" s="74" t="s">
        <v>182</v>
      </c>
      <c r="AC566" s="74" t="s">
        <v>183</v>
      </c>
      <c r="AD566" s="74" t="s">
        <v>1114</v>
      </c>
      <c r="AG566" s="74" t="s">
        <v>1119</v>
      </c>
      <c r="AH566" s="74">
        <v>0</v>
      </c>
      <c r="AI566" s="74">
        <v>249</v>
      </c>
      <c r="AJ566" s="74">
        <v>19</v>
      </c>
      <c r="AK566" s="74">
        <v>602</v>
      </c>
      <c r="AL566" s="74">
        <v>1.28</v>
      </c>
    </row>
    <row r="567" spans="1:38" x14ac:dyDescent="0.3">
      <c r="A567" s="74" t="s">
        <v>1109</v>
      </c>
      <c r="B567" s="74">
        <v>110515</v>
      </c>
      <c r="C567" s="74">
        <v>2</v>
      </c>
      <c r="D567" s="74" t="s">
        <v>1116</v>
      </c>
      <c r="E567" s="74" t="s">
        <v>912</v>
      </c>
      <c r="F567" s="74">
        <v>469</v>
      </c>
      <c r="G567" s="74">
        <v>33.68</v>
      </c>
      <c r="H567" s="74">
        <v>111.36</v>
      </c>
      <c r="I567" s="74">
        <v>25.7</v>
      </c>
      <c r="J567" s="74">
        <v>84.99</v>
      </c>
      <c r="K567" s="74">
        <v>46</v>
      </c>
      <c r="T567" s="74">
        <v>3</v>
      </c>
      <c r="U567" s="74">
        <v>2</v>
      </c>
      <c r="V567" s="74" t="s">
        <v>186</v>
      </c>
      <c r="W567" s="74" t="s">
        <v>78</v>
      </c>
      <c r="X567" s="74">
        <v>29</v>
      </c>
      <c r="Y567" s="74">
        <v>21</v>
      </c>
      <c r="Z567" s="74" t="s">
        <v>1117</v>
      </c>
      <c r="AA567" s="74" t="s">
        <v>1118</v>
      </c>
      <c r="AB567" s="74" t="s">
        <v>182</v>
      </c>
      <c r="AC567" s="74" t="s">
        <v>183</v>
      </c>
      <c r="AD567" s="74" t="s">
        <v>1114</v>
      </c>
      <c r="AG567" s="74" t="s">
        <v>1119</v>
      </c>
      <c r="AH567" s="74">
        <v>0</v>
      </c>
      <c r="AI567" s="74">
        <v>249</v>
      </c>
      <c r="AJ567" s="74">
        <v>19</v>
      </c>
      <c r="AK567" s="74">
        <v>602</v>
      </c>
      <c r="AL567" s="74">
        <v>1.28</v>
      </c>
    </row>
    <row r="568" spans="1:38" x14ac:dyDescent="0.3">
      <c r="A568" s="74" t="s">
        <v>1109</v>
      </c>
      <c r="B568" s="74">
        <v>110515</v>
      </c>
      <c r="C568" s="74">
        <v>3</v>
      </c>
      <c r="D568" s="74" t="s">
        <v>1116</v>
      </c>
      <c r="E568" s="74" t="s">
        <v>912</v>
      </c>
      <c r="F568" s="74">
        <v>469</v>
      </c>
      <c r="G568" s="74">
        <v>33.74</v>
      </c>
      <c r="H568" s="74">
        <v>111.55</v>
      </c>
      <c r="I568" s="74">
        <v>25.7</v>
      </c>
      <c r="J568" s="74">
        <v>84.97</v>
      </c>
      <c r="K568" s="74">
        <v>43</v>
      </c>
      <c r="T568" s="74">
        <v>3</v>
      </c>
      <c r="U568" s="74">
        <v>2</v>
      </c>
      <c r="V568" s="74" t="s">
        <v>186</v>
      </c>
      <c r="W568" s="74" t="s">
        <v>79</v>
      </c>
      <c r="X568" s="74">
        <v>29</v>
      </c>
      <c r="Y568" s="74">
        <v>21</v>
      </c>
      <c r="Z568" s="74" t="s">
        <v>1117</v>
      </c>
      <c r="AA568" s="74" t="s">
        <v>1118</v>
      </c>
      <c r="AB568" s="74" t="s">
        <v>182</v>
      </c>
      <c r="AC568" s="74" t="s">
        <v>183</v>
      </c>
      <c r="AD568" s="74" t="s">
        <v>1114</v>
      </c>
      <c r="AG568" s="74" t="s">
        <v>1119</v>
      </c>
      <c r="AH568" s="74">
        <v>0</v>
      </c>
      <c r="AI568" s="74">
        <v>249</v>
      </c>
      <c r="AJ568" s="74">
        <v>19</v>
      </c>
      <c r="AK568" s="74">
        <v>602</v>
      </c>
      <c r="AL568" s="74">
        <v>1.28</v>
      </c>
    </row>
    <row r="569" spans="1:38" x14ac:dyDescent="0.3">
      <c r="A569" s="74" t="s">
        <v>1120</v>
      </c>
      <c r="B569" s="74">
        <v>137450</v>
      </c>
      <c r="C569" s="74">
        <v>1</v>
      </c>
      <c r="D569" s="74" t="s">
        <v>1121</v>
      </c>
      <c r="E569" s="74" t="s">
        <v>724</v>
      </c>
      <c r="F569" s="74">
        <v>184</v>
      </c>
      <c r="G569" s="74">
        <v>19.13</v>
      </c>
      <c r="H569" s="74">
        <v>63.27</v>
      </c>
      <c r="I569" s="74">
        <v>14.67</v>
      </c>
      <c r="J569" s="74">
        <v>48.51</v>
      </c>
      <c r="K569" s="74">
        <v>88</v>
      </c>
      <c r="T569" s="74">
        <v>2</v>
      </c>
      <c r="U569" s="74">
        <v>1</v>
      </c>
      <c r="V569" s="74" t="s">
        <v>186</v>
      </c>
      <c r="W569" s="74">
        <v>63</v>
      </c>
      <c r="X569" s="74">
        <v>20</v>
      </c>
      <c r="Y569" s="74">
        <v>14</v>
      </c>
      <c r="Z569" s="74" t="s">
        <v>1122</v>
      </c>
      <c r="AA569" s="74" t="s">
        <v>1123</v>
      </c>
      <c r="AB569" s="74" t="s">
        <v>182</v>
      </c>
      <c r="AC569" s="74" t="s">
        <v>183</v>
      </c>
      <c r="AD569" s="74" t="s">
        <v>1124</v>
      </c>
      <c r="AG569" s="74" t="s">
        <v>1125</v>
      </c>
      <c r="AH569" s="74">
        <v>0</v>
      </c>
      <c r="AI569" s="74">
        <v>121</v>
      </c>
      <c r="AJ569" s="74">
        <v>34</v>
      </c>
      <c r="AK569" s="74">
        <v>180</v>
      </c>
      <c r="AL569" s="74">
        <v>0.98</v>
      </c>
    </row>
    <row r="570" spans="1:38" x14ac:dyDescent="0.3">
      <c r="A570" s="74" t="s">
        <v>1120</v>
      </c>
      <c r="B570" s="74">
        <v>137450</v>
      </c>
      <c r="C570" s="74">
        <v>2</v>
      </c>
      <c r="D570" s="74" t="s">
        <v>1121</v>
      </c>
      <c r="E570" s="74" t="s">
        <v>724</v>
      </c>
      <c r="F570" s="74">
        <v>184</v>
      </c>
      <c r="G570" s="74">
        <v>19.600000000000001</v>
      </c>
      <c r="H570" s="74">
        <v>64.8</v>
      </c>
      <c r="I570" s="74">
        <v>15.03</v>
      </c>
      <c r="J570" s="74">
        <v>49.69</v>
      </c>
      <c r="K570" s="74">
        <v>24</v>
      </c>
      <c r="T570" s="74">
        <v>3</v>
      </c>
      <c r="U570" s="74">
        <v>1</v>
      </c>
      <c r="V570" s="74" t="s">
        <v>186</v>
      </c>
      <c r="W570" s="74" t="s">
        <v>472</v>
      </c>
      <c r="X570" s="74">
        <v>20</v>
      </c>
      <c r="Y570" s="74">
        <v>14</v>
      </c>
      <c r="Z570" s="74" t="s">
        <v>1122</v>
      </c>
      <c r="AA570" s="74" t="s">
        <v>1123</v>
      </c>
      <c r="AB570" s="74" t="s">
        <v>182</v>
      </c>
      <c r="AC570" s="74" t="s">
        <v>183</v>
      </c>
      <c r="AD570" s="74" t="s">
        <v>1124</v>
      </c>
      <c r="AG570" s="74" t="s">
        <v>1125</v>
      </c>
      <c r="AH570" s="74">
        <v>0</v>
      </c>
      <c r="AI570" s="74">
        <v>121</v>
      </c>
      <c r="AJ570" s="74">
        <v>34</v>
      </c>
      <c r="AK570" s="74">
        <v>180</v>
      </c>
      <c r="AL570" s="74">
        <v>0.98</v>
      </c>
    </row>
    <row r="571" spans="1:38" x14ac:dyDescent="0.3">
      <c r="A571" s="74" t="s">
        <v>1120</v>
      </c>
      <c r="B571" s="74">
        <v>137450</v>
      </c>
      <c r="C571" s="74">
        <v>3</v>
      </c>
      <c r="D571" s="74" t="s">
        <v>1121</v>
      </c>
      <c r="E571" s="74" t="s">
        <v>724</v>
      </c>
      <c r="F571" s="74">
        <v>184</v>
      </c>
      <c r="G571" s="74">
        <v>21.47</v>
      </c>
      <c r="H571" s="74">
        <v>70.98</v>
      </c>
      <c r="I571" s="74">
        <v>16.5</v>
      </c>
      <c r="J571" s="74">
        <v>54.56</v>
      </c>
      <c r="K571" s="74">
        <v>16</v>
      </c>
      <c r="T571" s="74">
        <v>3</v>
      </c>
      <c r="U571" s="74">
        <v>1</v>
      </c>
      <c r="V571" s="74" t="s">
        <v>186</v>
      </c>
      <c r="W571" s="74" t="s">
        <v>743</v>
      </c>
      <c r="X571" s="74">
        <v>20</v>
      </c>
      <c r="Y571" s="74">
        <v>14</v>
      </c>
      <c r="Z571" s="74" t="s">
        <v>1122</v>
      </c>
      <c r="AA571" s="74" t="s">
        <v>1123</v>
      </c>
      <c r="AB571" s="74" t="s">
        <v>182</v>
      </c>
      <c r="AC571" s="74" t="s">
        <v>183</v>
      </c>
      <c r="AD571" s="74" t="s">
        <v>1124</v>
      </c>
      <c r="AG571" s="74" t="s">
        <v>1125</v>
      </c>
      <c r="AH571" s="74">
        <v>0</v>
      </c>
      <c r="AI571" s="74">
        <v>121</v>
      </c>
      <c r="AJ571" s="74">
        <v>34</v>
      </c>
      <c r="AK571" s="74">
        <v>180</v>
      </c>
      <c r="AL571" s="74">
        <v>0.98</v>
      </c>
    </row>
    <row r="572" spans="1:38" x14ac:dyDescent="0.3">
      <c r="A572" s="74" t="s">
        <v>1120</v>
      </c>
      <c r="B572" s="74">
        <v>137450</v>
      </c>
      <c r="C572" s="74">
        <v>4</v>
      </c>
      <c r="D572" s="74" t="s">
        <v>1121</v>
      </c>
      <c r="E572" s="74" t="s">
        <v>724</v>
      </c>
      <c r="F572" s="74">
        <v>184</v>
      </c>
      <c r="G572" s="74">
        <v>23.05</v>
      </c>
      <c r="H572" s="74">
        <v>76.2</v>
      </c>
      <c r="I572" s="74">
        <v>17.72</v>
      </c>
      <c r="J572" s="74">
        <v>58.6</v>
      </c>
      <c r="K572" s="74">
        <v>56</v>
      </c>
      <c r="T572" s="74">
        <v>3</v>
      </c>
      <c r="U572" s="74">
        <v>1</v>
      </c>
      <c r="V572" s="74" t="s">
        <v>186</v>
      </c>
      <c r="W572" s="74" t="s">
        <v>938</v>
      </c>
      <c r="X572" s="74">
        <v>20</v>
      </c>
      <c r="Y572" s="74">
        <v>14</v>
      </c>
      <c r="Z572" s="74" t="s">
        <v>1122</v>
      </c>
      <c r="AA572" s="74" t="s">
        <v>1123</v>
      </c>
      <c r="AB572" s="74" t="s">
        <v>182</v>
      </c>
      <c r="AC572" s="74" t="s">
        <v>183</v>
      </c>
      <c r="AD572" s="74" t="s">
        <v>1124</v>
      </c>
      <c r="AG572" s="74" t="s">
        <v>1125</v>
      </c>
      <c r="AH572" s="74">
        <v>0</v>
      </c>
      <c r="AI572" s="74">
        <v>121</v>
      </c>
      <c r="AJ572" s="74">
        <v>34</v>
      </c>
      <c r="AK572" s="74">
        <v>180</v>
      </c>
      <c r="AL572" s="74">
        <v>0.98</v>
      </c>
    </row>
    <row r="573" spans="1:38" x14ac:dyDescent="0.3">
      <c r="A573" s="74" t="s">
        <v>1126</v>
      </c>
      <c r="B573" s="74">
        <v>104593</v>
      </c>
      <c r="C573" s="74">
        <v>1</v>
      </c>
      <c r="D573" s="74" t="s">
        <v>1127</v>
      </c>
      <c r="E573" s="74" t="s">
        <v>1128</v>
      </c>
      <c r="F573" s="74">
        <v>198</v>
      </c>
      <c r="G573" s="74">
        <v>24.94</v>
      </c>
      <c r="H573" s="74">
        <v>82.46</v>
      </c>
      <c r="I573" s="74">
        <v>18.14</v>
      </c>
      <c r="J573" s="74">
        <v>59.98</v>
      </c>
      <c r="K573" s="74">
        <v>108</v>
      </c>
      <c r="T573" s="74">
        <v>3</v>
      </c>
      <c r="U573" s="74">
        <v>2</v>
      </c>
      <c r="V573" s="74" t="s">
        <v>186</v>
      </c>
      <c r="W573" s="74">
        <v>82</v>
      </c>
      <c r="X573" s="74">
        <v>15</v>
      </c>
      <c r="Y573" s="74">
        <v>13</v>
      </c>
      <c r="Z573" s="74" t="s">
        <v>1129</v>
      </c>
      <c r="AA573" s="74" t="s">
        <v>1130</v>
      </c>
      <c r="AB573" s="74" t="s">
        <v>182</v>
      </c>
      <c r="AC573" s="74" t="s">
        <v>183</v>
      </c>
      <c r="AD573" s="74" t="s">
        <v>1131</v>
      </c>
      <c r="AG573" s="74" t="s">
        <v>1132</v>
      </c>
      <c r="AH573" s="74">
        <v>0</v>
      </c>
      <c r="AI573" s="74">
        <v>336</v>
      </c>
      <c r="AJ573" s="74">
        <v>31</v>
      </c>
      <c r="AK573" s="74">
        <v>171</v>
      </c>
      <c r="AL573" s="74">
        <v>0.86</v>
      </c>
    </row>
    <row r="574" spans="1:38" x14ac:dyDescent="0.3">
      <c r="A574" s="74" t="s">
        <v>1126</v>
      </c>
      <c r="B574" s="74">
        <v>104593</v>
      </c>
      <c r="C574" s="74">
        <v>2</v>
      </c>
      <c r="D574" s="74" t="s">
        <v>1127</v>
      </c>
      <c r="E574" s="74" t="s">
        <v>1128</v>
      </c>
      <c r="F574" s="74">
        <v>198</v>
      </c>
      <c r="G574" s="74">
        <v>31.13</v>
      </c>
      <c r="H574" s="74">
        <v>102.94</v>
      </c>
      <c r="I574" s="74">
        <v>25.7</v>
      </c>
      <c r="J574" s="74">
        <v>84.96</v>
      </c>
      <c r="K574" s="74">
        <v>90</v>
      </c>
      <c r="T574" s="74">
        <v>3</v>
      </c>
      <c r="U574" s="74">
        <v>2</v>
      </c>
      <c r="V574" s="74" t="s">
        <v>186</v>
      </c>
      <c r="W574" s="74">
        <v>102</v>
      </c>
      <c r="X574" s="74">
        <v>15</v>
      </c>
      <c r="Y574" s="74">
        <v>13</v>
      </c>
      <c r="Z574" s="74" t="s">
        <v>1129</v>
      </c>
      <c r="AA574" s="74" t="s">
        <v>1130</v>
      </c>
      <c r="AB574" s="74" t="s">
        <v>182</v>
      </c>
      <c r="AC574" s="74" t="s">
        <v>183</v>
      </c>
      <c r="AD574" s="74" t="s">
        <v>1131</v>
      </c>
      <c r="AG574" s="74" t="s">
        <v>1132</v>
      </c>
      <c r="AH574" s="74">
        <v>0</v>
      </c>
      <c r="AI574" s="74">
        <v>336</v>
      </c>
      <c r="AJ574" s="74">
        <v>31</v>
      </c>
      <c r="AK574" s="74">
        <v>171</v>
      </c>
      <c r="AL574" s="74">
        <v>0.86</v>
      </c>
    </row>
    <row r="575" spans="1:38" x14ac:dyDescent="0.3">
      <c r="A575" s="74" t="s">
        <v>1126</v>
      </c>
      <c r="B575" s="74">
        <v>22980</v>
      </c>
      <c r="C575" s="74">
        <v>1</v>
      </c>
      <c r="D575" s="74" t="s">
        <v>1133</v>
      </c>
      <c r="E575" s="74" t="s">
        <v>211</v>
      </c>
      <c r="F575" s="74">
        <v>210</v>
      </c>
      <c r="G575" s="74">
        <v>38.340000000000003</v>
      </c>
      <c r="H575" s="74">
        <v>126.77</v>
      </c>
      <c r="I575" s="74">
        <v>30.74</v>
      </c>
      <c r="J575" s="74">
        <v>101.65</v>
      </c>
      <c r="K575" s="74">
        <v>120</v>
      </c>
      <c r="T575" s="74">
        <v>3</v>
      </c>
      <c r="U575" s="74">
        <v>2</v>
      </c>
      <c r="V575" s="74" t="s">
        <v>186</v>
      </c>
      <c r="W575" s="74">
        <v>126</v>
      </c>
      <c r="X575" s="74">
        <v>15</v>
      </c>
      <c r="Y575" s="74">
        <v>15</v>
      </c>
      <c r="Z575" s="74" t="s">
        <v>1134</v>
      </c>
      <c r="AA575" s="74" t="s">
        <v>1135</v>
      </c>
      <c r="AB575" s="74" t="s">
        <v>182</v>
      </c>
      <c r="AC575" s="74" t="s">
        <v>183</v>
      </c>
      <c r="AD575" s="74" t="s">
        <v>1131</v>
      </c>
      <c r="AG575" s="74" t="s">
        <v>1136</v>
      </c>
      <c r="AH575" s="74">
        <v>0</v>
      </c>
      <c r="AI575" s="74">
        <v>188</v>
      </c>
      <c r="AJ575" s="74">
        <v>16</v>
      </c>
      <c r="AK575" s="74">
        <v>373</v>
      </c>
      <c r="AL575" s="74">
        <v>1.78</v>
      </c>
    </row>
    <row r="576" spans="1:38" x14ac:dyDescent="0.3">
      <c r="A576" s="74" t="s">
        <v>1126</v>
      </c>
      <c r="B576" s="74">
        <v>22980</v>
      </c>
      <c r="C576" s="74">
        <v>2</v>
      </c>
      <c r="D576" s="74" t="s">
        <v>1133</v>
      </c>
      <c r="E576" s="74" t="s">
        <v>211</v>
      </c>
      <c r="F576" s="74">
        <v>210</v>
      </c>
      <c r="G576" s="74">
        <v>49.9</v>
      </c>
      <c r="H576" s="74">
        <v>164.97</v>
      </c>
      <c r="I576" s="74">
        <v>42.97</v>
      </c>
      <c r="J576" s="74">
        <v>142.05000000000001</v>
      </c>
      <c r="K576" s="74">
        <v>30</v>
      </c>
      <c r="T576" s="74">
        <v>4</v>
      </c>
      <c r="U576" s="74">
        <v>2</v>
      </c>
      <c r="V576" s="74" t="s">
        <v>186</v>
      </c>
      <c r="W576" s="74">
        <v>164</v>
      </c>
      <c r="X576" s="74">
        <v>15</v>
      </c>
      <c r="Y576" s="74">
        <v>15</v>
      </c>
      <c r="Z576" s="74" t="s">
        <v>1134</v>
      </c>
      <c r="AA576" s="74" t="s">
        <v>1135</v>
      </c>
      <c r="AB576" s="74" t="s">
        <v>182</v>
      </c>
      <c r="AC576" s="74" t="s">
        <v>183</v>
      </c>
      <c r="AD576" s="74" t="s">
        <v>1131</v>
      </c>
      <c r="AG576" s="74" t="s">
        <v>1136</v>
      </c>
      <c r="AH576" s="74">
        <v>0</v>
      </c>
      <c r="AI576" s="74">
        <v>188</v>
      </c>
      <c r="AJ576" s="74">
        <v>16</v>
      </c>
      <c r="AK576" s="74">
        <v>373</v>
      </c>
      <c r="AL576" s="74">
        <v>1.78</v>
      </c>
    </row>
    <row r="577" spans="1:38" x14ac:dyDescent="0.3">
      <c r="A577" s="74" t="s">
        <v>1126</v>
      </c>
      <c r="B577" s="74">
        <v>22980</v>
      </c>
      <c r="C577" s="74">
        <v>3</v>
      </c>
      <c r="D577" s="74" t="s">
        <v>1133</v>
      </c>
      <c r="E577" s="74" t="s">
        <v>211</v>
      </c>
      <c r="F577" s="74">
        <v>210</v>
      </c>
      <c r="G577" s="74">
        <v>57.45</v>
      </c>
      <c r="H577" s="74">
        <v>189.92</v>
      </c>
      <c r="I577" s="74">
        <v>50.35</v>
      </c>
      <c r="J577" s="74">
        <v>166.46</v>
      </c>
      <c r="K577" s="74">
        <v>45</v>
      </c>
      <c r="T577" s="74">
        <v>4</v>
      </c>
      <c r="U577" s="74">
        <v>2</v>
      </c>
      <c r="V577" s="74" t="s">
        <v>186</v>
      </c>
      <c r="W577" s="74">
        <v>189</v>
      </c>
      <c r="X577" s="74">
        <v>15</v>
      </c>
      <c r="Y577" s="74">
        <v>15</v>
      </c>
      <c r="Z577" s="74" t="s">
        <v>1134</v>
      </c>
      <c r="AA577" s="74" t="s">
        <v>1135</v>
      </c>
      <c r="AB577" s="74" t="s">
        <v>182</v>
      </c>
      <c r="AC577" s="74" t="s">
        <v>183</v>
      </c>
      <c r="AD577" s="74" t="s">
        <v>1131</v>
      </c>
      <c r="AG577" s="74" t="s">
        <v>1136</v>
      </c>
      <c r="AH577" s="74">
        <v>0</v>
      </c>
      <c r="AI577" s="74">
        <v>188</v>
      </c>
      <c r="AJ577" s="74">
        <v>16</v>
      </c>
      <c r="AK577" s="74">
        <v>373</v>
      </c>
      <c r="AL577" s="74">
        <v>1.78</v>
      </c>
    </row>
    <row r="578" spans="1:38" x14ac:dyDescent="0.3">
      <c r="A578" s="74" t="s">
        <v>1126</v>
      </c>
      <c r="B578" s="74">
        <v>22980</v>
      </c>
      <c r="C578" s="74">
        <v>4</v>
      </c>
      <c r="D578" s="74" t="s">
        <v>1133</v>
      </c>
      <c r="E578" s="74" t="s">
        <v>211</v>
      </c>
      <c r="F578" s="74">
        <v>210</v>
      </c>
      <c r="G578" s="74">
        <v>58.6</v>
      </c>
      <c r="H578" s="74">
        <v>193.75</v>
      </c>
      <c r="I578" s="74">
        <v>51.53</v>
      </c>
      <c r="J578" s="74">
        <v>170.35</v>
      </c>
      <c r="K578" s="74">
        <v>15</v>
      </c>
      <c r="T578" s="74">
        <v>4</v>
      </c>
      <c r="U578" s="74">
        <v>2</v>
      </c>
      <c r="V578" s="74" t="s">
        <v>186</v>
      </c>
      <c r="W578" s="74">
        <v>193</v>
      </c>
      <c r="X578" s="74">
        <v>15</v>
      </c>
      <c r="Y578" s="74">
        <v>15</v>
      </c>
      <c r="Z578" s="74" t="s">
        <v>1134</v>
      </c>
      <c r="AA578" s="74" t="s">
        <v>1135</v>
      </c>
      <c r="AB578" s="74" t="s">
        <v>182</v>
      </c>
      <c r="AC578" s="74" t="s">
        <v>183</v>
      </c>
      <c r="AD578" s="74" t="s">
        <v>1131</v>
      </c>
      <c r="AG578" s="74" t="s">
        <v>1136</v>
      </c>
      <c r="AH578" s="74">
        <v>0</v>
      </c>
      <c r="AI578" s="74">
        <v>188</v>
      </c>
      <c r="AJ578" s="74">
        <v>16</v>
      </c>
      <c r="AK578" s="74">
        <v>373</v>
      </c>
      <c r="AL578" s="74">
        <v>1.78</v>
      </c>
    </row>
    <row r="579" spans="1:38" x14ac:dyDescent="0.3">
      <c r="A579" s="74" t="s">
        <v>1126</v>
      </c>
      <c r="B579" s="74">
        <v>23010</v>
      </c>
      <c r="C579" s="74">
        <v>1</v>
      </c>
      <c r="D579" s="74" t="s">
        <v>1137</v>
      </c>
      <c r="E579" s="74" t="s">
        <v>1138</v>
      </c>
      <c r="F579" s="74">
        <v>90</v>
      </c>
      <c r="G579" s="74">
        <v>30.93</v>
      </c>
      <c r="H579" s="74">
        <v>102.26</v>
      </c>
      <c r="I579" s="74">
        <v>25.65</v>
      </c>
      <c r="J579" s="74">
        <v>84.82</v>
      </c>
      <c r="K579" s="74">
        <v>90</v>
      </c>
      <c r="T579" s="74">
        <v>3</v>
      </c>
      <c r="U579" s="74">
        <v>2</v>
      </c>
      <c r="V579" s="74" t="s">
        <v>186</v>
      </c>
      <c r="W579" s="74">
        <v>102</v>
      </c>
      <c r="X579" s="74">
        <v>15</v>
      </c>
      <c r="Y579" s="74">
        <v>15</v>
      </c>
      <c r="Z579" s="74" t="s">
        <v>1139</v>
      </c>
      <c r="AA579" s="74" t="s">
        <v>1140</v>
      </c>
      <c r="AB579" s="74" t="s">
        <v>182</v>
      </c>
      <c r="AC579" s="74" t="s">
        <v>183</v>
      </c>
      <c r="AD579" s="74" t="s">
        <v>1131</v>
      </c>
      <c r="AG579" s="74" t="s">
        <v>1141</v>
      </c>
      <c r="AH579" s="74">
        <v>0</v>
      </c>
      <c r="AI579" s="74">
        <v>234</v>
      </c>
      <c r="AJ579" s="74">
        <v>18</v>
      </c>
      <c r="AK579" s="74">
        <v>91</v>
      </c>
      <c r="AL579" s="74">
        <v>1.01</v>
      </c>
    </row>
    <row r="580" spans="1:38" x14ac:dyDescent="0.3">
      <c r="A580" s="74" t="s">
        <v>1142</v>
      </c>
      <c r="B580" s="74">
        <v>116353</v>
      </c>
      <c r="C580" s="74">
        <v>1</v>
      </c>
      <c r="D580" s="74" t="s">
        <v>1143</v>
      </c>
      <c r="E580" s="74" t="s">
        <v>647</v>
      </c>
      <c r="F580" s="74">
        <v>40</v>
      </c>
      <c r="G580" s="74">
        <v>23.13</v>
      </c>
      <c r="H580" s="74">
        <v>76.48</v>
      </c>
      <c r="I580" s="74">
        <v>17.75</v>
      </c>
      <c r="J580" s="74">
        <v>58.7</v>
      </c>
      <c r="K580" s="74">
        <v>20</v>
      </c>
      <c r="T580" s="74">
        <v>3</v>
      </c>
      <c r="U580" s="74">
        <v>1</v>
      </c>
      <c r="V580" s="74" t="s">
        <v>186</v>
      </c>
      <c r="W580" s="74" t="s">
        <v>73</v>
      </c>
      <c r="X580" s="74">
        <v>10</v>
      </c>
      <c r="Y580" s="74">
        <v>10</v>
      </c>
      <c r="Z580" s="74" t="s">
        <v>1144</v>
      </c>
      <c r="AA580" s="74" t="s">
        <v>1145</v>
      </c>
      <c r="AB580" s="74" t="s">
        <v>182</v>
      </c>
      <c r="AC580" s="74" t="s">
        <v>183</v>
      </c>
      <c r="AD580" s="74" t="s">
        <v>1146</v>
      </c>
      <c r="AG580" s="74" t="s">
        <v>1147</v>
      </c>
      <c r="AH580" s="74">
        <v>0</v>
      </c>
      <c r="AI580" s="74">
        <v>192</v>
      </c>
      <c r="AJ580" s="74">
        <v>26</v>
      </c>
      <c r="AK580" s="74">
        <v>32</v>
      </c>
      <c r="AL580" s="74">
        <v>0.8</v>
      </c>
    </row>
    <row r="581" spans="1:38" x14ac:dyDescent="0.3">
      <c r="A581" s="74" t="s">
        <v>1142</v>
      </c>
      <c r="B581" s="74">
        <v>116353</v>
      </c>
      <c r="C581" s="74">
        <v>2</v>
      </c>
      <c r="D581" s="74" t="s">
        <v>1143</v>
      </c>
      <c r="E581" s="74" t="s">
        <v>647</v>
      </c>
      <c r="F581" s="74">
        <v>40</v>
      </c>
      <c r="G581" s="74">
        <v>23.43</v>
      </c>
      <c r="H581" s="74">
        <v>77.459999999999994</v>
      </c>
      <c r="I581" s="74">
        <v>17.98</v>
      </c>
      <c r="J581" s="74">
        <v>59.46</v>
      </c>
      <c r="K581" s="74">
        <v>20</v>
      </c>
      <c r="T581" s="74">
        <v>3</v>
      </c>
      <c r="U581" s="74">
        <v>1</v>
      </c>
      <c r="V581" s="74" t="s">
        <v>186</v>
      </c>
      <c r="W581" s="74" t="s">
        <v>147</v>
      </c>
      <c r="X581" s="74">
        <v>10</v>
      </c>
      <c r="Y581" s="74">
        <v>10</v>
      </c>
      <c r="Z581" s="74" t="s">
        <v>1144</v>
      </c>
      <c r="AA581" s="74" t="s">
        <v>1145</v>
      </c>
      <c r="AB581" s="74" t="s">
        <v>182</v>
      </c>
      <c r="AC581" s="74" t="s">
        <v>183</v>
      </c>
      <c r="AD581" s="74" t="s">
        <v>1146</v>
      </c>
      <c r="AG581" s="74" t="s">
        <v>1147</v>
      </c>
      <c r="AH581" s="74">
        <v>0</v>
      </c>
      <c r="AI581" s="74">
        <v>192</v>
      </c>
      <c r="AJ581" s="74">
        <v>26</v>
      </c>
      <c r="AK581" s="74">
        <v>32</v>
      </c>
      <c r="AL581" s="74">
        <v>0.8</v>
      </c>
    </row>
    <row r="582" spans="1:38" x14ac:dyDescent="0.3">
      <c r="A582" s="74" t="s">
        <v>1148</v>
      </c>
      <c r="B582" s="74">
        <v>106424</v>
      </c>
      <c r="C582" s="74">
        <v>1</v>
      </c>
      <c r="D582" s="74" t="s">
        <v>1149</v>
      </c>
      <c r="E582" s="74" t="s">
        <v>536</v>
      </c>
      <c r="F582" s="74">
        <v>158</v>
      </c>
      <c r="G582" s="74">
        <v>22.42</v>
      </c>
      <c r="H582" s="74">
        <v>74.13</v>
      </c>
      <c r="I582" s="74">
        <v>18.07</v>
      </c>
      <c r="J582" s="74">
        <v>59.76</v>
      </c>
      <c r="K582" s="74">
        <v>60</v>
      </c>
      <c r="T582" s="74">
        <v>3</v>
      </c>
      <c r="U582" s="74">
        <v>1</v>
      </c>
      <c r="V582" s="74" t="s">
        <v>179</v>
      </c>
      <c r="W582" s="74">
        <v>74</v>
      </c>
      <c r="X582" s="74">
        <v>15</v>
      </c>
      <c r="Y582" s="74">
        <v>13</v>
      </c>
      <c r="Z582" s="74" t="s">
        <v>1150</v>
      </c>
      <c r="AA582" s="74" t="s">
        <v>1151</v>
      </c>
      <c r="AB582" s="74" t="s">
        <v>182</v>
      </c>
      <c r="AC582" s="74" t="s">
        <v>183</v>
      </c>
      <c r="AD582" s="74" t="s">
        <v>1152</v>
      </c>
      <c r="AG582" s="74" t="s">
        <v>1153</v>
      </c>
      <c r="AH582" s="74">
        <v>0</v>
      </c>
      <c r="AI582" s="74">
        <v>223</v>
      </c>
      <c r="AJ582" s="74">
        <v>15</v>
      </c>
      <c r="AK582" s="74">
        <v>78</v>
      </c>
      <c r="AL582" s="74">
        <v>0.49</v>
      </c>
    </row>
    <row r="583" spans="1:38" x14ac:dyDescent="0.3">
      <c r="A583" s="74" t="s">
        <v>1148</v>
      </c>
      <c r="B583" s="74">
        <v>106424</v>
      </c>
      <c r="C583" s="74">
        <v>2</v>
      </c>
      <c r="D583" s="74" t="s">
        <v>1149</v>
      </c>
      <c r="E583" s="74" t="s">
        <v>536</v>
      </c>
      <c r="F583" s="74">
        <v>158</v>
      </c>
      <c r="G583" s="74">
        <v>26.66</v>
      </c>
      <c r="H583" s="74">
        <v>88.14</v>
      </c>
      <c r="I583" s="74">
        <v>21.48</v>
      </c>
      <c r="J583" s="74">
        <v>71.010000000000005</v>
      </c>
      <c r="K583" s="74">
        <v>84</v>
      </c>
      <c r="T583" s="74">
        <v>3</v>
      </c>
      <c r="U583" s="74">
        <v>2</v>
      </c>
      <c r="V583" s="74" t="s">
        <v>179</v>
      </c>
      <c r="W583" s="74">
        <v>88</v>
      </c>
      <c r="X583" s="74">
        <v>15</v>
      </c>
      <c r="Y583" s="74">
        <v>13</v>
      </c>
      <c r="Z583" s="74" t="s">
        <v>1150</v>
      </c>
      <c r="AA583" s="74" t="s">
        <v>1151</v>
      </c>
      <c r="AB583" s="74" t="s">
        <v>182</v>
      </c>
      <c r="AC583" s="74" t="s">
        <v>183</v>
      </c>
      <c r="AD583" s="74" t="s">
        <v>1152</v>
      </c>
      <c r="AG583" s="74" t="s">
        <v>1153</v>
      </c>
      <c r="AH583" s="74">
        <v>0</v>
      </c>
      <c r="AI583" s="74">
        <v>223</v>
      </c>
      <c r="AJ583" s="74">
        <v>15</v>
      </c>
      <c r="AK583" s="74">
        <v>78</v>
      </c>
      <c r="AL583" s="74">
        <v>0.49</v>
      </c>
    </row>
    <row r="584" spans="1:38" x14ac:dyDescent="0.3">
      <c r="A584" s="74" t="s">
        <v>1148</v>
      </c>
      <c r="B584" s="74">
        <v>106424</v>
      </c>
      <c r="C584" s="74">
        <v>3</v>
      </c>
      <c r="D584" s="74" t="s">
        <v>1149</v>
      </c>
      <c r="E584" s="74" t="s">
        <v>536</v>
      </c>
      <c r="F584" s="74">
        <v>158</v>
      </c>
      <c r="G584" s="74">
        <v>30.21</v>
      </c>
      <c r="H584" s="74">
        <v>99.88</v>
      </c>
      <c r="I584" s="74">
        <v>21.87</v>
      </c>
      <c r="J584" s="74">
        <v>72.33</v>
      </c>
      <c r="K584" s="74">
        <v>14</v>
      </c>
      <c r="T584" s="74">
        <v>3</v>
      </c>
      <c r="U584" s="74">
        <v>2</v>
      </c>
      <c r="V584" s="74" t="s">
        <v>179</v>
      </c>
      <c r="W584" s="74">
        <v>99</v>
      </c>
      <c r="X584" s="74">
        <v>15</v>
      </c>
      <c r="Y584" s="74">
        <v>13</v>
      </c>
      <c r="Z584" s="74" t="s">
        <v>1150</v>
      </c>
      <c r="AA584" s="74" t="s">
        <v>1151</v>
      </c>
      <c r="AB584" s="74" t="s">
        <v>182</v>
      </c>
      <c r="AC584" s="74" t="s">
        <v>183</v>
      </c>
      <c r="AD584" s="74" t="s">
        <v>1152</v>
      </c>
      <c r="AG584" s="74" t="s">
        <v>1153</v>
      </c>
      <c r="AH584" s="74">
        <v>0</v>
      </c>
      <c r="AI584" s="74">
        <v>223</v>
      </c>
      <c r="AJ584" s="74">
        <v>15</v>
      </c>
      <c r="AK584" s="74">
        <v>78</v>
      </c>
      <c r="AL584" s="74">
        <v>0.49</v>
      </c>
    </row>
    <row r="585" spans="1:38" x14ac:dyDescent="0.3">
      <c r="A585" s="74" t="s">
        <v>1148</v>
      </c>
      <c r="B585" s="74">
        <v>14977</v>
      </c>
      <c r="C585" s="74">
        <v>1</v>
      </c>
      <c r="D585" s="74" t="s">
        <v>1154</v>
      </c>
      <c r="E585" s="74" t="s">
        <v>1155</v>
      </c>
      <c r="F585" s="74">
        <v>120</v>
      </c>
      <c r="G585" s="74">
        <v>23.93</v>
      </c>
      <c r="H585" s="74">
        <v>79.14</v>
      </c>
      <c r="I585" s="74">
        <v>22.05</v>
      </c>
      <c r="J585" s="74">
        <v>72.900000000000006</v>
      </c>
      <c r="K585" s="74">
        <v>50</v>
      </c>
      <c r="T585" s="74">
        <v>3</v>
      </c>
      <c r="U585" s="74">
        <v>1</v>
      </c>
      <c r="V585" s="74" t="s">
        <v>186</v>
      </c>
      <c r="W585" s="74">
        <v>79</v>
      </c>
      <c r="X585" s="74">
        <v>5</v>
      </c>
      <c r="Y585" s="74">
        <v>5</v>
      </c>
      <c r="Z585" s="74" t="s">
        <v>1156</v>
      </c>
      <c r="AA585" s="74" t="s">
        <v>1157</v>
      </c>
      <c r="AB585" s="74" t="s">
        <v>182</v>
      </c>
      <c r="AC585" s="74" t="s">
        <v>183</v>
      </c>
      <c r="AD585" s="74" t="s">
        <v>1152</v>
      </c>
      <c r="AG585" s="74" t="s">
        <v>1158</v>
      </c>
      <c r="AH585" s="74">
        <v>0</v>
      </c>
      <c r="AI585" s="74">
        <v>0</v>
      </c>
      <c r="AJ585" s="74">
        <v>0</v>
      </c>
      <c r="AK585" s="74">
        <v>0</v>
      </c>
      <c r="AL585" s="74">
        <v>0</v>
      </c>
    </row>
    <row r="586" spans="1:38" x14ac:dyDescent="0.3">
      <c r="A586" s="74" t="s">
        <v>1148</v>
      </c>
      <c r="B586" s="74">
        <v>14977</v>
      </c>
      <c r="C586" s="74">
        <v>2</v>
      </c>
      <c r="D586" s="74" t="s">
        <v>1154</v>
      </c>
      <c r="E586" s="74" t="s">
        <v>1155</v>
      </c>
      <c r="F586" s="74">
        <v>120</v>
      </c>
      <c r="G586" s="74">
        <v>26.4</v>
      </c>
      <c r="H586" s="74">
        <v>87.3</v>
      </c>
      <c r="I586" s="74">
        <v>24.66</v>
      </c>
      <c r="J586" s="74">
        <v>81.540000000000006</v>
      </c>
      <c r="K586" s="74">
        <v>50</v>
      </c>
      <c r="T586" s="74">
        <v>3</v>
      </c>
      <c r="U586" s="74">
        <v>2</v>
      </c>
      <c r="V586" s="74" t="s">
        <v>186</v>
      </c>
      <c r="W586" s="74">
        <v>87</v>
      </c>
      <c r="X586" s="74">
        <v>5</v>
      </c>
      <c r="Y586" s="74">
        <v>5</v>
      </c>
      <c r="Z586" s="74" t="s">
        <v>1156</v>
      </c>
      <c r="AA586" s="74" t="s">
        <v>1157</v>
      </c>
      <c r="AB586" s="74" t="s">
        <v>182</v>
      </c>
      <c r="AC586" s="74" t="s">
        <v>183</v>
      </c>
      <c r="AD586" s="74" t="s">
        <v>1152</v>
      </c>
      <c r="AG586" s="74" t="s">
        <v>1158</v>
      </c>
      <c r="AH586" s="74">
        <v>0</v>
      </c>
      <c r="AI586" s="74">
        <v>0</v>
      </c>
      <c r="AJ586" s="74">
        <v>0</v>
      </c>
      <c r="AK586" s="74">
        <v>0</v>
      </c>
      <c r="AL586" s="74">
        <v>0</v>
      </c>
    </row>
    <row r="587" spans="1:38" x14ac:dyDescent="0.3">
      <c r="A587" s="74" t="s">
        <v>1148</v>
      </c>
      <c r="B587" s="74">
        <v>14977</v>
      </c>
      <c r="C587" s="74">
        <v>3</v>
      </c>
      <c r="D587" s="74" t="s">
        <v>1154</v>
      </c>
      <c r="E587" s="74" t="s">
        <v>1155</v>
      </c>
      <c r="F587" s="74">
        <v>120</v>
      </c>
      <c r="G587" s="74">
        <v>27.22</v>
      </c>
      <c r="H587" s="74">
        <v>90</v>
      </c>
      <c r="I587" s="74">
        <v>25.33</v>
      </c>
      <c r="J587" s="74">
        <v>83.76</v>
      </c>
      <c r="K587" s="74">
        <v>20</v>
      </c>
      <c r="T587" s="74">
        <v>3</v>
      </c>
      <c r="U587" s="74">
        <v>2</v>
      </c>
      <c r="V587" s="74" t="s">
        <v>186</v>
      </c>
      <c r="W587" s="74">
        <v>90</v>
      </c>
      <c r="X587" s="74">
        <v>5</v>
      </c>
      <c r="Y587" s="74">
        <v>5</v>
      </c>
      <c r="Z587" s="74" t="s">
        <v>1156</v>
      </c>
      <c r="AA587" s="74" t="s">
        <v>1157</v>
      </c>
      <c r="AB587" s="74" t="s">
        <v>182</v>
      </c>
      <c r="AC587" s="74" t="s">
        <v>183</v>
      </c>
      <c r="AD587" s="74" t="s">
        <v>1152</v>
      </c>
      <c r="AG587" s="74" t="s">
        <v>1158</v>
      </c>
      <c r="AH587" s="74">
        <v>0</v>
      </c>
      <c r="AI587" s="74">
        <v>0</v>
      </c>
      <c r="AJ587" s="74">
        <v>0</v>
      </c>
      <c r="AK587" s="74">
        <v>0</v>
      </c>
      <c r="AL587" s="74">
        <v>0</v>
      </c>
    </row>
    <row r="588" spans="1:38" x14ac:dyDescent="0.3">
      <c r="A588" s="74" t="s">
        <v>1148</v>
      </c>
      <c r="B588" s="74">
        <v>27292</v>
      </c>
      <c r="C588" s="74">
        <v>1</v>
      </c>
      <c r="D588" s="74" t="s">
        <v>1159</v>
      </c>
      <c r="E588" s="74" t="s">
        <v>1059</v>
      </c>
      <c r="F588" s="74">
        <v>547</v>
      </c>
      <c r="G588" s="74">
        <v>23.13</v>
      </c>
      <c r="H588" s="74">
        <v>76.48</v>
      </c>
      <c r="I588" s="74">
        <v>18.059999999999999</v>
      </c>
      <c r="J588" s="74">
        <v>59.71</v>
      </c>
      <c r="K588" s="74">
        <v>48</v>
      </c>
      <c r="T588" s="74">
        <v>2</v>
      </c>
      <c r="U588" s="74">
        <v>1</v>
      </c>
      <c r="V588" s="74" t="s">
        <v>186</v>
      </c>
      <c r="W588" s="74">
        <v>76</v>
      </c>
      <c r="X588" s="74">
        <v>15</v>
      </c>
      <c r="Y588" s="74">
        <v>8</v>
      </c>
      <c r="Z588" s="74" t="s">
        <v>1160</v>
      </c>
      <c r="AA588" s="74" t="s">
        <v>1161</v>
      </c>
      <c r="AB588" s="74" t="s">
        <v>182</v>
      </c>
      <c r="AC588" s="74" t="s">
        <v>183</v>
      </c>
      <c r="AD588" s="74" t="s">
        <v>1152</v>
      </c>
      <c r="AG588" s="74" t="s">
        <v>1162</v>
      </c>
      <c r="AH588" s="74">
        <v>0</v>
      </c>
      <c r="AI588" s="74">
        <v>0</v>
      </c>
      <c r="AJ588" s="74">
        <v>0</v>
      </c>
      <c r="AK588" s="74">
        <v>452</v>
      </c>
      <c r="AL588" s="74">
        <v>0.83</v>
      </c>
    </row>
    <row r="589" spans="1:38" x14ac:dyDescent="0.3">
      <c r="A589" s="74" t="s">
        <v>1148</v>
      </c>
      <c r="B589" s="74">
        <v>27292</v>
      </c>
      <c r="C589" s="74">
        <v>2</v>
      </c>
      <c r="D589" s="74" t="s">
        <v>1159</v>
      </c>
      <c r="E589" s="74" t="s">
        <v>1059</v>
      </c>
      <c r="F589" s="74">
        <v>547</v>
      </c>
      <c r="G589" s="74">
        <v>24.95</v>
      </c>
      <c r="H589" s="74">
        <v>82.49</v>
      </c>
      <c r="I589" s="74">
        <v>18.14</v>
      </c>
      <c r="J589" s="74">
        <v>59.97</v>
      </c>
      <c r="K589" s="74">
        <v>259</v>
      </c>
      <c r="T589" s="74">
        <v>2</v>
      </c>
      <c r="U589" s="74">
        <v>1</v>
      </c>
      <c r="V589" s="74" t="s">
        <v>186</v>
      </c>
      <c r="W589" s="74">
        <v>82</v>
      </c>
      <c r="X589" s="74">
        <v>15</v>
      </c>
      <c r="Y589" s="74">
        <v>8</v>
      </c>
      <c r="Z589" s="74" t="s">
        <v>1160</v>
      </c>
      <c r="AA589" s="74" t="s">
        <v>1161</v>
      </c>
      <c r="AB589" s="74" t="s">
        <v>182</v>
      </c>
      <c r="AC589" s="74" t="s">
        <v>183</v>
      </c>
      <c r="AD589" s="74" t="s">
        <v>1152</v>
      </c>
      <c r="AG589" s="74" t="s">
        <v>1162</v>
      </c>
      <c r="AH589" s="74">
        <v>0</v>
      </c>
      <c r="AI589" s="74">
        <v>0</v>
      </c>
      <c r="AJ589" s="74">
        <v>0</v>
      </c>
      <c r="AK589" s="74">
        <v>452</v>
      </c>
      <c r="AL589" s="74">
        <v>0.83</v>
      </c>
    </row>
    <row r="590" spans="1:38" x14ac:dyDescent="0.3">
      <c r="A590" s="74" t="s">
        <v>1148</v>
      </c>
      <c r="B590" s="74">
        <v>27292</v>
      </c>
      <c r="C590" s="74">
        <v>3</v>
      </c>
      <c r="D590" s="74" t="s">
        <v>1159</v>
      </c>
      <c r="E590" s="74" t="s">
        <v>1059</v>
      </c>
      <c r="F590" s="74">
        <v>547</v>
      </c>
      <c r="G590" s="74">
        <v>31.19</v>
      </c>
      <c r="H590" s="74">
        <v>103.12</v>
      </c>
      <c r="I590" s="74">
        <v>25.7</v>
      </c>
      <c r="J590" s="74">
        <v>84.96</v>
      </c>
      <c r="K590" s="74">
        <v>210</v>
      </c>
      <c r="T590" s="74">
        <v>3</v>
      </c>
      <c r="U590" s="74">
        <v>2</v>
      </c>
      <c r="V590" s="74" t="s">
        <v>179</v>
      </c>
      <c r="W590" s="74" t="s">
        <v>152</v>
      </c>
      <c r="X590" s="74">
        <v>15</v>
      </c>
      <c r="Y590" s="74">
        <v>8</v>
      </c>
      <c r="Z590" s="74" t="s">
        <v>1160</v>
      </c>
      <c r="AA590" s="74" t="s">
        <v>1161</v>
      </c>
      <c r="AB590" s="74" t="s">
        <v>182</v>
      </c>
      <c r="AC590" s="74" t="s">
        <v>183</v>
      </c>
      <c r="AD590" s="74" t="s">
        <v>1152</v>
      </c>
      <c r="AG590" s="74" t="s">
        <v>1162</v>
      </c>
      <c r="AH590" s="74">
        <v>0</v>
      </c>
      <c r="AI590" s="74">
        <v>0</v>
      </c>
      <c r="AJ590" s="74">
        <v>0</v>
      </c>
      <c r="AK590" s="74">
        <v>452</v>
      </c>
      <c r="AL590" s="74">
        <v>0.83</v>
      </c>
    </row>
    <row r="591" spans="1:38" x14ac:dyDescent="0.3">
      <c r="A591" s="74" t="s">
        <v>1148</v>
      </c>
      <c r="B591" s="74">
        <v>27292</v>
      </c>
      <c r="C591" s="74">
        <v>4</v>
      </c>
      <c r="D591" s="74" t="s">
        <v>1159</v>
      </c>
      <c r="E591" s="74" t="s">
        <v>1059</v>
      </c>
      <c r="F591" s="74">
        <v>547</v>
      </c>
      <c r="G591" s="74">
        <v>31.19</v>
      </c>
      <c r="H591" s="74">
        <v>103.13</v>
      </c>
      <c r="I591" s="74">
        <v>25.7</v>
      </c>
      <c r="J591" s="74">
        <v>84.99</v>
      </c>
      <c r="K591" s="74">
        <v>30</v>
      </c>
      <c r="T591" s="74">
        <v>3</v>
      </c>
      <c r="U591" s="74">
        <v>2</v>
      </c>
      <c r="V591" s="74" t="s">
        <v>186</v>
      </c>
      <c r="W591" s="74" t="s">
        <v>134</v>
      </c>
      <c r="X591" s="74">
        <v>15</v>
      </c>
      <c r="Y591" s="74">
        <v>8</v>
      </c>
      <c r="Z591" s="74" t="s">
        <v>1160</v>
      </c>
      <c r="AA591" s="74" t="s">
        <v>1161</v>
      </c>
      <c r="AB591" s="74" t="s">
        <v>182</v>
      </c>
      <c r="AC591" s="74" t="s">
        <v>183</v>
      </c>
      <c r="AD591" s="74" t="s">
        <v>1152</v>
      </c>
      <c r="AG591" s="74" t="s">
        <v>1162</v>
      </c>
      <c r="AH591" s="74">
        <v>0</v>
      </c>
      <c r="AI591" s="74">
        <v>0</v>
      </c>
      <c r="AJ591" s="74">
        <v>0</v>
      </c>
      <c r="AK591" s="74">
        <v>452</v>
      </c>
      <c r="AL591" s="74">
        <v>0.83</v>
      </c>
    </row>
    <row r="592" spans="1:38" x14ac:dyDescent="0.3">
      <c r="A592" s="74" t="s">
        <v>1163</v>
      </c>
      <c r="B592" s="74">
        <v>113152</v>
      </c>
      <c r="C592" s="74">
        <v>1</v>
      </c>
      <c r="D592" s="74" t="s">
        <v>1164</v>
      </c>
      <c r="E592" s="74" t="s">
        <v>1165</v>
      </c>
      <c r="F592" s="74">
        <v>1400</v>
      </c>
      <c r="G592" s="74">
        <v>24.79</v>
      </c>
      <c r="H592" s="74">
        <v>81.98</v>
      </c>
      <c r="I592" s="74">
        <v>18.14</v>
      </c>
      <c r="J592" s="74">
        <v>59.98</v>
      </c>
      <c r="K592" s="74">
        <v>189</v>
      </c>
      <c r="T592" s="74">
        <v>3</v>
      </c>
      <c r="U592" s="74">
        <v>2</v>
      </c>
      <c r="V592" s="74" t="s">
        <v>186</v>
      </c>
      <c r="W592" s="74" t="s">
        <v>121</v>
      </c>
      <c r="X592" s="74">
        <v>29</v>
      </c>
      <c r="Y592" s="74">
        <v>24</v>
      </c>
      <c r="Z592" s="74" t="s">
        <v>1166</v>
      </c>
      <c r="AA592" s="74" t="s">
        <v>1167</v>
      </c>
      <c r="AB592" s="74" t="s">
        <v>182</v>
      </c>
      <c r="AC592" s="74" t="s">
        <v>183</v>
      </c>
      <c r="AD592" s="74" t="s">
        <v>159</v>
      </c>
      <c r="AG592" s="74" t="s">
        <v>1168</v>
      </c>
      <c r="AH592" s="74">
        <v>0</v>
      </c>
      <c r="AI592" s="74">
        <v>245</v>
      </c>
      <c r="AJ592" s="74">
        <v>15</v>
      </c>
      <c r="AK592" s="74">
        <v>1770</v>
      </c>
      <c r="AL592" s="74">
        <v>1.26</v>
      </c>
    </row>
    <row r="593" spans="1:38" x14ac:dyDescent="0.3">
      <c r="A593" s="74" t="s">
        <v>1163</v>
      </c>
      <c r="B593" s="74">
        <v>113152</v>
      </c>
      <c r="C593" s="74">
        <v>2</v>
      </c>
      <c r="D593" s="74" t="s">
        <v>1164</v>
      </c>
      <c r="E593" s="74" t="s">
        <v>1165</v>
      </c>
      <c r="F593" s="74">
        <v>1400</v>
      </c>
      <c r="G593" s="74">
        <v>24.91</v>
      </c>
      <c r="H593" s="74">
        <v>82.37</v>
      </c>
      <c r="I593" s="74">
        <v>17.91</v>
      </c>
      <c r="J593" s="74">
        <v>59.23</v>
      </c>
      <c r="K593" s="74">
        <v>55</v>
      </c>
      <c r="T593" s="74">
        <v>3</v>
      </c>
      <c r="U593" s="74">
        <v>2</v>
      </c>
      <c r="V593" s="74" t="s">
        <v>186</v>
      </c>
      <c r="W593" s="74" t="s">
        <v>90</v>
      </c>
      <c r="X593" s="74">
        <v>29</v>
      </c>
      <c r="Y593" s="74">
        <v>24</v>
      </c>
      <c r="Z593" s="74" t="s">
        <v>1166</v>
      </c>
      <c r="AA593" s="74" t="s">
        <v>1167</v>
      </c>
      <c r="AB593" s="74" t="s">
        <v>182</v>
      </c>
      <c r="AC593" s="74" t="s">
        <v>183</v>
      </c>
      <c r="AD593" s="74" t="s">
        <v>159</v>
      </c>
      <c r="AG593" s="74" t="s">
        <v>1168</v>
      </c>
      <c r="AH593" s="74">
        <v>0</v>
      </c>
      <c r="AI593" s="74">
        <v>245</v>
      </c>
      <c r="AJ593" s="74">
        <v>15</v>
      </c>
      <c r="AK593" s="74">
        <v>1770</v>
      </c>
      <c r="AL593" s="74">
        <v>1.26</v>
      </c>
    </row>
    <row r="594" spans="1:38" x14ac:dyDescent="0.3">
      <c r="A594" s="74" t="s">
        <v>1163</v>
      </c>
      <c r="B594" s="74">
        <v>113152</v>
      </c>
      <c r="C594" s="74">
        <v>3</v>
      </c>
      <c r="D594" s="74" t="s">
        <v>1164</v>
      </c>
      <c r="E594" s="74" t="s">
        <v>1165</v>
      </c>
      <c r="F594" s="74">
        <v>1400</v>
      </c>
      <c r="G594" s="74">
        <v>30.75</v>
      </c>
      <c r="H594" s="74">
        <v>101.67</v>
      </c>
      <c r="I594" s="74">
        <v>22.65</v>
      </c>
      <c r="J594" s="74">
        <v>74.88</v>
      </c>
      <c r="K594" s="74">
        <v>279</v>
      </c>
      <c r="T594" s="74">
        <v>3</v>
      </c>
      <c r="U594" s="74">
        <v>2</v>
      </c>
      <c r="V594" s="74" t="s">
        <v>186</v>
      </c>
      <c r="W594" s="74" t="s">
        <v>114</v>
      </c>
      <c r="X594" s="74">
        <v>29</v>
      </c>
      <c r="Y594" s="74">
        <v>24</v>
      </c>
      <c r="Z594" s="74" t="s">
        <v>1166</v>
      </c>
      <c r="AA594" s="74" t="s">
        <v>1167</v>
      </c>
      <c r="AB594" s="74" t="s">
        <v>182</v>
      </c>
      <c r="AC594" s="74" t="s">
        <v>183</v>
      </c>
      <c r="AD594" s="74" t="s">
        <v>159</v>
      </c>
      <c r="AG594" s="74" t="s">
        <v>1168</v>
      </c>
      <c r="AH594" s="74">
        <v>0</v>
      </c>
      <c r="AI594" s="74">
        <v>245</v>
      </c>
      <c r="AJ594" s="74">
        <v>15</v>
      </c>
      <c r="AK594" s="74">
        <v>1770</v>
      </c>
      <c r="AL594" s="74">
        <v>1.26</v>
      </c>
    </row>
    <row r="595" spans="1:38" x14ac:dyDescent="0.3">
      <c r="A595" s="74" t="s">
        <v>1163</v>
      </c>
      <c r="B595" s="74">
        <v>113152</v>
      </c>
      <c r="C595" s="74">
        <v>4</v>
      </c>
      <c r="D595" s="74" t="s">
        <v>1164</v>
      </c>
      <c r="E595" s="74" t="s">
        <v>1165</v>
      </c>
      <c r="F595" s="74">
        <v>1400</v>
      </c>
      <c r="G595" s="74">
        <v>30.93</v>
      </c>
      <c r="H595" s="74">
        <v>102.28</v>
      </c>
      <c r="I595" s="74">
        <v>22.62</v>
      </c>
      <c r="J595" s="74">
        <v>74.790000000000006</v>
      </c>
      <c r="K595" s="74">
        <v>113</v>
      </c>
      <c r="T595" s="74">
        <v>3</v>
      </c>
      <c r="U595" s="74">
        <v>2</v>
      </c>
      <c r="V595" s="74" t="s">
        <v>186</v>
      </c>
      <c r="W595" s="74" t="s">
        <v>1169</v>
      </c>
      <c r="X595" s="74">
        <v>29</v>
      </c>
      <c r="Y595" s="74">
        <v>24</v>
      </c>
      <c r="Z595" s="74" t="s">
        <v>1166</v>
      </c>
      <c r="AA595" s="74" t="s">
        <v>1167</v>
      </c>
      <c r="AB595" s="74" t="s">
        <v>182</v>
      </c>
      <c r="AC595" s="74" t="s">
        <v>183</v>
      </c>
      <c r="AD595" s="74" t="s">
        <v>159</v>
      </c>
      <c r="AG595" s="74" t="s">
        <v>1168</v>
      </c>
      <c r="AH595" s="74">
        <v>0</v>
      </c>
      <c r="AI595" s="74">
        <v>245</v>
      </c>
      <c r="AJ595" s="74">
        <v>15</v>
      </c>
      <c r="AK595" s="74">
        <v>1770</v>
      </c>
      <c r="AL595" s="74">
        <v>1.26</v>
      </c>
    </row>
    <row r="596" spans="1:38" x14ac:dyDescent="0.3">
      <c r="A596" s="74" t="s">
        <v>1163</v>
      </c>
      <c r="B596" s="74">
        <v>113152</v>
      </c>
      <c r="C596" s="74">
        <v>5</v>
      </c>
      <c r="D596" s="74" t="s">
        <v>1164</v>
      </c>
      <c r="E596" s="74" t="s">
        <v>1165</v>
      </c>
      <c r="F596" s="74">
        <v>1400</v>
      </c>
      <c r="G596" s="74">
        <v>30.94</v>
      </c>
      <c r="H596" s="74">
        <v>102.31</v>
      </c>
      <c r="I596" s="74">
        <v>22.62</v>
      </c>
      <c r="J596" s="74">
        <v>74.790000000000006</v>
      </c>
      <c r="K596" s="74">
        <v>110</v>
      </c>
      <c r="T596" s="74">
        <v>3</v>
      </c>
      <c r="U596" s="74">
        <v>2</v>
      </c>
      <c r="V596" s="74" t="s">
        <v>186</v>
      </c>
      <c r="W596" s="74" t="s">
        <v>1170</v>
      </c>
      <c r="X596" s="74">
        <v>29</v>
      </c>
      <c r="Y596" s="74">
        <v>24</v>
      </c>
      <c r="Z596" s="74" t="s">
        <v>1166</v>
      </c>
      <c r="AA596" s="74" t="s">
        <v>1167</v>
      </c>
      <c r="AB596" s="74" t="s">
        <v>182</v>
      </c>
      <c r="AC596" s="74" t="s">
        <v>183</v>
      </c>
      <c r="AD596" s="74" t="s">
        <v>159</v>
      </c>
      <c r="AG596" s="74" t="s">
        <v>1168</v>
      </c>
      <c r="AH596" s="74">
        <v>0</v>
      </c>
      <c r="AI596" s="74">
        <v>245</v>
      </c>
      <c r="AJ596" s="74">
        <v>15</v>
      </c>
      <c r="AK596" s="74">
        <v>1770</v>
      </c>
      <c r="AL596" s="74">
        <v>1.26</v>
      </c>
    </row>
    <row r="597" spans="1:38" x14ac:dyDescent="0.3">
      <c r="A597" s="74" t="s">
        <v>1163</v>
      </c>
      <c r="B597" s="74">
        <v>113152</v>
      </c>
      <c r="C597" s="74">
        <v>6</v>
      </c>
      <c r="D597" s="74" t="s">
        <v>1164</v>
      </c>
      <c r="E597" s="74" t="s">
        <v>1165</v>
      </c>
      <c r="F597" s="74">
        <v>1400</v>
      </c>
      <c r="G597" s="74">
        <v>34.630000000000003</v>
      </c>
      <c r="H597" s="74">
        <v>114.51</v>
      </c>
      <c r="I597" s="74">
        <v>25.62</v>
      </c>
      <c r="J597" s="74">
        <v>84.72</v>
      </c>
      <c r="K597" s="74">
        <v>215</v>
      </c>
      <c r="T597" s="74">
        <v>3</v>
      </c>
      <c r="U597" s="74">
        <v>2</v>
      </c>
      <c r="V597" s="74" t="s">
        <v>186</v>
      </c>
      <c r="W597" s="74" t="s">
        <v>110</v>
      </c>
      <c r="X597" s="74">
        <v>29</v>
      </c>
      <c r="Y597" s="74">
        <v>24</v>
      </c>
      <c r="Z597" s="74" t="s">
        <v>1166</v>
      </c>
      <c r="AA597" s="74" t="s">
        <v>1167</v>
      </c>
      <c r="AB597" s="74" t="s">
        <v>182</v>
      </c>
      <c r="AC597" s="74" t="s">
        <v>183</v>
      </c>
      <c r="AD597" s="74" t="s">
        <v>159</v>
      </c>
      <c r="AG597" s="74" t="s">
        <v>1168</v>
      </c>
      <c r="AH597" s="74">
        <v>0</v>
      </c>
      <c r="AI597" s="74">
        <v>245</v>
      </c>
      <c r="AJ597" s="74">
        <v>15</v>
      </c>
      <c r="AK597" s="74">
        <v>1770</v>
      </c>
      <c r="AL597" s="74">
        <v>1.26</v>
      </c>
    </row>
    <row r="598" spans="1:38" x14ac:dyDescent="0.3">
      <c r="A598" s="74" t="s">
        <v>1163</v>
      </c>
      <c r="B598" s="74">
        <v>113152</v>
      </c>
      <c r="C598" s="74">
        <v>7</v>
      </c>
      <c r="D598" s="74" t="s">
        <v>1164</v>
      </c>
      <c r="E598" s="74" t="s">
        <v>1165</v>
      </c>
      <c r="F598" s="74">
        <v>1400</v>
      </c>
      <c r="G598" s="74">
        <v>34.58</v>
      </c>
      <c r="H598" s="74">
        <v>114.33</v>
      </c>
      <c r="I598" s="74">
        <v>25.58</v>
      </c>
      <c r="J598" s="74">
        <v>84.58</v>
      </c>
      <c r="K598" s="74">
        <v>128</v>
      </c>
      <c r="T598" s="74">
        <v>3</v>
      </c>
      <c r="U598" s="74">
        <v>2</v>
      </c>
      <c r="V598" s="74" t="s">
        <v>186</v>
      </c>
      <c r="W598" s="74">
        <v>114</v>
      </c>
      <c r="X598" s="74">
        <v>29</v>
      </c>
      <c r="Y598" s="74">
        <v>24</v>
      </c>
      <c r="Z598" s="74" t="s">
        <v>1166</v>
      </c>
      <c r="AA598" s="74" t="s">
        <v>1167</v>
      </c>
      <c r="AB598" s="74" t="s">
        <v>182</v>
      </c>
      <c r="AC598" s="74" t="s">
        <v>183</v>
      </c>
      <c r="AD598" s="74" t="s">
        <v>159</v>
      </c>
      <c r="AG598" s="74" t="s">
        <v>1168</v>
      </c>
      <c r="AH598" s="74">
        <v>0</v>
      </c>
      <c r="AI598" s="74">
        <v>245</v>
      </c>
      <c r="AJ598" s="74">
        <v>15</v>
      </c>
      <c r="AK598" s="74">
        <v>1770</v>
      </c>
      <c r="AL598" s="74">
        <v>1.26</v>
      </c>
    </row>
    <row r="599" spans="1:38" x14ac:dyDescent="0.3">
      <c r="A599" s="74" t="s">
        <v>1163</v>
      </c>
      <c r="B599" s="74">
        <v>113152</v>
      </c>
      <c r="C599" s="74">
        <v>8</v>
      </c>
      <c r="D599" s="74" t="s">
        <v>1164</v>
      </c>
      <c r="E599" s="74" t="s">
        <v>1165</v>
      </c>
      <c r="F599" s="74">
        <v>1400</v>
      </c>
      <c r="G599" s="74">
        <v>34.909999999999997</v>
      </c>
      <c r="H599" s="74">
        <v>115.43</v>
      </c>
      <c r="I599" s="74">
        <v>25.57</v>
      </c>
      <c r="J599" s="74">
        <v>84.55</v>
      </c>
      <c r="K599" s="74">
        <v>135</v>
      </c>
      <c r="T599" s="74">
        <v>3</v>
      </c>
      <c r="U599" s="74">
        <v>2</v>
      </c>
      <c r="V599" s="74" t="s">
        <v>186</v>
      </c>
      <c r="W599" s="74" t="s">
        <v>94</v>
      </c>
      <c r="X599" s="74">
        <v>29</v>
      </c>
      <c r="Y599" s="74">
        <v>24</v>
      </c>
      <c r="Z599" s="74" t="s">
        <v>1166</v>
      </c>
      <c r="AA599" s="74" t="s">
        <v>1167</v>
      </c>
      <c r="AB599" s="74" t="s">
        <v>182</v>
      </c>
      <c r="AC599" s="74" t="s">
        <v>183</v>
      </c>
      <c r="AD599" s="74" t="s">
        <v>159</v>
      </c>
      <c r="AG599" s="74" t="s">
        <v>1168</v>
      </c>
      <c r="AH599" s="74">
        <v>0</v>
      </c>
      <c r="AI599" s="74">
        <v>245</v>
      </c>
      <c r="AJ599" s="74">
        <v>15</v>
      </c>
      <c r="AK599" s="74">
        <v>1770</v>
      </c>
      <c r="AL599" s="74">
        <v>1.26</v>
      </c>
    </row>
    <row r="600" spans="1:38" x14ac:dyDescent="0.3">
      <c r="A600" s="74" t="s">
        <v>1163</v>
      </c>
      <c r="B600" s="74">
        <v>113152</v>
      </c>
      <c r="C600" s="74">
        <v>9</v>
      </c>
      <c r="D600" s="74" t="s">
        <v>1164</v>
      </c>
      <c r="E600" s="74" t="s">
        <v>1165</v>
      </c>
      <c r="F600" s="74">
        <v>1400</v>
      </c>
      <c r="G600" s="74">
        <v>34.979999999999997</v>
      </c>
      <c r="H600" s="74">
        <v>115.64</v>
      </c>
      <c r="I600" s="74">
        <v>25.42</v>
      </c>
      <c r="J600" s="74">
        <v>84.04</v>
      </c>
      <c r="K600" s="74">
        <v>127</v>
      </c>
      <c r="T600" s="74">
        <v>3</v>
      </c>
      <c r="U600" s="74">
        <v>2</v>
      </c>
      <c r="V600" s="74" t="s">
        <v>186</v>
      </c>
      <c r="W600" s="74" t="s">
        <v>141</v>
      </c>
      <c r="X600" s="74">
        <v>29</v>
      </c>
      <c r="Y600" s="74">
        <v>24</v>
      </c>
      <c r="Z600" s="74" t="s">
        <v>1166</v>
      </c>
      <c r="AA600" s="74" t="s">
        <v>1167</v>
      </c>
      <c r="AB600" s="74" t="s">
        <v>182</v>
      </c>
      <c r="AC600" s="74" t="s">
        <v>183</v>
      </c>
      <c r="AD600" s="74" t="s">
        <v>159</v>
      </c>
      <c r="AG600" s="74" t="s">
        <v>1168</v>
      </c>
      <c r="AH600" s="74">
        <v>0</v>
      </c>
      <c r="AI600" s="74">
        <v>245</v>
      </c>
      <c r="AJ600" s="74">
        <v>15</v>
      </c>
      <c r="AK600" s="74">
        <v>1770</v>
      </c>
      <c r="AL600" s="74">
        <v>1.26</v>
      </c>
    </row>
    <row r="601" spans="1:38" x14ac:dyDescent="0.3">
      <c r="A601" s="74" t="s">
        <v>1163</v>
      </c>
      <c r="B601" s="74">
        <v>113152</v>
      </c>
      <c r="C601" s="74">
        <v>10</v>
      </c>
      <c r="D601" s="74" t="s">
        <v>1164</v>
      </c>
      <c r="E601" s="74" t="s">
        <v>1165</v>
      </c>
      <c r="F601" s="74">
        <v>1400</v>
      </c>
      <c r="G601" s="74">
        <v>40.74</v>
      </c>
      <c r="H601" s="74">
        <v>134.68</v>
      </c>
      <c r="I601" s="74">
        <v>30.08</v>
      </c>
      <c r="J601" s="74">
        <v>99.46</v>
      </c>
      <c r="K601" s="74">
        <v>49</v>
      </c>
      <c r="T601" s="74">
        <v>4</v>
      </c>
      <c r="U601" s="74">
        <v>2</v>
      </c>
      <c r="V601" s="74" t="s">
        <v>186</v>
      </c>
      <c r="W601" s="74">
        <v>134</v>
      </c>
      <c r="X601" s="74">
        <v>29</v>
      </c>
      <c r="Y601" s="74">
        <v>24</v>
      </c>
      <c r="Z601" s="74" t="s">
        <v>1166</v>
      </c>
      <c r="AA601" s="74" t="s">
        <v>1167</v>
      </c>
      <c r="AB601" s="74" t="s">
        <v>182</v>
      </c>
      <c r="AC601" s="74" t="s">
        <v>183</v>
      </c>
      <c r="AD601" s="74" t="s">
        <v>159</v>
      </c>
      <c r="AG601" s="74" t="s">
        <v>1168</v>
      </c>
      <c r="AH601" s="74">
        <v>0</v>
      </c>
      <c r="AI601" s="74">
        <v>245</v>
      </c>
      <c r="AJ601" s="74">
        <v>15</v>
      </c>
      <c r="AK601" s="74">
        <v>1770</v>
      </c>
      <c r="AL601" s="74">
        <v>1.26</v>
      </c>
    </row>
    <row r="602" spans="1:38" x14ac:dyDescent="0.3">
      <c r="A602" s="74" t="s">
        <v>1163</v>
      </c>
      <c r="B602" s="74">
        <v>126738</v>
      </c>
      <c r="C602" s="74">
        <v>1</v>
      </c>
      <c r="D602" s="74" t="s">
        <v>1171</v>
      </c>
      <c r="E602" s="74" t="s">
        <v>1172</v>
      </c>
      <c r="F602" s="74">
        <v>770</v>
      </c>
      <c r="G602" s="74">
        <v>23.92</v>
      </c>
      <c r="H602" s="74">
        <v>79.08</v>
      </c>
      <c r="I602" s="74">
        <v>18.13</v>
      </c>
      <c r="J602" s="74">
        <v>59.94</v>
      </c>
      <c r="K602" s="74">
        <v>129</v>
      </c>
      <c r="T602" s="74">
        <v>3</v>
      </c>
      <c r="U602" s="74">
        <v>1</v>
      </c>
      <c r="V602" s="74" t="s">
        <v>186</v>
      </c>
      <c r="W602" s="74">
        <v>79</v>
      </c>
      <c r="X602" s="74">
        <v>25</v>
      </c>
      <c r="Y602" s="74">
        <v>14</v>
      </c>
      <c r="Z602" s="74" t="s">
        <v>1173</v>
      </c>
      <c r="AA602" s="74" t="s">
        <v>1174</v>
      </c>
      <c r="AB602" s="74" t="s">
        <v>182</v>
      </c>
      <c r="AC602" s="74" t="s">
        <v>183</v>
      </c>
      <c r="AD602" s="74" t="s">
        <v>159</v>
      </c>
      <c r="AG602" s="74" t="s">
        <v>1175</v>
      </c>
      <c r="AH602" s="74">
        <v>0</v>
      </c>
      <c r="AI602" s="74">
        <v>244</v>
      </c>
      <c r="AJ602" s="74">
        <v>15</v>
      </c>
      <c r="AK602" s="74">
        <v>837</v>
      </c>
      <c r="AL602" s="74">
        <v>1.0900000000000001</v>
      </c>
    </row>
    <row r="603" spans="1:38" x14ac:dyDescent="0.3">
      <c r="A603" s="74" t="s">
        <v>1163</v>
      </c>
      <c r="B603" s="74">
        <v>126738</v>
      </c>
      <c r="C603" s="74">
        <v>2</v>
      </c>
      <c r="D603" s="74" t="s">
        <v>1171</v>
      </c>
      <c r="E603" s="74" t="s">
        <v>1172</v>
      </c>
      <c r="F603" s="74">
        <v>770</v>
      </c>
      <c r="G603" s="74">
        <v>33.9</v>
      </c>
      <c r="H603" s="74">
        <v>112.09</v>
      </c>
      <c r="I603" s="74">
        <v>25.7</v>
      </c>
      <c r="J603" s="74">
        <v>84.96</v>
      </c>
      <c r="K603" s="74">
        <v>277</v>
      </c>
      <c r="T603" s="74">
        <v>3</v>
      </c>
      <c r="U603" s="74">
        <v>2</v>
      </c>
      <c r="V603" s="74" t="s">
        <v>186</v>
      </c>
      <c r="W603" s="74" t="s">
        <v>126</v>
      </c>
      <c r="X603" s="74">
        <v>25</v>
      </c>
      <c r="Y603" s="74">
        <v>14</v>
      </c>
      <c r="Z603" s="74" t="s">
        <v>1173</v>
      </c>
      <c r="AA603" s="74" t="s">
        <v>1174</v>
      </c>
      <c r="AB603" s="74" t="s">
        <v>182</v>
      </c>
      <c r="AC603" s="74" t="s">
        <v>183</v>
      </c>
      <c r="AD603" s="74" t="s">
        <v>159</v>
      </c>
      <c r="AG603" s="74" t="s">
        <v>1175</v>
      </c>
      <c r="AH603" s="74">
        <v>0</v>
      </c>
      <c r="AI603" s="74">
        <v>244</v>
      </c>
      <c r="AJ603" s="74">
        <v>15</v>
      </c>
      <c r="AK603" s="74">
        <v>837</v>
      </c>
      <c r="AL603" s="74">
        <v>1.0900000000000001</v>
      </c>
    </row>
    <row r="604" spans="1:38" x14ac:dyDescent="0.3">
      <c r="A604" s="74" t="s">
        <v>1163</v>
      </c>
      <c r="B604" s="74">
        <v>126738</v>
      </c>
      <c r="C604" s="74">
        <v>3</v>
      </c>
      <c r="D604" s="74" t="s">
        <v>1171</v>
      </c>
      <c r="E604" s="74" t="s">
        <v>1172</v>
      </c>
      <c r="F604" s="74">
        <v>770</v>
      </c>
      <c r="G604" s="74">
        <v>33.880000000000003</v>
      </c>
      <c r="H604" s="74">
        <v>112.02</v>
      </c>
      <c r="I604" s="74">
        <v>25.68</v>
      </c>
      <c r="J604" s="74">
        <v>84.91</v>
      </c>
      <c r="K604" s="74">
        <v>191</v>
      </c>
      <c r="T604" s="74">
        <v>3</v>
      </c>
      <c r="U604" s="74">
        <v>2</v>
      </c>
      <c r="V604" s="74" t="s">
        <v>186</v>
      </c>
      <c r="W604" s="74" t="s">
        <v>140</v>
      </c>
      <c r="X604" s="74">
        <v>25</v>
      </c>
      <c r="Y604" s="74">
        <v>14</v>
      </c>
      <c r="Z604" s="74" t="s">
        <v>1173</v>
      </c>
      <c r="AA604" s="74" t="s">
        <v>1174</v>
      </c>
      <c r="AB604" s="74" t="s">
        <v>182</v>
      </c>
      <c r="AC604" s="74" t="s">
        <v>183</v>
      </c>
      <c r="AD604" s="74" t="s">
        <v>159</v>
      </c>
      <c r="AG604" s="74" t="s">
        <v>1175</v>
      </c>
      <c r="AH604" s="74">
        <v>0</v>
      </c>
      <c r="AI604" s="74">
        <v>244</v>
      </c>
      <c r="AJ604" s="74">
        <v>15</v>
      </c>
      <c r="AK604" s="74">
        <v>837</v>
      </c>
      <c r="AL604" s="74">
        <v>1.0900000000000001</v>
      </c>
    </row>
    <row r="605" spans="1:38" x14ac:dyDescent="0.3">
      <c r="A605" s="74" t="s">
        <v>1163</v>
      </c>
      <c r="B605" s="74">
        <v>126738</v>
      </c>
      <c r="C605" s="74">
        <v>4</v>
      </c>
      <c r="D605" s="74" t="s">
        <v>1171</v>
      </c>
      <c r="E605" s="74" t="s">
        <v>1172</v>
      </c>
      <c r="F605" s="74">
        <v>770</v>
      </c>
      <c r="G605" s="74">
        <v>33.909999999999997</v>
      </c>
      <c r="H605" s="74">
        <v>112.13</v>
      </c>
      <c r="I605" s="74">
        <v>25.7</v>
      </c>
      <c r="J605" s="74">
        <v>84.99</v>
      </c>
      <c r="K605" s="74">
        <v>173</v>
      </c>
      <c r="T605" s="74">
        <v>3</v>
      </c>
      <c r="U605" s="74">
        <v>2</v>
      </c>
      <c r="V605" s="74" t="s">
        <v>186</v>
      </c>
      <c r="W605" s="74" t="s">
        <v>768</v>
      </c>
      <c r="X605" s="74">
        <v>25</v>
      </c>
      <c r="Y605" s="74">
        <v>14</v>
      </c>
      <c r="Z605" s="74" t="s">
        <v>1173</v>
      </c>
      <c r="AA605" s="74" t="s">
        <v>1174</v>
      </c>
      <c r="AB605" s="74" t="s">
        <v>182</v>
      </c>
      <c r="AC605" s="74" t="s">
        <v>183</v>
      </c>
      <c r="AD605" s="74" t="s">
        <v>159</v>
      </c>
      <c r="AG605" s="74" t="s">
        <v>1175</v>
      </c>
      <c r="AH605" s="74">
        <v>0</v>
      </c>
      <c r="AI605" s="74">
        <v>244</v>
      </c>
      <c r="AJ605" s="74">
        <v>15</v>
      </c>
      <c r="AK605" s="74">
        <v>837</v>
      </c>
      <c r="AL605" s="74">
        <v>1.0900000000000001</v>
      </c>
    </row>
    <row r="606" spans="1:38" x14ac:dyDescent="0.3">
      <c r="A606" s="74" t="s">
        <v>1163</v>
      </c>
      <c r="B606" s="74">
        <v>106468</v>
      </c>
      <c r="C606" s="74">
        <v>1</v>
      </c>
      <c r="D606" s="74" t="s">
        <v>1176</v>
      </c>
      <c r="E606" s="74" t="s">
        <v>292</v>
      </c>
      <c r="F606" s="74">
        <v>154</v>
      </c>
      <c r="G606" s="74">
        <v>18.170000000000002</v>
      </c>
      <c r="H606" s="74">
        <v>60.09</v>
      </c>
      <c r="I606" s="74">
        <v>13.44</v>
      </c>
      <c r="J606" s="74">
        <v>44.46</v>
      </c>
      <c r="K606" s="74">
        <v>28</v>
      </c>
      <c r="T606" s="74">
        <v>2</v>
      </c>
      <c r="U606" s="74">
        <v>1</v>
      </c>
      <c r="V606" s="74" t="s">
        <v>179</v>
      </c>
      <c r="W606" s="74">
        <v>60</v>
      </c>
      <c r="X606" s="74">
        <v>15</v>
      </c>
      <c r="Y606" s="74">
        <v>15</v>
      </c>
      <c r="Z606" s="74" t="s">
        <v>1177</v>
      </c>
      <c r="AA606" s="74" t="s">
        <v>1178</v>
      </c>
      <c r="AB606" s="74" t="s">
        <v>182</v>
      </c>
      <c r="AC606" s="74" t="s">
        <v>183</v>
      </c>
      <c r="AD606" s="74" t="s">
        <v>159</v>
      </c>
      <c r="AG606" s="74" t="s">
        <v>1179</v>
      </c>
      <c r="AH606" s="74">
        <v>3</v>
      </c>
      <c r="AI606" s="74">
        <v>580</v>
      </c>
      <c r="AJ606" s="74">
        <v>56</v>
      </c>
      <c r="AK606" s="74">
        <v>151</v>
      </c>
      <c r="AL606" s="74">
        <v>0.98</v>
      </c>
    </row>
    <row r="607" spans="1:38" x14ac:dyDescent="0.3">
      <c r="A607" s="74" t="s">
        <v>1163</v>
      </c>
      <c r="B607" s="74">
        <v>106468</v>
      </c>
      <c r="C607" s="74">
        <v>2</v>
      </c>
      <c r="D607" s="74" t="s">
        <v>1176</v>
      </c>
      <c r="E607" s="74" t="s">
        <v>292</v>
      </c>
      <c r="F607" s="74">
        <v>154</v>
      </c>
      <c r="G607" s="74">
        <v>27.05</v>
      </c>
      <c r="H607" s="74">
        <v>89.43</v>
      </c>
      <c r="I607" s="74">
        <v>20.059999999999999</v>
      </c>
      <c r="J607" s="74">
        <v>66.319999999999993</v>
      </c>
      <c r="K607" s="74">
        <v>27</v>
      </c>
      <c r="T607" s="74">
        <v>3</v>
      </c>
      <c r="U607" s="74">
        <v>1</v>
      </c>
      <c r="V607" s="74" t="s">
        <v>186</v>
      </c>
      <c r="W607" s="74">
        <v>89</v>
      </c>
      <c r="X607" s="74">
        <v>15</v>
      </c>
      <c r="Y607" s="74">
        <v>15</v>
      </c>
      <c r="Z607" s="74" t="s">
        <v>1177</v>
      </c>
      <c r="AA607" s="74" t="s">
        <v>1178</v>
      </c>
      <c r="AB607" s="74" t="s">
        <v>182</v>
      </c>
      <c r="AC607" s="74" t="s">
        <v>183</v>
      </c>
      <c r="AD607" s="74" t="s">
        <v>159</v>
      </c>
      <c r="AG607" s="74" t="s">
        <v>1179</v>
      </c>
      <c r="AH607" s="74">
        <v>3</v>
      </c>
      <c r="AI607" s="74">
        <v>580</v>
      </c>
      <c r="AJ607" s="74">
        <v>56</v>
      </c>
      <c r="AK607" s="74">
        <v>151</v>
      </c>
      <c r="AL607" s="74">
        <v>0.98</v>
      </c>
    </row>
    <row r="608" spans="1:38" x14ac:dyDescent="0.3">
      <c r="A608" s="74" t="s">
        <v>1163</v>
      </c>
      <c r="B608" s="74">
        <v>106468</v>
      </c>
      <c r="C608" s="74">
        <v>3</v>
      </c>
      <c r="D608" s="74" t="s">
        <v>1176</v>
      </c>
      <c r="E608" s="74" t="s">
        <v>292</v>
      </c>
      <c r="F608" s="74">
        <v>154</v>
      </c>
      <c r="G608" s="74">
        <v>34.56</v>
      </c>
      <c r="H608" s="74">
        <v>114.26</v>
      </c>
      <c r="I608" s="74">
        <v>25.6</v>
      </c>
      <c r="J608" s="74">
        <v>84.63</v>
      </c>
      <c r="K608" s="74">
        <v>96</v>
      </c>
      <c r="T608" s="74">
        <v>3</v>
      </c>
      <c r="U608" s="74">
        <v>2</v>
      </c>
      <c r="V608" s="74" t="s">
        <v>186</v>
      </c>
      <c r="W608" s="74">
        <v>114</v>
      </c>
      <c r="X608" s="74">
        <v>15</v>
      </c>
      <c r="Y608" s="74">
        <v>15</v>
      </c>
      <c r="Z608" s="74" t="s">
        <v>1177</v>
      </c>
      <c r="AA608" s="74" t="s">
        <v>1178</v>
      </c>
      <c r="AB608" s="74" t="s">
        <v>182</v>
      </c>
      <c r="AC608" s="74" t="s">
        <v>183</v>
      </c>
      <c r="AD608" s="74" t="s">
        <v>159</v>
      </c>
      <c r="AG608" s="74" t="s">
        <v>1179</v>
      </c>
      <c r="AH608" s="74">
        <v>3</v>
      </c>
      <c r="AI608" s="74">
        <v>580</v>
      </c>
      <c r="AJ608" s="74">
        <v>56</v>
      </c>
      <c r="AK608" s="74">
        <v>151</v>
      </c>
      <c r="AL608" s="74">
        <v>0.98</v>
      </c>
    </row>
    <row r="609" spans="1:38" x14ac:dyDescent="0.3">
      <c r="A609" s="74" t="s">
        <v>1163</v>
      </c>
      <c r="B609" s="74">
        <v>5067</v>
      </c>
      <c r="C609" s="74">
        <v>1</v>
      </c>
      <c r="D609" s="74" t="s">
        <v>242</v>
      </c>
      <c r="E609" s="74" t="s">
        <v>1180</v>
      </c>
      <c r="F609" s="74">
        <v>306</v>
      </c>
      <c r="G609" s="74">
        <v>27.91</v>
      </c>
      <c r="H609" s="74">
        <v>92.27</v>
      </c>
      <c r="I609" s="74">
        <v>22.33</v>
      </c>
      <c r="J609" s="74">
        <v>73.83</v>
      </c>
      <c r="K609" s="74">
        <v>72</v>
      </c>
      <c r="T609" s="74">
        <v>3</v>
      </c>
      <c r="U609" s="74">
        <v>1</v>
      </c>
      <c r="V609" s="74" t="s">
        <v>186</v>
      </c>
      <c r="W609" s="74">
        <v>92</v>
      </c>
      <c r="X609" s="74">
        <v>15</v>
      </c>
      <c r="Y609" s="74">
        <v>12</v>
      </c>
      <c r="Z609" s="74" t="s">
        <v>1181</v>
      </c>
      <c r="AA609" s="74" t="s">
        <v>1182</v>
      </c>
      <c r="AB609" s="74" t="s">
        <v>182</v>
      </c>
      <c r="AC609" s="74" t="s">
        <v>183</v>
      </c>
      <c r="AD609" s="74" t="s">
        <v>159</v>
      </c>
      <c r="AG609" s="74" t="s">
        <v>1183</v>
      </c>
      <c r="AH609" s="74">
        <v>0</v>
      </c>
      <c r="AI609" s="74">
        <v>226</v>
      </c>
      <c r="AJ609" s="74">
        <v>19</v>
      </c>
      <c r="AK609" s="74">
        <v>306</v>
      </c>
      <c r="AL609" s="74">
        <v>1</v>
      </c>
    </row>
    <row r="610" spans="1:38" x14ac:dyDescent="0.3">
      <c r="A610" s="74" t="s">
        <v>1163</v>
      </c>
      <c r="B610" s="74">
        <v>5067</v>
      </c>
      <c r="C610" s="74">
        <v>2</v>
      </c>
      <c r="D610" s="74" t="s">
        <v>242</v>
      </c>
      <c r="E610" s="74" t="s">
        <v>1180</v>
      </c>
      <c r="F610" s="74">
        <v>306</v>
      </c>
      <c r="G610" s="74">
        <v>27.9</v>
      </c>
      <c r="H610" s="74">
        <v>92.24</v>
      </c>
      <c r="I610" s="74">
        <v>22.22</v>
      </c>
      <c r="J610" s="74">
        <v>73.47</v>
      </c>
      <c r="K610" s="74">
        <v>72</v>
      </c>
      <c r="T610" s="74">
        <v>3</v>
      </c>
      <c r="U610" s="74">
        <v>1</v>
      </c>
      <c r="V610" s="74" t="s">
        <v>186</v>
      </c>
      <c r="W610" s="74" t="s">
        <v>153</v>
      </c>
      <c r="X610" s="74">
        <v>15</v>
      </c>
      <c r="Y610" s="74">
        <v>12</v>
      </c>
      <c r="Z610" s="74" t="s">
        <v>1181</v>
      </c>
      <c r="AA610" s="74" t="s">
        <v>1182</v>
      </c>
      <c r="AB610" s="74" t="s">
        <v>182</v>
      </c>
      <c r="AC610" s="74" t="s">
        <v>183</v>
      </c>
      <c r="AD610" s="74" t="s">
        <v>159</v>
      </c>
      <c r="AG610" s="74" t="s">
        <v>1183</v>
      </c>
      <c r="AH610" s="74">
        <v>0</v>
      </c>
      <c r="AI610" s="74">
        <v>226</v>
      </c>
      <c r="AJ610" s="74">
        <v>19</v>
      </c>
      <c r="AK610" s="74">
        <v>306</v>
      </c>
      <c r="AL610" s="74">
        <v>1</v>
      </c>
    </row>
    <row r="611" spans="1:38" x14ac:dyDescent="0.3">
      <c r="A611" s="74" t="s">
        <v>1163</v>
      </c>
      <c r="B611" s="74">
        <v>5067</v>
      </c>
      <c r="C611" s="74">
        <v>3</v>
      </c>
      <c r="D611" s="74" t="s">
        <v>242</v>
      </c>
      <c r="E611" s="74" t="s">
        <v>1180</v>
      </c>
      <c r="F611" s="74">
        <v>306</v>
      </c>
      <c r="G611" s="74">
        <v>31.65</v>
      </c>
      <c r="H611" s="74">
        <v>104.63</v>
      </c>
      <c r="I611" s="74">
        <v>25.7</v>
      </c>
      <c r="J611" s="74">
        <v>84.99</v>
      </c>
      <c r="K611" s="74">
        <v>132</v>
      </c>
      <c r="T611" s="74">
        <v>3</v>
      </c>
      <c r="U611" s="74">
        <v>2</v>
      </c>
      <c r="V611" s="74" t="s">
        <v>186</v>
      </c>
      <c r="W611" s="74">
        <v>104</v>
      </c>
      <c r="X611" s="74">
        <v>15</v>
      </c>
      <c r="Y611" s="74">
        <v>12</v>
      </c>
      <c r="Z611" s="74" t="s">
        <v>1181</v>
      </c>
      <c r="AA611" s="74" t="s">
        <v>1182</v>
      </c>
      <c r="AB611" s="74" t="s">
        <v>182</v>
      </c>
      <c r="AC611" s="74" t="s">
        <v>183</v>
      </c>
      <c r="AD611" s="74" t="s">
        <v>159</v>
      </c>
      <c r="AG611" s="74" t="s">
        <v>1183</v>
      </c>
      <c r="AH611" s="74">
        <v>0</v>
      </c>
      <c r="AI611" s="74">
        <v>226</v>
      </c>
      <c r="AJ611" s="74">
        <v>19</v>
      </c>
      <c r="AK611" s="74">
        <v>306</v>
      </c>
      <c r="AL611" s="74">
        <v>1</v>
      </c>
    </row>
    <row r="612" spans="1:38" x14ac:dyDescent="0.3">
      <c r="A612" s="74" t="s">
        <v>1163</v>
      </c>
      <c r="B612" s="74">
        <v>5067</v>
      </c>
      <c r="C612" s="74">
        <v>4</v>
      </c>
      <c r="D612" s="74" t="s">
        <v>242</v>
      </c>
      <c r="E612" s="74" t="s">
        <v>1180</v>
      </c>
      <c r="F612" s="74">
        <v>306</v>
      </c>
      <c r="G612" s="74">
        <v>31.6</v>
      </c>
      <c r="H612" s="74">
        <v>104.47</v>
      </c>
      <c r="I612" s="74">
        <v>25.68</v>
      </c>
      <c r="J612" s="74">
        <v>84.9</v>
      </c>
      <c r="K612" s="74">
        <v>30</v>
      </c>
      <c r="T612" s="74">
        <v>3</v>
      </c>
      <c r="U612" s="74">
        <v>2</v>
      </c>
      <c r="V612" s="74" t="s">
        <v>186</v>
      </c>
      <c r="W612" s="74" t="s">
        <v>1184</v>
      </c>
      <c r="X612" s="74">
        <v>15</v>
      </c>
      <c r="Y612" s="74">
        <v>12</v>
      </c>
      <c r="Z612" s="74" t="s">
        <v>1181</v>
      </c>
      <c r="AA612" s="74" t="s">
        <v>1182</v>
      </c>
      <c r="AB612" s="74" t="s">
        <v>182</v>
      </c>
      <c r="AC612" s="74" t="s">
        <v>183</v>
      </c>
      <c r="AD612" s="74" t="s">
        <v>159</v>
      </c>
      <c r="AG612" s="74" t="s">
        <v>1183</v>
      </c>
      <c r="AH612" s="74">
        <v>0</v>
      </c>
      <c r="AI612" s="74">
        <v>226</v>
      </c>
      <c r="AJ612" s="74">
        <v>19</v>
      </c>
      <c r="AK612" s="74">
        <v>306</v>
      </c>
      <c r="AL612" s="74">
        <v>1</v>
      </c>
    </row>
    <row r="613" spans="1:38" x14ac:dyDescent="0.3">
      <c r="A613" s="74" t="s">
        <v>1163</v>
      </c>
      <c r="B613" s="74">
        <v>128224</v>
      </c>
      <c r="C613" s="74">
        <v>1</v>
      </c>
      <c r="D613" s="74" t="s">
        <v>1185</v>
      </c>
      <c r="E613" s="74" t="s">
        <v>1186</v>
      </c>
      <c r="F613" s="74">
        <v>402</v>
      </c>
      <c r="G613" s="74">
        <v>16.239999999999998</v>
      </c>
      <c r="H613" s="74">
        <v>53.69</v>
      </c>
      <c r="I613" s="74">
        <v>12.08</v>
      </c>
      <c r="J613" s="74">
        <v>39.96</v>
      </c>
      <c r="K613" s="74">
        <v>402</v>
      </c>
      <c r="T613" s="74">
        <v>2</v>
      </c>
      <c r="U613" s="74">
        <v>1</v>
      </c>
      <c r="V613" s="74" t="s">
        <v>186</v>
      </c>
      <c r="W613" s="74">
        <v>53</v>
      </c>
      <c r="X613" s="74">
        <v>18</v>
      </c>
      <c r="Y613" s="74">
        <v>15</v>
      </c>
      <c r="Z613" s="74" t="s">
        <v>1187</v>
      </c>
      <c r="AA613" s="74" t="s">
        <v>1188</v>
      </c>
      <c r="AB613" s="74" t="s">
        <v>182</v>
      </c>
      <c r="AC613" s="74" t="s">
        <v>183</v>
      </c>
      <c r="AD613" s="74" t="s">
        <v>159</v>
      </c>
      <c r="AG613" s="74" t="s">
        <v>1189</v>
      </c>
      <c r="AH613" s="74">
        <v>0</v>
      </c>
      <c r="AI613" s="74">
        <v>418</v>
      </c>
      <c r="AJ613" s="74">
        <v>33</v>
      </c>
      <c r="AK613" s="74">
        <v>245</v>
      </c>
      <c r="AL613" s="74">
        <v>0.61</v>
      </c>
    </row>
    <row r="614" spans="1:38" x14ac:dyDescent="0.3">
      <c r="A614" s="74" t="s">
        <v>1163</v>
      </c>
      <c r="B614" s="74">
        <v>112707</v>
      </c>
      <c r="C614" s="74">
        <v>1</v>
      </c>
      <c r="D614" s="74" t="s">
        <v>1190</v>
      </c>
      <c r="E614" s="74" t="s">
        <v>1191</v>
      </c>
      <c r="F614" s="74">
        <v>854</v>
      </c>
      <c r="G614" s="74">
        <v>24.35</v>
      </c>
      <c r="H614" s="74">
        <v>80.5</v>
      </c>
      <c r="I614" s="74">
        <v>18.11</v>
      </c>
      <c r="J614" s="74">
        <v>59.88</v>
      </c>
      <c r="K614" s="74">
        <v>174</v>
      </c>
      <c r="T614" s="74">
        <v>3</v>
      </c>
      <c r="U614" s="74">
        <v>2</v>
      </c>
      <c r="V614" s="74" t="s">
        <v>186</v>
      </c>
      <c r="W614" s="74">
        <v>80</v>
      </c>
      <c r="X614" s="74">
        <v>29</v>
      </c>
      <c r="Y614" s="74">
        <v>29</v>
      </c>
      <c r="Z614" s="74" t="s">
        <v>1192</v>
      </c>
      <c r="AA614" s="74" t="s">
        <v>1193</v>
      </c>
      <c r="AB614" s="74" t="s">
        <v>182</v>
      </c>
      <c r="AC614" s="74" t="s">
        <v>183</v>
      </c>
      <c r="AD614" s="74" t="s">
        <v>159</v>
      </c>
      <c r="AG614" s="74" t="s">
        <v>1194</v>
      </c>
      <c r="AH614" s="74">
        <v>0</v>
      </c>
      <c r="AI614" s="74">
        <v>0</v>
      </c>
      <c r="AJ614" s="74">
        <v>0</v>
      </c>
      <c r="AK614" s="74">
        <v>1100</v>
      </c>
      <c r="AL614" s="74">
        <v>1.29</v>
      </c>
    </row>
    <row r="615" spans="1:38" x14ac:dyDescent="0.3">
      <c r="A615" s="74" t="s">
        <v>1163</v>
      </c>
      <c r="B615" s="74">
        <v>112707</v>
      </c>
      <c r="C615" s="74">
        <v>2</v>
      </c>
      <c r="D615" s="74" t="s">
        <v>1190</v>
      </c>
      <c r="E615" s="74" t="s">
        <v>1191</v>
      </c>
      <c r="F615" s="74">
        <v>854</v>
      </c>
      <c r="G615" s="74">
        <v>30.38</v>
      </c>
      <c r="H615" s="74">
        <v>100.43</v>
      </c>
      <c r="I615" s="74">
        <v>22.67</v>
      </c>
      <c r="J615" s="74">
        <v>74.959999999999994</v>
      </c>
      <c r="K615" s="74">
        <v>174</v>
      </c>
      <c r="T615" s="74">
        <v>3</v>
      </c>
      <c r="U615" s="74">
        <v>2</v>
      </c>
      <c r="V615" s="74" t="s">
        <v>186</v>
      </c>
      <c r="W615" s="74" t="s">
        <v>116</v>
      </c>
      <c r="X615" s="74">
        <v>29</v>
      </c>
      <c r="Y615" s="74">
        <v>29</v>
      </c>
      <c r="Z615" s="74" t="s">
        <v>1192</v>
      </c>
      <c r="AA615" s="74" t="s">
        <v>1193</v>
      </c>
      <c r="AB615" s="74" t="s">
        <v>182</v>
      </c>
      <c r="AC615" s="74" t="s">
        <v>183</v>
      </c>
      <c r="AD615" s="74" t="s">
        <v>159</v>
      </c>
      <c r="AG615" s="74" t="s">
        <v>1194</v>
      </c>
      <c r="AH615" s="74">
        <v>0</v>
      </c>
      <c r="AI615" s="74">
        <v>0</v>
      </c>
      <c r="AJ615" s="74">
        <v>0</v>
      </c>
      <c r="AK615" s="74">
        <v>1100</v>
      </c>
      <c r="AL615" s="74">
        <v>1.29</v>
      </c>
    </row>
    <row r="616" spans="1:38" x14ac:dyDescent="0.3">
      <c r="A616" s="74" t="s">
        <v>1163</v>
      </c>
      <c r="B616" s="74">
        <v>112707</v>
      </c>
      <c r="C616" s="74">
        <v>3</v>
      </c>
      <c r="D616" s="74" t="s">
        <v>1190</v>
      </c>
      <c r="E616" s="74" t="s">
        <v>1191</v>
      </c>
      <c r="F616" s="74">
        <v>854</v>
      </c>
      <c r="G616" s="74">
        <v>30.27</v>
      </c>
      <c r="H616" s="74">
        <v>100.08</v>
      </c>
      <c r="I616" s="74">
        <v>22.67</v>
      </c>
      <c r="J616" s="74">
        <v>74.959999999999994</v>
      </c>
      <c r="K616" s="74">
        <v>84</v>
      </c>
      <c r="T616" s="74">
        <v>3</v>
      </c>
      <c r="U616" s="74">
        <v>2</v>
      </c>
      <c r="V616" s="74" t="s">
        <v>186</v>
      </c>
      <c r="W616" s="74" t="s">
        <v>115</v>
      </c>
      <c r="X616" s="74">
        <v>29</v>
      </c>
      <c r="Y616" s="74">
        <v>29</v>
      </c>
      <c r="Z616" s="74" t="s">
        <v>1192</v>
      </c>
      <c r="AA616" s="74" t="s">
        <v>1193</v>
      </c>
      <c r="AB616" s="74" t="s">
        <v>182</v>
      </c>
      <c r="AC616" s="74" t="s">
        <v>183</v>
      </c>
      <c r="AD616" s="74" t="s">
        <v>159</v>
      </c>
      <c r="AG616" s="74" t="s">
        <v>1194</v>
      </c>
      <c r="AH616" s="74">
        <v>0</v>
      </c>
      <c r="AI616" s="74">
        <v>0</v>
      </c>
      <c r="AJ616" s="74">
        <v>0</v>
      </c>
      <c r="AK616" s="74">
        <v>1100</v>
      </c>
      <c r="AL616" s="74">
        <v>1.29</v>
      </c>
    </row>
    <row r="617" spans="1:38" x14ac:dyDescent="0.3">
      <c r="A617" s="74" t="s">
        <v>1163</v>
      </c>
      <c r="B617" s="74">
        <v>112707</v>
      </c>
      <c r="C617" s="74">
        <v>4</v>
      </c>
      <c r="D617" s="74" t="s">
        <v>1190</v>
      </c>
      <c r="E617" s="74" t="s">
        <v>1191</v>
      </c>
      <c r="F617" s="74">
        <v>854</v>
      </c>
      <c r="G617" s="74">
        <v>34.229999999999997</v>
      </c>
      <c r="H617" s="74">
        <v>113.18</v>
      </c>
      <c r="I617" s="74">
        <v>25.7</v>
      </c>
      <c r="J617" s="74">
        <v>84.99</v>
      </c>
      <c r="K617" s="74">
        <v>253</v>
      </c>
      <c r="T617" s="74">
        <v>3</v>
      </c>
      <c r="U617" s="74">
        <v>2</v>
      </c>
      <c r="V617" s="74" t="s">
        <v>186</v>
      </c>
      <c r="W617" s="74" t="s">
        <v>108</v>
      </c>
      <c r="X617" s="74">
        <v>29</v>
      </c>
      <c r="Y617" s="74">
        <v>29</v>
      </c>
      <c r="Z617" s="74" t="s">
        <v>1192</v>
      </c>
      <c r="AA617" s="74" t="s">
        <v>1193</v>
      </c>
      <c r="AB617" s="74" t="s">
        <v>182</v>
      </c>
      <c r="AC617" s="74" t="s">
        <v>183</v>
      </c>
      <c r="AD617" s="74" t="s">
        <v>159</v>
      </c>
      <c r="AG617" s="74" t="s">
        <v>1194</v>
      </c>
      <c r="AH617" s="74">
        <v>0</v>
      </c>
      <c r="AI617" s="74">
        <v>0</v>
      </c>
      <c r="AJ617" s="74">
        <v>0</v>
      </c>
      <c r="AK617" s="74">
        <v>1100</v>
      </c>
      <c r="AL617" s="74">
        <v>1.29</v>
      </c>
    </row>
    <row r="618" spans="1:38" x14ac:dyDescent="0.3">
      <c r="A618" s="74" t="s">
        <v>1163</v>
      </c>
      <c r="B618" s="74">
        <v>112707</v>
      </c>
      <c r="C618" s="74">
        <v>5</v>
      </c>
      <c r="D618" s="74" t="s">
        <v>1190</v>
      </c>
      <c r="E618" s="74" t="s">
        <v>1191</v>
      </c>
      <c r="F618" s="74">
        <v>854</v>
      </c>
      <c r="G618" s="74">
        <v>34.46</v>
      </c>
      <c r="H618" s="74">
        <v>113.93</v>
      </c>
      <c r="I618" s="74">
        <v>25.64</v>
      </c>
      <c r="J618" s="74">
        <v>84.78</v>
      </c>
      <c r="K618" s="74">
        <v>82</v>
      </c>
      <c r="T618" s="74">
        <v>3</v>
      </c>
      <c r="U618" s="74">
        <v>2</v>
      </c>
      <c r="V618" s="74" t="s">
        <v>186</v>
      </c>
      <c r="W618" s="74" t="s">
        <v>267</v>
      </c>
      <c r="X618" s="74">
        <v>29</v>
      </c>
      <c r="Y618" s="74">
        <v>29</v>
      </c>
      <c r="Z618" s="74" t="s">
        <v>1192</v>
      </c>
      <c r="AA618" s="74" t="s">
        <v>1193</v>
      </c>
      <c r="AB618" s="74" t="s">
        <v>182</v>
      </c>
      <c r="AC618" s="74" t="s">
        <v>183</v>
      </c>
      <c r="AD618" s="74" t="s">
        <v>159</v>
      </c>
      <c r="AG618" s="74" t="s">
        <v>1194</v>
      </c>
      <c r="AH618" s="74">
        <v>0</v>
      </c>
      <c r="AI618" s="74">
        <v>0</v>
      </c>
      <c r="AJ618" s="74">
        <v>0</v>
      </c>
      <c r="AK618" s="74">
        <v>1100</v>
      </c>
      <c r="AL618" s="74">
        <v>1.29</v>
      </c>
    </row>
    <row r="619" spans="1:38" x14ac:dyDescent="0.3">
      <c r="A619" s="74" t="s">
        <v>1163</v>
      </c>
      <c r="B619" s="74">
        <v>112707</v>
      </c>
      <c r="C619" s="74">
        <v>6</v>
      </c>
      <c r="D619" s="74" t="s">
        <v>1190</v>
      </c>
      <c r="E619" s="74" t="s">
        <v>1191</v>
      </c>
      <c r="F619" s="74">
        <v>854</v>
      </c>
      <c r="G619" s="74">
        <v>42.42</v>
      </c>
      <c r="H619" s="74">
        <v>140.25</v>
      </c>
      <c r="I619" s="74">
        <v>32.17</v>
      </c>
      <c r="J619" s="74">
        <v>106.35</v>
      </c>
      <c r="K619" s="74">
        <v>87</v>
      </c>
      <c r="T619" s="74">
        <v>4</v>
      </c>
      <c r="U619" s="74">
        <v>2</v>
      </c>
      <c r="V619" s="74" t="s">
        <v>186</v>
      </c>
      <c r="W619" s="74">
        <v>140</v>
      </c>
      <c r="X619" s="74">
        <v>29</v>
      </c>
      <c r="Y619" s="74">
        <v>29</v>
      </c>
      <c r="Z619" s="74" t="s">
        <v>1192</v>
      </c>
      <c r="AA619" s="74" t="s">
        <v>1193</v>
      </c>
      <c r="AB619" s="74" t="s">
        <v>182</v>
      </c>
      <c r="AC619" s="74" t="s">
        <v>183</v>
      </c>
      <c r="AD619" s="74" t="s">
        <v>159</v>
      </c>
      <c r="AG619" s="74" t="s">
        <v>1194</v>
      </c>
      <c r="AH619" s="74">
        <v>0</v>
      </c>
      <c r="AI619" s="74">
        <v>0</v>
      </c>
      <c r="AJ619" s="74">
        <v>0</v>
      </c>
      <c r="AK619" s="74">
        <v>1100</v>
      </c>
      <c r="AL619" s="74">
        <v>1.29</v>
      </c>
    </row>
    <row r="620" spans="1:38" x14ac:dyDescent="0.3">
      <c r="A620" s="74" t="s">
        <v>1163</v>
      </c>
      <c r="B620" s="74">
        <v>5069</v>
      </c>
      <c r="C620" s="74">
        <v>1</v>
      </c>
      <c r="D620" s="74" t="s">
        <v>1195</v>
      </c>
      <c r="E620" s="74" t="s">
        <v>487</v>
      </c>
      <c r="F620" s="74">
        <v>270</v>
      </c>
      <c r="G620" s="74">
        <v>20.13</v>
      </c>
      <c r="H620" s="74">
        <v>66.55</v>
      </c>
      <c r="I620" s="74">
        <v>14.86</v>
      </c>
      <c r="J620" s="74">
        <v>49.14</v>
      </c>
      <c r="K620" s="74">
        <v>150</v>
      </c>
      <c r="T620" s="74">
        <v>2</v>
      </c>
      <c r="U620" s="74">
        <v>1</v>
      </c>
      <c r="V620" s="74" t="s">
        <v>179</v>
      </c>
      <c r="W620" s="74">
        <v>66</v>
      </c>
      <c r="X620" s="74">
        <v>15</v>
      </c>
      <c r="Y620" s="74">
        <v>15</v>
      </c>
      <c r="Z620" s="74" t="s">
        <v>1196</v>
      </c>
      <c r="AA620" s="74" t="s">
        <v>1197</v>
      </c>
      <c r="AB620" s="74" t="s">
        <v>182</v>
      </c>
      <c r="AC620" s="74" t="s">
        <v>183</v>
      </c>
      <c r="AD620" s="74" t="s">
        <v>159</v>
      </c>
      <c r="AG620" s="74" t="s">
        <v>1198</v>
      </c>
      <c r="AH620" s="74">
        <v>0</v>
      </c>
      <c r="AI620" s="74">
        <v>189</v>
      </c>
      <c r="AJ620" s="74">
        <v>15</v>
      </c>
      <c r="AK620" s="74">
        <v>122</v>
      </c>
      <c r="AL620" s="74">
        <v>0.45</v>
      </c>
    </row>
    <row r="621" spans="1:38" x14ac:dyDescent="0.3">
      <c r="A621" s="74" t="s">
        <v>1163</v>
      </c>
      <c r="B621" s="74">
        <v>5069</v>
      </c>
      <c r="C621" s="74">
        <v>2</v>
      </c>
      <c r="D621" s="74" t="s">
        <v>1195</v>
      </c>
      <c r="E621" s="74" t="s">
        <v>487</v>
      </c>
      <c r="F621" s="74">
        <v>270</v>
      </c>
      <c r="G621" s="74">
        <v>24.02</v>
      </c>
      <c r="H621" s="74">
        <v>79.42</v>
      </c>
      <c r="I621" s="74">
        <v>17.96</v>
      </c>
      <c r="J621" s="74">
        <v>59.4</v>
      </c>
      <c r="K621" s="74">
        <v>120</v>
      </c>
      <c r="T621" s="74">
        <v>3</v>
      </c>
      <c r="U621" s="74">
        <v>1</v>
      </c>
      <c r="V621" s="74" t="s">
        <v>179</v>
      </c>
      <c r="W621" s="74">
        <v>79</v>
      </c>
      <c r="X621" s="74">
        <v>15</v>
      </c>
      <c r="Y621" s="74">
        <v>15</v>
      </c>
      <c r="Z621" s="74" t="s">
        <v>1196</v>
      </c>
      <c r="AA621" s="74" t="s">
        <v>1197</v>
      </c>
      <c r="AB621" s="74" t="s">
        <v>182</v>
      </c>
      <c r="AC621" s="74" t="s">
        <v>183</v>
      </c>
      <c r="AD621" s="74" t="s">
        <v>159</v>
      </c>
      <c r="AG621" s="74" t="s">
        <v>1198</v>
      </c>
      <c r="AH621" s="74">
        <v>0</v>
      </c>
      <c r="AI621" s="74">
        <v>189</v>
      </c>
      <c r="AJ621" s="74">
        <v>15</v>
      </c>
      <c r="AK621" s="74">
        <v>122</v>
      </c>
      <c r="AL621" s="74">
        <v>0.45</v>
      </c>
    </row>
    <row r="622" spans="1:38" x14ac:dyDescent="0.3">
      <c r="A622" s="74" t="s">
        <v>1163</v>
      </c>
      <c r="B622" s="74">
        <v>139928</v>
      </c>
      <c r="C622" s="74">
        <v>1</v>
      </c>
      <c r="D622" s="74" t="s">
        <v>1199</v>
      </c>
      <c r="E622" s="74" t="s">
        <v>1200</v>
      </c>
      <c r="F622" s="74">
        <v>771</v>
      </c>
      <c r="G622" s="74">
        <v>33.159999999999997</v>
      </c>
      <c r="H622" s="74">
        <v>109.63</v>
      </c>
      <c r="I622" s="74">
        <v>25.7</v>
      </c>
      <c r="J622" s="74">
        <v>84.99</v>
      </c>
      <c r="K622" s="74">
        <v>442</v>
      </c>
      <c r="T622" s="74">
        <v>3</v>
      </c>
      <c r="U622" s="74">
        <v>2</v>
      </c>
      <c r="V622" s="74" t="s">
        <v>186</v>
      </c>
      <c r="W622" s="74" t="s">
        <v>123</v>
      </c>
      <c r="X622" s="74">
        <v>29</v>
      </c>
      <c r="Y622" s="74">
        <v>19</v>
      </c>
      <c r="Z622" s="74" t="s">
        <v>1201</v>
      </c>
      <c r="AA622" s="74" t="s">
        <v>1202</v>
      </c>
      <c r="AB622" s="74" t="s">
        <v>182</v>
      </c>
      <c r="AC622" s="74" t="s">
        <v>183</v>
      </c>
      <c r="AD622" s="74" t="s">
        <v>159</v>
      </c>
      <c r="AG622" s="74" t="s">
        <v>266</v>
      </c>
      <c r="AH622" s="74">
        <v>0</v>
      </c>
      <c r="AI622" s="74">
        <v>249</v>
      </c>
      <c r="AJ622" s="74">
        <v>17</v>
      </c>
      <c r="AK622" s="74">
        <v>1094</v>
      </c>
      <c r="AL622" s="74">
        <v>1.42</v>
      </c>
    </row>
    <row r="623" spans="1:38" x14ac:dyDescent="0.3">
      <c r="A623" s="74" t="s">
        <v>1163</v>
      </c>
      <c r="B623" s="74">
        <v>139928</v>
      </c>
      <c r="C623" s="74">
        <v>2</v>
      </c>
      <c r="D623" s="74" t="s">
        <v>1199</v>
      </c>
      <c r="E623" s="74" t="s">
        <v>1200</v>
      </c>
      <c r="F623" s="74">
        <v>771</v>
      </c>
      <c r="G623" s="74">
        <v>33.159999999999997</v>
      </c>
      <c r="H623" s="74">
        <v>109.65</v>
      </c>
      <c r="I623" s="74">
        <v>25.7</v>
      </c>
      <c r="J623" s="74">
        <v>84.99</v>
      </c>
      <c r="K623" s="74">
        <v>111</v>
      </c>
      <c r="T623" s="74">
        <v>3</v>
      </c>
      <c r="U623" s="74">
        <v>2</v>
      </c>
      <c r="V623" s="74" t="s">
        <v>186</v>
      </c>
      <c r="W623" s="74" t="s">
        <v>1203</v>
      </c>
      <c r="X623" s="74">
        <v>29</v>
      </c>
      <c r="Y623" s="74">
        <v>19</v>
      </c>
      <c r="Z623" s="74" t="s">
        <v>1201</v>
      </c>
      <c r="AA623" s="74" t="s">
        <v>1202</v>
      </c>
      <c r="AB623" s="74" t="s">
        <v>182</v>
      </c>
      <c r="AC623" s="74" t="s">
        <v>183</v>
      </c>
      <c r="AD623" s="74" t="s">
        <v>159</v>
      </c>
      <c r="AG623" s="74" t="s">
        <v>266</v>
      </c>
      <c r="AH623" s="74">
        <v>0</v>
      </c>
      <c r="AI623" s="74">
        <v>249</v>
      </c>
      <c r="AJ623" s="74">
        <v>17</v>
      </c>
      <c r="AK623" s="74">
        <v>1094</v>
      </c>
      <c r="AL623" s="74">
        <v>1.42</v>
      </c>
    </row>
    <row r="624" spans="1:38" x14ac:dyDescent="0.3">
      <c r="A624" s="74" t="s">
        <v>1163</v>
      </c>
      <c r="B624" s="74">
        <v>139928</v>
      </c>
      <c r="C624" s="74">
        <v>3</v>
      </c>
      <c r="D624" s="74" t="s">
        <v>1199</v>
      </c>
      <c r="E624" s="74" t="s">
        <v>1200</v>
      </c>
      <c r="F624" s="74">
        <v>771</v>
      </c>
      <c r="G624" s="74">
        <v>33.18</v>
      </c>
      <c r="H624" s="74">
        <v>109.7</v>
      </c>
      <c r="I624" s="74">
        <v>25.7</v>
      </c>
      <c r="J624" s="74">
        <v>84.97</v>
      </c>
      <c r="K624" s="74">
        <v>36</v>
      </c>
      <c r="T624" s="74">
        <v>3</v>
      </c>
      <c r="U624" s="74">
        <v>2</v>
      </c>
      <c r="V624" s="74" t="s">
        <v>186</v>
      </c>
      <c r="W624" s="74" t="s">
        <v>1204</v>
      </c>
      <c r="X624" s="74">
        <v>29</v>
      </c>
      <c r="Y624" s="74">
        <v>19</v>
      </c>
      <c r="Z624" s="74" t="s">
        <v>1201</v>
      </c>
      <c r="AA624" s="74" t="s">
        <v>1202</v>
      </c>
      <c r="AB624" s="74" t="s">
        <v>182</v>
      </c>
      <c r="AC624" s="74" t="s">
        <v>183</v>
      </c>
      <c r="AD624" s="74" t="s">
        <v>159</v>
      </c>
      <c r="AG624" s="74" t="s">
        <v>266</v>
      </c>
      <c r="AH624" s="74">
        <v>0</v>
      </c>
      <c r="AI624" s="74">
        <v>249</v>
      </c>
      <c r="AJ624" s="74">
        <v>17</v>
      </c>
      <c r="AK624" s="74">
        <v>1094</v>
      </c>
      <c r="AL624" s="74">
        <v>1.42</v>
      </c>
    </row>
    <row r="625" spans="1:38" x14ac:dyDescent="0.3">
      <c r="A625" s="74" t="s">
        <v>1163</v>
      </c>
      <c r="B625" s="74">
        <v>139928</v>
      </c>
      <c r="C625" s="74">
        <v>4</v>
      </c>
      <c r="D625" s="74" t="s">
        <v>1199</v>
      </c>
      <c r="E625" s="74" t="s">
        <v>1200</v>
      </c>
      <c r="F625" s="74">
        <v>771</v>
      </c>
      <c r="G625" s="74">
        <v>40.94</v>
      </c>
      <c r="H625" s="74">
        <v>135.35</v>
      </c>
      <c r="I625" s="74">
        <v>32.35</v>
      </c>
      <c r="J625" s="74">
        <v>106.95</v>
      </c>
      <c r="K625" s="74">
        <v>125</v>
      </c>
      <c r="T625" s="74">
        <v>4</v>
      </c>
      <c r="U625" s="74">
        <v>2</v>
      </c>
      <c r="V625" s="74" t="s">
        <v>186</v>
      </c>
      <c r="W625" s="74">
        <v>135</v>
      </c>
      <c r="X625" s="74">
        <v>29</v>
      </c>
      <c r="Y625" s="74">
        <v>19</v>
      </c>
      <c r="Z625" s="74" t="s">
        <v>1201</v>
      </c>
      <c r="AA625" s="74" t="s">
        <v>1202</v>
      </c>
      <c r="AB625" s="74" t="s">
        <v>182</v>
      </c>
      <c r="AC625" s="74" t="s">
        <v>183</v>
      </c>
      <c r="AD625" s="74" t="s">
        <v>159</v>
      </c>
      <c r="AG625" s="74" t="s">
        <v>266</v>
      </c>
      <c r="AH625" s="74">
        <v>0</v>
      </c>
      <c r="AI625" s="74">
        <v>249</v>
      </c>
      <c r="AJ625" s="74">
        <v>17</v>
      </c>
      <c r="AK625" s="74">
        <v>1094</v>
      </c>
      <c r="AL625" s="74">
        <v>1.42</v>
      </c>
    </row>
    <row r="626" spans="1:38" x14ac:dyDescent="0.3">
      <c r="A626" s="74" t="s">
        <v>1163</v>
      </c>
      <c r="B626" s="74">
        <v>139928</v>
      </c>
      <c r="C626" s="74">
        <v>5</v>
      </c>
      <c r="D626" s="74" t="s">
        <v>1199</v>
      </c>
      <c r="E626" s="74" t="s">
        <v>1200</v>
      </c>
      <c r="F626" s="74">
        <v>771</v>
      </c>
      <c r="G626" s="74">
        <v>47.8</v>
      </c>
      <c r="H626" s="74">
        <v>158.02000000000001</v>
      </c>
      <c r="I626" s="74">
        <v>37.79</v>
      </c>
      <c r="J626" s="74">
        <v>124.93</v>
      </c>
      <c r="K626" s="74">
        <v>54</v>
      </c>
      <c r="T626" s="74">
        <v>4</v>
      </c>
      <c r="U626" s="74">
        <v>2</v>
      </c>
      <c r="V626" s="74" t="s">
        <v>186</v>
      </c>
      <c r="W626" s="74">
        <v>158</v>
      </c>
      <c r="X626" s="74">
        <v>29</v>
      </c>
      <c r="Y626" s="74">
        <v>19</v>
      </c>
      <c r="Z626" s="74" t="s">
        <v>1201</v>
      </c>
      <c r="AA626" s="74" t="s">
        <v>1202</v>
      </c>
      <c r="AB626" s="74" t="s">
        <v>182</v>
      </c>
      <c r="AC626" s="74" t="s">
        <v>183</v>
      </c>
      <c r="AD626" s="74" t="s">
        <v>159</v>
      </c>
      <c r="AG626" s="74" t="s">
        <v>266</v>
      </c>
      <c r="AH626" s="74">
        <v>0</v>
      </c>
      <c r="AI626" s="74">
        <v>249</v>
      </c>
      <c r="AJ626" s="74">
        <v>17</v>
      </c>
      <c r="AK626" s="74">
        <v>1094</v>
      </c>
      <c r="AL626" s="74">
        <v>1.42</v>
      </c>
    </row>
    <row r="627" spans="1:38" x14ac:dyDescent="0.3">
      <c r="A627" s="74" t="s">
        <v>1163</v>
      </c>
      <c r="B627" s="74">
        <v>139928</v>
      </c>
      <c r="C627" s="74">
        <v>6</v>
      </c>
      <c r="D627" s="74" t="s">
        <v>1199</v>
      </c>
      <c r="E627" s="74" t="s">
        <v>1200</v>
      </c>
      <c r="F627" s="74">
        <v>771</v>
      </c>
      <c r="G627" s="74">
        <v>55.76</v>
      </c>
      <c r="H627" s="74">
        <v>184.36</v>
      </c>
      <c r="I627" s="74">
        <v>43.28</v>
      </c>
      <c r="J627" s="74">
        <v>143.08000000000001</v>
      </c>
      <c r="K627" s="74">
        <v>1</v>
      </c>
      <c r="T627" s="74">
        <v>4</v>
      </c>
      <c r="U627" s="74">
        <v>3</v>
      </c>
      <c r="V627" s="74" t="s">
        <v>186</v>
      </c>
      <c r="W627" s="74">
        <v>184</v>
      </c>
      <c r="X627" s="74">
        <v>29</v>
      </c>
      <c r="Y627" s="74">
        <v>19</v>
      </c>
      <c r="Z627" s="74" t="s">
        <v>1201</v>
      </c>
      <c r="AA627" s="74" t="s">
        <v>1202</v>
      </c>
      <c r="AB627" s="74" t="s">
        <v>182</v>
      </c>
      <c r="AC627" s="74" t="s">
        <v>183</v>
      </c>
      <c r="AD627" s="74" t="s">
        <v>159</v>
      </c>
      <c r="AG627" s="74" t="s">
        <v>266</v>
      </c>
      <c r="AH627" s="74">
        <v>0</v>
      </c>
      <c r="AI627" s="74">
        <v>249</v>
      </c>
      <c r="AJ627" s="74">
        <v>17</v>
      </c>
      <c r="AK627" s="74">
        <v>1094</v>
      </c>
      <c r="AL627" s="74">
        <v>1.42</v>
      </c>
    </row>
    <row r="628" spans="1:38" x14ac:dyDescent="0.3">
      <c r="A628" s="74" t="s">
        <v>1163</v>
      </c>
      <c r="B628" s="74">
        <v>139928</v>
      </c>
      <c r="C628" s="74">
        <v>7</v>
      </c>
      <c r="D628" s="74" t="s">
        <v>1199</v>
      </c>
      <c r="E628" s="74" t="s">
        <v>1200</v>
      </c>
      <c r="F628" s="74">
        <v>771</v>
      </c>
      <c r="G628" s="74">
        <v>59.74</v>
      </c>
      <c r="H628" s="74">
        <v>197.51</v>
      </c>
      <c r="I628" s="74">
        <v>46.88</v>
      </c>
      <c r="J628" s="74">
        <v>154.97999999999999</v>
      </c>
      <c r="K628" s="74">
        <v>2</v>
      </c>
      <c r="T628" s="74">
        <v>5</v>
      </c>
      <c r="U628" s="74">
        <v>3</v>
      </c>
      <c r="V628" s="74" t="s">
        <v>186</v>
      </c>
      <c r="W628" s="74">
        <v>197</v>
      </c>
      <c r="X628" s="74">
        <v>29</v>
      </c>
      <c r="Y628" s="74">
        <v>19</v>
      </c>
      <c r="Z628" s="74" t="s">
        <v>1201</v>
      </c>
      <c r="AA628" s="74" t="s">
        <v>1202</v>
      </c>
      <c r="AB628" s="74" t="s">
        <v>182</v>
      </c>
      <c r="AC628" s="74" t="s">
        <v>183</v>
      </c>
      <c r="AD628" s="74" t="s">
        <v>159</v>
      </c>
      <c r="AG628" s="74" t="s">
        <v>266</v>
      </c>
      <c r="AH628" s="74">
        <v>0</v>
      </c>
      <c r="AI628" s="74">
        <v>249</v>
      </c>
      <c r="AJ628" s="74">
        <v>17</v>
      </c>
      <c r="AK628" s="74">
        <v>1094</v>
      </c>
      <c r="AL628" s="74">
        <v>1.42</v>
      </c>
    </row>
    <row r="629" spans="1:38" x14ac:dyDescent="0.3">
      <c r="A629" s="74" t="s">
        <v>1163</v>
      </c>
      <c r="B629" s="74">
        <v>5065</v>
      </c>
      <c r="C629" s="74">
        <v>1</v>
      </c>
      <c r="D629" s="74" t="s">
        <v>1205</v>
      </c>
      <c r="E629" s="74" t="s">
        <v>358</v>
      </c>
      <c r="F629" s="74">
        <v>383</v>
      </c>
      <c r="G629" s="74">
        <v>18.3</v>
      </c>
      <c r="H629" s="74">
        <v>60.51</v>
      </c>
      <c r="I629" s="74">
        <v>14.4</v>
      </c>
      <c r="J629" s="74">
        <v>47.62</v>
      </c>
      <c r="K629" s="74">
        <v>120</v>
      </c>
      <c r="T629" s="74">
        <v>3</v>
      </c>
      <c r="U629" s="74">
        <v>1</v>
      </c>
      <c r="V629" s="74" t="s">
        <v>186</v>
      </c>
      <c r="W629" s="74">
        <v>60</v>
      </c>
      <c r="X629" s="74">
        <v>15</v>
      </c>
      <c r="Y629" s="74">
        <v>12</v>
      </c>
      <c r="Z629" s="74" t="s">
        <v>1206</v>
      </c>
      <c r="AA629" s="74" t="s">
        <v>1207</v>
      </c>
      <c r="AB629" s="74" t="s">
        <v>182</v>
      </c>
      <c r="AC629" s="74" t="s">
        <v>183</v>
      </c>
      <c r="AD629" s="74" t="s">
        <v>159</v>
      </c>
      <c r="AG629" s="74" t="s">
        <v>1208</v>
      </c>
      <c r="AH629" s="74">
        <v>0</v>
      </c>
      <c r="AI629" s="74">
        <v>197</v>
      </c>
      <c r="AJ629" s="74">
        <v>18</v>
      </c>
      <c r="AK629" s="74">
        <v>346</v>
      </c>
      <c r="AL629" s="74">
        <v>0.9</v>
      </c>
    </row>
    <row r="630" spans="1:38" x14ac:dyDescent="0.3">
      <c r="A630" s="74" t="s">
        <v>1163</v>
      </c>
      <c r="B630" s="74">
        <v>5065</v>
      </c>
      <c r="C630" s="74">
        <v>2</v>
      </c>
      <c r="D630" s="74" t="s">
        <v>1205</v>
      </c>
      <c r="E630" s="74" t="s">
        <v>358</v>
      </c>
      <c r="F630" s="74">
        <v>383</v>
      </c>
      <c r="G630" s="74">
        <v>22.99</v>
      </c>
      <c r="H630" s="74">
        <v>76.03</v>
      </c>
      <c r="I630" s="74">
        <v>18.100000000000001</v>
      </c>
      <c r="J630" s="74">
        <v>59.84</v>
      </c>
      <c r="K630" s="74">
        <v>263</v>
      </c>
      <c r="T630" s="74">
        <v>3</v>
      </c>
      <c r="U630" s="74">
        <v>1</v>
      </c>
      <c r="V630" s="74" t="s">
        <v>186</v>
      </c>
      <c r="W630" s="74">
        <v>76</v>
      </c>
      <c r="X630" s="74">
        <v>15</v>
      </c>
      <c r="Y630" s="74">
        <v>12</v>
      </c>
      <c r="Z630" s="74" t="s">
        <v>1206</v>
      </c>
      <c r="AA630" s="74" t="s">
        <v>1207</v>
      </c>
      <c r="AB630" s="74" t="s">
        <v>182</v>
      </c>
      <c r="AC630" s="74" t="s">
        <v>183</v>
      </c>
      <c r="AD630" s="74" t="s">
        <v>159</v>
      </c>
      <c r="AG630" s="74" t="s">
        <v>1208</v>
      </c>
      <c r="AH630" s="74">
        <v>0</v>
      </c>
      <c r="AI630" s="74">
        <v>197</v>
      </c>
      <c r="AJ630" s="74">
        <v>18</v>
      </c>
      <c r="AK630" s="74">
        <v>346</v>
      </c>
      <c r="AL630" s="74">
        <v>0.9</v>
      </c>
    </row>
    <row r="631" spans="1:38" x14ac:dyDescent="0.3">
      <c r="A631" s="74" t="s">
        <v>1163</v>
      </c>
      <c r="B631" s="74">
        <v>111158</v>
      </c>
      <c r="C631" s="74">
        <v>1</v>
      </c>
      <c r="D631" s="74" t="s">
        <v>1209</v>
      </c>
      <c r="E631" s="74" t="s">
        <v>1210</v>
      </c>
      <c r="F631" s="74">
        <v>480</v>
      </c>
      <c r="G631" s="74">
        <v>33.47</v>
      </c>
      <c r="H631" s="74">
        <v>110.66</v>
      </c>
      <c r="I631" s="74">
        <v>25.67</v>
      </c>
      <c r="J631" s="74">
        <v>84.88</v>
      </c>
      <c r="K631" s="74">
        <v>251</v>
      </c>
      <c r="T631" s="74">
        <v>3</v>
      </c>
      <c r="U631" s="74">
        <v>2</v>
      </c>
      <c r="V631" s="74" t="s">
        <v>186</v>
      </c>
      <c r="W631" s="74" t="s">
        <v>62</v>
      </c>
      <c r="X631" s="74">
        <v>36</v>
      </c>
      <c r="Y631" s="74">
        <v>27</v>
      </c>
      <c r="Z631" s="74" t="s">
        <v>1211</v>
      </c>
      <c r="AA631" s="74" t="s">
        <v>1212</v>
      </c>
      <c r="AB631" s="74" t="s">
        <v>182</v>
      </c>
      <c r="AC631" s="74" t="s">
        <v>183</v>
      </c>
      <c r="AD631" s="74" t="s">
        <v>159</v>
      </c>
      <c r="AG631" s="74" t="s">
        <v>1213</v>
      </c>
      <c r="AH631" s="74">
        <v>0</v>
      </c>
      <c r="AI631" s="74">
        <v>598</v>
      </c>
      <c r="AJ631" s="74">
        <v>69</v>
      </c>
      <c r="AK631" s="74">
        <v>652</v>
      </c>
      <c r="AL631" s="74">
        <v>1.36</v>
      </c>
    </row>
    <row r="632" spans="1:38" x14ac:dyDescent="0.3">
      <c r="A632" s="74" t="s">
        <v>1163</v>
      </c>
      <c r="B632" s="74">
        <v>111158</v>
      </c>
      <c r="C632" s="74">
        <v>2</v>
      </c>
      <c r="D632" s="74" t="s">
        <v>1209</v>
      </c>
      <c r="E632" s="74" t="s">
        <v>1210</v>
      </c>
      <c r="F632" s="74">
        <v>480</v>
      </c>
      <c r="G632" s="74">
        <v>33.33</v>
      </c>
      <c r="H632" s="74">
        <v>110.21</v>
      </c>
      <c r="I632" s="74">
        <v>25.7</v>
      </c>
      <c r="J632" s="74">
        <v>84.99</v>
      </c>
      <c r="K632" s="74">
        <v>229</v>
      </c>
      <c r="T632" s="74">
        <v>3</v>
      </c>
      <c r="U632" s="74">
        <v>2</v>
      </c>
      <c r="V632" s="74" t="s">
        <v>186</v>
      </c>
      <c r="W632" s="74" t="s">
        <v>97</v>
      </c>
      <c r="X632" s="74">
        <v>36</v>
      </c>
      <c r="Y632" s="74">
        <v>27</v>
      </c>
      <c r="Z632" s="74" t="s">
        <v>1211</v>
      </c>
      <c r="AA632" s="74" t="s">
        <v>1212</v>
      </c>
      <c r="AB632" s="74" t="s">
        <v>182</v>
      </c>
      <c r="AC632" s="74" t="s">
        <v>183</v>
      </c>
      <c r="AD632" s="74" t="s">
        <v>159</v>
      </c>
      <c r="AG632" s="74" t="s">
        <v>1213</v>
      </c>
      <c r="AH632" s="74">
        <v>0</v>
      </c>
      <c r="AI632" s="74">
        <v>598</v>
      </c>
      <c r="AJ632" s="74">
        <v>69</v>
      </c>
      <c r="AK632" s="74">
        <v>652</v>
      </c>
      <c r="AL632" s="74">
        <v>1.36</v>
      </c>
    </row>
    <row r="633" spans="1:38" x14ac:dyDescent="0.3">
      <c r="A633" s="74" t="s">
        <v>1163</v>
      </c>
      <c r="B633" s="74">
        <v>5073</v>
      </c>
      <c r="C633" s="74">
        <v>1</v>
      </c>
      <c r="D633" s="74" t="s">
        <v>217</v>
      </c>
      <c r="E633" s="74" t="s">
        <v>595</v>
      </c>
      <c r="F633" s="74">
        <v>560</v>
      </c>
      <c r="G633" s="74">
        <v>27.78</v>
      </c>
      <c r="H633" s="74">
        <v>91.86</v>
      </c>
      <c r="I633" s="74">
        <v>22.72</v>
      </c>
      <c r="J633" s="74">
        <v>75.12</v>
      </c>
      <c r="K633" s="74">
        <v>112</v>
      </c>
      <c r="T633" s="74">
        <v>3</v>
      </c>
      <c r="U633" s="74">
        <v>1</v>
      </c>
      <c r="V633" s="74" t="s">
        <v>186</v>
      </c>
      <c r="W633" s="74">
        <v>91</v>
      </c>
      <c r="X633" s="74">
        <v>15</v>
      </c>
      <c r="Y633" s="74">
        <v>14</v>
      </c>
      <c r="Z633" s="74" t="s">
        <v>1214</v>
      </c>
      <c r="AA633" s="74" t="s">
        <v>1215</v>
      </c>
      <c r="AB633" s="74" t="s">
        <v>182</v>
      </c>
      <c r="AC633" s="74" t="s">
        <v>183</v>
      </c>
      <c r="AD633" s="74" t="s">
        <v>159</v>
      </c>
      <c r="AG633" s="74" t="s">
        <v>1216</v>
      </c>
      <c r="AH633" s="74">
        <v>0</v>
      </c>
      <c r="AI633" s="74">
        <v>199</v>
      </c>
      <c r="AJ633" s="74">
        <v>18</v>
      </c>
      <c r="AK633" s="74">
        <v>560</v>
      </c>
      <c r="AL633" s="74">
        <v>1</v>
      </c>
    </row>
    <row r="634" spans="1:38" x14ac:dyDescent="0.3">
      <c r="A634" s="74" t="s">
        <v>1163</v>
      </c>
      <c r="B634" s="74">
        <v>5073</v>
      </c>
      <c r="C634" s="74">
        <v>2</v>
      </c>
      <c r="D634" s="74" t="s">
        <v>217</v>
      </c>
      <c r="E634" s="74" t="s">
        <v>595</v>
      </c>
      <c r="F634" s="74">
        <v>560</v>
      </c>
      <c r="G634" s="74">
        <v>27.75</v>
      </c>
      <c r="H634" s="74">
        <v>91.75</v>
      </c>
      <c r="I634" s="74">
        <v>22.69</v>
      </c>
      <c r="J634" s="74">
        <v>75.03</v>
      </c>
      <c r="K634" s="74">
        <v>28</v>
      </c>
      <c r="T634" s="74">
        <v>3</v>
      </c>
      <c r="U634" s="74">
        <v>1</v>
      </c>
      <c r="V634" s="74" t="s">
        <v>186</v>
      </c>
      <c r="W634" s="74">
        <v>91</v>
      </c>
      <c r="X634" s="74">
        <v>15</v>
      </c>
      <c r="Y634" s="74">
        <v>14</v>
      </c>
      <c r="Z634" s="74" t="s">
        <v>1214</v>
      </c>
      <c r="AA634" s="74" t="s">
        <v>1215</v>
      </c>
      <c r="AB634" s="74" t="s">
        <v>182</v>
      </c>
      <c r="AC634" s="74" t="s">
        <v>183</v>
      </c>
      <c r="AD634" s="74" t="s">
        <v>159</v>
      </c>
      <c r="AG634" s="74" t="s">
        <v>1216</v>
      </c>
      <c r="AH634" s="74">
        <v>0</v>
      </c>
      <c r="AI634" s="74">
        <v>199</v>
      </c>
      <c r="AJ634" s="74">
        <v>18</v>
      </c>
      <c r="AK634" s="74">
        <v>560</v>
      </c>
      <c r="AL634" s="74">
        <v>1</v>
      </c>
    </row>
    <row r="635" spans="1:38" x14ac:dyDescent="0.3">
      <c r="A635" s="74" t="s">
        <v>1163</v>
      </c>
      <c r="B635" s="74">
        <v>5073</v>
      </c>
      <c r="C635" s="74">
        <v>3</v>
      </c>
      <c r="D635" s="74" t="s">
        <v>217</v>
      </c>
      <c r="E635" s="74" t="s">
        <v>595</v>
      </c>
      <c r="F635" s="74">
        <v>560</v>
      </c>
      <c r="G635" s="74">
        <v>31.42</v>
      </c>
      <c r="H635" s="74">
        <v>103.89</v>
      </c>
      <c r="I635" s="74">
        <v>25.7</v>
      </c>
      <c r="J635" s="74">
        <v>84.96</v>
      </c>
      <c r="K635" s="74">
        <v>420</v>
      </c>
      <c r="T635" s="74">
        <v>3</v>
      </c>
      <c r="U635" s="74">
        <v>2</v>
      </c>
      <c r="V635" s="74" t="s">
        <v>186</v>
      </c>
      <c r="W635" s="74">
        <v>103</v>
      </c>
      <c r="X635" s="74">
        <v>15</v>
      </c>
      <c r="Y635" s="74">
        <v>14</v>
      </c>
      <c r="Z635" s="74" t="s">
        <v>1214</v>
      </c>
      <c r="AA635" s="74" t="s">
        <v>1215</v>
      </c>
      <c r="AB635" s="74" t="s">
        <v>182</v>
      </c>
      <c r="AC635" s="74" t="s">
        <v>183</v>
      </c>
      <c r="AD635" s="74" t="s">
        <v>159</v>
      </c>
      <c r="AG635" s="74" t="s">
        <v>1216</v>
      </c>
      <c r="AH635" s="74">
        <v>0</v>
      </c>
      <c r="AI635" s="74">
        <v>199</v>
      </c>
      <c r="AJ635" s="74">
        <v>18</v>
      </c>
      <c r="AK635" s="74">
        <v>560</v>
      </c>
      <c r="AL635" s="74">
        <v>1</v>
      </c>
    </row>
    <row r="636" spans="1:38" x14ac:dyDescent="0.3">
      <c r="A636" s="74" t="s">
        <v>1163</v>
      </c>
      <c r="B636" s="74">
        <v>126017</v>
      </c>
      <c r="C636" s="74">
        <v>1</v>
      </c>
      <c r="D636" s="74" t="s">
        <v>1217</v>
      </c>
      <c r="E636" s="74" t="s">
        <v>1218</v>
      </c>
      <c r="F636" s="74">
        <v>64</v>
      </c>
      <c r="G636" s="74">
        <v>28.53</v>
      </c>
      <c r="H636" s="74">
        <v>94.34</v>
      </c>
      <c r="I636" s="74">
        <v>21.47</v>
      </c>
      <c r="J636" s="74">
        <v>70.989999999999995</v>
      </c>
      <c r="K636" s="74">
        <v>64</v>
      </c>
      <c r="T636" s="74">
        <v>3</v>
      </c>
      <c r="U636" s="74">
        <v>2</v>
      </c>
      <c r="V636" s="74" t="s">
        <v>186</v>
      </c>
      <c r="W636" s="74">
        <v>94</v>
      </c>
      <c r="X636" s="74">
        <v>12</v>
      </c>
      <c r="Y636" s="74">
        <v>11</v>
      </c>
      <c r="Z636" s="74" t="s">
        <v>1219</v>
      </c>
      <c r="AA636" s="74" t="s">
        <v>1220</v>
      </c>
      <c r="AB636" s="74" t="s">
        <v>182</v>
      </c>
      <c r="AC636" s="74" t="s">
        <v>183</v>
      </c>
      <c r="AD636" s="74" t="s">
        <v>159</v>
      </c>
      <c r="AG636" s="74" t="s">
        <v>1221</v>
      </c>
      <c r="AH636" s="74">
        <v>0</v>
      </c>
      <c r="AI636" s="74">
        <v>195</v>
      </c>
      <c r="AJ636" s="74">
        <v>24</v>
      </c>
      <c r="AK636" s="74">
        <v>64</v>
      </c>
      <c r="AL636" s="74">
        <v>1</v>
      </c>
    </row>
    <row r="637" spans="1:38" x14ac:dyDescent="0.3">
      <c r="A637" s="74" t="s">
        <v>1163</v>
      </c>
      <c r="B637" s="74">
        <v>127340</v>
      </c>
      <c r="C637" s="74">
        <v>1</v>
      </c>
      <c r="D637" s="74" t="s">
        <v>1222</v>
      </c>
      <c r="E637" s="74" t="s">
        <v>1155</v>
      </c>
      <c r="F637" s="74">
        <v>60</v>
      </c>
      <c r="G637" s="74">
        <v>26.88</v>
      </c>
      <c r="H637" s="74">
        <v>88.86</v>
      </c>
      <c r="I637" s="74">
        <v>21.58</v>
      </c>
      <c r="J637" s="74">
        <v>71.37</v>
      </c>
      <c r="K637" s="74">
        <v>40</v>
      </c>
      <c r="T637" s="74">
        <v>3</v>
      </c>
      <c r="U637" s="74">
        <v>2</v>
      </c>
      <c r="V637" s="74" t="s">
        <v>186</v>
      </c>
      <c r="W637" s="74">
        <v>88</v>
      </c>
      <c r="X637" s="74">
        <v>10</v>
      </c>
      <c r="Y637" s="74">
        <v>10</v>
      </c>
      <c r="Z637" s="74" t="s">
        <v>1223</v>
      </c>
      <c r="AA637" s="74" t="s">
        <v>1224</v>
      </c>
      <c r="AB637" s="74" t="s">
        <v>182</v>
      </c>
      <c r="AC637" s="74" t="s">
        <v>183</v>
      </c>
      <c r="AD637" s="74" t="s">
        <v>159</v>
      </c>
      <c r="AG637" s="74" t="s">
        <v>1225</v>
      </c>
      <c r="AH637" s="74">
        <v>0</v>
      </c>
      <c r="AI637" s="74">
        <v>248</v>
      </c>
      <c r="AJ637" s="74">
        <v>28</v>
      </c>
      <c r="AK637" s="74">
        <v>0</v>
      </c>
      <c r="AL637" s="74">
        <v>0</v>
      </c>
    </row>
    <row r="638" spans="1:38" x14ac:dyDescent="0.3">
      <c r="A638" s="74" t="s">
        <v>1163</v>
      </c>
      <c r="B638" s="74">
        <v>127340</v>
      </c>
      <c r="C638" s="74">
        <v>2</v>
      </c>
      <c r="D638" s="74" t="s">
        <v>1222</v>
      </c>
      <c r="E638" s="74" t="s">
        <v>1155</v>
      </c>
      <c r="F638" s="74">
        <v>60</v>
      </c>
      <c r="G638" s="74">
        <v>28.33</v>
      </c>
      <c r="H638" s="74">
        <v>93.68</v>
      </c>
      <c r="I638" s="74">
        <v>22.76</v>
      </c>
      <c r="J638" s="74">
        <v>75.239999999999995</v>
      </c>
      <c r="K638" s="74">
        <v>20</v>
      </c>
      <c r="T638" s="74">
        <v>3</v>
      </c>
      <c r="U638" s="74">
        <v>2</v>
      </c>
      <c r="V638" s="74" t="s">
        <v>186</v>
      </c>
      <c r="W638" s="74">
        <v>93</v>
      </c>
      <c r="X638" s="74">
        <v>10</v>
      </c>
      <c r="Y638" s="74">
        <v>10</v>
      </c>
      <c r="Z638" s="74" t="s">
        <v>1223</v>
      </c>
      <c r="AA638" s="74" t="s">
        <v>1224</v>
      </c>
      <c r="AB638" s="74" t="s">
        <v>182</v>
      </c>
      <c r="AC638" s="74" t="s">
        <v>183</v>
      </c>
      <c r="AD638" s="74" t="s">
        <v>159</v>
      </c>
      <c r="AG638" s="74" t="s">
        <v>1225</v>
      </c>
      <c r="AH638" s="74">
        <v>0</v>
      </c>
      <c r="AI638" s="74">
        <v>248</v>
      </c>
      <c r="AJ638" s="74">
        <v>28</v>
      </c>
      <c r="AK638" s="74">
        <v>0</v>
      </c>
      <c r="AL638" s="74">
        <v>0</v>
      </c>
    </row>
    <row r="639" spans="1:38" x14ac:dyDescent="0.3">
      <c r="A639" s="74" t="s">
        <v>1163</v>
      </c>
      <c r="B639" s="74">
        <v>125752</v>
      </c>
      <c r="C639" s="74">
        <v>1</v>
      </c>
      <c r="D639" s="74" t="s">
        <v>1226</v>
      </c>
      <c r="E639" s="74" t="s">
        <v>1227</v>
      </c>
      <c r="F639" s="74">
        <v>973</v>
      </c>
      <c r="G639" s="74">
        <v>24.05</v>
      </c>
      <c r="H639" s="74">
        <v>79.510000000000005</v>
      </c>
      <c r="I639" s="74">
        <v>18.14</v>
      </c>
      <c r="J639" s="74">
        <v>59.99</v>
      </c>
      <c r="K639" s="74">
        <v>171</v>
      </c>
      <c r="T639" s="74">
        <v>3</v>
      </c>
      <c r="U639" s="74">
        <v>2</v>
      </c>
      <c r="V639" s="74" t="s">
        <v>186</v>
      </c>
      <c r="W639" s="74" t="s">
        <v>136</v>
      </c>
      <c r="X639" s="74">
        <v>29</v>
      </c>
      <c r="Y639" s="74">
        <v>24</v>
      </c>
      <c r="Z639" s="74" t="s">
        <v>1228</v>
      </c>
      <c r="AA639" s="74" t="s">
        <v>1229</v>
      </c>
      <c r="AB639" s="74" t="s">
        <v>182</v>
      </c>
      <c r="AC639" s="74" t="s">
        <v>183</v>
      </c>
      <c r="AD639" s="74" t="s">
        <v>159</v>
      </c>
      <c r="AG639" s="74" t="s">
        <v>1230</v>
      </c>
      <c r="AH639" s="74">
        <v>0</v>
      </c>
      <c r="AI639" s="74">
        <v>249</v>
      </c>
      <c r="AJ639" s="74">
        <v>17</v>
      </c>
      <c r="AK639" s="74">
        <v>1289</v>
      </c>
      <c r="AL639" s="74">
        <v>1.32</v>
      </c>
    </row>
    <row r="640" spans="1:38" x14ac:dyDescent="0.3">
      <c r="A640" s="74" t="s">
        <v>1163</v>
      </c>
      <c r="B640" s="74">
        <v>125752</v>
      </c>
      <c r="C640" s="74">
        <v>2</v>
      </c>
      <c r="D640" s="74" t="s">
        <v>1226</v>
      </c>
      <c r="E640" s="74" t="s">
        <v>1227</v>
      </c>
      <c r="F640" s="74">
        <v>973</v>
      </c>
      <c r="G640" s="74">
        <v>24.03</v>
      </c>
      <c r="H640" s="74">
        <v>79.459999999999994</v>
      </c>
      <c r="I640" s="74">
        <v>18.14</v>
      </c>
      <c r="J640" s="74">
        <v>59.98</v>
      </c>
      <c r="K640" s="74">
        <v>58</v>
      </c>
      <c r="T640" s="74">
        <v>3</v>
      </c>
      <c r="U640" s="74">
        <v>2</v>
      </c>
      <c r="V640" s="74" t="s">
        <v>186</v>
      </c>
      <c r="W640" s="74" t="s">
        <v>963</v>
      </c>
      <c r="X640" s="74">
        <v>29</v>
      </c>
      <c r="Y640" s="74">
        <v>24</v>
      </c>
      <c r="Z640" s="74" t="s">
        <v>1228</v>
      </c>
      <c r="AA640" s="74" t="s">
        <v>1229</v>
      </c>
      <c r="AB640" s="74" t="s">
        <v>182</v>
      </c>
      <c r="AC640" s="74" t="s">
        <v>183</v>
      </c>
      <c r="AD640" s="74" t="s">
        <v>159</v>
      </c>
      <c r="AG640" s="74" t="s">
        <v>1230</v>
      </c>
      <c r="AH640" s="74">
        <v>0</v>
      </c>
      <c r="AI640" s="74">
        <v>249</v>
      </c>
      <c r="AJ640" s="74">
        <v>17</v>
      </c>
      <c r="AK640" s="74">
        <v>1289</v>
      </c>
      <c r="AL640" s="74">
        <v>1.32</v>
      </c>
    </row>
    <row r="641" spans="1:38" x14ac:dyDescent="0.3">
      <c r="A641" s="74" t="s">
        <v>1163</v>
      </c>
      <c r="B641" s="74">
        <v>125752</v>
      </c>
      <c r="C641" s="74">
        <v>3</v>
      </c>
      <c r="D641" s="74" t="s">
        <v>1226</v>
      </c>
      <c r="E641" s="74" t="s">
        <v>1227</v>
      </c>
      <c r="F641" s="74">
        <v>973</v>
      </c>
      <c r="G641" s="74">
        <v>33.479999999999997</v>
      </c>
      <c r="H641" s="74">
        <v>110.68</v>
      </c>
      <c r="I641" s="74">
        <v>25.7</v>
      </c>
      <c r="J641" s="74">
        <v>84.99</v>
      </c>
      <c r="K641" s="74">
        <v>492</v>
      </c>
      <c r="T641" s="74">
        <v>3</v>
      </c>
      <c r="U641" s="74">
        <v>2</v>
      </c>
      <c r="V641" s="74" t="s">
        <v>186</v>
      </c>
      <c r="W641" s="74" t="s">
        <v>62</v>
      </c>
      <c r="X641" s="74">
        <v>29</v>
      </c>
      <c r="Y641" s="74">
        <v>24</v>
      </c>
      <c r="Z641" s="74" t="s">
        <v>1228</v>
      </c>
      <c r="AA641" s="74" t="s">
        <v>1229</v>
      </c>
      <c r="AB641" s="74" t="s">
        <v>182</v>
      </c>
      <c r="AC641" s="74" t="s">
        <v>183</v>
      </c>
      <c r="AD641" s="74" t="s">
        <v>159</v>
      </c>
      <c r="AG641" s="74" t="s">
        <v>1230</v>
      </c>
      <c r="AH641" s="74">
        <v>0</v>
      </c>
      <c r="AI641" s="74">
        <v>249</v>
      </c>
      <c r="AJ641" s="74">
        <v>17</v>
      </c>
      <c r="AK641" s="74">
        <v>1289</v>
      </c>
      <c r="AL641" s="74">
        <v>1.32</v>
      </c>
    </row>
    <row r="642" spans="1:38" x14ac:dyDescent="0.3">
      <c r="A642" s="74" t="s">
        <v>1163</v>
      </c>
      <c r="B642" s="74">
        <v>125752</v>
      </c>
      <c r="C642" s="74">
        <v>4</v>
      </c>
      <c r="D642" s="74" t="s">
        <v>1226</v>
      </c>
      <c r="E642" s="74" t="s">
        <v>1227</v>
      </c>
      <c r="F642" s="74">
        <v>973</v>
      </c>
      <c r="G642" s="74">
        <v>33.57</v>
      </c>
      <c r="H642" s="74">
        <v>110.99</v>
      </c>
      <c r="I642" s="74">
        <v>25.7</v>
      </c>
      <c r="J642" s="74">
        <v>84.99</v>
      </c>
      <c r="K642" s="74">
        <v>81</v>
      </c>
      <c r="T642" s="74">
        <v>3</v>
      </c>
      <c r="U642" s="74">
        <v>2</v>
      </c>
      <c r="V642" s="74" t="s">
        <v>186</v>
      </c>
      <c r="W642" s="74" t="s">
        <v>97</v>
      </c>
      <c r="X642" s="74">
        <v>29</v>
      </c>
      <c r="Y642" s="74">
        <v>24</v>
      </c>
      <c r="Z642" s="74" t="s">
        <v>1228</v>
      </c>
      <c r="AA642" s="74" t="s">
        <v>1229</v>
      </c>
      <c r="AB642" s="74" t="s">
        <v>182</v>
      </c>
      <c r="AC642" s="74" t="s">
        <v>183</v>
      </c>
      <c r="AD642" s="74" t="s">
        <v>159</v>
      </c>
      <c r="AG642" s="74" t="s">
        <v>1230</v>
      </c>
      <c r="AH642" s="74">
        <v>0</v>
      </c>
      <c r="AI642" s="74">
        <v>249</v>
      </c>
      <c r="AJ642" s="74">
        <v>17</v>
      </c>
      <c r="AK642" s="74">
        <v>1289</v>
      </c>
      <c r="AL642" s="74">
        <v>1.32</v>
      </c>
    </row>
    <row r="643" spans="1:38" x14ac:dyDescent="0.3">
      <c r="A643" s="74" t="s">
        <v>1163</v>
      </c>
      <c r="B643" s="74">
        <v>125752</v>
      </c>
      <c r="C643" s="74">
        <v>5</v>
      </c>
      <c r="D643" s="74" t="s">
        <v>1226</v>
      </c>
      <c r="E643" s="74" t="s">
        <v>1227</v>
      </c>
      <c r="F643" s="74">
        <v>973</v>
      </c>
      <c r="G643" s="74">
        <v>40.6</v>
      </c>
      <c r="H643" s="74">
        <v>134.22</v>
      </c>
      <c r="I643" s="74">
        <v>31.45</v>
      </c>
      <c r="J643" s="74">
        <v>103.97</v>
      </c>
      <c r="K643" s="74">
        <v>112</v>
      </c>
      <c r="T643" s="74">
        <v>4</v>
      </c>
      <c r="U643" s="74">
        <v>2</v>
      </c>
      <c r="V643" s="74" t="s">
        <v>186</v>
      </c>
      <c r="W643" s="74">
        <v>134</v>
      </c>
      <c r="X643" s="74">
        <v>29</v>
      </c>
      <c r="Y643" s="74">
        <v>24</v>
      </c>
      <c r="Z643" s="74" t="s">
        <v>1228</v>
      </c>
      <c r="AA643" s="74" t="s">
        <v>1229</v>
      </c>
      <c r="AB643" s="74" t="s">
        <v>182</v>
      </c>
      <c r="AC643" s="74" t="s">
        <v>183</v>
      </c>
      <c r="AD643" s="74" t="s">
        <v>159</v>
      </c>
      <c r="AG643" s="74" t="s">
        <v>1230</v>
      </c>
      <c r="AH643" s="74">
        <v>0</v>
      </c>
      <c r="AI643" s="74">
        <v>249</v>
      </c>
      <c r="AJ643" s="74">
        <v>17</v>
      </c>
      <c r="AK643" s="74">
        <v>1289</v>
      </c>
      <c r="AL643" s="74">
        <v>1.32</v>
      </c>
    </row>
    <row r="644" spans="1:38" x14ac:dyDescent="0.3">
      <c r="A644" s="74" t="s">
        <v>1163</v>
      </c>
      <c r="B644" s="74">
        <v>125752</v>
      </c>
      <c r="C644" s="74">
        <v>6</v>
      </c>
      <c r="D644" s="74" t="s">
        <v>1226</v>
      </c>
      <c r="E644" s="74" t="s">
        <v>1227</v>
      </c>
      <c r="F644" s="74">
        <v>973</v>
      </c>
      <c r="G644" s="74">
        <v>46.32</v>
      </c>
      <c r="H644" s="74">
        <v>153.15</v>
      </c>
      <c r="I644" s="74">
        <v>35.99</v>
      </c>
      <c r="J644" s="74">
        <v>118.99</v>
      </c>
      <c r="K644" s="74">
        <v>56</v>
      </c>
      <c r="T644" s="74">
        <v>4</v>
      </c>
      <c r="U644" s="74">
        <v>2</v>
      </c>
      <c r="V644" s="74" t="s">
        <v>186</v>
      </c>
      <c r="W644" s="74">
        <v>153</v>
      </c>
      <c r="X644" s="74">
        <v>29</v>
      </c>
      <c r="Y644" s="74">
        <v>24</v>
      </c>
      <c r="Z644" s="74" t="s">
        <v>1228</v>
      </c>
      <c r="AA644" s="74" t="s">
        <v>1229</v>
      </c>
      <c r="AB644" s="74" t="s">
        <v>182</v>
      </c>
      <c r="AC644" s="74" t="s">
        <v>183</v>
      </c>
      <c r="AD644" s="74" t="s">
        <v>159</v>
      </c>
      <c r="AG644" s="74" t="s">
        <v>1230</v>
      </c>
      <c r="AH644" s="74">
        <v>0</v>
      </c>
      <c r="AI644" s="74">
        <v>249</v>
      </c>
      <c r="AJ644" s="74">
        <v>17</v>
      </c>
      <c r="AK644" s="74">
        <v>1289</v>
      </c>
      <c r="AL644" s="74">
        <v>1.32</v>
      </c>
    </row>
    <row r="645" spans="1:38" x14ac:dyDescent="0.3">
      <c r="A645" s="74" t="s">
        <v>1163</v>
      </c>
      <c r="B645" s="74">
        <v>125752</v>
      </c>
      <c r="C645" s="74">
        <v>7</v>
      </c>
      <c r="D645" s="74" t="s">
        <v>1226</v>
      </c>
      <c r="E645" s="74" t="s">
        <v>1227</v>
      </c>
      <c r="F645" s="74">
        <v>973</v>
      </c>
      <c r="G645" s="74">
        <v>58.14</v>
      </c>
      <c r="H645" s="74">
        <v>192.23</v>
      </c>
      <c r="I645" s="74">
        <v>44.15</v>
      </c>
      <c r="J645" s="74">
        <v>145.96</v>
      </c>
      <c r="K645" s="74">
        <v>3</v>
      </c>
      <c r="T645" s="74">
        <v>4</v>
      </c>
      <c r="U645" s="74">
        <v>3</v>
      </c>
      <c r="V645" s="74" t="s">
        <v>186</v>
      </c>
      <c r="W645" s="74">
        <v>192</v>
      </c>
      <c r="X645" s="74">
        <v>29</v>
      </c>
      <c r="Y645" s="74">
        <v>24</v>
      </c>
      <c r="Z645" s="74" t="s">
        <v>1228</v>
      </c>
      <c r="AA645" s="74" t="s">
        <v>1229</v>
      </c>
      <c r="AB645" s="74" t="s">
        <v>182</v>
      </c>
      <c r="AC645" s="74" t="s">
        <v>183</v>
      </c>
      <c r="AD645" s="74" t="s">
        <v>159</v>
      </c>
      <c r="AG645" s="74" t="s">
        <v>1230</v>
      </c>
      <c r="AH645" s="74">
        <v>0</v>
      </c>
      <c r="AI645" s="74">
        <v>249</v>
      </c>
      <c r="AJ645" s="74">
        <v>17</v>
      </c>
      <c r="AK645" s="74">
        <v>1289</v>
      </c>
      <c r="AL645" s="74">
        <v>1.32</v>
      </c>
    </row>
    <row r="646" spans="1:38" x14ac:dyDescent="0.3">
      <c r="A646" s="74" t="s">
        <v>1163</v>
      </c>
      <c r="B646" s="74">
        <v>135799</v>
      </c>
      <c r="C646" s="74">
        <v>1</v>
      </c>
      <c r="D646" s="74" t="s">
        <v>298</v>
      </c>
      <c r="F646" s="74">
        <v>204</v>
      </c>
      <c r="G646" s="74">
        <v>25.37</v>
      </c>
      <c r="H646" s="74">
        <v>83.87</v>
      </c>
      <c r="I646" s="74">
        <v>18.100000000000001</v>
      </c>
      <c r="J646" s="74">
        <v>59.86</v>
      </c>
      <c r="K646" s="74">
        <v>204</v>
      </c>
      <c r="T646" s="74">
        <v>3</v>
      </c>
      <c r="U646" s="74">
        <v>2</v>
      </c>
      <c r="V646" s="74" t="s">
        <v>186</v>
      </c>
      <c r="W646" s="74">
        <v>83</v>
      </c>
      <c r="X646" s="74">
        <v>15</v>
      </c>
      <c r="Y646" s="74">
        <v>15</v>
      </c>
      <c r="Z646" s="74" t="s">
        <v>1231</v>
      </c>
      <c r="AA646" s="74" t="s">
        <v>1232</v>
      </c>
      <c r="AB646" s="74" t="s">
        <v>182</v>
      </c>
      <c r="AC646" s="74" t="s">
        <v>183</v>
      </c>
      <c r="AD646" s="74" t="s">
        <v>159</v>
      </c>
      <c r="AG646" s="74" t="s">
        <v>1233</v>
      </c>
      <c r="AH646" s="74">
        <v>0</v>
      </c>
      <c r="AI646" s="74">
        <v>202</v>
      </c>
      <c r="AJ646" s="74">
        <v>20</v>
      </c>
      <c r="AK646" s="74">
        <v>180</v>
      </c>
      <c r="AL646" s="74">
        <v>0.88</v>
      </c>
    </row>
    <row r="647" spans="1:38" x14ac:dyDescent="0.3">
      <c r="A647" s="74" t="s">
        <v>1163</v>
      </c>
      <c r="B647" s="74">
        <v>120089</v>
      </c>
      <c r="C647" s="74">
        <v>1</v>
      </c>
      <c r="D647" s="74" t="s">
        <v>1234</v>
      </c>
      <c r="E647" s="74" t="s">
        <v>1235</v>
      </c>
      <c r="F647" s="74">
        <v>423</v>
      </c>
      <c r="G647" s="74">
        <v>33.119999999999997</v>
      </c>
      <c r="H647" s="74">
        <v>109.51</v>
      </c>
      <c r="I647" s="74">
        <v>25.69</v>
      </c>
      <c r="J647" s="74">
        <v>84.94</v>
      </c>
      <c r="K647" s="74">
        <v>202</v>
      </c>
      <c r="T647" s="74">
        <v>3</v>
      </c>
      <c r="U647" s="74">
        <v>2</v>
      </c>
      <c r="V647" s="74" t="s">
        <v>186</v>
      </c>
      <c r="W647" s="74" t="s">
        <v>123</v>
      </c>
      <c r="X647" s="74">
        <v>29</v>
      </c>
      <c r="Y647" s="74">
        <v>18</v>
      </c>
      <c r="Z647" s="74" t="s">
        <v>1236</v>
      </c>
      <c r="AA647" s="74" t="s">
        <v>1237</v>
      </c>
      <c r="AB647" s="74" t="s">
        <v>182</v>
      </c>
      <c r="AC647" s="74" t="s">
        <v>183</v>
      </c>
      <c r="AD647" s="74" t="s">
        <v>159</v>
      </c>
      <c r="AG647" s="74" t="s">
        <v>1238</v>
      </c>
      <c r="AH647" s="74">
        <v>0</v>
      </c>
      <c r="AI647" s="74">
        <v>0</v>
      </c>
      <c r="AJ647" s="74">
        <v>0</v>
      </c>
      <c r="AK647" s="74">
        <v>593</v>
      </c>
      <c r="AL647" s="74">
        <v>1.4</v>
      </c>
    </row>
    <row r="648" spans="1:38" x14ac:dyDescent="0.3">
      <c r="A648" s="74" t="s">
        <v>1163</v>
      </c>
      <c r="B648" s="74">
        <v>120089</v>
      </c>
      <c r="C648" s="74">
        <v>2</v>
      </c>
      <c r="D648" s="74" t="s">
        <v>1234</v>
      </c>
      <c r="E648" s="74" t="s">
        <v>1235</v>
      </c>
      <c r="F648" s="74">
        <v>423</v>
      </c>
      <c r="G648" s="74">
        <v>33.6</v>
      </c>
      <c r="H648" s="74">
        <v>111.1</v>
      </c>
      <c r="I648" s="74">
        <v>25.69</v>
      </c>
      <c r="J648" s="74">
        <v>84.95</v>
      </c>
      <c r="K648" s="74">
        <v>109</v>
      </c>
      <c r="T648" s="74">
        <v>3</v>
      </c>
      <c r="U648" s="74">
        <v>2</v>
      </c>
      <c r="V648" s="74" t="s">
        <v>186</v>
      </c>
      <c r="W648" s="74" t="s">
        <v>78</v>
      </c>
      <c r="X648" s="74">
        <v>29</v>
      </c>
      <c r="Y648" s="74">
        <v>18</v>
      </c>
      <c r="Z648" s="74" t="s">
        <v>1236</v>
      </c>
      <c r="AA648" s="74" t="s">
        <v>1237</v>
      </c>
      <c r="AB648" s="74" t="s">
        <v>182</v>
      </c>
      <c r="AC648" s="74" t="s">
        <v>183</v>
      </c>
      <c r="AD648" s="74" t="s">
        <v>159</v>
      </c>
      <c r="AG648" s="74" t="s">
        <v>1238</v>
      </c>
      <c r="AH648" s="74">
        <v>0</v>
      </c>
      <c r="AI648" s="74">
        <v>0</v>
      </c>
      <c r="AJ648" s="74">
        <v>0</v>
      </c>
      <c r="AK648" s="74">
        <v>593</v>
      </c>
      <c r="AL648" s="74">
        <v>1.4</v>
      </c>
    </row>
    <row r="649" spans="1:38" x14ac:dyDescent="0.3">
      <c r="A649" s="74" t="s">
        <v>1163</v>
      </c>
      <c r="B649" s="74">
        <v>120089</v>
      </c>
      <c r="C649" s="74">
        <v>3</v>
      </c>
      <c r="D649" s="74" t="s">
        <v>1234</v>
      </c>
      <c r="E649" s="74" t="s">
        <v>1235</v>
      </c>
      <c r="F649" s="74">
        <v>423</v>
      </c>
      <c r="G649" s="74">
        <v>44.22</v>
      </c>
      <c r="H649" s="74">
        <v>146.21</v>
      </c>
      <c r="I649" s="74">
        <v>34.44</v>
      </c>
      <c r="J649" s="74">
        <v>113.88</v>
      </c>
      <c r="K649" s="74">
        <v>110</v>
      </c>
      <c r="T649" s="74">
        <v>3</v>
      </c>
      <c r="U649" s="74">
        <v>2</v>
      </c>
      <c r="V649" s="74" t="s">
        <v>186</v>
      </c>
      <c r="W649" s="74">
        <v>146</v>
      </c>
      <c r="X649" s="74">
        <v>29</v>
      </c>
      <c r="Y649" s="74">
        <v>18</v>
      </c>
      <c r="Z649" s="74" t="s">
        <v>1236</v>
      </c>
      <c r="AA649" s="74" t="s">
        <v>1237</v>
      </c>
      <c r="AB649" s="74" t="s">
        <v>182</v>
      </c>
      <c r="AC649" s="74" t="s">
        <v>183</v>
      </c>
      <c r="AD649" s="74" t="s">
        <v>159</v>
      </c>
      <c r="AG649" s="74" t="s">
        <v>1238</v>
      </c>
      <c r="AH649" s="74">
        <v>0</v>
      </c>
      <c r="AI649" s="74">
        <v>0</v>
      </c>
      <c r="AJ649" s="74">
        <v>0</v>
      </c>
      <c r="AK649" s="74">
        <v>593</v>
      </c>
      <c r="AL649" s="74">
        <v>1.4</v>
      </c>
    </row>
    <row r="650" spans="1:38" x14ac:dyDescent="0.3">
      <c r="A650" s="74" t="s">
        <v>1163</v>
      </c>
      <c r="B650" s="74">
        <v>120089</v>
      </c>
      <c r="C650" s="74">
        <v>4</v>
      </c>
      <c r="D650" s="74" t="s">
        <v>1234</v>
      </c>
      <c r="E650" s="74" t="s">
        <v>1235</v>
      </c>
      <c r="F650" s="74">
        <v>423</v>
      </c>
      <c r="G650" s="74">
        <v>56.88</v>
      </c>
      <c r="H650" s="74">
        <v>188.05</v>
      </c>
      <c r="I650" s="74">
        <v>43.32</v>
      </c>
      <c r="J650" s="74">
        <v>143.22999999999999</v>
      </c>
      <c r="K650" s="74">
        <v>2</v>
      </c>
      <c r="T650" s="74">
        <v>4</v>
      </c>
      <c r="U650" s="74">
        <v>2</v>
      </c>
      <c r="V650" s="74" t="s">
        <v>186</v>
      </c>
      <c r="W650" s="74" t="s">
        <v>1239</v>
      </c>
      <c r="X650" s="74">
        <v>29</v>
      </c>
      <c r="Y650" s="74">
        <v>18</v>
      </c>
      <c r="Z650" s="74" t="s">
        <v>1236</v>
      </c>
      <c r="AA650" s="74" t="s">
        <v>1237</v>
      </c>
      <c r="AB650" s="74" t="s">
        <v>182</v>
      </c>
      <c r="AC650" s="74" t="s">
        <v>183</v>
      </c>
      <c r="AD650" s="74" t="s">
        <v>159</v>
      </c>
      <c r="AG650" s="74" t="s">
        <v>1238</v>
      </c>
      <c r="AH650" s="74">
        <v>0</v>
      </c>
      <c r="AI650" s="74">
        <v>0</v>
      </c>
      <c r="AJ650" s="74">
        <v>0</v>
      </c>
      <c r="AK650" s="74">
        <v>593</v>
      </c>
      <c r="AL650" s="74">
        <v>1.4</v>
      </c>
    </row>
    <row r="651" spans="1:38" x14ac:dyDescent="0.3">
      <c r="A651" s="74" t="s">
        <v>1240</v>
      </c>
      <c r="B651" s="74">
        <v>141761</v>
      </c>
      <c r="C651" s="74">
        <v>1</v>
      </c>
      <c r="D651" s="74" t="s">
        <v>1241</v>
      </c>
      <c r="E651" s="74" t="s">
        <v>1242</v>
      </c>
      <c r="F651" s="74">
        <v>665</v>
      </c>
      <c r="G651" s="74">
        <v>33.119999999999997</v>
      </c>
      <c r="H651" s="74">
        <v>109.52</v>
      </c>
      <c r="I651" s="74">
        <v>25.69</v>
      </c>
      <c r="J651" s="74">
        <v>84.94</v>
      </c>
      <c r="K651" s="74">
        <v>255</v>
      </c>
      <c r="T651" s="74">
        <v>3</v>
      </c>
      <c r="U651" s="74">
        <v>2</v>
      </c>
      <c r="V651" s="74" t="s">
        <v>186</v>
      </c>
      <c r="W651" s="74" t="s">
        <v>123</v>
      </c>
      <c r="X651" s="74">
        <v>29</v>
      </c>
      <c r="Y651" s="74">
        <v>13</v>
      </c>
      <c r="Z651" s="74" t="s">
        <v>1243</v>
      </c>
      <c r="AA651" s="74" t="s">
        <v>1244</v>
      </c>
      <c r="AB651" s="74" t="s">
        <v>182</v>
      </c>
      <c r="AC651" s="74" t="s">
        <v>183</v>
      </c>
      <c r="AD651" s="74" t="s">
        <v>1245</v>
      </c>
      <c r="AG651" s="74" t="s">
        <v>266</v>
      </c>
      <c r="AH651" s="74">
        <v>0</v>
      </c>
      <c r="AI651" s="74">
        <v>0</v>
      </c>
      <c r="AJ651" s="74">
        <v>0</v>
      </c>
      <c r="AK651" s="74">
        <v>1175</v>
      </c>
      <c r="AL651" s="74">
        <v>1.77</v>
      </c>
    </row>
    <row r="652" spans="1:38" x14ac:dyDescent="0.3">
      <c r="A652" s="74" t="s">
        <v>1240</v>
      </c>
      <c r="B652" s="74">
        <v>141761</v>
      </c>
      <c r="C652" s="74">
        <v>2</v>
      </c>
      <c r="D652" s="74" t="s">
        <v>1241</v>
      </c>
      <c r="E652" s="74" t="s">
        <v>1242</v>
      </c>
      <c r="F652" s="74">
        <v>665</v>
      </c>
      <c r="G652" s="74">
        <v>33.35</v>
      </c>
      <c r="H652" s="74">
        <v>110.25</v>
      </c>
      <c r="I652" s="74">
        <v>25.67</v>
      </c>
      <c r="J652" s="74">
        <v>84.88</v>
      </c>
      <c r="K652" s="74">
        <v>118</v>
      </c>
      <c r="T652" s="74">
        <v>3</v>
      </c>
      <c r="U652" s="74">
        <v>2</v>
      </c>
      <c r="V652" s="74" t="s">
        <v>186</v>
      </c>
      <c r="W652" s="74" t="s">
        <v>97</v>
      </c>
      <c r="X652" s="74">
        <v>29</v>
      </c>
      <c r="Y652" s="74">
        <v>13</v>
      </c>
      <c r="Z652" s="74" t="s">
        <v>1243</v>
      </c>
      <c r="AA652" s="74" t="s">
        <v>1244</v>
      </c>
      <c r="AB652" s="74" t="s">
        <v>182</v>
      </c>
      <c r="AC652" s="74" t="s">
        <v>183</v>
      </c>
      <c r="AD652" s="74" t="s">
        <v>1245</v>
      </c>
      <c r="AG652" s="74" t="s">
        <v>266</v>
      </c>
      <c r="AH652" s="74">
        <v>0</v>
      </c>
      <c r="AI652" s="74">
        <v>0</v>
      </c>
      <c r="AJ652" s="74">
        <v>0</v>
      </c>
      <c r="AK652" s="74">
        <v>1175</v>
      </c>
      <c r="AL652" s="74">
        <v>1.77</v>
      </c>
    </row>
    <row r="653" spans="1:38" x14ac:dyDescent="0.3">
      <c r="A653" s="74" t="s">
        <v>1240</v>
      </c>
      <c r="B653" s="74">
        <v>141761</v>
      </c>
      <c r="C653" s="74">
        <v>3</v>
      </c>
      <c r="D653" s="74" t="s">
        <v>1241</v>
      </c>
      <c r="E653" s="74" t="s">
        <v>1242</v>
      </c>
      <c r="F653" s="74">
        <v>665</v>
      </c>
      <c r="G653" s="74">
        <v>46.07</v>
      </c>
      <c r="H653" s="74">
        <v>152.33000000000001</v>
      </c>
      <c r="I653" s="74">
        <v>35.96</v>
      </c>
      <c r="J653" s="74">
        <v>118.9</v>
      </c>
      <c r="K653" s="74">
        <v>157</v>
      </c>
      <c r="T653" s="74">
        <v>4</v>
      </c>
      <c r="U653" s="74">
        <v>2</v>
      </c>
      <c r="V653" s="74" t="s">
        <v>186</v>
      </c>
      <c r="W653" s="74">
        <v>152</v>
      </c>
      <c r="X653" s="74">
        <v>29</v>
      </c>
      <c r="Y653" s="74">
        <v>13</v>
      </c>
      <c r="Z653" s="74" t="s">
        <v>1243</v>
      </c>
      <c r="AA653" s="74" t="s">
        <v>1244</v>
      </c>
      <c r="AB653" s="74" t="s">
        <v>182</v>
      </c>
      <c r="AC653" s="74" t="s">
        <v>183</v>
      </c>
      <c r="AD653" s="74" t="s">
        <v>1245</v>
      </c>
      <c r="AG653" s="74" t="s">
        <v>266</v>
      </c>
      <c r="AH653" s="74">
        <v>0</v>
      </c>
      <c r="AI653" s="74">
        <v>0</v>
      </c>
      <c r="AJ653" s="74">
        <v>0</v>
      </c>
      <c r="AK653" s="74">
        <v>1175</v>
      </c>
      <c r="AL653" s="74">
        <v>1.77</v>
      </c>
    </row>
    <row r="654" spans="1:38" x14ac:dyDescent="0.3">
      <c r="A654" s="74" t="s">
        <v>1240</v>
      </c>
      <c r="B654" s="74">
        <v>141761</v>
      </c>
      <c r="C654" s="74">
        <v>4</v>
      </c>
      <c r="D654" s="74" t="s">
        <v>1241</v>
      </c>
      <c r="E654" s="74" t="s">
        <v>1242</v>
      </c>
      <c r="F654" s="74">
        <v>665</v>
      </c>
      <c r="G654" s="74">
        <v>46.55</v>
      </c>
      <c r="H654" s="74">
        <v>153.88999999999999</v>
      </c>
      <c r="I654" s="74">
        <v>36.28</v>
      </c>
      <c r="J654" s="74">
        <v>119.94</v>
      </c>
      <c r="K654" s="74">
        <v>11</v>
      </c>
      <c r="T654" s="74">
        <v>4</v>
      </c>
      <c r="U654" s="74">
        <v>2</v>
      </c>
      <c r="V654" s="74" t="s">
        <v>186</v>
      </c>
      <c r="W654" s="74">
        <v>153</v>
      </c>
      <c r="X654" s="74">
        <v>29</v>
      </c>
      <c r="Y654" s="74">
        <v>13</v>
      </c>
      <c r="Z654" s="74" t="s">
        <v>1243</v>
      </c>
      <c r="AA654" s="74" t="s">
        <v>1244</v>
      </c>
      <c r="AB654" s="74" t="s">
        <v>182</v>
      </c>
      <c r="AC654" s="74" t="s">
        <v>183</v>
      </c>
      <c r="AD654" s="74" t="s">
        <v>1245</v>
      </c>
      <c r="AG654" s="74" t="s">
        <v>266</v>
      </c>
      <c r="AH654" s="74">
        <v>0</v>
      </c>
      <c r="AI654" s="74">
        <v>0</v>
      </c>
      <c r="AJ654" s="74">
        <v>0</v>
      </c>
      <c r="AK654" s="74">
        <v>1175</v>
      </c>
      <c r="AL654" s="74">
        <v>1.77</v>
      </c>
    </row>
    <row r="655" spans="1:38" x14ac:dyDescent="0.3">
      <c r="A655" s="74" t="s">
        <v>1240</v>
      </c>
      <c r="B655" s="74">
        <v>141761</v>
      </c>
      <c r="C655" s="74">
        <v>5</v>
      </c>
      <c r="D655" s="74" t="s">
        <v>1241</v>
      </c>
      <c r="E655" s="74" t="s">
        <v>1242</v>
      </c>
      <c r="F655" s="74">
        <v>665</v>
      </c>
      <c r="G655" s="74">
        <v>56.36</v>
      </c>
      <c r="H655" s="74">
        <v>186.33</v>
      </c>
      <c r="I655" s="74">
        <v>44.44</v>
      </c>
      <c r="J655" s="74">
        <v>146.91</v>
      </c>
      <c r="K655" s="74">
        <v>120</v>
      </c>
      <c r="T655" s="74">
        <v>3</v>
      </c>
      <c r="U655" s="74">
        <v>3</v>
      </c>
      <c r="V655" s="74" t="s">
        <v>186</v>
      </c>
      <c r="W655" s="74">
        <v>186</v>
      </c>
      <c r="X655" s="74">
        <v>29</v>
      </c>
      <c r="Y655" s="74">
        <v>13</v>
      </c>
      <c r="Z655" s="74" t="s">
        <v>1243</v>
      </c>
      <c r="AA655" s="74" t="s">
        <v>1244</v>
      </c>
      <c r="AB655" s="74" t="s">
        <v>182</v>
      </c>
      <c r="AC655" s="74" t="s">
        <v>183</v>
      </c>
      <c r="AD655" s="74" t="s">
        <v>1245</v>
      </c>
      <c r="AG655" s="74" t="s">
        <v>266</v>
      </c>
      <c r="AH655" s="74">
        <v>0</v>
      </c>
      <c r="AI655" s="74">
        <v>0</v>
      </c>
      <c r="AJ655" s="74">
        <v>0</v>
      </c>
      <c r="AK655" s="74">
        <v>1175</v>
      </c>
      <c r="AL655" s="74">
        <v>1.77</v>
      </c>
    </row>
    <row r="656" spans="1:38" x14ac:dyDescent="0.3">
      <c r="A656" s="74" t="s">
        <v>1240</v>
      </c>
      <c r="B656" s="74">
        <v>141761</v>
      </c>
      <c r="C656" s="74">
        <v>6</v>
      </c>
      <c r="D656" s="74" t="s">
        <v>1241</v>
      </c>
      <c r="E656" s="74" t="s">
        <v>1242</v>
      </c>
      <c r="F656" s="74">
        <v>665</v>
      </c>
      <c r="G656" s="74">
        <v>70.84</v>
      </c>
      <c r="H656" s="74">
        <v>234.21</v>
      </c>
      <c r="I656" s="74">
        <v>54.87</v>
      </c>
      <c r="J656" s="74">
        <v>181.42</v>
      </c>
      <c r="K656" s="74">
        <v>2</v>
      </c>
      <c r="T656" s="74">
        <v>3</v>
      </c>
      <c r="U656" s="74">
        <v>3</v>
      </c>
      <c r="V656" s="74" t="s">
        <v>186</v>
      </c>
      <c r="W656" s="74" t="s">
        <v>1246</v>
      </c>
      <c r="X656" s="74">
        <v>29</v>
      </c>
      <c r="Y656" s="74">
        <v>13</v>
      </c>
      <c r="Z656" s="74" t="s">
        <v>1243</v>
      </c>
      <c r="AA656" s="74" t="s">
        <v>1244</v>
      </c>
      <c r="AB656" s="74" t="s">
        <v>182</v>
      </c>
      <c r="AC656" s="74" t="s">
        <v>183</v>
      </c>
      <c r="AD656" s="74" t="s">
        <v>1245</v>
      </c>
      <c r="AG656" s="74" t="s">
        <v>266</v>
      </c>
      <c r="AH656" s="74">
        <v>0</v>
      </c>
      <c r="AI656" s="74">
        <v>0</v>
      </c>
      <c r="AJ656" s="74">
        <v>0</v>
      </c>
      <c r="AK656" s="74">
        <v>1175</v>
      </c>
      <c r="AL656" s="74">
        <v>1.77</v>
      </c>
    </row>
    <row r="657" spans="1:38" x14ac:dyDescent="0.3">
      <c r="A657" s="74" t="s">
        <v>1240</v>
      </c>
      <c r="B657" s="74">
        <v>141761</v>
      </c>
      <c r="C657" s="74">
        <v>7</v>
      </c>
      <c r="D657" s="74" t="s">
        <v>1241</v>
      </c>
      <c r="E657" s="74" t="s">
        <v>1242</v>
      </c>
      <c r="F657" s="74">
        <v>665</v>
      </c>
      <c r="G657" s="74">
        <v>92.11</v>
      </c>
      <c r="H657" s="74">
        <v>304.52</v>
      </c>
      <c r="I657" s="74">
        <v>72.22</v>
      </c>
      <c r="J657" s="74">
        <v>238.75</v>
      </c>
      <c r="K657" s="74">
        <v>2</v>
      </c>
      <c r="T657" s="74">
        <v>5</v>
      </c>
      <c r="U657" s="74">
        <v>4</v>
      </c>
      <c r="V657" s="74" t="s">
        <v>186</v>
      </c>
      <c r="W657" s="74" t="s">
        <v>1247</v>
      </c>
      <c r="X657" s="74">
        <v>29</v>
      </c>
      <c r="Y657" s="74">
        <v>13</v>
      </c>
      <c r="Z657" s="74" t="s">
        <v>1243</v>
      </c>
      <c r="AA657" s="74" t="s">
        <v>1244</v>
      </c>
      <c r="AB657" s="74" t="s">
        <v>182</v>
      </c>
      <c r="AC657" s="74" t="s">
        <v>183</v>
      </c>
      <c r="AD657" s="74" t="s">
        <v>1245</v>
      </c>
      <c r="AG657" s="74" t="s">
        <v>266</v>
      </c>
      <c r="AH657" s="74">
        <v>0</v>
      </c>
      <c r="AI657" s="74">
        <v>0</v>
      </c>
      <c r="AJ657" s="74">
        <v>0</v>
      </c>
      <c r="AK657" s="74">
        <v>1175</v>
      </c>
      <c r="AL657" s="74">
        <v>1.77</v>
      </c>
    </row>
    <row r="658" spans="1:38" x14ac:dyDescent="0.3">
      <c r="A658" s="74" t="s">
        <v>1240</v>
      </c>
      <c r="B658" s="74">
        <v>26913</v>
      </c>
      <c r="C658" s="74">
        <v>1</v>
      </c>
      <c r="D658" s="74" t="s">
        <v>1248</v>
      </c>
      <c r="E658" s="74" t="s">
        <v>1249</v>
      </c>
      <c r="F658" s="74">
        <v>532</v>
      </c>
      <c r="G658" s="74">
        <v>36.21</v>
      </c>
      <c r="H658" s="74">
        <v>119.73</v>
      </c>
      <c r="I658" s="74">
        <v>25.67</v>
      </c>
      <c r="J658" s="74">
        <v>84.87</v>
      </c>
      <c r="K658" s="74">
        <v>196</v>
      </c>
      <c r="T658" s="74">
        <v>3</v>
      </c>
      <c r="U658" s="74">
        <v>2</v>
      </c>
      <c r="V658" s="74" t="s">
        <v>186</v>
      </c>
      <c r="W658" s="74">
        <v>119</v>
      </c>
      <c r="X658" s="74">
        <v>15</v>
      </c>
      <c r="Y658" s="74">
        <v>11</v>
      </c>
      <c r="Z658" s="74" t="s">
        <v>1250</v>
      </c>
      <c r="AA658" s="74" t="s">
        <v>1251</v>
      </c>
      <c r="AB658" s="74" t="s">
        <v>182</v>
      </c>
      <c r="AC658" s="74" t="s">
        <v>183</v>
      </c>
      <c r="AD658" s="74" t="s">
        <v>1245</v>
      </c>
      <c r="AG658" s="74" t="s">
        <v>1252</v>
      </c>
      <c r="AH658" s="74">
        <v>0</v>
      </c>
      <c r="AI658" s="74">
        <v>233</v>
      </c>
      <c r="AJ658" s="74">
        <v>20</v>
      </c>
      <c r="AK658" s="74">
        <v>849</v>
      </c>
      <c r="AL658" s="74">
        <v>1.6</v>
      </c>
    </row>
    <row r="659" spans="1:38" x14ac:dyDescent="0.3">
      <c r="A659" s="74" t="s">
        <v>1240</v>
      </c>
      <c r="B659" s="74">
        <v>26913</v>
      </c>
      <c r="C659" s="74">
        <v>2</v>
      </c>
      <c r="D659" s="74" t="s">
        <v>1248</v>
      </c>
      <c r="E659" s="74" t="s">
        <v>1249</v>
      </c>
      <c r="F659" s="74">
        <v>532</v>
      </c>
      <c r="G659" s="74">
        <v>47.05</v>
      </c>
      <c r="H659" s="74">
        <v>155.55000000000001</v>
      </c>
      <c r="I659" s="74">
        <v>38.99</v>
      </c>
      <c r="J659" s="74">
        <v>128.9</v>
      </c>
      <c r="K659" s="74">
        <v>198</v>
      </c>
      <c r="T659" s="74">
        <v>4</v>
      </c>
      <c r="U659" s="74">
        <v>2</v>
      </c>
      <c r="V659" s="74" t="s">
        <v>186</v>
      </c>
      <c r="W659" s="74">
        <v>155</v>
      </c>
      <c r="X659" s="74">
        <v>15</v>
      </c>
      <c r="Y659" s="74">
        <v>11</v>
      </c>
      <c r="Z659" s="74" t="s">
        <v>1250</v>
      </c>
      <c r="AA659" s="74" t="s">
        <v>1251</v>
      </c>
      <c r="AB659" s="74" t="s">
        <v>182</v>
      </c>
      <c r="AC659" s="74" t="s">
        <v>183</v>
      </c>
      <c r="AD659" s="74" t="s">
        <v>1245</v>
      </c>
      <c r="AG659" s="74" t="s">
        <v>1252</v>
      </c>
      <c r="AH659" s="74">
        <v>0</v>
      </c>
      <c r="AI659" s="74">
        <v>233</v>
      </c>
      <c r="AJ659" s="74">
        <v>20</v>
      </c>
      <c r="AK659" s="74">
        <v>849</v>
      </c>
      <c r="AL659" s="74">
        <v>1.6</v>
      </c>
    </row>
    <row r="660" spans="1:38" x14ac:dyDescent="0.3">
      <c r="A660" s="74" t="s">
        <v>1240</v>
      </c>
      <c r="B660" s="74">
        <v>26913</v>
      </c>
      <c r="C660" s="74">
        <v>3</v>
      </c>
      <c r="D660" s="74" t="s">
        <v>1248</v>
      </c>
      <c r="E660" s="74" t="s">
        <v>1249</v>
      </c>
      <c r="F660" s="74">
        <v>532</v>
      </c>
      <c r="G660" s="74">
        <v>55.42</v>
      </c>
      <c r="H660" s="74">
        <v>183.23</v>
      </c>
      <c r="I660" s="74">
        <v>46.74</v>
      </c>
      <c r="J660" s="74">
        <v>154.53</v>
      </c>
      <c r="K660" s="74">
        <v>108</v>
      </c>
      <c r="T660" s="74">
        <v>4</v>
      </c>
      <c r="U660" s="74">
        <v>2</v>
      </c>
      <c r="V660" s="74" t="s">
        <v>186</v>
      </c>
      <c r="W660" s="74">
        <v>183</v>
      </c>
      <c r="X660" s="74">
        <v>15</v>
      </c>
      <c r="Y660" s="74">
        <v>11</v>
      </c>
      <c r="Z660" s="74" t="s">
        <v>1250</v>
      </c>
      <c r="AA660" s="74" t="s">
        <v>1251</v>
      </c>
      <c r="AB660" s="74" t="s">
        <v>182</v>
      </c>
      <c r="AC660" s="74" t="s">
        <v>183</v>
      </c>
      <c r="AD660" s="74" t="s">
        <v>1245</v>
      </c>
      <c r="AG660" s="74" t="s">
        <v>1252</v>
      </c>
      <c r="AH660" s="74">
        <v>0</v>
      </c>
      <c r="AI660" s="74">
        <v>233</v>
      </c>
      <c r="AJ660" s="74">
        <v>20</v>
      </c>
      <c r="AK660" s="74">
        <v>849</v>
      </c>
      <c r="AL660" s="74">
        <v>1.6</v>
      </c>
    </row>
    <row r="661" spans="1:38" x14ac:dyDescent="0.3">
      <c r="A661" s="74" t="s">
        <v>1240</v>
      </c>
      <c r="B661" s="74">
        <v>26913</v>
      </c>
      <c r="C661" s="74">
        <v>4</v>
      </c>
      <c r="D661" s="74" t="s">
        <v>1248</v>
      </c>
      <c r="E661" s="74" t="s">
        <v>1249</v>
      </c>
      <c r="F661" s="74">
        <v>532</v>
      </c>
      <c r="G661" s="74">
        <v>64.739999999999995</v>
      </c>
      <c r="H661" s="74">
        <v>214.04</v>
      </c>
      <c r="I661" s="74">
        <v>54.81</v>
      </c>
      <c r="J661" s="74">
        <v>181.21</v>
      </c>
      <c r="K661" s="74">
        <v>30</v>
      </c>
      <c r="T661" s="74">
        <v>5</v>
      </c>
      <c r="U661" s="74">
        <v>3</v>
      </c>
      <c r="V661" s="74" t="s">
        <v>186</v>
      </c>
      <c r="W661" s="74">
        <v>214</v>
      </c>
      <c r="X661" s="74">
        <v>15</v>
      </c>
      <c r="Y661" s="74">
        <v>11</v>
      </c>
      <c r="Z661" s="74" t="s">
        <v>1250</v>
      </c>
      <c r="AA661" s="74" t="s">
        <v>1251</v>
      </c>
      <c r="AB661" s="74" t="s">
        <v>182</v>
      </c>
      <c r="AC661" s="74" t="s">
        <v>183</v>
      </c>
      <c r="AD661" s="74" t="s">
        <v>1245</v>
      </c>
      <c r="AG661" s="74" t="s">
        <v>1252</v>
      </c>
      <c r="AH661" s="74">
        <v>0</v>
      </c>
      <c r="AI661" s="74">
        <v>233</v>
      </c>
      <c r="AJ661" s="74">
        <v>20</v>
      </c>
      <c r="AK661" s="74">
        <v>849</v>
      </c>
      <c r="AL661" s="74">
        <v>1.6</v>
      </c>
    </row>
    <row r="662" spans="1:38" x14ac:dyDescent="0.3">
      <c r="A662" s="74" t="s">
        <v>1240</v>
      </c>
      <c r="B662" s="74">
        <v>104620</v>
      </c>
      <c r="C662" s="74">
        <v>1</v>
      </c>
      <c r="D662" s="74" t="s">
        <v>1253</v>
      </c>
      <c r="E662" s="74" t="s">
        <v>1254</v>
      </c>
      <c r="F662" s="74">
        <v>935</v>
      </c>
      <c r="G662" s="74">
        <v>25.5</v>
      </c>
      <c r="H662" s="74">
        <v>84.3</v>
      </c>
      <c r="I662" s="74">
        <v>18.14</v>
      </c>
      <c r="J662" s="74">
        <v>59.97</v>
      </c>
      <c r="K662" s="74">
        <v>133</v>
      </c>
      <c r="T662" s="74">
        <v>3</v>
      </c>
      <c r="U662" s="74">
        <v>2</v>
      </c>
      <c r="V662" s="74" t="s">
        <v>186</v>
      </c>
      <c r="W662" s="74" t="s">
        <v>131</v>
      </c>
      <c r="X662" s="74">
        <v>25</v>
      </c>
      <c r="Y662" s="74">
        <v>18</v>
      </c>
      <c r="Z662" s="74" t="s">
        <v>1255</v>
      </c>
      <c r="AA662" s="74" t="s">
        <v>1256</v>
      </c>
      <c r="AB662" s="74" t="s">
        <v>182</v>
      </c>
      <c r="AC662" s="74" t="s">
        <v>183</v>
      </c>
      <c r="AD662" s="74" t="s">
        <v>1245</v>
      </c>
      <c r="AG662" s="74" t="s">
        <v>1257</v>
      </c>
      <c r="AH662" s="74">
        <v>0</v>
      </c>
      <c r="AI662" s="74">
        <v>245</v>
      </c>
      <c r="AJ662" s="74">
        <v>18</v>
      </c>
      <c r="AK662" s="74">
        <v>1135</v>
      </c>
      <c r="AL662" s="74">
        <v>1.21</v>
      </c>
    </row>
    <row r="663" spans="1:38" x14ac:dyDescent="0.3">
      <c r="A663" s="74" t="s">
        <v>1240</v>
      </c>
      <c r="B663" s="74">
        <v>104620</v>
      </c>
      <c r="C663" s="74">
        <v>2</v>
      </c>
      <c r="D663" s="74" t="s">
        <v>1253</v>
      </c>
      <c r="E663" s="74" t="s">
        <v>1254</v>
      </c>
      <c r="F663" s="74">
        <v>935</v>
      </c>
      <c r="G663" s="74">
        <v>25.6</v>
      </c>
      <c r="H663" s="74">
        <v>84.63</v>
      </c>
      <c r="I663" s="74">
        <v>18.12</v>
      </c>
      <c r="J663" s="74">
        <v>59.91</v>
      </c>
      <c r="K663" s="74">
        <v>48</v>
      </c>
      <c r="T663" s="74">
        <v>3</v>
      </c>
      <c r="U663" s="74">
        <v>2</v>
      </c>
      <c r="V663" s="74" t="s">
        <v>186</v>
      </c>
      <c r="W663" s="74" t="s">
        <v>1258</v>
      </c>
      <c r="X663" s="74">
        <v>25</v>
      </c>
      <c r="Y663" s="74">
        <v>18</v>
      </c>
      <c r="Z663" s="74" t="s">
        <v>1255</v>
      </c>
      <c r="AA663" s="74" t="s">
        <v>1256</v>
      </c>
      <c r="AB663" s="74" t="s">
        <v>182</v>
      </c>
      <c r="AC663" s="74" t="s">
        <v>183</v>
      </c>
      <c r="AD663" s="74" t="s">
        <v>1245</v>
      </c>
      <c r="AG663" s="74" t="s">
        <v>1257</v>
      </c>
      <c r="AH663" s="74">
        <v>0</v>
      </c>
      <c r="AI663" s="74">
        <v>245</v>
      </c>
      <c r="AJ663" s="74">
        <v>18</v>
      </c>
      <c r="AK663" s="74">
        <v>1135</v>
      </c>
      <c r="AL663" s="74">
        <v>1.21</v>
      </c>
    </row>
    <row r="664" spans="1:38" x14ac:dyDescent="0.3">
      <c r="A664" s="74" t="s">
        <v>1240</v>
      </c>
      <c r="B664" s="74">
        <v>104620</v>
      </c>
      <c r="C664" s="74">
        <v>3</v>
      </c>
      <c r="D664" s="74" t="s">
        <v>1253</v>
      </c>
      <c r="E664" s="74" t="s">
        <v>1254</v>
      </c>
      <c r="F664" s="74">
        <v>935</v>
      </c>
      <c r="G664" s="74">
        <v>31.3</v>
      </c>
      <c r="H664" s="74">
        <v>103.5</v>
      </c>
      <c r="I664" s="74">
        <v>22.68</v>
      </c>
      <c r="J664" s="74">
        <v>74.989999999999995</v>
      </c>
      <c r="K664" s="74">
        <v>213</v>
      </c>
      <c r="T664" s="74">
        <v>3</v>
      </c>
      <c r="U664" s="74">
        <v>2</v>
      </c>
      <c r="V664" s="74" t="s">
        <v>186</v>
      </c>
      <c r="W664" s="74" t="s">
        <v>134</v>
      </c>
      <c r="X664" s="74">
        <v>25</v>
      </c>
      <c r="Y664" s="74">
        <v>18</v>
      </c>
      <c r="Z664" s="74" t="s">
        <v>1255</v>
      </c>
      <c r="AA664" s="74" t="s">
        <v>1256</v>
      </c>
      <c r="AB664" s="74" t="s">
        <v>182</v>
      </c>
      <c r="AC664" s="74" t="s">
        <v>183</v>
      </c>
      <c r="AD664" s="74" t="s">
        <v>1245</v>
      </c>
      <c r="AG664" s="74" t="s">
        <v>1257</v>
      </c>
      <c r="AH664" s="74">
        <v>0</v>
      </c>
      <c r="AI664" s="74">
        <v>245</v>
      </c>
      <c r="AJ664" s="74">
        <v>18</v>
      </c>
      <c r="AK664" s="74">
        <v>1135</v>
      </c>
      <c r="AL664" s="74">
        <v>1.21</v>
      </c>
    </row>
    <row r="665" spans="1:38" x14ac:dyDescent="0.3">
      <c r="A665" s="74" t="s">
        <v>1240</v>
      </c>
      <c r="B665" s="74">
        <v>104620</v>
      </c>
      <c r="C665" s="74">
        <v>4</v>
      </c>
      <c r="D665" s="74" t="s">
        <v>1253</v>
      </c>
      <c r="E665" s="74" t="s">
        <v>1254</v>
      </c>
      <c r="F665" s="74">
        <v>935</v>
      </c>
      <c r="G665" s="74">
        <v>31.42</v>
      </c>
      <c r="H665" s="74">
        <v>103.87</v>
      </c>
      <c r="I665" s="74">
        <v>22.67</v>
      </c>
      <c r="J665" s="74">
        <v>74.97</v>
      </c>
      <c r="K665" s="74">
        <v>71</v>
      </c>
      <c r="T665" s="74">
        <v>3</v>
      </c>
      <c r="U665" s="74">
        <v>2</v>
      </c>
      <c r="V665" s="74" t="s">
        <v>186</v>
      </c>
      <c r="W665" s="74" t="s">
        <v>152</v>
      </c>
      <c r="X665" s="74">
        <v>25</v>
      </c>
      <c r="Y665" s="74">
        <v>18</v>
      </c>
      <c r="Z665" s="74" t="s">
        <v>1255</v>
      </c>
      <c r="AA665" s="74" t="s">
        <v>1256</v>
      </c>
      <c r="AB665" s="74" t="s">
        <v>182</v>
      </c>
      <c r="AC665" s="74" t="s">
        <v>183</v>
      </c>
      <c r="AD665" s="74" t="s">
        <v>1245</v>
      </c>
      <c r="AG665" s="74" t="s">
        <v>1257</v>
      </c>
      <c r="AH665" s="74">
        <v>0</v>
      </c>
      <c r="AI665" s="74">
        <v>245</v>
      </c>
      <c r="AJ665" s="74">
        <v>18</v>
      </c>
      <c r="AK665" s="74">
        <v>1135</v>
      </c>
      <c r="AL665" s="74">
        <v>1.21</v>
      </c>
    </row>
    <row r="666" spans="1:38" x14ac:dyDescent="0.3">
      <c r="A666" s="74" t="s">
        <v>1240</v>
      </c>
      <c r="B666" s="74">
        <v>104620</v>
      </c>
      <c r="C666" s="74">
        <v>5</v>
      </c>
      <c r="D666" s="74" t="s">
        <v>1253</v>
      </c>
      <c r="E666" s="74" t="s">
        <v>1254</v>
      </c>
      <c r="F666" s="74">
        <v>935</v>
      </c>
      <c r="G666" s="74">
        <v>34.68</v>
      </c>
      <c r="H666" s="74">
        <v>114.66</v>
      </c>
      <c r="I666" s="74">
        <v>25.7</v>
      </c>
      <c r="J666" s="74">
        <v>84.98</v>
      </c>
      <c r="K666" s="74">
        <v>309</v>
      </c>
      <c r="T666" s="74">
        <v>3</v>
      </c>
      <c r="U666" s="74">
        <v>2</v>
      </c>
      <c r="V666" s="74" t="s">
        <v>186</v>
      </c>
      <c r="W666" s="74" t="s">
        <v>1042</v>
      </c>
      <c r="X666" s="74">
        <v>25</v>
      </c>
      <c r="Y666" s="74">
        <v>18</v>
      </c>
      <c r="Z666" s="74" t="s">
        <v>1255</v>
      </c>
      <c r="AA666" s="74" t="s">
        <v>1256</v>
      </c>
      <c r="AB666" s="74" t="s">
        <v>182</v>
      </c>
      <c r="AC666" s="74" t="s">
        <v>183</v>
      </c>
      <c r="AD666" s="74" t="s">
        <v>1245</v>
      </c>
      <c r="AG666" s="74" t="s">
        <v>1257</v>
      </c>
      <c r="AH666" s="74">
        <v>0</v>
      </c>
      <c r="AI666" s="74">
        <v>245</v>
      </c>
      <c r="AJ666" s="74">
        <v>18</v>
      </c>
      <c r="AK666" s="74">
        <v>1135</v>
      </c>
      <c r="AL666" s="74">
        <v>1.21</v>
      </c>
    </row>
    <row r="667" spans="1:38" x14ac:dyDescent="0.3">
      <c r="A667" s="74" t="s">
        <v>1240</v>
      </c>
      <c r="B667" s="74">
        <v>104620</v>
      </c>
      <c r="C667" s="74">
        <v>6</v>
      </c>
      <c r="D667" s="74" t="s">
        <v>1253</v>
      </c>
      <c r="E667" s="74" t="s">
        <v>1254</v>
      </c>
      <c r="F667" s="74">
        <v>935</v>
      </c>
      <c r="G667" s="74">
        <v>34.479999999999997</v>
      </c>
      <c r="H667" s="74">
        <v>114.01</v>
      </c>
      <c r="I667" s="74">
        <v>25.7</v>
      </c>
      <c r="J667" s="74">
        <v>84.98</v>
      </c>
      <c r="K667" s="74">
        <v>161</v>
      </c>
      <c r="T667" s="74">
        <v>3</v>
      </c>
      <c r="U667" s="74">
        <v>2</v>
      </c>
      <c r="V667" s="74" t="s">
        <v>186</v>
      </c>
      <c r="W667" s="74" t="s">
        <v>110</v>
      </c>
      <c r="X667" s="74">
        <v>25</v>
      </c>
      <c r="Y667" s="74">
        <v>18</v>
      </c>
      <c r="Z667" s="74" t="s">
        <v>1255</v>
      </c>
      <c r="AA667" s="74" t="s">
        <v>1256</v>
      </c>
      <c r="AB667" s="74" t="s">
        <v>182</v>
      </c>
      <c r="AC667" s="74" t="s">
        <v>183</v>
      </c>
      <c r="AD667" s="74" t="s">
        <v>1245</v>
      </c>
      <c r="AG667" s="74" t="s">
        <v>1257</v>
      </c>
      <c r="AH667" s="74">
        <v>0</v>
      </c>
      <c r="AI667" s="74">
        <v>245</v>
      </c>
      <c r="AJ667" s="74">
        <v>18</v>
      </c>
      <c r="AK667" s="74">
        <v>1135</v>
      </c>
      <c r="AL667" s="74">
        <v>1.21</v>
      </c>
    </row>
    <row r="668" spans="1:38" x14ac:dyDescent="0.3">
      <c r="A668" s="74" t="s">
        <v>1240</v>
      </c>
      <c r="B668" s="74">
        <v>109796</v>
      </c>
      <c r="C668" s="74">
        <v>1</v>
      </c>
      <c r="D668" s="74" t="s">
        <v>1259</v>
      </c>
      <c r="E668" s="74" t="s">
        <v>1218</v>
      </c>
      <c r="F668" s="74">
        <v>502</v>
      </c>
      <c r="G668" s="74">
        <v>24.99</v>
      </c>
      <c r="H668" s="74">
        <v>82.63</v>
      </c>
      <c r="I668" s="74">
        <v>18.14</v>
      </c>
      <c r="J668" s="74">
        <v>59.97</v>
      </c>
      <c r="K668" s="74">
        <v>120</v>
      </c>
      <c r="T668" s="74">
        <v>3</v>
      </c>
      <c r="U668" s="74">
        <v>2</v>
      </c>
      <c r="V668" s="74" t="s">
        <v>186</v>
      </c>
      <c r="W668" s="74">
        <v>82</v>
      </c>
      <c r="X668" s="74">
        <v>20</v>
      </c>
      <c r="Y668" s="74">
        <v>16</v>
      </c>
      <c r="Z668" s="74" t="s">
        <v>1260</v>
      </c>
      <c r="AA668" s="74" t="s">
        <v>1261</v>
      </c>
      <c r="AB668" s="74" t="s">
        <v>182</v>
      </c>
      <c r="AC668" s="74" t="s">
        <v>183</v>
      </c>
      <c r="AD668" s="74" t="s">
        <v>1245</v>
      </c>
      <c r="AG668" s="74" t="s">
        <v>1262</v>
      </c>
      <c r="AH668" s="74">
        <v>0</v>
      </c>
      <c r="AI668" s="74">
        <v>249</v>
      </c>
      <c r="AJ668" s="74">
        <v>21</v>
      </c>
      <c r="AK668" s="74">
        <v>550</v>
      </c>
      <c r="AL668" s="74">
        <v>1.1000000000000001</v>
      </c>
    </row>
    <row r="669" spans="1:38" x14ac:dyDescent="0.3">
      <c r="A669" s="74" t="s">
        <v>1240</v>
      </c>
      <c r="B669" s="74">
        <v>109796</v>
      </c>
      <c r="C669" s="74">
        <v>2</v>
      </c>
      <c r="D669" s="74" t="s">
        <v>1259</v>
      </c>
      <c r="E669" s="74" t="s">
        <v>1218</v>
      </c>
      <c r="F669" s="74">
        <v>502</v>
      </c>
      <c r="G669" s="74">
        <v>32.799999999999997</v>
      </c>
      <c r="H669" s="74">
        <v>108.45</v>
      </c>
      <c r="I669" s="74">
        <v>25.69</v>
      </c>
      <c r="J669" s="74">
        <v>84.95</v>
      </c>
      <c r="K669" s="74">
        <v>170</v>
      </c>
      <c r="T669" s="74">
        <v>3</v>
      </c>
      <c r="U669" s="74">
        <v>2</v>
      </c>
      <c r="V669" s="74" t="s">
        <v>186</v>
      </c>
      <c r="W669" s="74" t="s">
        <v>1263</v>
      </c>
      <c r="X669" s="74">
        <v>20</v>
      </c>
      <c r="Y669" s="74">
        <v>16</v>
      </c>
      <c r="Z669" s="74" t="s">
        <v>1260</v>
      </c>
      <c r="AA669" s="74" t="s">
        <v>1261</v>
      </c>
      <c r="AB669" s="74" t="s">
        <v>182</v>
      </c>
      <c r="AC669" s="74" t="s">
        <v>183</v>
      </c>
      <c r="AD669" s="74" t="s">
        <v>1245</v>
      </c>
      <c r="AG669" s="74" t="s">
        <v>1262</v>
      </c>
      <c r="AH669" s="74">
        <v>0</v>
      </c>
      <c r="AI669" s="74">
        <v>249</v>
      </c>
      <c r="AJ669" s="74">
        <v>21</v>
      </c>
      <c r="AK669" s="74">
        <v>550</v>
      </c>
      <c r="AL669" s="74">
        <v>1.1000000000000001</v>
      </c>
    </row>
    <row r="670" spans="1:38" x14ac:dyDescent="0.3">
      <c r="A670" s="74" t="s">
        <v>1240</v>
      </c>
      <c r="B670" s="74">
        <v>109796</v>
      </c>
      <c r="C670" s="74">
        <v>3</v>
      </c>
      <c r="D670" s="74" t="s">
        <v>1259</v>
      </c>
      <c r="E670" s="74" t="s">
        <v>1218</v>
      </c>
      <c r="F670" s="74">
        <v>502</v>
      </c>
      <c r="G670" s="74">
        <v>32.79</v>
      </c>
      <c r="H670" s="74">
        <v>108.41</v>
      </c>
      <c r="I670" s="74">
        <v>25.69</v>
      </c>
      <c r="J670" s="74">
        <v>84.95</v>
      </c>
      <c r="K670" s="74">
        <v>144</v>
      </c>
      <c r="T670" s="74">
        <v>3</v>
      </c>
      <c r="U670" s="74">
        <v>2</v>
      </c>
      <c r="V670" s="74" t="s">
        <v>186</v>
      </c>
      <c r="W670" s="74" t="s">
        <v>194</v>
      </c>
      <c r="X670" s="74">
        <v>20</v>
      </c>
      <c r="Y670" s="74">
        <v>16</v>
      </c>
      <c r="Z670" s="74" t="s">
        <v>1260</v>
      </c>
      <c r="AA670" s="74" t="s">
        <v>1261</v>
      </c>
      <c r="AB670" s="74" t="s">
        <v>182</v>
      </c>
      <c r="AC670" s="74" t="s">
        <v>183</v>
      </c>
      <c r="AD670" s="74" t="s">
        <v>1245</v>
      </c>
      <c r="AG670" s="74" t="s">
        <v>1262</v>
      </c>
      <c r="AH670" s="74">
        <v>0</v>
      </c>
      <c r="AI670" s="74">
        <v>249</v>
      </c>
      <c r="AJ670" s="74">
        <v>21</v>
      </c>
      <c r="AK670" s="74">
        <v>550</v>
      </c>
      <c r="AL670" s="74">
        <v>1.1000000000000001</v>
      </c>
    </row>
    <row r="671" spans="1:38" x14ac:dyDescent="0.3">
      <c r="A671" s="74" t="s">
        <v>1240</v>
      </c>
      <c r="B671" s="74">
        <v>109796</v>
      </c>
      <c r="C671" s="74">
        <v>4</v>
      </c>
      <c r="D671" s="74" t="s">
        <v>1259</v>
      </c>
      <c r="E671" s="74" t="s">
        <v>1218</v>
      </c>
      <c r="F671" s="74">
        <v>502</v>
      </c>
      <c r="G671" s="74">
        <v>32.89</v>
      </c>
      <c r="H671" s="74">
        <v>108.75</v>
      </c>
      <c r="I671" s="74">
        <v>25.7</v>
      </c>
      <c r="J671" s="74">
        <v>84.98</v>
      </c>
      <c r="K671" s="74">
        <v>68</v>
      </c>
      <c r="T671" s="74">
        <v>3</v>
      </c>
      <c r="U671" s="74">
        <v>2</v>
      </c>
      <c r="V671" s="74" t="s">
        <v>186</v>
      </c>
      <c r="W671" s="74" t="s">
        <v>1264</v>
      </c>
      <c r="X671" s="74">
        <v>20</v>
      </c>
      <c r="Y671" s="74">
        <v>16</v>
      </c>
      <c r="Z671" s="74" t="s">
        <v>1260</v>
      </c>
      <c r="AA671" s="74" t="s">
        <v>1261</v>
      </c>
      <c r="AB671" s="74" t="s">
        <v>182</v>
      </c>
      <c r="AC671" s="74" t="s">
        <v>183</v>
      </c>
      <c r="AD671" s="74" t="s">
        <v>1245</v>
      </c>
      <c r="AG671" s="74" t="s">
        <v>1262</v>
      </c>
      <c r="AH671" s="74">
        <v>0</v>
      </c>
      <c r="AI671" s="74">
        <v>249</v>
      </c>
      <c r="AJ671" s="74">
        <v>21</v>
      </c>
      <c r="AK671" s="74">
        <v>550</v>
      </c>
      <c r="AL671" s="74">
        <v>1.1000000000000001</v>
      </c>
    </row>
    <row r="672" spans="1:38" x14ac:dyDescent="0.3">
      <c r="A672" s="74" t="s">
        <v>1240</v>
      </c>
      <c r="B672" s="74">
        <v>112195</v>
      </c>
      <c r="C672" s="74">
        <v>1</v>
      </c>
      <c r="D672" s="74" t="s">
        <v>1265</v>
      </c>
      <c r="E672" s="74" t="s">
        <v>1266</v>
      </c>
      <c r="F672" s="74">
        <v>382</v>
      </c>
      <c r="G672" s="74">
        <v>23.28</v>
      </c>
      <c r="H672" s="74">
        <v>76.98</v>
      </c>
      <c r="I672" s="74">
        <v>18.07</v>
      </c>
      <c r="J672" s="74">
        <v>59.74</v>
      </c>
      <c r="K672" s="74">
        <v>41</v>
      </c>
      <c r="T672" s="74">
        <v>3</v>
      </c>
      <c r="U672" s="74">
        <v>2</v>
      </c>
      <c r="V672" s="74" t="s">
        <v>186</v>
      </c>
      <c r="W672" s="74" t="s">
        <v>151</v>
      </c>
      <c r="X672" s="74">
        <v>19</v>
      </c>
      <c r="Y672" s="74">
        <v>15</v>
      </c>
      <c r="Z672" s="74" t="s">
        <v>1267</v>
      </c>
      <c r="AA672" s="74" t="s">
        <v>1268</v>
      </c>
      <c r="AB672" s="74" t="s">
        <v>182</v>
      </c>
      <c r="AC672" s="74" t="s">
        <v>183</v>
      </c>
      <c r="AD672" s="74" t="s">
        <v>1245</v>
      </c>
      <c r="AG672" s="74" t="s">
        <v>1269</v>
      </c>
      <c r="AH672" s="74">
        <v>0</v>
      </c>
      <c r="AI672" s="74">
        <v>246</v>
      </c>
      <c r="AJ672" s="74">
        <v>24</v>
      </c>
      <c r="AK672" s="74">
        <v>425</v>
      </c>
      <c r="AL672" s="74">
        <v>1.1100000000000001</v>
      </c>
    </row>
    <row r="673" spans="1:38" x14ac:dyDescent="0.3">
      <c r="A673" s="74" t="s">
        <v>1240</v>
      </c>
      <c r="B673" s="74">
        <v>112195</v>
      </c>
      <c r="C673" s="74">
        <v>2</v>
      </c>
      <c r="D673" s="74" t="s">
        <v>1265</v>
      </c>
      <c r="E673" s="74" t="s">
        <v>1266</v>
      </c>
      <c r="F673" s="74">
        <v>382</v>
      </c>
      <c r="G673" s="74">
        <v>23.37</v>
      </c>
      <c r="H673" s="74">
        <v>77.260000000000005</v>
      </c>
      <c r="I673" s="74">
        <v>18.09</v>
      </c>
      <c r="J673" s="74">
        <v>59.83</v>
      </c>
      <c r="K673" s="74">
        <v>28</v>
      </c>
      <c r="T673" s="74">
        <v>3</v>
      </c>
      <c r="U673" s="74">
        <v>2</v>
      </c>
      <c r="V673" s="74" t="s">
        <v>186</v>
      </c>
      <c r="W673" s="74" t="s">
        <v>83</v>
      </c>
      <c r="X673" s="74">
        <v>19</v>
      </c>
      <c r="Y673" s="74">
        <v>15</v>
      </c>
      <c r="Z673" s="74" t="s">
        <v>1267</v>
      </c>
      <c r="AA673" s="74" t="s">
        <v>1268</v>
      </c>
      <c r="AB673" s="74" t="s">
        <v>182</v>
      </c>
      <c r="AC673" s="74" t="s">
        <v>183</v>
      </c>
      <c r="AD673" s="74" t="s">
        <v>1245</v>
      </c>
      <c r="AG673" s="74" t="s">
        <v>1269</v>
      </c>
      <c r="AH673" s="74">
        <v>0</v>
      </c>
      <c r="AI673" s="74">
        <v>246</v>
      </c>
      <c r="AJ673" s="74">
        <v>24</v>
      </c>
      <c r="AK673" s="74">
        <v>425</v>
      </c>
      <c r="AL673" s="74">
        <v>1.1100000000000001</v>
      </c>
    </row>
    <row r="674" spans="1:38" x14ac:dyDescent="0.3">
      <c r="A674" s="74" t="s">
        <v>1240</v>
      </c>
      <c r="B674" s="74">
        <v>112195</v>
      </c>
      <c r="C674" s="74">
        <v>3</v>
      </c>
      <c r="D674" s="74" t="s">
        <v>1265</v>
      </c>
      <c r="E674" s="74" t="s">
        <v>1266</v>
      </c>
      <c r="F674" s="74">
        <v>382</v>
      </c>
      <c r="G674" s="74">
        <v>28.37</v>
      </c>
      <c r="H674" s="74">
        <v>93.8</v>
      </c>
      <c r="I674" s="74">
        <v>22.17</v>
      </c>
      <c r="J674" s="74">
        <v>73.31</v>
      </c>
      <c r="K674" s="74">
        <v>14</v>
      </c>
      <c r="T674" s="74">
        <v>3</v>
      </c>
      <c r="U674" s="74">
        <v>2</v>
      </c>
      <c r="V674" s="74" t="s">
        <v>186</v>
      </c>
      <c r="W674" s="74">
        <v>93</v>
      </c>
      <c r="X674" s="74">
        <v>19</v>
      </c>
      <c r="Y674" s="74">
        <v>15</v>
      </c>
      <c r="Z674" s="74" t="s">
        <v>1267</v>
      </c>
      <c r="AA674" s="74" t="s">
        <v>1268</v>
      </c>
      <c r="AB674" s="74" t="s">
        <v>182</v>
      </c>
      <c r="AC674" s="74" t="s">
        <v>183</v>
      </c>
      <c r="AD674" s="74" t="s">
        <v>1245</v>
      </c>
      <c r="AG674" s="74" t="s">
        <v>1269</v>
      </c>
      <c r="AH674" s="74">
        <v>0</v>
      </c>
      <c r="AI674" s="74">
        <v>246</v>
      </c>
      <c r="AJ674" s="74">
        <v>24</v>
      </c>
      <c r="AK674" s="74">
        <v>425</v>
      </c>
      <c r="AL674" s="74">
        <v>1.1100000000000001</v>
      </c>
    </row>
    <row r="675" spans="1:38" x14ac:dyDescent="0.3">
      <c r="A675" s="74" t="s">
        <v>1240</v>
      </c>
      <c r="B675" s="74">
        <v>112195</v>
      </c>
      <c r="C675" s="74">
        <v>4</v>
      </c>
      <c r="D675" s="74" t="s">
        <v>1265</v>
      </c>
      <c r="E675" s="74" t="s">
        <v>1266</v>
      </c>
      <c r="F675" s="74">
        <v>382</v>
      </c>
      <c r="G675" s="74">
        <v>32.630000000000003</v>
      </c>
      <c r="H675" s="74">
        <v>107.89</v>
      </c>
      <c r="I675" s="74">
        <v>25.5</v>
      </c>
      <c r="J675" s="74">
        <v>84.32</v>
      </c>
      <c r="K675" s="74">
        <v>187</v>
      </c>
      <c r="T675" s="74">
        <v>3</v>
      </c>
      <c r="U675" s="74">
        <v>2</v>
      </c>
      <c r="V675" s="74" t="s">
        <v>186</v>
      </c>
      <c r="W675" s="74" t="s">
        <v>1270</v>
      </c>
      <c r="X675" s="74">
        <v>19</v>
      </c>
      <c r="Y675" s="74">
        <v>15</v>
      </c>
      <c r="Z675" s="74" t="s">
        <v>1267</v>
      </c>
      <c r="AA675" s="74" t="s">
        <v>1268</v>
      </c>
      <c r="AB675" s="74" t="s">
        <v>182</v>
      </c>
      <c r="AC675" s="74" t="s">
        <v>183</v>
      </c>
      <c r="AD675" s="74" t="s">
        <v>1245</v>
      </c>
      <c r="AG675" s="74" t="s">
        <v>1269</v>
      </c>
      <c r="AH675" s="74">
        <v>0</v>
      </c>
      <c r="AI675" s="74">
        <v>246</v>
      </c>
      <c r="AJ675" s="74">
        <v>24</v>
      </c>
      <c r="AK675" s="74">
        <v>425</v>
      </c>
      <c r="AL675" s="74">
        <v>1.1100000000000001</v>
      </c>
    </row>
    <row r="676" spans="1:38" x14ac:dyDescent="0.3">
      <c r="A676" s="74" t="s">
        <v>1240</v>
      </c>
      <c r="B676" s="74">
        <v>112195</v>
      </c>
      <c r="C676" s="74">
        <v>5</v>
      </c>
      <c r="D676" s="74" t="s">
        <v>1265</v>
      </c>
      <c r="E676" s="74" t="s">
        <v>1266</v>
      </c>
      <c r="F676" s="74">
        <v>382</v>
      </c>
      <c r="G676" s="74">
        <v>32.83</v>
      </c>
      <c r="H676" s="74">
        <v>108.56</v>
      </c>
      <c r="I676" s="74">
        <v>25.7</v>
      </c>
      <c r="J676" s="74">
        <v>84.97</v>
      </c>
      <c r="K676" s="74">
        <v>74</v>
      </c>
      <c r="T676" s="74">
        <v>3</v>
      </c>
      <c r="U676" s="74">
        <v>2</v>
      </c>
      <c r="V676" s="74" t="s">
        <v>186</v>
      </c>
      <c r="W676" s="74" t="s">
        <v>1264</v>
      </c>
      <c r="X676" s="74">
        <v>19</v>
      </c>
      <c r="Y676" s="74">
        <v>15</v>
      </c>
      <c r="Z676" s="74" t="s">
        <v>1267</v>
      </c>
      <c r="AA676" s="74" t="s">
        <v>1268</v>
      </c>
      <c r="AB676" s="74" t="s">
        <v>182</v>
      </c>
      <c r="AC676" s="74" t="s">
        <v>183</v>
      </c>
      <c r="AD676" s="74" t="s">
        <v>1245</v>
      </c>
      <c r="AG676" s="74" t="s">
        <v>1269</v>
      </c>
      <c r="AH676" s="74">
        <v>0</v>
      </c>
      <c r="AI676" s="74">
        <v>246</v>
      </c>
      <c r="AJ676" s="74">
        <v>24</v>
      </c>
      <c r="AK676" s="74">
        <v>425</v>
      </c>
      <c r="AL676" s="74">
        <v>1.1100000000000001</v>
      </c>
    </row>
    <row r="677" spans="1:38" x14ac:dyDescent="0.3">
      <c r="A677" s="74" t="s">
        <v>1240</v>
      </c>
      <c r="B677" s="74">
        <v>112195</v>
      </c>
      <c r="C677" s="74">
        <v>6</v>
      </c>
      <c r="D677" s="74" t="s">
        <v>1265</v>
      </c>
      <c r="E677" s="74" t="s">
        <v>1266</v>
      </c>
      <c r="F677" s="74">
        <v>382</v>
      </c>
      <c r="G677" s="74">
        <v>32.71</v>
      </c>
      <c r="H677" s="74">
        <v>108.15</v>
      </c>
      <c r="I677" s="74">
        <v>25.64</v>
      </c>
      <c r="J677" s="74">
        <v>84.78</v>
      </c>
      <c r="K677" s="74">
        <v>38</v>
      </c>
      <c r="T677" s="74">
        <v>3</v>
      </c>
      <c r="U677" s="74">
        <v>2</v>
      </c>
      <c r="V677" s="74" t="s">
        <v>186</v>
      </c>
      <c r="W677" s="74" t="s">
        <v>194</v>
      </c>
      <c r="X677" s="74">
        <v>19</v>
      </c>
      <c r="Y677" s="74">
        <v>15</v>
      </c>
      <c r="Z677" s="74" t="s">
        <v>1267</v>
      </c>
      <c r="AA677" s="74" t="s">
        <v>1268</v>
      </c>
      <c r="AB677" s="74" t="s">
        <v>182</v>
      </c>
      <c r="AC677" s="74" t="s">
        <v>183</v>
      </c>
      <c r="AD677" s="74" t="s">
        <v>1245</v>
      </c>
      <c r="AG677" s="74" t="s">
        <v>1269</v>
      </c>
      <c r="AH677" s="74">
        <v>0</v>
      </c>
      <c r="AI677" s="74">
        <v>246</v>
      </c>
      <c r="AJ677" s="74">
        <v>24</v>
      </c>
      <c r="AK677" s="74">
        <v>425</v>
      </c>
      <c r="AL677" s="74">
        <v>1.1100000000000001</v>
      </c>
    </row>
    <row r="678" spans="1:38" x14ac:dyDescent="0.3">
      <c r="A678" s="74" t="s">
        <v>1240</v>
      </c>
      <c r="B678" s="74">
        <v>26767</v>
      </c>
      <c r="C678" s="74">
        <v>1</v>
      </c>
      <c r="D678" s="74" t="s">
        <v>1271</v>
      </c>
      <c r="E678" s="74" t="s">
        <v>1272</v>
      </c>
      <c r="F678" s="74">
        <v>472</v>
      </c>
      <c r="G678" s="74">
        <v>34.36</v>
      </c>
      <c r="H678" s="74">
        <v>113.61</v>
      </c>
      <c r="I678" s="74">
        <v>25.63</v>
      </c>
      <c r="J678" s="74">
        <v>84.74</v>
      </c>
      <c r="K678" s="74">
        <v>472</v>
      </c>
      <c r="T678" s="74">
        <v>3</v>
      </c>
      <c r="U678" s="74">
        <v>2</v>
      </c>
      <c r="V678" s="74" t="s">
        <v>186</v>
      </c>
      <c r="W678" s="74">
        <v>113</v>
      </c>
      <c r="X678" s="74">
        <v>15</v>
      </c>
      <c r="Y678" s="74">
        <v>14</v>
      </c>
      <c r="Z678" s="74" t="s">
        <v>1273</v>
      </c>
      <c r="AA678" s="74" t="s">
        <v>1274</v>
      </c>
      <c r="AB678" s="74" t="s">
        <v>182</v>
      </c>
      <c r="AC678" s="74" t="s">
        <v>183</v>
      </c>
      <c r="AD678" s="74" t="s">
        <v>1245</v>
      </c>
      <c r="AG678" s="74" t="s">
        <v>1275</v>
      </c>
      <c r="AH678" s="74">
        <v>0</v>
      </c>
      <c r="AI678" s="74">
        <v>229</v>
      </c>
      <c r="AJ678" s="74">
        <v>21</v>
      </c>
      <c r="AK678" s="74">
        <v>478</v>
      </c>
      <c r="AL678" s="74">
        <v>1.01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경암동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184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경암동 새한('95.06.,304^)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177</v>
      </c>
      <c r="B6" s="10" t="s">
        <v>1278</v>
      </c>
      <c r="C6" s="89">
        <v>304</v>
      </c>
      <c r="D6" s="87">
        <v>76.8</v>
      </c>
      <c r="E6" s="88">
        <v>23</v>
      </c>
      <c r="F6" s="87">
        <v>59.3</v>
      </c>
      <c r="G6" s="17">
        <v>18</v>
      </c>
      <c r="H6" s="89">
        <v>138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1</v>
      </c>
      <c r="S6" s="80" t="s">
        <v>76</v>
      </c>
      <c r="T6" s="5">
        <v>76</v>
      </c>
      <c r="U6" s="9"/>
      <c r="W6" s="87">
        <f t="shared" ref="W6:X8" si="2">D6</f>
        <v>76.8</v>
      </c>
      <c r="X6" s="88">
        <f t="shared" si="2"/>
        <v>23</v>
      </c>
      <c r="Y6" s="93">
        <f t="shared" ref="Y6:Z8" si="3">H6</f>
        <v>138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복</v>
      </c>
      <c r="AF6" s="80" t="str">
        <f>Q6&amp;"/"&amp;R6</f>
        <v>3/1</v>
      </c>
      <c r="AH6" s="20" t="str">
        <f t="shared" si="1"/>
        <v>새한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177</v>
      </c>
      <c r="B7" s="10" t="s">
        <v>1278</v>
      </c>
      <c r="C7" s="89">
        <v>304</v>
      </c>
      <c r="D7" s="87">
        <v>91.1</v>
      </c>
      <c r="E7" s="88">
        <v>28</v>
      </c>
      <c r="F7" s="87">
        <v>74.099999999999994</v>
      </c>
      <c r="G7" s="17">
        <v>22</v>
      </c>
      <c r="H7" s="89">
        <v>87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61</v>
      </c>
      <c r="T7" s="5">
        <v>91</v>
      </c>
      <c r="U7" s="9"/>
      <c r="W7" s="87">
        <f t="shared" si="2"/>
        <v>91.1</v>
      </c>
      <c r="X7" s="88">
        <f t="shared" si="2"/>
        <v>28</v>
      </c>
      <c r="Y7" s="93">
        <f t="shared" si="3"/>
        <v>87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새한</v>
      </c>
      <c r="AI7" s="88">
        <f t="shared" si="0"/>
        <v>28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 t="s">
        <v>177</v>
      </c>
      <c r="B8" s="10" t="s">
        <v>1278</v>
      </c>
      <c r="C8" s="89">
        <v>304</v>
      </c>
      <c r="D8" s="87">
        <v>105.5</v>
      </c>
      <c r="E8" s="88">
        <v>32</v>
      </c>
      <c r="F8" s="87">
        <v>85</v>
      </c>
      <c r="G8" s="17">
        <v>26</v>
      </c>
      <c r="H8" s="89">
        <v>79</v>
      </c>
      <c r="I8" s="90">
        <v>12000</v>
      </c>
      <c r="J8" s="90" t="s">
        <v>66</v>
      </c>
      <c r="K8" s="90"/>
      <c r="L8" s="90"/>
      <c r="M8" s="91">
        <f>I8-K8</f>
        <v>12000</v>
      </c>
      <c r="N8" s="4">
        <f>IF(ISERROR(K8/I8),"",K8/I8)</f>
        <v>0</v>
      </c>
      <c r="O8" s="92">
        <f>I8/E8</f>
        <v>375</v>
      </c>
      <c r="P8" s="92">
        <f>K8/E8</f>
        <v>0</v>
      </c>
      <c r="Q8" s="80">
        <v>3</v>
      </c>
      <c r="R8" s="80">
        <v>2</v>
      </c>
      <c r="S8" s="80" t="s">
        <v>61</v>
      </c>
      <c r="T8" s="5">
        <v>105</v>
      </c>
      <c r="U8" s="9"/>
      <c r="W8" s="87">
        <f t="shared" si="2"/>
        <v>105.5</v>
      </c>
      <c r="X8" s="88">
        <f t="shared" si="2"/>
        <v>32</v>
      </c>
      <c r="Y8" s="93">
        <f t="shared" si="3"/>
        <v>79</v>
      </c>
      <c r="Z8" s="91">
        <f t="shared" si="3"/>
        <v>12000</v>
      </c>
      <c r="AA8" s="91">
        <f>K8</f>
        <v>0</v>
      </c>
      <c r="AB8" s="91">
        <f t="shared" si="4"/>
        <v>12000</v>
      </c>
      <c r="AC8" s="4">
        <f t="shared" si="4"/>
        <v>0</v>
      </c>
      <c r="AD8" s="92">
        <f t="shared" si="4"/>
        <v>375</v>
      </c>
      <c r="AE8" s="80" t="str">
        <f>S8</f>
        <v>계</v>
      </c>
      <c r="AF8" s="80" t="str">
        <f>Q8&amp;"/"&amp;R8</f>
        <v>3/2</v>
      </c>
      <c r="AH8" s="20" t="str">
        <f t="shared" si="1"/>
        <v>새한</v>
      </c>
      <c r="AI8" s="88">
        <f t="shared" si="0"/>
        <v>32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경암동 경암제일오투그란데('15.11.,352^)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192</v>
      </c>
      <c r="B10" s="10" t="s">
        <v>1279</v>
      </c>
      <c r="C10" s="89">
        <v>352</v>
      </c>
      <c r="D10" s="87">
        <v>109</v>
      </c>
      <c r="E10" s="88">
        <v>33</v>
      </c>
      <c r="F10" s="87">
        <v>83.9</v>
      </c>
      <c r="G10" s="17">
        <v>25</v>
      </c>
      <c r="H10" s="89">
        <v>20</v>
      </c>
      <c r="I10" s="90">
        <v>29500</v>
      </c>
      <c r="J10" s="90" t="s">
        <v>91</v>
      </c>
      <c r="K10" s="90">
        <v>24000</v>
      </c>
      <c r="L10" s="90" t="s">
        <v>69</v>
      </c>
      <c r="M10" s="91">
        <f>I10-K10</f>
        <v>5500</v>
      </c>
      <c r="N10" s="4">
        <f>IF(ISERROR(K10/I10),"",K10/I10)</f>
        <v>0.81355932203389836</v>
      </c>
      <c r="O10" s="92">
        <f>I10/E10</f>
        <v>893.93939393939399</v>
      </c>
      <c r="P10" s="92">
        <f>K10/E10</f>
        <v>727.27272727272725</v>
      </c>
      <c r="Q10" s="80">
        <v>3</v>
      </c>
      <c r="R10" s="80">
        <v>2</v>
      </c>
      <c r="S10" s="80" t="s">
        <v>61</v>
      </c>
      <c r="T10" s="5" t="s">
        <v>194</v>
      </c>
      <c r="U10" s="9"/>
      <c r="W10" s="87">
        <f t="shared" ref="W10:X13" si="5">D10</f>
        <v>109</v>
      </c>
      <c r="X10" s="88">
        <f t="shared" si="5"/>
        <v>33</v>
      </c>
      <c r="Y10" s="93">
        <f t="shared" ref="Y10:Z13" si="6">H10</f>
        <v>20</v>
      </c>
      <c r="Z10" s="91">
        <f t="shared" si="6"/>
        <v>29500</v>
      </c>
      <c r="AA10" s="91">
        <f>K10</f>
        <v>24000</v>
      </c>
      <c r="AB10" s="91">
        <f t="shared" ref="AB10:AD13" si="7">M10</f>
        <v>5500</v>
      </c>
      <c r="AC10" s="4">
        <f t="shared" si="7"/>
        <v>0.81355932203389836</v>
      </c>
      <c r="AD10" s="92">
        <f t="shared" si="7"/>
        <v>893.93939393939399</v>
      </c>
      <c r="AE10" s="80" t="str">
        <f>S10</f>
        <v>계</v>
      </c>
      <c r="AF10" s="80" t="str">
        <f>Q10&amp;"/"&amp;R10</f>
        <v>3/2</v>
      </c>
      <c r="AH10" s="20" t="str">
        <f t="shared" si="1"/>
        <v>경암제일오투그란데</v>
      </c>
      <c r="AI10" s="88">
        <f t="shared" si="0"/>
        <v>33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192</v>
      </c>
      <c r="B11" s="10" t="s">
        <v>1279</v>
      </c>
      <c r="C11" s="89">
        <v>352</v>
      </c>
      <c r="D11" s="87">
        <v>109.5</v>
      </c>
      <c r="E11" s="88">
        <v>33</v>
      </c>
      <c r="F11" s="87">
        <v>85</v>
      </c>
      <c r="G11" s="17">
        <v>26</v>
      </c>
      <c r="H11" s="89">
        <v>104</v>
      </c>
      <c r="I11" s="90">
        <v>30000</v>
      </c>
      <c r="J11" s="90" t="s">
        <v>65</v>
      </c>
      <c r="K11" s="90"/>
      <c r="L11" s="90"/>
      <c r="M11" s="91">
        <f>I11-K11</f>
        <v>30000</v>
      </c>
      <c r="N11" s="4">
        <f>IF(ISERROR(K11/I11),"",K11/I11)</f>
        <v>0</v>
      </c>
      <c r="O11" s="92">
        <f>I11/E11</f>
        <v>909.09090909090912</v>
      </c>
      <c r="P11" s="92">
        <f>K11/E11</f>
        <v>0</v>
      </c>
      <c r="Q11" s="80">
        <v>3</v>
      </c>
      <c r="R11" s="80">
        <v>2</v>
      </c>
      <c r="S11" s="80" t="s">
        <v>61</v>
      </c>
      <c r="T11" s="5" t="s">
        <v>198</v>
      </c>
      <c r="U11" s="9"/>
      <c r="W11" s="87">
        <f t="shared" si="5"/>
        <v>109.5</v>
      </c>
      <c r="X11" s="88">
        <f t="shared" si="5"/>
        <v>33</v>
      </c>
      <c r="Y11" s="93">
        <f t="shared" si="6"/>
        <v>104</v>
      </c>
      <c r="Z11" s="91">
        <f t="shared" si="6"/>
        <v>30000</v>
      </c>
      <c r="AA11" s="91">
        <f>K11</f>
        <v>0</v>
      </c>
      <c r="AB11" s="91">
        <f t="shared" si="7"/>
        <v>30000</v>
      </c>
      <c r="AC11" s="4">
        <f t="shared" si="7"/>
        <v>0</v>
      </c>
      <c r="AD11" s="92">
        <f t="shared" si="7"/>
        <v>909.09090909090912</v>
      </c>
      <c r="AE11" s="80" t="str">
        <f>S11</f>
        <v>계</v>
      </c>
      <c r="AF11" s="80" t="str">
        <f>Q11&amp;"/"&amp;R11</f>
        <v>3/2</v>
      </c>
      <c r="AH11" s="20" t="str">
        <f t="shared" si="1"/>
        <v>경암제일오투그란데</v>
      </c>
      <c r="AI11" s="88">
        <f t="shared" si="0"/>
        <v>33</v>
      </c>
      <c r="AJ11" s="80" t="str">
        <f>IF(AI11="","",$AJ$2)</f>
        <v>A-</v>
      </c>
      <c r="AK11" s="80" t="s">
        <v>14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192</v>
      </c>
      <c r="B12" s="10" t="s">
        <v>1279</v>
      </c>
      <c r="C12" s="89">
        <v>352</v>
      </c>
      <c r="D12" s="87">
        <v>110.6</v>
      </c>
      <c r="E12" s="88">
        <v>33</v>
      </c>
      <c r="F12" s="87">
        <v>84.5</v>
      </c>
      <c r="G12" s="17">
        <v>26</v>
      </c>
      <c r="H12" s="89">
        <v>131</v>
      </c>
      <c r="I12" s="90">
        <v>27000</v>
      </c>
      <c r="J12" s="90" t="s">
        <v>84</v>
      </c>
      <c r="K12" s="90"/>
      <c r="L12" s="90"/>
      <c r="M12" s="91">
        <f>I12-K12</f>
        <v>27000</v>
      </c>
      <c r="N12" s="4">
        <f>IF(ISERROR(K12/I12),"",K12/I12)</f>
        <v>0</v>
      </c>
      <c r="O12" s="92">
        <f>I12/E12</f>
        <v>818.18181818181813</v>
      </c>
      <c r="P12" s="92">
        <f>K12/E12</f>
        <v>0</v>
      </c>
      <c r="Q12" s="80">
        <v>3</v>
      </c>
      <c r="R12" s="80">
        <v>2</v>
      </c>
      <c r="S12" s="80" t="s">
        <v>61</v>
      </c>
      <c r="T12" s="5" t="s">
        <v>97</v>
      </c>
      <c r="U12" s="9"/>
      <c r="W12" s="87">
        <f t="shared" si="5"/>
        <v>110.6</v>
      </c>
      <c r="X12" s="88">
        <f t="shared" si="5"/>
        <v>33</v>
      </c>
      <c r="Y12" s="93">
        <f t="shared" si="6"/>
        <v>131</v>
      </c>
      <c r="Z12" s="91">
        <f t="shared" si="6"/>
        <v>27000</v>
      </c>
      <c r="AA12" s="91">
        <f>K12</f>
        <v>0</v>
      </c>
      <c r="AB12" s="91">
        <f t="shared" si="7"/>
        <v>27000</v>
      </c>
      <c r="AC12" s="4">
        <f t="shared" si="7"/>
        <v>0</v>
      </c>
      <c r="AD12" s="92">
        <f t="shared" si="7"/>
        <v>818.18181818181813</v>
      </c>
      <c r="AE12" s="80" t="str">
        <f>S12</f>
        <v>계</v>
      </c>
      <c r="AF12" s="80" t="str">
        <f>Q12&amp;"/"&amp;R12</f>
        <v>3/2</v>
      </c>
      <c r="AH12" s="20" t="str">
        <f t="shared" si="1"/>
        <v>경암제일오투그란데</v>
      </c>
      <c r="AI12" s="88">
        <f t="shared" si="0"/>
        <v>33</v>
      </c>
      <c r="AJ12" s="80" t="str">
        <f>IF(AI12="","",$AJ$2)</f>
        <v>A-</v>
      </c>
      <c r="AK12" s="80" t="s">
        <v>14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 t="s">
        <v>192</v>
      </c>
      <c r="B13" s="10" t="s">
        <v>1279</v>
      </c>
      <c r="C13" s="89">
        <v>352</v>
      </c>
      <c r="D13" s="87">
        <v>110.1</v>
      </c>
      <c r="E13" s="88">
        <v>33</v>
      </c>
      <c r="F13" s="87">
        <v>84.9</v>
      </c>
      <c r="G13" s="17">
        <v>26</v>
      </c>
      <c r="H13" s="89">
        <v>97</v>
      </c>
      <c r="I13" s="90">
        <v>27000</v>
      </c>
      <c r="J13" s="90" t="s">
        <v>60</v>
      </c>
      <c r="K13" s="90">
        <v>24000</v>
      </c>
      <c r="L13" s="90" t="s">
        <v>1280</v>
      </c>
      <c r="M13" s="91">
        <f>I13-K13</f>
        <v>3000</v>
      </c>
      <c r="N13" s="4">
        <f>IF(ISERROR(K13/I13),"",K13/I13)</f>
        <v>0.88888888888888884</v>
      </c>
      <c r="O13" s="92">
        <f>I13/E13</f>
        <v>818.18181818181813</v>
      </c>
      <c r="P13" s="92">
        <f>K13/E13</f>
        <v>727.27272727272725</v>
      </c>
      <c r="Q13" s="80">
        <v>3</v>
      </c>
      <c r="R13" s="80">
        <v>2</v>
      </c>
      <c r="S13" s="80" t="s">
        <v>61</v>
      </c>
      <c r="T13" s="5" t="s">
        <v>62</v>
      </c>
      <c r="U13" s="9"/>
      <c r="W13" s="87">
        <f t="shared" si="5"/>
        <v>110.1</v>
      </c>
      <c r="X13" s="88">
        <f t="shared" si="5"/>
        <v>33</v>
      </c>
      <c r="Y13" s="93">
        <f t="shared" si="6"/>
        <v>97</v>
      </c>
      <c r="Z13" s="91">
        <f t="shared" si="6"/>
        <v>27000</v>
      </c>
      <c r="AA13" s="91">
        <f>K13</f>
        <v>24000</v>
      </c>
      <c r="AB13" s="91">
        <f t="shared" si="7"/>
        <v>3000</v>
      </c>
      <c r="AC13" s="4">
        <f t="shared" si="7"/>
        <v>0.88888888888888884</v>
      </c>
      <c r="AD13" s="92">
        <f t="shared" si="7"/>
        <v>818.18181818181813</v>
      </c>
      <c r="AE13" s="80" t="str">
        <f>S13</f>
        <v>계</v>
      </c>
      <c r="AF13" s="80" t="str">
        <f>Q13&amp;"/"&amp;R13</f>
        <v>3/2</v>
      </c>
      <c r="AH13" s="20" t="str">
        <f t="shared" si="1"/>
        <v>경암제일오투그란데</v>
      </c>
      <c r="AI13" s="88">
        <f t="shared" si="0"/>
        <v>33</v>
      </c>
      <c r="AJ13" s="80" t="str">
        <f>IF(AI13="","",$AJ$2)</f>
        <v>A-</v>
      </c>
      <c r="AK13" s="80" t="s">
        <v>14</v>
      </c>
      <c r="AL13" s="80" t="s">
        <v>63</v>
      </c>
      <c r="AM13" s="80" t="s">
        <v>64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후보</v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7" t="str">
        <f>$A$4&amp;" "&amp;A15&amp;"("&amp;B15&amp;","&amp;C15&amp;"^)"</f>
        <v>경암동 경암부향하나로('98.09.,880^)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204</v>
      </c>
      <c r="B15" s="10" t="s">
        <v>1281</v>
      </c>
      <c r="C15" s="89">
        <v>880</v>
      </c>
      <c r="D15" s="87">
        <v>55</v>
      </c>
      <c r="E15" s="88">
        <v>17</v>
      </c>
      <c r="F15" s="87">
        <v>40</v>
      </c>
      <c r="G15" s="17">
        <v>12</v>
      </c>
      <c r="H15" s="89">
        <v>163</v>
      </c>
      <c r="I15" s="90">
        <v>4300</v>
      </c>
      <c r="J15" s="90" t="s">
        <v>74</v>
      </c>
      <c r="K15" s="90"/>
      <c r="L15" s="90"/>
      <c r="M15" s="91">
        <f>I15-K15</f>
        <v>4300</v>
      </c>
      <c r="N15" s="4">
        <f>IF(ISERROR(K15/I15),"",K15/I15)</f>
        <v>0</v>
      </c>
      <c r="O15" s="92">
        <f>I15/E15</f>
        <v>252.94117647058823</v>
      </c>
      <c r="P15" s="92">
        <f>K15/E15</f>
        <v>0</v>
      </c>
      <c r="Q15" s="80">
        <v>3</v>
      </c>
      <c r="R15" s="80">
        <v>1</v>
      </c>
      <c r="S15" s="80" t="s">
        <v>61</v>
      </c>
      <c r="T15" s="5">
        <v>54</v>
      </c>
      <c r="U15" s="9"/>
      <c r="W15" s="87">
        <f>D15</f>
        <v>55</v>
      </c>
      <c r="X15" s="88">
        <f>E15</f>
        <v>17</v>
      </c>
      <c r="Y15" s="93">
        <f>H15</f>
        <v>163</v>
      </c>
      <c r="Z15" s="91">
        <f>I15</f>
        <v>4300</v>
      </c>
      <c r="AA15" s="91">
        <f>K15</f>
        <v>0</v>
      </c>
      <c r="AB15" s="91">
        <f>M15</f>
        <v>4300</v>
      </c>
      <c r="AC15" s="4">
        <f>N15</f>
        <v>0</v>
      </c>
      <c r="AD15" s="92">
        <f>O15</f>
        <v>252.94117647058823</v>
      </c>
      <c r="AE15" s="80" t="str">
        <f>S15</f>
        <v>계</v>
      </c>
      <c r="AF15" s="80" t="str">
        <f>Q15&amp;"/"&amp;R15</f>
        <v>3/1</v>
      </c>
      <c r="AH15" s="20" t="str">
        <f t="shared" si="1"/>
        <v>경암부향하나로</v>
      </c>
      <c r="AI15" s="88">
        <f t="shared" si="0"/>
        <v>17</v>
      </c>
      <c r="AJ15" s="80" t="str">
        <f>IF(AI15="","",$AJ$2)</f>
        <v>A-</v>
      </c>
      <c r="AK15" s="80" t="s">
        <v>14</v>
      </c>
      <c r="AL15" s="80" t="s">
        <v>63</v>
      </c>
      <c r="AM15" s="80" t="s">
        <v>64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7299" priority="153">
      <formula>AV4="X"</formula>
    </cfRule>
    <cfRule type="expression" dxfId="7298" priority="154">
      <formula>AV4="후보"</formula>
    </cfRule>
  </conditionalFormatting>
  <conditionalFormatting sqref="AC1:AC2 AC4:AC6 N4:N5">
    <cfRule type="cellIs" dxfId="7297" priority="151" operator="greaterThan">
      <formula>0.9</formula>
    </cfRule>
    <cfRule type="cellIs" dxfId="7296" priority="152" operator="greaterThan">
      <formula>0.85</formula>
    </cfRule>
  </conditionalFormatting>
  <conditionalFormatting sqref="N1:N2">
    <cfRule type="cellIs" dxfId="7295" priority="149" operator="greaterThan">
      <formula>0.9</formula>
    </cfRule>
    <cfRule type="cellIs" dxfId="7294" priority="150" operator="greaterThan">
      <formula>0.85</formula>
    </cfRule>
  </conditionalFormatting>
  <conditionalFormatting sqref="N6">
    <cfRule type="cellIs" dxfId="7293" priority="147" operator="greaterThan">
      <formula>0.9</formula>
    </cfRule>
    <cfRule type="cellIs" dxfId="7292" priority="148" operator="greaterThan">
      <formula>0.85</formula>
    </cfRule>
  </conditionalFormatting>
  <conditionalFormatting sqref="E6">
    <cfRule type="expression" dxfId="7291" priority="143">
      <formula>AND(IF(OR($Q6=1,$Q6=2),1,0),IF($X6&lt;=20,1,0))</formula>
    </cfRule>
    <cfRule type="expression" dxfId="7290" priority="144">
      <formula>AND(IF($Q6=2,1,0),IF($X6&lt;30,1,0))</formula>
    </cfRule>
    <cfRule type="expression" dxfId="7289" priority="145">
      <formula>AND(IF($Q6=3,1,0),IF($X6&lt;30,1,0))</formula>
    </cfRule>
    <cfRule type="expression" dxfId="7288" priority="146">
      <formula>AND(IF($Q6=3,1,IF($Q6=4,1,0)),IF($F6&lt;=85,1,0))</formula>
    </cfRule>
  </conditionalFormatting>
  <conditionalFormatting sqref="X6">
    <cfRule type="expression" dxfId="7287" priority="139">
      <formula>AND(IF(OR($Q6=1,$Q6=2),1,0),IF($X6&lt;=20,1,0))</formula>
    </cfRule>
    <cfRule type="expression" dxfId="7286" priority="140">
      <formula>AND(IF($Q6=2,1,0),IF($X6&lt;30,1,0))</formula>
    </cfRule>
    <cfRule type="expression" dxfId="7285" priority="141">
      <formula>AND(IF($Q6=3,1,0),IF($X6&lt;30,1,0))</formula>
    </cfRule>
    <cfRule type="expression" dxfId="7284" priority="142">
      <formula>AND(IF($Q6=3,1,IF($Q6=4,1,0)),IF($F6&lt;=85,1,0))</formula>
    </cfRule>
  </conditionalFormatting>
  <conditionalFormatting sqref="AI6">
    <cfRule type="expression" dxfId="7283" priority="135">
      <formula>AND(IF(OR($Q6=1,$Q6=2),1,0),IF($X6&lt;=20,1,0))</formula>
    </cfRule>
    <cfRule type="expression" dxfId="7282" priority="136">
      <formula>AND(IF($Q6=2,1,0),IF($X6&lt;30,1,0))</formula>
    </cfRule>
    <cfRule type="expression" dxfId="7281" priority="137">
      <formula>AND(IF($Q6=3,1,0),IF($X6&lt;30,1,0))</formula>
    </cfRule>
    <cfRule type="expression" dxfId="7280" priority="138">
      <formula>AND(IF($Q6=3,1,IF($Q6=4,1,0)),IF($F6&lt;=85,1,0))</formula>
    </cfRule>
  </conditionalFormatting>
  <conditionalFormatting sqref="AV7">
    <cfRule type="expression" dxfId="7279" priority="133">
      <formula>AV7="X"</formula>
    </cfRule>
    <cfRule type="expression" dxfId="7278" priority="134">
      <formula>AV7="후보"</formula>
    </cfRule>
  </conditionalFormatting>
  <conditionalFormatting sqref="AC7">
    <cfRule type="cellIs" dxfId="7277" priority="131" operator="greaterThan">
      <formula>0.9</formula>
    </cfRule>
    <cfRule type="cellIs" dxfId="7276" priority="132" operator="greaterThan">
      <formula>0.85</formula>
    </cfRule>
  </conditionalFormatting>
  <conditionalFormatting sqref="N7">
    <cfRule type="cellIs" dxfId="7275" priority="129" operator="greaterThan">
      <formula>0.9</formula>
    </cfRule>
    <cfRule type="cellIs" dxfId="7274" priority="130" operator="greaterThan">
      <formula>0.85</formula>
    </cfRule>
  </conditionalFormatting>
  <conditionalFormatting sqref="E7">
    <cfRule type="expression" dxfId="7273" priority="125">
      <formula>AND(IF(OR($Q7=1,$Q7=2),1,0),IF($X7&lt;=20,1,0))</formula>
    </cfRule>
    <cfRule type="expression" dxfId="7272" priority="126">
      <formula>AND(IF($Q7=2,1,0),IF($X7&lt;30,1,0))</formula>
    </cfRule>
    <cfRule type="expression" dxfId="7271" priority="127">
      <formula>AND(IF($Q7=3,1,0),IF($X7&lt;30,1,0))</formula>
    </cfRule>
    <cfRule type="expression" dxfId="7270" priority="128">
      <formula>AND(IF($Q7=3,1,IF($Q7=4,1,0)),IF($F7&lt;=85,1,0))</formula>
    </cfRule>
  </conditionalFormatting>
  <conditionalFormatting sqref="X7">
    <cfRule type="expression" dxfId="7269" priority="121">
      <formula>AND(IF(OR($Q7=1,$Q7=2),1,0),IF($X7&lt;=20,1,0))</formula>
    </cfRule>
    <cfRule type="expression" dxfId="7268" priority="122">
      <formula>AND(IF($Q7=2,1,0),IF($X7&lt;30,1,0))</formula>
    </cfRule>
    <cfRule type="expression" dxfId="7267" priority="123">
      <formula>AND(IF($Q7=3,1,0),IF($X7&lt;30,1,0))</formula>
    </cfRule>
    <cfRule type="expression" dxfId="7266" priority="124">
      <formula>AND(IF($Q7=3,1,IF($Q7=4,1,0)),IF($F7&lt;=85,1,0))</formula>
    </cfRule>
  </conditionalFormatting>
  <conditionalFormatting sqref="AI7">
    <cfRule type="expression" dxfId="7265" priority="117">
      <formula>AND(IF(OR($Q7=1,$Q7=2),1,0),IF($X7&lt;=20,1,0))</formula>
    </cfRule>
    <cfRule type="expression" dxfId="7264" priority="118">
      <formula>AND(IF($Q7=2,1,0),IF($X7&lt;30,1,0))</formula>
    </cfRule>
    <cfRule type="expression" dxfId="7263" priority="119">
      <formula>AND(IF($Q7=3,1,0),IF($X7&lt;30,1,0))</formula>
    </cfRule>
    <cfRule type="expression" dxfId="7262" priority="120">
      <formula>AND(IF($Q7=3,1,IF($Q7=4,1,0)),IF($F7&lt;=85,1,0))</formula>
    </cfRule>
  </conditionalFormatting>
  <conditionalFormatting sqref="AV8">
    <cfRule type="expression" dxfId="7261" priority="115">
      <formula>AV8="X"</formula>
    </cfRule>
    <cfRule type="expression" dxfId="7260" priority="116">
      <formula>AV8="후보"</formula>
    </cfRule>
  </conditionalFormatting>
  <conditionalFormatting sqref="AC8">
    <cfRule type="cellIs" dxfId="7259" priority="113" operator="greaterThan">
      <formula>0.9</formula>
    </cfRule>
    <cfRule type="cellIs" dxfId="7258" priority="114" operator="greaterThan">
      <formula>0.85</formula>
    </cfRule>
  </conditionalFormatting>
  <conditionalFormatting sqref="N8">
    <cfRule type="cellIs" dxfId="7257" priority="111" operator="greaterThan">
      <formula>0.9</formula>
    </cfRule>
    <cfRule type="cellIs" dxfId="7256" priority="112" operator="greaterThan">
      <formula>0.85</formula>
    </cfRule>
  </conditionalFormatting>
  <conditionalFormatting sqref="E8">
    <cfRule type="expression" dxfId="7255" priority="107">
      <formula>AND(IF(OR($Q8=1,$Q8=2),1,0),IF($X8&lt;=20,1,0))</formula>
    </cfRule>
    <cfRule type="expression" dxfId="7254" priority="108">
      <formula>AND(IF($Q8=2,1,0),IF($X8&lt;30,1,0))</formula>
    </cfRule>
    <cfRule type="expression" dxfId="7253" priority="109">
      <formula>AND(IF($Q8=3,1,0),IF($X8&lt;30,1,0))</formula>
    </cfRule>
    <cfRule type="expression" dxfId="7252" priority="110">
      <formula>AND(IF($Q8=3,1,IF($Q8=4,1,0)),IF($F8&lt;=85,1,0))</formula>
    </cfRule>
  </conditionalFormatting>
  <conditionalFormatting sqref="X8">
    <cfRule type="expression" dxfId="7251" priority="103">
      <formula>AND(IF(OR($Q8=1,$Q8=2),1,0),IF($X8&lt;=20,1,0))</formula>
    </cfRule>
    <cfRule type="expression" dxfId="7250" priority="104">
      <formula>AND(IF($Q8=2,1,0),IF($X8&lt;30,1,0))</formula>
    </cfRule>
    <cfRule type="expression" dxfId="7249" priority="105">
      <formula>AND(IF($Q8=3,1,0),IF($X8&lt;30,1,0))</formula>
    </cfRule>
    <cfRule type="expression" dxfId="7248" priority="106">
      <formula>AND(IF($Q8=3,1,IF($Q8=4,1,0)),IF($F8&lt;=85,1,0))</formula>
    </cfRule>
  </conditionalFormatting>
  <conditionalFormatting sqref="AI8">
    <cfRule type="expression" dxfId="7247" priority="99">
      <formula>AND(IF(OR($Q8=1,$Q8=2),1,0),IF($X8&lt;=20,1,0))</formula>
    </cfRule>
    <cfRule type="expression" dxfId="7246" priority="100">
      <formula>AND(IF($Q8=2,1,0),IF($X8&lt;30,1,0))</formula>
    </cfRule>
    <cfRule type="expression" dxfId="7245" priority="101">
      <formula>AND(IF($Q8=3,1,0),IF($X8&lt;30,1,0))</formula>
    </cfRule>
    <cfRule type="expression" dxfId="7244" priority="102">
      <formula>AND(IF($Q8=3,1,IF($Q8=4,1,0)),IF($F8&lt;=85,1,0))</formula>
    </cfRule>
  </conditionalFormatting>
  <conditionalFormatting sqref="AV9">
    <cfRule type="expression" dxfId="7243" priority="97">
      <formula>AV9="X"</formula>
    </cfRule>
    <cfRule type="expression" dxfId="7242" priority="98">
      <formula>AV9="후보"</formula>
    </cfRule>
  </conditionalFormatting>
  <conditionalFormatting sqref="AC9 N9">
    <cfRule type="cellIs" dxfId="7241" priority="95" operator="greaterThan">
      <formula>0.9</formula>
    </cfRule>
    <cfRule type="cellIs" dxfId="7240" priority="96" operator="greaterThan">
      <formula>0.85</formula>
    </cfRule>
  </conditionalFormatting>
  <conditionalFormatting sqref="AV10">
    <cfRule type="expression" dxfId="7239" priority="93">
      <formula>AV10="X"</formula>
    </cfRule>
    <cfRule type="expression" dxfId="7238" priority="94">
      <formula>AV10="후보"</formula>
    </cfRule>
  </conditionalFormatting>
  <conditionalFormatting sqref="AC10">
    <cfRule type="cellIs" dxfId="7237" priority="91" operator="greaterThan">
      <formula>0.9</formula>
    </cfRule>
    <cfRule type="cellIs" dxfId="7236" priority="92" operator="greaterThan">
      <formula>0.85</formula>
    </cfRule>
  </conditionalFormatting>
  <conditionalFormatting sqref="N10">
    <cfRule type="cellIs" dxfId="7235" priority="89" operator="greaterThan">
      <formula>0.9</formula>
    </cfRule>
    <cfRule type="cellIs" dxfId="7234" priority="90" operator="greaterThan">
      <formula>0.85</formula>
    </cfRule>
  </conditionalFormatting>
  <conditionalFormatting sqref="E10">
    <cfRule type="expression" dxfId="7233" priority="85">
      <formula>AND(IF(OR($Q10=1,$Q10=2),1,0),IF($X10&lt;=20,1,0))</formula>
    </cfRule>
    <cfRule type="expression" dxfId="7232" priority="86">
      <formula>AND(IF($Q10=2,1,0),IF($X10&lt;30,1,0))</formula>
    </cfRule>
    <cfRule type="expression" dxfId="7231" priority="87">
      <formula>AND(IF($Q10=3,1,0),IF($X10&lt;30,1,0))</formula>
    </cfRule>
    <cfRule type="expression" dxfId="7230" priority="88">
      <formula>AND(IF($Q10=3,1,IF($Q10=4,1,0)),IF($F10&lt;=85,1,0))</formula>
    </cfRule>
  </conditionalFormatting>
  <conditionalFormatting sqref="X10">
    <cfRule type="expression" dxfId="7229" priority="81">
      <formula>AND(IF(OR($Q10=1,$Q10=2),1,0),IF($X10&lt;=20,1,0))</formula>
    </cfRule>
    <cfRule type="expression" dxfId="7228" priority="82">
      <formula>AND(IF($Q10=2,1,0),IF($X10&lt;30,1,0))</formula>
    </cfRule>
    <cfRule type="expression" dxfId="7227" priority="83">
      <formula>AND(IF($Q10=3,1,0),IF($X10&lt;30,1,0))</formula>
    </cfRule>
    <cfRule type="expression" dxfId="7226" priority="84">
      <formula>AND(IF($Q10=3,1,IF($Q10=4,1,0)),IF($F10&lt;=85,1,0))</formula>
    </cfRule>
  </conditionalFormatting>
  <conditionalFormatting sqref="AI10">
    <cfRule type="expression" dxfId="7225" priority="77">
      <formula>AND(IF(OR($Q10=1,$Q10=2),1,0),IF($X10&lt;=20,1,0))</formula>
    </cfRule>
    <cfRule type="expression" dxfId="7224" priority="78">
      <formula>AND(IF($Q10=2,1,0),IF($X10&lt;30,1,0))</formula>
    </cfRule>
    <cfRule type="expression" dxfId="7223" priority="79">
      <formula>AND(IF($Q10=3,1,0),IF($X10&lt;30,1,0))</formula>
    </cfRule>
    <cfRule type="expression" dxfId="7222" priority="80">
      <formula>AND(IF($Q10=3,1,IF($Q10=4,1,0)),IF($F10&lt;=85,1,0))</formula>
    </cfRule>
  </conditionalFormatting>
  <conditionalFormatting sqref="AV11">
    <cfRule type="expression" dxfId="7221" priority="75">
      <formula>AV11="X"</formula>
    </cfRule>
    <cfRule type="expression" dxfId="7220" priority="76">
      <formula>AV11="후보"</formula>
    </cfRule>
  </conditionalFormatting>
  <conditionalFormatting sqref="AC11">
    <cfRule type="cellIs" dxfId="7219" priority="73" operator="greaterThan">
      <formula>0.9</formula>
    </cfRule>
    <cfRule type="cellIs" dxfId="7218" priority="74" operator="greaterThan">
      <formula>0.85</formula>
    </cfRule>
  </conditionalFormatting>
  <conditionalFormatting sqref="N11">
    <cfRule type="cellIs" dxfId="7217" priority="71" operator="greaterThan">
      <formula>0.9</formula>
    </cfRule>
    <cfRule type="cellIs" dxfId="7216" priority="72" operator="greaterThan">
      <formula>0.85</formula>
    </cfRule>
  </conditionalFormatting>
  <conditionalFormatting sqref="E11">
    <cfRule type="expression" dxfId="7215" priority="67">
      <formula>AND(IF(OR($Q11=1,$Q11=2),1,0),IF($X11&lt;=20,1,0))</formula>
    </cfRule>
    <cfRule type="expression" dxfId="7214" priority="68">
      <formula>AND(IF($Q11=2,1,0),IF($X11&lt;30,1,0))</formula>
    </cfRule>
    <cfRule type="expression" dxfId="7213" priority="69">
      <formula>AND(IF($Q11=3,1,0),IF($X11&lt;30,1,0))</formula>
    </cfRule>
    <cfRule type="expression" dxfId="7212" priority="70">
      <formula>AND(IF($Q11=3,1,IF($Q11=4,1,0)),IF($F11&lt;=85,1,0))</formula>
    </cfRule>
  </conditionalFormatting>
  <conditionalFormatting sqref="X11">
    <cfRule type="expression" dxfId="7211" priority="63">
      <formula>AND(IF(OR($Q11=1,$Q11=2),1,0),IF($X11&lt;=20,1,0))</formula>
    </cfRule>
    <cfRule type="expression" dxfId="7210" priority="64">
      <formula>AND(IF($Q11=2,1,0),IF($X11&lt;30,1,0))</formula>
    </cfRule>
    <cfRule type="expression" dxfId="7209" priority="65">
      <formula>AND(IF($Q11=3,1,0),IF($X11&lt;30,1,0))</formula>
    </cfRule>
    <cfRule type="expression" dxfId="7208" priority="66">
      <formula>AND(IF($Q11=3,1,IF($Q11=4,1,0)),IF($F11&lt;=85,1,0))</formula>
    </cfRule>
  </conditionalFormatting>
  <conditionalFormatting sqref="AI11">
    <cfRule type="expression" dxfId="7207" priority="59">
      <formula>AND(IF(OR($Q11=1,$Q11=2),1,0),IF($X11&lt;=20,1,0))</formula>
    </cfRule>
    <cfRule type="expression" dxfId="7206" priority="60">
      <formula>AND(IF($Q11=2,1,0),IF($X11&lt;30,1,0))</formula>
    </cfRule>
    <cfRule type="expression" dxfId="7205" priority="61">
      <formula>AND(IF($Q11=3,1,0),IF($X11&lt;30,1,0))</formula>
    </cfRule>
    <cfRule type="expression" dxfId="7204" priority="62">
      <formula>AND(IF($Q11=3,1,IF($Q11=4,1,0)),IF($F11&lt;=85,1,0))</formula>
    </cfRule>
  </conditionalFormatting>
  <conditionalFormatting sqref="AV12">
    <cfRule type="expression" dxfId="7203" priority="57">
      <formula>AV12="X"</formula>
    </cfRule>
    <cfRule type="expression" dxfId="7202" priority="58">
      <formula>AV12="후보"</formula>
    </cfRule>
  </conditionalFormatting>
  <conditionalFormatting sqref="AC12">
    <cfRule type="cellIs" dxfId="7201" priority="55" operator="greaterThan">
      <formula>0.9</formula>
    </cfRule>
    <cfRule type="cellIs" dxfId="7200" priority="56" operator="greaterThan">
      <formula>0.85</formula>
    </cfRule>
  </conditionalFormatting>
  <conditionalFormatting sqref="N12">
    <cfRule type="cellIs" dxfId="7199" priority="53" operator="greaterThan">
      <formula>0.9</formula>
    </cfRule>
    <cfRule type="cellIs" dxfId="7198" priority="54" operator="greaterThan">
      <formula>0.85</formula>
    </cfRule>
  </conditionalFormatting>
  <conditionalFormatting sqref="E12">
    <cfRule type="expression" dxfId="7197" priority="49">
      <formula>AND(IF(OR($Q12=1,$Q12=2),1,0),IF($X12&lt;=20,1,0))</formula>
    </cfRule>
    <cfRule type="expression" dxfId="7196" priority="50">
      <formula>AND(IF($Q12=2,1,0),IF($X12&lt;30,1,0))</formula>
    </cfRule>
    <cfRule type="expression" dxfId="7195" priority="51">
      <formula>AND(IF($Q12=3,1,0),IF($X12&lt;30,1,0))</formula>
    </cfRule>
    <cfRule type="expression" dxfId="7194" priority="52">
      <formula>AND(IF($Q12=3,1,IF($Q12=4,1,0)),IF($F12&lt;=85,1,0))</formula>
    </cfRule>
  </conditionalFormatting>
  <conditionalFormatting sqref="X12">
    <cfRule type="expression" dxfId="7193" priority="45">
      <formula>AND(IF(OR($Q12=1,$Q12=2),1,0),IF($X12&lt;=20,1,0))</formula>
    </cfRule>
    <cfRule type="expression" dxfId="7192" priority="46">
      <formula>AND(IF($Q12=2,1,0),IF($X12&lt;30,1,0))</formula>
    </cfRule>
    <cfRule type="expression" dxfId="7191" priority="47">
      <formula>AND(IF($Q12=3,1,0),IF($X12&lt;30,1,0))</formula>
    </cfRule>
    <cfRule type="expression" dxfId="7190" priority="48">
      <formula>AND(IF($Q12=3,1,IF($Q12=4,1,0)),IF($F12&lt;=85,1,0))</formula>
    </cfRule>
  </conditionalFormatting>
  <conditionalFormatting sqref="AI12">
    <cfRule type="expression" dxfId="7189" priority="41">
      <formula>AND(IF(OR($Q12=1,$Q12=2),1,0),IF($X12&lt;=20,1,0))</formula>
    </cfRule>
    <cfRule type="expression" dxfId="7188" priority="42">
      <formula>AND(IF($Q12=2,1,0),IF($X12&lt;30,1,0))</formula>
    </cfRule>
    <cfRule type="expression" dxfId="7187" priority="43">
      <formula>AND(IF($Q12=3,1,0),IF($X12&lt;30,1,0))</formula>
    </cfRule>
    <cfRule type="expression" dxfId="7186" priority="44">
      <formula>AND(IF($Q12=3,1,IF($Q12=4,1,0)),IF($F12&lt;=85,1,0))</formula>
    </cfRule>
  </conditionalFormatting>
  <conditionalFormatting sqref="AV13">
    <cfRule type="expression" dxfId="7185" priority="39">
      <formula>AV13="X"</formula>
    </cfRule>
    <cfRule type="expression" dxfId="7184" priority="40">
      <formula>AV13="후보"</formula>
    </cfRule>
  </conditionalFormatting>
  <conditionalFormatting sqref="AC13">
    <cfRule type="cellIs" dxfId="7183" priority="37" operator="greaterThan">
      <formula>0.9</formula>
    </cfRule>
    <cfRule type="cellIs" dxfId="7182" priority="38" operator="greaterThan">
      <formula>0.85</formula>
    </cfRule>
  </conditionalFormatting>
  <conditionalFormatting sqref="N13">
    <cfRule type="cellIs" dxfId="7181" priority="35" operator="greaterThan">
      <formula>0.9</formula>
    </cfRule>
    <cfRule type="cellIs" dxfId="7180" priority="36" operator="greaterThan">
      <formula>0.85</formula>
    </cfRule>
  </conditionalFormatting>
  <conditionalFormatting sqref="E13">
    <cfRule type="expression" dxfId="7179" priority="31">
      <formula>AND(IF(OR($Q13=1,$Q13=2),1,0),IF($X13&lt;=20,1,0))</formula>
    </cfRule>
    <cfRule type="expression" dxfId="7178" priority="32">
      <formula>AND(IF($Q13=2,1,0),IF($X13&lt;30,1,0))</formula>
    </cfRule>
    <cfRule type="expression" dxfId="7177" priority="33">
      <formula>AND(IF($Q13=3,1,0),IF($X13&lt;30,1,0))</formula>
    </cfRule>
    <cfRule type="expression" dxfId="7176" priority="34">
      <formula>AND(IF($Q13=3,1,IF($Q13=4,1,0)),IF($F13&lt;=85,1,0))</formula>
    </cfRule>
  </conditionalFormatting>
  <conditionalFormatting sqref="X13">
    <cfRule type="expression" dxfId="7175" priority="27">
      <formula>AND(IF(OR($Q13=1,$Q13=2),1,0),IF($X13&lt;=20,1,0))</formula>
    </cfRule>
    <cfRule type="expression" dxfId="7174" priority="28">
      <formula>AND(IF($Q13=2,1,0),IF($X13&lt;30,1,0))</formula>
    </cfRule>
    <cfRule type="expression" dxfId="7173" priority="29">
      <formula>AND(IF($Q13=3,1,0),IF($X13&lt;30,1,0))</formula>
    </cfRule>
    <cfRule type="expression" dxfId="7172" priority="30">
      <formula>AND(IF($Q13=3,1,IF($Q13=4,1,0)),IF($F13&lt;=85,1,0))</formula>
    </cfRule>
  </conditionalFormatting>
  <conditionalFormatting sqref="AI13">
    <cfRule type="expression" dxfId="7171" priority="23">
      <formula>AND(IF(OR($Q13=1,$Q13=2),1,0),IF($X13&lt;=20,1,0))</formula>
    </cfRule>
    <cfRule type="expression" dxfId="7170" priority="24">
      <formula>AND(IF($Q13=2,1,0),IF($X13&lt;30,1,0))</formula>
    </cfRule>
    <cfRule type="expression" dxfId="7169" priority="25">
      <formula>AND(IF($Q13=3,1,0),IF($X13&lt;30,1,0))</formula>
    </cfRule>
    <cfRule type="expression" dxfId="7168" priority="26">
      <formula>AND(IF($Q13=3,1,IF($Q13=4,1,0)),IF($F13&lt;=85,1,0))</formula>
    </cfRule>
  </conditionalFormatting>
  <conditionalFormatting sqref="AV14">
    <cfRule type="expression" dxfId="7167" priority="21">
      <formula>AV14="X"</formula>
    </cfRule>
    <cfRule type="expression" dxfId="7166" priority="22">
      <formula>AV14="후보"</formula>
    </cfRule>
  </conditionalFormatting>
  <conditionalFormatting sqref="AC14 N14">
    <cfRule type="cellIs" dxfId="7165" priority="19" operator="greaterThan">
      <formula>0.9</formula>
    </cfRule>
    <cfRule type="cellIs" dxfId="7164" priority="20" operator="greaterThan">
      <formula>0.85</formula>
    </cfRule>
  </conditionalFormatting>
  <conditionalFormatting sqref="AV15">
    <cfRule type="expression" dxfId="7163" priority="17">
      <formula>AV15="X"</formula>
    </cfRule>
    <cfRule type="expression" dxfId="7162" priority="18">
      <formula>AV15="후보"</formula>
    </cfRule>
  </conditionalFormatting>
  <conditionalFormatting sqref="AC15">
    <cfRule type="cellIs" dxfId="7161" priority="15" operator="greaterThan">
      <formula>0.9</formula>
    </cfRule>
    <cfRule type="cellIs" dxfId="7160" priority="16" operator="greaterThan">
      <formula>0.85</formula>
    </cfRule>
  </conditionalFormatting>
  <conditionalFormatting sqref="N15">
    <cfRule type="cellIs" dxfId="7159" priority="13" operator="greaterThan">
      <formula>0.9</formula>
    </cfRule>
    <cfRule type="cellIs" dxfId="7158" priority="14" operator="greaterThan">
      <formula>0.85</formula>
    </cfRule>
  </conditionalFormatting>
  <conditionalFormatting sqref="E15">
    <cfRule type="expression" dxfId="7157" priority="9">
      <formula>AND(IF(OR($Q15=1,$Q15=2),1,0),IF($X15&lt;=20,1,0))</formula>
    </cfRule>
    <cfRule type="expression" dxfId="7156" priority="10">
      <formula>AND(IF($Q15=2,1,0),IF($X15&lt;30,1,0))</formula>
    </cfRule>
    <cfRule type="expression" dxfId="7155" priority="11">
      <formula>AND(IF($Q15=3,1,0),IF($X15&lt;30,1,0))</formula>
    </cfRule>
    <cfRule type="expression" dxfId="7154" priority="12">
      <formula>AND(IF($Q15=3,1,IF($Q15=4,1,0)),IF($F15&lt;=85,1,0))</formula>
    </cfRule>
  </conditionalFormatting>
  <conditionalFormatting sqref="X15">
    <cfRule type="expression" dxfId="7153" priority="5">
      <formula>AND(IF(OR($Q15=1,$Q15=2),1,0),IF($X15&lt;=20,1,0))</formula>
    </cfRule>
    <cfRule type="expression" dxfId="7152" priority="6">
      <formula>AND(IF($Q15=2,1,0),IF($X15&lt;30,1,0))</formula>
    </cfRule>
    <cfRule type="expression" dxfId="7151" priority="7">
      <formula>AND(IF($Q15=3,1,0),IF($X15&lt;30,1,0))</formula>
    </cfRule>
    <cfRule type="expression" dxfId="7150" priority="8">
      <formula>AND(IF($Q15=3,1,IF($Q15=4,1,0)),IF($F15&lt;=85,1,0))</formula>
    </cfRule>
  </conditionalFormatting>
  <conditionalFormatting sqref="AI15">
    <cfRule type="expression" dxfId="7149" priority="1">
      <formula>AND(IF(OR($Q15=1,$Q15=2),1,0),IF($X15&lt;=20,1,0))</formula>
    </cfRule>
    <cfRule type="expression" dxfId="7148" priority="2">
      <formula>AND(IF($Q15=2,1,0),IF($X15&lt;30,1,0))</formula>
    </cfRule>
    <cfRule type="expression" dxfId="7147" priority="3">
      <formula>AND(IF($Q15=3,1,0),IF($X15&lt;30,1,0))</formula>
    </cfRule>
    <cfRule type="expression" dxfId="714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구암동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221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구암동 현대('94.03.,1084^)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217</v>
      </c>
      <c r="B6" s="10" t="s">
        <v>1282</v>
      </c>
      <c r="C6" s="89">
        <v>1084</v>
      </c>
      <c r="D6" s="87">
        <v>80.099999999999994</v>
      </c>
      <c r="E6" s="88">
        <v>24</v>
      </c>
      <c r="F6" s="87">
        <v>59.9</v>
      </c>
      <c r="G6" s="17">
        <v>18</v>
      </c>
      <c r="H6" s="89">
        <v>427</v>
      </c>
      <c r="I6" s="90">
        <v>7000</v>
      </c>
      <c r="J6" s="90" t="s">
        <v>66</v>
      </c>
      <c r="K6" s="90">
        <v>7500</v>
      </c>
      <c r="L6" s="90" t="s">
        <v>65</v>
      </c>
      <c r="M6" s="91">
        <f>I6-K6</f>
        <v>-500</v>
      </c>
      <c r="N6" s="4">
        <f>IF(ISERROR(K6/I6),"",K6/I6)</f>
        <v>1.0714285714285714</v>
      </c>
      <c r="O6" s="92">
        <f>I6/E6</f>
        <v>291.66666666666669</v>
      </c>
      <c r="P6" s="92">
        <f>K6/E6</f>
        <v>312.5</v>
      </c>
      <c r="Q6" s="80">
        <v>3</v>
      </c>
      <c r="R6" s="80">
        <v>1</v>
      </c>
      <c r="S6" s="80" t="s">
        <v>61</v>
      </c>
      <c r="T6" s="5">
        <v>80</v>
      </c>
      <c r="U6" s="9"/>
      <c r="W6" s="87">
        <f t="shared" ref="W6:X8" si="2">D6</f>
        <v>80.099999999999994</v>
      </c>
      <c r="X6" s="88">
        <f t="shared" si="2"/>
        <v>24</v>
      </c>
      <c r="Y6" s="93">
        <f t="shared" ref="Y6:Z8" si="3">H6</f>
        <v>427</v>
      </c>
      <c r="Z6" s="91">
        <f t="shared" si="3"/>
        <v>7000</v>
      </c>
      <c r="AA6" s="91">
        <f>K6</f>
        <v>7500</v>
      </c>
      <c r="AB6" s="91">
        <f t="shared" ref="AB6:AD8" si="4">M6</f>
        <v>-500</v>
      </c>
      <c r="AC6" s="4">
        <f t="shared" si="4"/>
        <v>1.0714285714285714</v>
      </c>
      <c r="AD6" s="92">
        <f t="shared" si="4"/>
        <v>291.66666666666669</v>
      </c>
      <c r="AE6" s="80" t="str">
        <f>S6</f>
        <v>계</v>
      </c>
      <c r="AF6" s="80" t="str">
        <f>Q6&amp;"/"&amp;R6</f>
        <v>3/1</v>
      </c>
      <c r="AH6" s="20" t="str">
        <f t="shared" si="1"/>
        <v>현대</v>
      </c>
      <c r="AI6" s="88">
        <f t="shared" si="0"/>
        <v>24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217</v>
      </c>
      <c r="B7" s="10" t="s">
        <v>1282</v>
      </c>
      <c r="C7" s="89">
        <v>1084</v>
      </c>
      <c r="D7" s="87">
        <v>102.5</v>
      </c>
      <c r="E7" s="88">
        <v>31</v>
      </c>
      <c r="F7" s="87">
        <v>84.9</v>
      </c>
      <c r="G7" s="17">
        <v>26</v>
      </c>
      <c r="H7" s="89">
        <v>537</v>
      </c>
      <c r="I7" s="90">
        <v>13000</v>
      </c>
      <c r="J7" s="90" t="s">
        <v>74</v>
      </c>
      <c r="K7" s="90"/>
      <c r="L7" s="90"/>
      <c r="M7" s="91">
        <f>I7-K7</f>
        <v>13000</v>
      </c>
      <c r="N7" s="4">
        <f>IF(ISERROR(K7/I7),"",K7/I7)</f>
        <v>0</v>
      </c>
      <c r="O7" s="92">
        <f>I7/E7</f>
        <v>419.35483870967744</v>
      </c>
      <c r="P7" s="92">
        <f>K7/E7</f>
        <v>0</v>
      </c>
      <c r="Q7" s="80">
        <v>3</v>
      </c>
      <c r="R7" s="80">
        <v>2</v>
      </c>
      <c r="S7" s="80" t="s">
        <v>61</v>
      </c>
      <c r="T7" s="5">
        <v>102</v>
      </c>
      <c r="U7" s="9"/>
      <c r="W7" s="87">
        <f t="shared" si="2"/>
        <v>102.5</v>
      </c>
      <c r="X7" s="88">
        <f t="shared" si="2"/>
        <v>31</v>
      </c>
      <c r="Y7" s="93">
        <f t="shared" si="3"/>
        <v>537</v>
      </c>
      <c r="Z7" s="91">
        <f t="shared" si="3"/>
        <v>13000</v>
      </c>
      <c r="AA7" s="91">
        <f>K7</f>
        <v>0</v>
      </c>
      <c r="AB7" s="91">
        <f t="shared" si="4"/>
        <v>13000</v>
      </c>
      <c r="AC7" s="4">
        <f t="shared" si="4"/>
        <v>0</v>
      </c>
      <c r="AD7" s="92">
        <f t="shared" si="4"/>
        <v>419.35483870967744</v>
      </c>
      <c r="AE7" s="80" t="str">
        <f>S7</f>
        <v>계</v>
      </c>
      <c r="AF7" s="80" t="str">
        <f>Q7&amp;"/"&amp;R7</f>
        <v>3/2</v>
      </c>
      <c r="AH7" s="20" t="str">
        <f t="shared" si="1"/>
        <v>현대</v>
      </c>
      <c r="AI7" s="88">
        <f t="shared" si="0"/>
        <v>31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217</v>
      </c>
      <c r="B8" s="10" t="s">
        <v>1282</v>
      </c>
      <c r="C8" s="89">
        <v>1084</v>
      </c>
      <c r="D8" s="87">
        <v>146.30000000000001</v>
      </c>
      <c r="E8" s="88">
        <v>44</v>
      </c>
      <c r="F8" s="87">
        <v>125.9</v>
      </c>
      <c r="G8" s="17">
        <v>38</v>
      </c>
      <c r="H8" s="89">
        <v>120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4</v>
      </c>
      <c r="R8" s="80">
        <v>2</v>
      </c>
      <c r="S8" s="80" t="s">
        <v>61</v>
      </c>
      <c r="T8" s="5">
        <v>146</v>
      </c>
      <c r="U8" s="9"/>
      <c r="W8" s="87">
        <f t="shared" si="2"/>
        <v>146.30000000000001</v>
      </c>
      <c r="X8" s="88">
        <f t="shared" si="2"/>
        <v>44</v>
      </c>
      <c r="Y8" s="93">
        <f t="shared" si="3"/>
        <v>120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계</v>
      </c>
      <c r="AF8" s="80" t="str">
        <f>Q8&amp;"/"&amp;R8</f>
        <v>4/2</v>
      </c>
      <c r="AH8" s="20" t="str">
        <f t="shared" si="1"/>
        <v>현대</v>
      </c>
      <c r="AI8" s="88">
        <f t="shared" si="0"/>
        <v>44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O</v>
      </c>
      <c r="AV8" s="80" t="str">
        <f>IF(AO8="","",IF(AND(AO8="O",AP8="O",AR8="O",AT8="O",AU8="O"),"후보","X"))</f>
        <v/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구암동 세풍('97.01.,437^)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223</v>
      </c>
      <c r="B10" s="10" t="s">
        <v>1283</v>
      </c>
      <c r="C10" s="89">
        <v>437</v>
      </c>
      <c r="D10" s="87">
        <v>74.7</v>
      </c>
      <c r="E10" s="88">
        <v>23</v>
      </c>
      <c r="F10" s="87">
        <v>59.9</v>
      </c>
      <c r="G10" s="17">
        <v>18</v>
      </c>
      <c r="H10" s="89">
        <v>164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1</v>
      </c>
      <c r="S10" s="80" t="s">
        <v>61</v>
      </c>
      <c r="T10" s="5" t="s">
        <v>139</v>
      </c>
      <c r="U10" s="9"/>
      <c r="W10" s="87">
        <f t="shared" ref="W10:X14" si="5">D10</f>
        <v>74.7</v>
      </c>
      <c r="X10" s="88">
        <f t="shared" si="5"/>
        <v>23</v>
      </c>
      <c r="Y10" s="93">
        <f t="shared" ref="Y10:Z14" si="6">H10</f>
        <v>164</v>
      </c>
      <c r="Z10" s="91">
        <f t="shared" si="6"/>
        <v>0</v>
      </c>
      <c r="AA10" s="91">
        <f>K10</f>
        <v>0</v>
      </c>
      <c r="AB10" s="91">
        <f t="shared" ref="AB10:AD14" si="7">M10</f>
        <v>0</v>
      </c>
      <c r="AC10" s="4" t="str">
        <f t="shared" si="7"/>
        <v/>
      </c>
      <c r="AD10" s="92">
        <f t="shared" si="7"/>
        <v>0</v>
      </c>
      <c r="AE10" s="80" t="str">
        <f>S10</f>
        <v>계</v>
      </c>
      <c r="AF10" s="80" t="str">
        <f>Q10&amp;"/"&amp;R10</f>
        <v>3/1</v>
      </c>
      <c r="AH10" s="20" t="str">
        <f t="shared" si="1"/>
        <v>세풍</v>
      </c>
      <c r="AI10" s="88">
        <f t="shared" si="0"/>
        <v>23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  <row r="11" spans="1:48" x14ac:dyDescent="0.3">
      <c r="A11" s="9" t="s">
        <v>223</v>
      </c>
      <c r="B11" s="10" t="s">
        <v>1283</v>
      </c>
      <c r="C11" s="89">
        <v>437</v>
      </c>
      <c r="D11" s="87">
        <v>74.2</v>
      </c>
      <c r="E11" s="88">
        <v>22</v>
      </c>
      <c r="F11" s="87">
        <v>59.5</v>
      </c>
      <c r="G11" s="17">
        <v>18</v>
      </c>
      <c r="H11" s="89">
        <v>11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1</v>
      </c>
      <c r="S11" s="80" t="s">
        <v>61</v>
      </c>
      <c r="T11" s="5" t="s">
        <v>228</v>
      </c>
      <c r="U11" s="9"/>
      <c r="W11" s="87">
        <f t="shared" si="5"/>
        <v>74.2</v>
      </c>
      <c r="X11" s="88">
        <f t="shared" si="5"/>
        <v>22</v>
      </c>
      <c r="Y11" s="93">
        <f t="shared" si="6"/>
        <v>11</v>
      </c>
      <c r="Z11" s="91">
        <f t="shared" si="6"/>
        <v>0</v>
      </c>
      <c r="AA11" s="91">
        <f>K11</f>
        <v>0</v>
      </c>
      <c r="AB11" s="91">
        <f t="shared" si="7"/>
        <v>0</v>
      </c>
      <c r="AC11" s="4" t="str">
        <f t="shared" si="7"/>
        <v/>
      </c>
      <c r="AD11" s="92">
        <f t="shared" si="7"/>
        <v>0</v>
      </c>
      <c r="AE11" s="80" t="str">
        <f>S11</f>
        <v>계</v>
      </c>
      <c r="AF11" s="80" t="str">
        <f>Q11&amp;"/"&amp;R11</f>
        <v>3/1</v>
      </c>
      <c r="AH11" s="20" t="str">
        <f t="shared" si="1"/>
        <v>세풍</v>
      </c>
      <c r="AI11" s="88">
        <f t="shared" si="0"/>
        <v>22</v>
      </c>
      <c r="AJ11" s="80" t="str">
        <f>IF(AI11="","",$AJ$2)</f>
        <v>A-</v>
      </c>
      <c r="AK11" s="80" t="s">
        <v>14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 t="s">
        <v>223</v>
      </c>
      <c r="B12" s="10" t="s">
        <v>1283</v>
      </c>
      <c r="C12" s="89">
        <v>437</v>
      </c>
      <c r="D12" s="87">
        <v>106</v>
      </c>
      <c r="E12" s="88">
        <v>32</v>
      </c>
      <c r="F12" s="87">
        <v>85</v>
      </c>
      <c r="G12" s="17">
        <v>26</v>
      </c>
      <c r="H12" s="89">
        <v>208</v>
      </c>
      <c r="I12" s="90">
        <v>12600</v>
      </c>
      <c r="J12" s="90" t="s">
        <v>72</v>
      </c>
      <c r="K12" s="90"/>
      <c r="L12" s="90"/>
      <c r="M12" s="91">
        <f>I12-K12</f>
        <v>12600</v>
      </c>
      <c r="N12" s="4">
        <f>IF(ISERROR(K12/I12),"",K12/I12)</f>
        <v>0</v>
      </c>
      <c r="O12" s="92">
        <f>I12/E12</f>
        <v>393.75</v>
      </c>
      <c r="P12" s="92">
        <f>K12/E12</f>
        <v>0</v>
      </c>
      <c r="Q12" s="80">
        <v>3</v>
      </c>
      <c r="R12" s="80">
        <v>2</v>
      </c>
      <c r="S12" s="80" t="s">
        <v>61</v>
      </c>
      <c r="T12" s="5" t="s">
        <v>130</v>
      </c>
      <c r="U12" s="9"/>
      <c r="W12" s="87">
        <f t="shared" si="5"/>
        <v>106</v>
      </c>
      <c r="X12" s="88">
        <f t="shared" si="5"/>
        <v>32</v>
      </c>
      <c r="Y12" s="93">
        <f t="shared" si="6"/>
        <v>208</v>
      </c>
      <c r="Z12" s="91">
        <f t="shared" si="6"/>
        <v>12600</v>
      </c>
      <c r="AA12" s="91">
        <f>K12</f>
        <v>0</v>
      </c>
      <c r="AB12" s="91">
        <f t="shared" si="7"/>
        <v>12600</v>
      </c>
      <c r="AC12" s="4">
        <f t="shared" si="7"/>
        <v>0</v>
      </c>
      <c r="AD12" s="92">
        <f t="shared" si="7"/>
        <v>393.75</v>
      </c>
      <c r="AE12" s="80" t="str">
        <f>S12</f>
        <v>계</v>
      </c>
      <c r="AF12" s="80" t="str">
        <f>Q12&amp;"/"&amp;R12</f>
        <v>3/2</v>
      </c>
      <c r="AH12" s="20" t="str">
        <f t="shared" si="1"/>
        <v>세풍</v>
      </c>
      <c r="AI12" s="88">
        <f t="shared" si="0"/>
        <v>32</v>
      </c>
      <c r="AJ12" s="80" t="str">
        <f>IF(AI12="","",$AJ$2)</f>
        <v>A-</v>
      </c>
      <c r="AK12" s="80" t="s">
        <v>14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 t="s">
        <v>223</v>
      </c>
      <c r="B13" s="10" t="s">
        <v>1283</v>
      </c>
      <c r="C13" s="89">
        <v>437</v>
      </c>
      <c r="D13" s="87">
        <v>106</v>
      </c>
      <c r="E13" s="88">
        <v>32</v>
      </c>
      <c r="F13" s="87">
        <v>85</v>
      </c>
      <c r="G13" s="17">
        <v>26</v>
      </c>
      <c r="H13" s="89">
        <v>32</v>
      </c>
      <c r="I13" s="90">
        <v>12600</v>
      </c>
      <c r="J13" s="90" t="s">
        <v>72</v>
      </c>
      <c r="K13" s="90"/>
      <c r="L13" s="90"/>
      <c r="M13" s="91">
        <f>I13-K13</f>
        <v>12600</v>
      </c>
      <c r="N13" s="4">
        <f>IF(ISERROR(K13/I13),"",K13/I13)</f>
        <v>0</v>
      </c>
      <c r="O13" s="92">
        <f>I13/E13</f>
        <v>393.75</v>
      </c>
      <c r="P13" s="92">
        <f>K13/E13</f>
        <v>0</v>
      </c>
      <c r="Q13" s="80">
        <v>3</v>
      </c>
      <c r="R13" s="80">
        <v>2</v>
      </c>
      <c r="S13" s="80" t="s">
        <v>61</v>
      </c>
      <c r="T13" s="5" t="s">
        <v>229</v>
      </c>
      <c r="U13" s="9"/>
      <c r="W13" s="87">
        <f t="shared" si="5"/>
        <v>106</v>
      </c>
      <c r="X13" s="88">
        <f t="shared" si="5"/>
        <v>32</v>
      </c>
      <c r="Y13" s="93">
        <f t="shared" si="6"/>
        <v>32</v>
      </c>
      <c r="Z13" s="91">
        <f t="shared" si="6"/>
        <v>12600</v>
      </c>
      <c r="AA13" s="91">
        <f>K13</f>
        <v>0</v>
      </c>
      <c r="AB13" s="91">
        <f t="shared" si="7"/>
        <v>12600</v>
      </c>
      <c r="AC13" s="4">
        <f t="shared" si="7"/>
        <v>0</v>
      </c>
      <c r="AD13" s="92">
        <f t="shared" si="7"/>
        <v>393.75</v>
      </c>
      <c r="AE13" s="80" t="str">
        <f>S13</f>
        <v>계</v>
      </c>
      <c r="AF13" s="80" t="str">
        <f>Q13&amp;"/"&amp;R13</f>
        <v>3/2</v>
      </c>
      <c r="AH13" s="20" t="str">
        <f t="shared" si="1"/>
        <v>세풍</v>
      </c>
      <c r="AI13" s="88">
        <f t="shared" si="0"/>
        <v>32</v>
      </c>
      <c r="AJ13" s="80" t="str">
        <f>IF(AI13="","",$AJ$2)</f>
        <v>A-</v>
      </c>
      <c r="AK13" s="80" t="s">
        <v>14</v>
      </c>
      <c r="AL13" s="80" t="s">
        <v>63</v>
      </c>
      <c r="AM13" s="80" t="s">
        <v>64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48" x14ac:dyDescent="0.3">
      <c r="A14" s="9" t="s">
        <v>223</v>
      </c>
      <c r="B14" s="10" t="s">
        <v>1283</v>
      </c>
      <c r="C14" s="89">
        <v>437</v>
      </c>
      <c r="D14" s="87">
        <v>124.8</v>
      </c>
      <c r="E14" s="88">
        <v>38</v>
      </c>
      <c r="F14" s="87">
        <v>100.1</v>
      </c>
      <c r="G14" s="17">
        <v>30</v>
      </c>
      <c r="H14" s="89">
        <v>22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2</v>
      </c>
      <c r="S14" s="80" t="s">
        <v>61</v>
      </c>
      <c r="T14" s="5">
        <v>124</v>
      </c>
      <c r="U14" s="9"/>
      <c r="W14" s="87">
        <f t="shared" si="5"/>
        <v>124.8</v>
      </c>
      <c r="X14" s="88">
        <f t="shared" si="5"/>
        <v>38</v>
      </c>
      <c r="Y14" s="93">
        <f t="shared" si="6"/>
        <v>22</v>
      </c>
      <c r="Z14" s="91">
        <f t="shared" si="6"/>
        <v>0</v>
      </c>
      <c r="AA14" s="91">
        <f>K14</f>
        <v>0</v>
      </c>
      <c r="AB14" s="91">
        <f t="shared" si="7"/>
        <v>0</v>
      </c>
      <c r="AC14" s="4" t="str">
        <f t="shared" si="7"/>
        <v/>
      </c>
      <c r="AD14" s="92">
        <f t="shared" si="7"/>
        <v>0</v>
      </c>
      <c r="AE14" s="80" t="str">
        <f>S14</f>
        <v>계</v>
      </c>
      <c r="AF14" s="80" t="str">
        <f>Q14&amp;"/"&amp;R14</f>
        <v>3/2</v>
      </c>
      <c r="AH14" s="20" t="str">
        <f t="shared" si="1"/>
        <v>세풍</v>
      </c>
      <c r="AI14" s="88">
        <f t="shared" si="0"/>
        <v>38</v>
      </c>
      <c r="AJ14" s="80" t="str">
        <f>IF(AI14="","",$AJ$2)</f>
        <v>A-</v>
      </c>
      <c r="AK14" s="80" t="s">
        <v>14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X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7145" priority="149">
      <formula>AV4="X"</formula>
    </cfRule>
    <cfRule type="expression" dxfId="7144" priority="150">
      <formula>AV4="후보"</formula>
    </cfRule>
  </conditionalFormatting>
  <conditionalFormatting sqref="AC1:AC2 AC4:AC6 N4:N5">
    <cfRule type="cellIs" dxfId="7143" priority="147" operator="greaterThan">
      <formula>0.9</formula>
    </cfRule>
    <cfRule type="cellIs" dxfId="7142" priority="148" operator="greaterThan">
      <formula>0.85</formula>
    </cfRule>
  </conditionalFormatting>
  <conditionalFormatting sqref="N1:N2">
    <cfRule type="cellIs" dxfId="7141" priority="145" operator="greaterThan">
      <formula>0.9</formula>
    </cfRule>
    <cfRule type="cellIs" dxfId="7140" priority="146" operator="greaterThan">
      <formula>0.85</formula>
    </cfRule>
  </conditionalFormatting>
  <conditionalFormatting sqref="N6">
    <cfRule type="cellIs" dxfId="7139" priority="143" operator="greaterThan">
      <formula>0.9</formula>
    </cfRule>
    <cfRule type="cellIs" dxfId="7138" priority="144" operator="greaterThan">
      <formula>0.85</formula>
    </cfRule>
  </conditionalFormatting>
  <conditionalFormatting sqref="E6">
    <cfRule type="expression" dxfId="7137" priority="139">
      <formula>AND(IF(OR($Q6=1,$Q6=2),1,0),IF($X6&lt;=20,1,0))</formula>
    </cfRule>
    <cfRule type="expression" dxfId="7136" priority="140">
      <formula>AND(IF($Q6=2,1,0),IF($X6&lt;30,1,0))</formula>
    </cfRule>
    <cfRule type="expression" dxfId="7135" priority="141">
      <formula>AND(IF($Q6=3,1,0),IF($X6&lt;30,1,0))</formula>
    </cfRule>
    <cfRule type="expression" dxfId="7134" priority="142">
      <formula>AND(IF($Q6=3,1,IF($Q6=4,1,0)),IF($F6&lt;=85,1,0))</formula>
    </cfRule>
  </conditionalFormatting>
  <conditionalFormatting sqref="X6">
    <cfRule type="expression" dxfId="7133" priority="135">
      <formula>AND(IF(OR($Q6=1,$Q6=2),1,0),IF($X6&lt;=20,1,0))</formula>
    </cfRule>
    <cfRule type="expression" dxfId="7132" priority="136">
      <formula>AND(IF($Q6=2,1,0),IF($X6&lt;30,1,0))</formula>
    </cfRule>
    <cfRule type="expression" dxfId="7131" priority="137">
      <formula>AND(IF($Q6=3,1,0),IF($X6&lt;30,1,0))</formula>
    </cfRule>
    <cfRule type="expression" dxfId="7130" priority="138">
      <formula>AND(IF($Q6=3,1,IF($Q6=4,1,0)),IF($F6&lt;=85,1,0))</formula>
    </cfRule>
  </conditionalFormatting>
  <conditionalFormatting sqref="AI6">
    <cfRule type="expression" dxfId="7129" priority="131">
      <formula>AND(IF(OR($Q6=1,$Q6=2),1,0),IF($X6&lt;=20,1,0))</formula>
    </cfRule>
    <cfRule type="expression" dxfId="7128" priority="132">
      <formula>AND(IF($Q6=2,1,0),IF($X6&lt;30,1,0))</formula>
    </cfRule>
    <cfRule type="expression" dxfId="7127" priority="133">
      <formula>AND(IF($Q6=3,1,0),IF($X6&lt;30,1,0))</formula>
    </cfRule>
    <cfRule type="expression" dxfId="7126" priority="134">
      <formula>AND(IF($Q6=3,1,IF($Q6=4,1,0)),IF($F6&lt;=85,1,0))</formula>
    </cfRule>
  </conditionalFormatting>
  <conditionalFormatting sqref="AV7">
    <cfRule type="expression" dxfId="7125" priority="129">
      <formula>AV7="X"</formula>
    </cfRule>
    <cfRule type="expression" dxfId="7124" priority="130">
      <formula>AV7="후보"</formula>
    </cfRule>
  </conditionalFormatting>
  <conditionalFormatting sqref="AC7">
    <cfRule type="cellIs" dxfId="7123" priority="127" operator="greaterThan">
      <formula>0.9</formula>
    </cfRule>
    <cfRule type="cellIs" dxfId="7122" priority="128" operator="greaterThan">
      <formula>0.85</formula>
    </cfRule>
  </conditionalFormatting>
  <conditionalFormatting sqref="N7">
    <cfRule type="cellIs" dxfId="7121" priority="125" operator="greaterThan">
      <formula>0.9</formula>
    </cfRule>
    <cfRule type="cellIs" dxfId="7120" priority="126" operator="greaterThan">
      <formula>0.85</formula>
    </cfRule>
  </conditionalFormatting>
  <conditionalFormatting sqref="E7">
    <cfRule type="expression" dxfId="7119" priority="121">
      <formula>AND(IF(OR($Q7=1,$Q7=2),1,0),IF($X7&lt;=20,1,0))</formula>
    </cfRule>
    <cfRule type="expression" dxfId="7118" priority="122">
      <formula>AND(IF($Q7=2,1,0),IF($X7&lt;30,1,0))</formula>
    </cfRule>
    <cfRule type="expression" dxfId="7117" priority="123">
      <formula>AND(IF($Q7=3,1,0),IF($X7&lt;30,1,0))</formula>
    </cfRule>
    <cfRule type="expression" dxfId="7116" priority="124">
      <formula>AND(IF($Q7=3,1,IF($Q7=4,1,0)),IF($F7&lt;=85,1,0))</formula>
    </cfRule>
  </conditionalFormatting>
  <conditionalFormatting sqref="X7">
    <cfRule type="expression" dxfId="7115" priority="117">
      <formula>AND(IF(OR($Q7=1,$Q7=2),1,0),IF($X7&lt;=20,1,0))</formula>
    </cfRule>
    <cfRule type="expression" dxfId="7114" priority="118">
      <formula>AND(IF($Q7=2,1,0),IF($X7&lt;30,1,0))</formula>
    </cfRule>
    <cfRule type="expression" dxfId="7113" priority="119">
      <formula>AND(IF($Q7=3,1,0),IF($X7&lt;30,1,0))</formula>
    </cfRule>
    <cfRule type="expression" dxfId="7112" priority="120">
      <formula>AND(IF($Q7=3,1,IF($Q7=4,1,0)),IF($F7&lt;=85,1,0))</formula>
    </cfRule>
  </conditionalFormatting>
  <conditionalFormatting sqref="AI7">
    <cfRule type="expression" dxfId="7111" priority="113">
      <formula>AND(IF(OR($Q7=1,$Q7=2),1,0),IF($X7&lt;=20,1,0))</formula>
    </cfRule>
    <cfRule type="expression" dxfId="7110" priority="114">
      <formula>AND(IF($Q7=2,1,0),IF($X7&lt;30,1,0))</formula>
    </cfRule>
    <cfRule type="expression" dxfId="7109" priority="115">
      <formula>AND(IF($Q7=3,1,0),IF($X7&lt;30,1,0))</formula>
    </cfRule>
    <cfRule type="expression" dxfId="7108" priority="116">
      <formula>AND(IF($Q7=3,1,IF($Q7=4,1,0)),IF($F7&lt;=85,1,0))</formula>
    </cfRule>
  </conditionalFormatting>
  <conditionalFormatting sqref="AV8">
    <cfRule type="expression" dxfId="7107" priority="111">
      <formula>AV8="X"</formula>
    </cfRule>
    <cfRule type="expression" dxfId="7106" priority="112">
      <formula>AV8="후보"</formula>
    </cfRule>
  </conditionalFormatting>
  <conditionalFormatting sqref="AC8">
    <cfRule type="cellIs" dxfId="7105" priority="109" operator="greaterThan">
      <formula>0.9</formula>
    </cfRule>
    <cfRule type="cellIs" dxfId="7104" priority="110" operator="greaterThan">
      <formula>0.85</formula>
    </cfRule>
  </conditionalFormatting>
  <conditionalFormatting sqref="N8">
    <cfRule type="cellIs" dxfId="7103" priority="107" operator="greaterThan">
      <formula>0.9</formula>
    </cfRule>
    <cfRule type="cellIs" dxfId="7102" priority="108" operator="greaterThan">
      <formula>0.85</formula>
    </cfRule>
  </conditionalFormatting>
  <conditionalFormatting sqref="E8">
    <cfRule type="expression" dxfId="7101" priority="103">
      <formula>AND(IF(OR($Q8=1,$Q8=2),1,0),IF($X8&lt;=20,1,0))</formula>
    </cfRule>
    <cfRule type="expression" dxfId="7100" priority="104">
      <formula>AND(IF($Q8=2,1,0),IF($X8&lt;30,1,0))</formula>
    </cfRule>
    <cfRule type="expression" dxfId="7099" priority="105">
      <formula>AND(IF($Q8=3,1,0),IF($X8&lt;30,1,0))</formula>
    </cfRule>
    <cfRule type="expression" dxfId="7098" priority="106">
      <formula>AND(IF($Q8=3,1,IF($Q8=4,1,0)),IF($F8&lt;=85,1,0))</formula>
    </cfRule>
  </conditionalFormatting>
  <conditionalFormatting sqref="X8">
    <cfRule type="expression" dxfId="7097" priority="99">
      <formula>AND(IF(OR($Q8=1,$Q8=2),1,0),IF($X8&lt;=20,1,0))</formula>
    </cfRule>
    <cfRule type="expression" dxfId="7096" priority="100">
      <formula>AND(IF($Q8=2,1,0),IF($X8&lt;30,1,0))</formula>
    </cfRule>
    <cfRule type="expression" dxfId="7095" priority="101">
      <formula>AND(IF($Q8=3,1,0),IF($X8&lt;30,1,0))</formula>
    </cfRule>
    <cfRule type="expression" dxfId="7094" priority="102">
      <formula>AND(IF($Q8=3,1,IF($Q8=4,1,0)),IF($F8&lt;=85,1,0))</formula>
    </cfRule>
  </conditionalFormatting>
  <conditionalFormatting sqref="AI8">
    <cfRule type="expression" dxfId="7093" priority="95">
      <formula>AND(IF(OR($Q8=1,$Q8=2),1,0),IF($X8&lt;=20,1,0))</formula>
    </cfRule>
    <cfRule type="expression" dxfId="7092" priority="96">
      <formula>AND(IF($Q8=2,1,0),IF($X8&lt;30,1,0))</formula>
    </cfRule>
    <cfRule type="expression" dxfId="7091" priority="97">
      <formula>AND(IF($Q8=3,1,0),IF($X8&lt;30,1,0))</formula>
    </cfRule>
    <cfRule type="expression" dxfId="7090" priority="98">
      <formula>AND(IF($Q8=3,1,IF($Q8=4,1,0)),IF($F8&lt;=85,1,0))</formula>
    </cfRule>
  </conditionalFormatting>
  <conditionalFormatting sqref="AV9">
    <cfRule type="expression" dxfId="7089" priority="93">
      <formula>AV9="X"</formula>
    </cfRule>
    <cfRule type="expression" dxfId="7088" priority="94">
      <formula>AV9="후보"</formula>
    </cfRule>
  </conditionalFormatting>
  <conditionalFormatting sqref="AC9 N9">
    <cfRule type="cellIs" dxfId="7087" priority="91" operator="greaterThan">
      <formula>0.9</formula>
    </cfRule>
    <cfRule type="cellIs" dxfId="7086" priority="92" operator="greaterThan">
      <formula>0.85</formula>
    </cfRule>
  </conditionalFormatting>
  <conditionalFormatting sqref="AV10">
    <cfRule type="expression" dxfId="7085" priority="89">
      <formula>AV10="X"</formula>
    </cfRule>
    <cfRule type="expression" dxfId="7084" priority="90">
      <formula>AV10="후보"</formula>
    </cfRule>
  </conditionalFormatting>
  <conditionalFormatting sqref="AC10">
    <cfRule type="cellIs" dxfId="7083" priority="87" operator="greaterThan">
      <formula>0.9</formula>
    </cfRule>
    <cfRule type="cellIs" dxfId="7082" priority="88" operator="greaterThan">
      <formula>0.85</formula>
    </cfRule>
  </conditionalFormatting>
  <conditionalFormatting sqref="N10">
    <cfRule type="cellIs" dxfId="7081" priority="85" operator="greaterThan">
      <formula>0.9</formula>
    </cfRule>
    <cfRule type="cellIs" dxfId="7080" priority="86" operator="greaterThan">
      <formula>0.85</formula>
    </cfRule>
  </conditionalFormatting>
  <conditionalFormatting sqref="E10">
    <cfRule type="expression" dxfId="7079" priority="81">
      <formula>AND(IF(OR($Q10=1,$Q10=2),1,0),IF($X10&lt;=20,1,0))</formula>
    </cfRule>
    <cfRule type="expression" dxfId="7078" priority="82">
      <formula>AND(IF($Q10=2,1,0),IF($X10&lt;30,1,0))</formula>
    </cfRule>
    <cfRule type="expression" dxfId="7077" priority="83">
      <formula>AND(IF($Q10=3,1,0),IF($X10&lt;30,1,0))</formula>
    </cfRule>
    <cfRule type="expression" dxfId="7076" priority="84">
      <formula>AND(IF($Q10=3,1,IF($Q10=4,1,0)),IF($F10&lt;=85,1,0))</formula>
    </cfRule>
  </conditionalFormatting>
  <conditionalFormatting sqref="X10">
    <cfRule type="expression" dxfId="7075" priority="77">
      <formula>AND(IF(OR($Q10=1,$Q10=2),1,0),IF($X10&lt;=20,1,0))</formula>
    </cfRule>
    <cfRule type="expression" dxfId="7074" priority="78">
      <formula>AND(IF($Q10=2,1,0),IF($X10&lt;30,1,0))</formula>
    </cfRule>
    <cfRule type="expression" dxfId="7073" priority="79">
      <formula>AND(IF($Q10=3,1,0),IF($X10&lt;30,1,0))</formula>
    </cfRule>
    <cfRule type="expression" dxfId="7072" priority="80">
      <formula>AND(IF($Q10=3,1,IF($Q10=4,1,0)),IF($F10&lt;=85,1,0))</formula>
    </cfRule>
  </conditionalFormatting>
  <conditionalFormatting sqref="AI10">
    <cfRule type="expression" dxfId="7071" priority="73">
      <formula>AND(IF(OR($Q10=1,$Q10=2),1,0),IF($X10&lt;=20,1,0))</formula>
    </cfRule>
    <cfRule type="expression" dxfId="7070" priority="74">
      <formula>AND(IF($Q10=2,1,0),IF($X10&lt;30,1,0))</formula>
    </cfRule>
    <cfRule type="expression" dxfId="7069" priority="75">
      <formula>AND(IF($Q10=3,1,0),IF($X10&lt;30,1,0))</formula>
    </cfRule>
    <cfRule type="expression" dxfId="7068" priority="76">
      <formula>AND(IF($Q10=3,1,IF($Q10=4,1,0)),IF($F10&lt;=85,1,0))</formula>
    </cfRule>
  </conditionalFormatting>
  <conditionalFormatting sqref="AV11">
    <cfRule type="expression" dxfId="7067" priority="71">
      <formula>AV11="X"</formula>
    </cfRule>
    <cfRule type="expression" dxfId="7066" priority="72">
      <formula>AV11="후보"</formula>
    </cfRule>
  </conditionalFormatting>
  <conditionalFormatting sqref="AC11">
    <cfRule type="cellIs" dxfId="7065" priority="69" operator="greaterThan">
      <formula>0.9</formula>
    </cfRule>
    <cfRule type="cellIs" dxfId="7064" priority="70" operator="greaterThan">
      <formula>0.85</formula>
    </cfRule>
  </conditionalFormatting>
  <conditionalFormatting sqref="N11">
    <cfRule type="cellIs" dxfId="7063" priority="67" operator="greaterThan">
      <formula>0.9</formula>
    </cfRule>
    <cfRule type="cellIs" dxfId="7062" priority="68" operator="greaterThan">
      <formula>0.85</formula>
    </cfRule>
  </conditionalFormatting>
  <conditionalFormatting sqref="E11">
    <cfRule type="expression" dxfId="7061" priority="63">
      <formula>AND(IF(OR($Q11=1,$Q11=2),1,0),IF($X11&lt;=20,1,0))</formula>
    </cfRule>
    <cfRule type="expression" dxfId="7060" priority="64">
      <formula>AND(IF($Q11=2,1,0),IF($X11&lt;30,1,0))</formula>
    </cfRule>
    <cfRule type="expression" dxfId="7059" priority="65">
      <formula>AND(IF($Q11=3,1,0),IF($X11&lt;30,1,0))</formula>
    </cfRule>
    <cfRule type="expression" dxfId="7058" priority="66">
      <formula>AND(IF($Q11=3,1,IF($Q11=4,1,0)),IF($F11&lt;=85,1,0))</formula>
    </cfRule>
  </conditionalFormatting>
  <conditionalFormatting sqref="X11">
    <cfRule type="expression" dxfId="7057" priority="59">
      <formula>AND(IF(OR($Q11=1,$Q11=2),1,0),IF($X11&lt;=20,1,0))</formula>
    </cfRule>
    <cfRule type="expression" dxfId="7056" priority="60">
      <formula>AND(IF($Q11=2,1,0),IF($X11&lt;30,1,0))</formula>
    </cfRule>
    <cfRule type="expression" dxfId="7055" priority="61">
      <formula>AND(IF($Q11=3,1,0),IF($X11&lt;30,1,0))</formula>
    </cfRule>
    <cfRule type="expression" dxfId="7054" priority="62">
      <formula>AND(IF($Q11=3,1,IF($Q11=4,1,0)),IF($F11&lt;=85,1,0))</formula>
    </cfRule>
  </conditionalFormatting>
  <conditionalFormatting sqref="AI11">
    <cfRule type="expression" dxfId="7053" priority="55">
      <formula>AND(IF(OR($Q11=1,$Q11=2),1,0),IF($X11&lt;=20,1,0))</formula>
    </cfRule>
    <cfRule type="expression" dxfId="7052" priority="56">
      <formula>AND(IF($Q11=2,1,0),IF($X11&lt;30,1,0))</formula>
    </cfRule>
    <cfRule type="expression" dxfId="7051" priority="57">
      <formula>AND(IF($Q11=3,1,0),IF($X11&lt;30,1,0))</formula>
    </cfRule>
    <cfRule type="expression" dxfId="7050" priority="58">
      <formula>AND(IF($Q11=3,1,IF($Q11=4,1,0)),IF($F11&lt;=85,1,0))</formula>
    </cfRule>
  </conditionalFormatting>
  <conditionalFormatting sqref="AV12">
    <cfRule type="expression" dxfId="7049" priority="53">
      <formula>AV12="X"</formula>
    </cfRule>
    <cfRule type="expression" dxfId="7048" priority="54">
      <formula>AV12="후보"</formula>
    </cfRule>
  </conditionalFormatting>
  <conditionalFormatting sqref="AC12">
    <cfRule type="cellIs" dxfId="7047" priority="51" operator="greaterThan">
      <formula>0.9</formula>
    </cfRule>
    <cfRule type="cellIs" dxfId="7046" priority="52" operator="greaterThan">
      <formula>0.85</formula>
    </cfRule>
  </conditionalFormatting>
  <conditionalFormatting sqref="N12">
    <cfRule type="cellIs" dxfId="7045" priority="49" operator="greaterThan">
      <formula>0.9</formula>
    </cfRule>
    <cfRule type="cellIs" dxfId="7044" priority="50" operator="greaterThan">
      <formula>0.85</formula>
    </cfRule>
  </conditionalFormatting>
  <conditionalFormatting sqref="E12">
    <cfRule type="expression" dxfId="7043" priority="45">
      <formula>AND(IF(OR($Q12=1,$Q12=2),1,0),IF($X12&lt;=20,1,0))</formula>
    </cfRule>
    <cfRule type="expression" dxfId="7042" priority="46">
      <formula>AND(IF($Q12=2,1,0),IF($X12&lt;30,1,0))</formula>
    </cfRule>
    <cfRule type="expression" dxfId="7041" priority="47">
      <formula>AND(IF($Q12=3,1,0),IF($X12&lt;30,1,0))</formula>
    </cfRule>
    <cfRule type="expression" dxfId="7040" priority="48">
      <formula>AND(IF($Q12=3,1,IF($Q12=4,1,0)),IF($F12&lt;=85,1,0))</formula>
    </cfRule>
  </conditionalFormatting>
  <conditionalFormatting sqref="X12">
    <cfRule type="expression" dxfId="7039" priority="41">
      <formula>AND(IF(OR($Q12=1,$Q12=2),1,0),IF($X12&lt;=20,1,0))</formula>
    </cfRule>
    <cfRule type="expression" dxfId="7038" priority="42">
      <formula>AND(IF($Q12=2,1,0),IF($X12&lt;30,1,0))</formula>
    </cfRule>
    <cfRule type="expression" dxfId="7037" priority="43">
      <formula>AND(IF($Q12=3,1,0),IF($X12&lt;30,1,0))</formula>
    </cfRule>
    <cfRule type="expression" dxfId="7036" priority="44">
      <formula>AND(IF($Q12=3,1,IF($Q12=4,1,0)),IF($F12&lt;=85,1,0))</formula>
    </cfRule>
  </conditionalFormatting>
  <conditionalFormatting sqref="AI12">
    <cfRule type="expression" dxfId="7035" priority="37">
      <formula>AND(IF(OR($Q12=1,$Q12=2),1,0),IF($X12&lt;=20,1,0))</formula>
    </cfRule>
    <cfRule type="expression" dxfId="7034" priority="38">
      <formula>AND(IF($Q12=2,1,0),IF($X12&lt;30,1,0))</formula>
    </cfRule>
    <cfRule type="expression" dxfId="7033" priority="39">
      <formula>AND(IF($Q12=3,1,0),IF($X12&lt;30,1,0))</formula>
    </cfRule>
    <cfRule type="expression" dxfId="7032" priority="40">
      <formula>AND(IF($Q12=3,1,IF($Q12=4,1,0)),IF($F12&lt;=85,1,0))</formula>
    </cfRule>
  </conditionalFormatting>
  <conditionalFormatting sqref="AV13">
    <cfRule type="expression" dxfId="7031" priority="35">
      <formula>AV13="X"</formula>
    </cfRule>
    <cfRule type="expression" dxfId="7030" priority="36">
      <formula>AV13="후보"</formula>
    </cfRule>
  </conditionalFormatting>
  <conditionalFormatting sqref="AC13">
    <cfRule type="cellIs" dxfId="7029" priority="33" operator="greaterThan">
      <formula>0.9</formula>
    </cfRule>
    <cfRule type="cellIs" dxfId="7028" priority="34" operator="greaterThan">
      <formula>0.85</formula>
    </cfRule>
  </conditionalFormatting>
  <conditionalFormatting sqref="N13">
    <cfRule type="cellIs" dxfId="7027" priority="31" operator="greaterThan">
      <formula>0.9</formula>
    </cfRule>
    <cfRule type="cellIs" dxfId="7026" priority="32" operator="greaterThan">
      <formula>0.85</formula>
    </cfRule>
  </conditionalFormatting>
  <conditionalFormatting sqref="E13">
    <cfRule type="expression" dxfId="7025" priority="27">
      <formula>AND(IF(OR($Q13=1,$Q13=2),1,0),IF($X13&lt;=20,1,0))</formula>
    </cfRule>
    <cfRule type="expression" dxfId="7024" priority="28">
      <formula>AND(IF($Q13=2,1,0),IF($X13&lt;30,1,0))</formula>
    </cfRule>
    <cfRule type="expression" dxfId="7023" priority="29">
      <formula>AND(IF($Q13=3,1,0),IF($X13&lt;30,1,0))</formula>
    </cfRule>
    <cfRule type="expression" dxfId="7022" priority="30">
      <formula>AND(IF($Q13=3,1,IF($Q13=4,1,0)),IF($F13&lt;=85,1,0))</formula>
    </cfRule>
  </conditionalFormatting>
  <conditionalFormatting sqref="X13">
    <cfRule type="expression" dxfId="7021" priority="23">
      <formula>AND(IF(OR($Q13=1,$Q13=2),1,0),IF($X13&lt;=20,1,0))</formula>
    </cfRule>
    <cfRule type="expression" dxfId="7020" priority="24">
      <formula>AND(IF($Q13=2,1,0),IF($X13&lt;30,1,0))</formula>
    </cfRule>
    <cfRule type="expression" dxfId="7019" priority="25">
      <formula>AND(IF($Q13=3,1,0),IF($X13&lt;30,1,0))</formula>
    </cfRule>
    <cfRule type="expression" dxfId="7018" priority="26">
      <formula>AND(IF($Q13=3,1,IF($Q13=4,1,0)),IF($F13&lt;=85,1,0))</formula>
    </cfRule>
  </conditionalFormatting>
  <conditionalFormatting sqref="AI13">
    <cfRule type="expression" dxfId="7017" priority="19">
      <formula>AND(IF(OR($Q13=1,$Q13=2),1,0),IF($X13&lt;=20,1,0))</formula>
    </cfRule>
    <cfRule type="expression" dxfId="7016" priority="20">
      <formula>AND(IF($Q13=2,1,0),IF($X13&lt;30,1,0))</formula>
    </cfRule>
    <cfRule type="expression" dxfId="7015" priority="21">
      <formula>AND(IF($Q13=3,1,0),IF($X13&lt;30,1,0))</formula>
    </cfRule>
    <cfRule type="expression" dxfId="7014" priority="22">
      <formula>AND(IF($Q13=3,1,IF($Q13=4,1,0)),IF($F13&lt;=85,1,0))</formula>
    </cfRule>
  </conditionalFormatting>
  <conditionalFormatting sqref="AV14">
    <cfRule type="expression" dxfId="7013" priority="17">
      <formula>AV14="X"</formula>
    </cfRule>
    <cfRule type="expression" dxfId="7012" priority="18">
      <formula>AV14="후보"</formula>
    </cfRule>
  </conditionalFormatting>
  <conditionalFormatting sqref="AC14">
    <cfRule type="cellIs" dxfId="7011" priority="15" operator="greaterThan">
      <formula>0.9</formula>
    </cfRule>
    <cfRule type="cellIs" dxfId="7010" priority="16" operator="greaterThan">
      <formula>0.85</formula>
    </cfRule>
  </conditionalFormatting>
  <conditionalFormatting sqref="N14">
    <cfRule type="cellIs" dxfId="7009" priority="13" operator="greaterThan">
      <formula>0.9</formula>
    </cfRule>
    <cfRule type="cellIs" dxfId="7008" priority="14" operator="greaterThan">
      <formula>0.85</formula>
    </cfRule>
  </conditionalFormatting>
  <conditionalFormatting sqref="E14">
    <cfRule type="expression" dxfId="7007" priority="9">
      <formula>AND(IF(OR($Q14=1,$Q14=2),1,0),IF($X14&lt;=20,1,0))</formula>
    </cfRule>
    <cfRule type="expression" dxfId="7006" priority="10">
      <formula>AND(IF($Q14=2,1,0),IF($X14&lt;30,1,0))</formula>
    </cfRule>
    <cfRule type="expression" dxfId="7005" priority="11">
      <formula>AND(IF($Q14=3,1,0),IF($X14&lt;30,1,0))</formula>
    </cfRule>
    <cfRule type="expression" dxfId="7004" priority="12">
      <formula>AND(IF($Q14=3,1,IF($Q14=4,1,0)),IF($F14&lt;=85,1,0))</formula>
    </cfRule>
  </conditionalFormatting>
  <conditionalFormatting sqref="X14">
    <cfRule type="expression" dxfId="7003" priority="5">
      <formula>AND(IF(OR($Q14=1,$Q14=2),1,0),IF($X14&lt;=20,1,0))</formula>
    </cfRule>
    <cfRule type="expression" dxfId="7002" priority="6">
      <formula>AND(IF($Q14=2,1,0),IF($X14&lt;30,1,0))</formula>
    </cfRule>
    <cfRule type="expression" dxfId="7001" priority="7">
      <formula>AND(IF($Q14=3,1,0),IF($X14&lt;30,1,0))</formula>
    </cfRule>
    <cfRule type="expression" dxfId="7000" priority="8">
      <formula>AND(IF($Q14=3,1,IF($Q14=4,1,0)),IF($F14&lt;=85,1,0))</formula>
    </cfRule>
  </conditionalFormatting>
  <conditionalFormatting sqref="AI14">
    <cfRule type="expression" dxfId="6999" priority="1">
      <formula>AND(IF(OR($Q14=1,$Q14=2),1,0),IF($X14&lt;=20,1,0))</formula>
    </cfRule>
    <cfRule type="expression" dxfId="6998" priority="2">
      <formula>AND(IF($Q14=2,1,0),IF($X14&lt;30,1,0))</formula>
    </cfRule>
    <cfRule type="expression" dxfId="6997" priority="3">
      <formula>AND(IF($Q14=3,1,0),IF($X14&lt;30,1,0))</formula>
    </cfRule>
    <cfRule type="expression" dxfId="6996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금광동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246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금광동 삼성('90.11.,424^)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242</v>
      </c>
      <c r="B6" s="10" t="s">
        <v>1284</v>
      </c>
      <c r="C6" s="89">
        <v>424</v>
      </c>
      <c r="D6" s="87">
        <v>106.7</v>
      </c>
      <c r="E6" s="88">
        <v>32</v>
      </c>
      <c r="F6" s="87">
        <v>84.9</v>
      </c>
      <c r="G6" s="17">
        <v>26</v>
      </c>
      <c r="H6" s="89">
        <v>192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 t="s">
        <v>130</v>
      </c>
      <c r="U6" s="9"/>
      <c r="W6" s="87">
        <f t="shared" ref="W6:X9" si="1">D6</f>
        <v>106.7</v>
      </c>
      <c r="X6" s="88">
        <f t="shared" si="1"/>
        <v>32</v>
      </c>
      <c r="Y6" s="93">
        <f t="shared" ref="Y6:Z9" si="2">H6</f>
        <v>192</v>
      </c>
      <c r="Z6" s="91">
        <f t="shared" si="2"/>
        <v>0</v>
      </c>
      <c r="AA6" s="91">
        <f>K6</f>
        <v>0</v>
      </c>
      <c r="AB6" s="91">
        <f t="shared" ref="AB6:AD9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삼성</v>
      </c>
      <c r="AI6" s="88">
        <f t="shared" si="0"/>
        <v>32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242</v>
      </c>
      <c r="B7" s="10" t="s">
        <v>1284</v>
      </c>
      <c r="C7" s="89">
        <v>424</v>
      </c>
      <c r="D7" s="87">
        <v>106.9</v>
      </c>
      <c r="E7" s="88">
        <v>32</v>
      </c>
      <c r="F7" s="87">
        <v>84.9</v>
      </c>
      <c r="G7" s="17">
        <v>26</v>
      </c>
      <c r="H7" s="89">
        <v>66</v>
      </c>
      <c r="I7" s="90">
        <v>12500</v>
      </c>
      <c r="J7" s="90" t="s">
        <v>70</v>
      </c>
      <c r="K7" s="90"/>
      <c r="L7" s="90"/>
      <c r="M7" s="91">
        <f>I7-K7</f>
        <v>12500</v>
      </c>
      <c r="N7" s="4">
        <f>IF(ISERROR(K7/I7),"",K7/I7)</f>
        <v>0</v>
      </c>
      <c r="O7" s="92">
        <f>I7/E7</f>
        <v>390.625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229</v>
      </c>
      <c r="U7" s="9"/>
      <c r="W7" s="87">
        <f t="shared" si="1"/>
        <v>106.9</v>
      </c>
      <c r="X7" s="88">
        <f t="shared" si="1"/>
        <v>32</v>
      </c>
      <c r="Y7" s="93">
        <f t="shared" si="2"/>
        <v>66</v>
      </c>
      <c r="Z7" s="91">
        <f t="shared" si="2"/>
        <v>12500</v>
      </c>
      <c r="AA7" s="91">
        <f>K7</f>
        <v>0</v>
      </c>
      <c r="AB7" s="91">
        <f t="shared" si="3"/>
        <v>12500</v>
      </c>
      <c r="AC7" s="4">
        <f t="shared" si="3"/>
        <v>0</v>
      </c>
      <c r="AD7" s="92">
        <f t="shared" si="3"/>
        <v>390.625</v>
      </c>
      <c r="AE7" s="80" t="str">
        <f>S7</f>
        <v>계</v>
      </c>
      <c r="AF7" s="80" t="str">
        <f>Q7&amp;"/"&amp;R7</f>
        <v>3/2</v>
      </c>
      <c r="AH7" s="20" t="str">
        <f>IF(A7="","",A7)</f>
        <v>삼성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242</v>
      </c>
      <c r="B8" s="10" t="s">
        <v>1284</v>
      </c>
      <c r="C8" s="89">
        <v>424</v>
      </c>
      <c r="D8" s="87">
        <v>154.9</v>
      </c>
      <c r="E8" s="88">
        <v>47</v>
      </c>
      <c r="F8" s="87">
        <v>127.7</v>
      </c>
      <c r="G8" s="17">
        <v>39</v>
      </c>
      <c r="H8" s="89">
        <v>78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4</v>
      </c>
      <c r="R8" s="80">
        <v>2</v>
      </c>
      <c r="S8" s="80" t="s">
        <v>61</v>
      </c>
      <c r="T8" s="5">
        <v>154</v>
      </c>
      <c r="U8" s="9"/>
      <c r="W8" s="87">
        <f t="shared" si="1"/>
        <v>154.9</v>
      </c>
      <c r="X8" s="88">
        <f t="shared" si="1"/>
        <v>47</v>
      </c>
      <c r="Y8" s="93">
        <f t="shared" si="2"/>
        <v>78</v>
      </c>
      <c r="Z8" s="91">
        <f t="shared" si="2"/>
        <v>0</v>
      </c>
      <c r="AA8" s="91">
        <f>K8</f>
        <v>0</v>
      </c>
      <c r="AB8" s="91">
        <f t="shared" si="3"/>
        <v>0</v>
      </c>
      <c r="AC8" s="4" t="str">
        <f t="shared" si="3"/>
        <v/>
      </c>
      <c r="AD8" s="92">
        <f t="shared" si="3"/>
        <v>0</v>
      </c>
      <c r="AE8" s="80" t="str">
        <f>S8</f>
        <v>계</v>
      </c>
      <c r="AF8" s="80" t="str">
        <f>Q8&amp;"/"&amp;R8</f>
        <v>4/2</v>
      </c>
      <c r="AH8" s="20" t="str">
        <f>IF(A8="","",A8)</f>
        <v>삼성</v>
      </c>
      <c r="AI8" s="88">
        <f t="shared" si="0"/>
        <v>47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O</v>
      </c>
      <c r="AV8" s="80" t="str">
        <f>IF(AO8="","",IF(AND(AO8="O",AP8="O",AR8="O",AT8="O",AU8="O"),"후보","X"))</f>
        <v/>
      </c>
    </row>
    <row r="9" spans="1:48" x14ac:dyDescent="0.3">
      <c r="A9" s="9" t="s">
        <v>242</v>
      </c>
      <c r="B9" s="10" t="s">
        <v>1284</v>
      </c>
      <c r="C9" s="89">
        <v>424</v>
      </c>
      <c r="D9" s="87">
        <v>155.4</v>
      </c>
      <c r="E9" s="88">
        <v>47</v>
      </c>
      <c r="F9" s="87">
        <v>128.5</v>
      </c>
      <c r="G9" s="17">
        <v>39</v>
      </c>
      <c r="H9" s="89">
        <v>88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4</v>
      </c>
      <c r="R9" s="80">
        <v>2</v>
      </c>
      <c r="S9" s="80" t="s">
        <v>76</v>
      </c>
      <c r="T9" s="5">
        <v>155</v>
      </c>
      <c r="U9" s="9"/>
      <c r="W9" s="87">
        <f t="shared" si="1"/>
        <v>155.4</v>
      </c>
      <c r="X9" s="88">
        <f t="shared" si="1"/>
        <v>47</v>
      </c>
      <c r="Y9" s="93">
        <f t="shared" si="2"/>
        <v>88</v>
      </c>
      <c r="Z9" s="91">
        <f t="shared" si="2"/>
        <v>0</v>
      </c>
      <c r="AA9" s="91">
        <f>K9</f>
        <v>0</v>
      </c>
      <c r="AB9" s="91">
        <f t="shared" si="3"/>
        <v>0</v>
      </c>
      <c r="AC9" s="4" t="str">
        <f t="shared" si="3"/>
        <v/>
      </c>
      <c r="AD9" s="92">
        <f t="shared" si="3"/>
        <v>0</v>
      </c>
      <c r="AE9" s="80" t="str">
        <f>S9</f>
        <v>복</v>
      </c>
      <c r="AF9" s="80" t="str">
        <f>Q9&amp;"/"&amp;R9</f>
        <v>4/2</v>
      </c>
      <c r="AH9" s="20" t="str">
        <f>IF(A9="","",A9)</f>
        <v>삼성</v>
      </c>
      <c r="AI9" s="88">
        <f t="shared" si="0"/>
        <v>47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X</v>
      </c>
      <c r="AU9" s="80" t="str">
        <f>IF(C9="","",IF(C9&gt;=$AU$1,"O","X"))</f>
        <v>O</v>
      </c>
      <c r="AV9" s="80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6995" priority="73">
      <formula>AV4="X"</formula>
    </cfRule>
    <cfRule type="expression" dxfId="6994" priority="74">
      <formula>AV4="후보"</formula>
    </cfRule>
  </conditionalFormatting>
  <conditionalFormatting sqref="AC1:AC2 AC4:AC6 N4:N5">
    <cfRule type="cellIs" dxfId="6993" priority="71" operator="greaterThan">
      <formula>0.9</formula>
    </cfRule>
    <cfRule type="cellIs" dxfId="6992" priority="72" operator="greaterThan">
      <formula>0.85</formula>
    </cfRule>
  </conditionalFormatting>
  <conditionalFormatting sqref="N1:N2">
    <cfRule type="cellIs" dxfId="6991" priority="69" operator="greaterThan">
      <formula>0.9</formula>
    </cfRule>
    <cfRule type="cellIs" dxfId="6990" priority="70" operator="greaterThan">
      <formula>0.85</formula>
    </cfRule>
  </conditionalFormatting>
  <conditionalFormatting sqref="N6">
    <cfRule type="cellIs" dxfId="6989" priority="67" operator="greaterThan">
      <formula>0.9</formula>
    </cfRule>
    <cfRule type="cellIs" dxfId="6988" priority="68" operator="greaterThan">
      <formula>0.85</formula>
    </cfRule>
  </conditionalFormatting>
  <conditionalFormatting sqref="E6">
    <cfRule type="expression" dxfId="6987" priority="63">
      <formula>AND(IF(OR($Q6=1,$Q6=2),1,0),IF($X6&lt;=20,1,0))</formula>
    </cfRule>
    <cfRule type="expression" dxfId="6986" priority="64">
      <formula>AND(IF($Q6=2,1,0),IF($X6&lt;30,1,0))</formula>
    </cfRule>
    <cfRule type="expression" dxfId="6985" priority="65">
      <formula>AND(IF($Q6=3,1,0),IF($X6&lt;30,1,0))</formula>
    </cfRule>
    <cfRule type="expression" dxfId="6984" priority="66">
      <formula>AND(IF($Q6=3,1,IF($Q6=4,1,0)),IF($F6&lt;=85,1,0))</formula>
    </cfRule>
  </conditionalFormatting>
  <conditionalFormatting sqref="X6">
    <cfRule type="expression" dxfId="6983" priority="59">
      <formula>AND(IF(OR($Q6=1,$Q6=2),1,0),IF($X6&lt;=20,1,0))</formula>
    </cfRule>
    <cfRule type="expression" dxfId="6982" priority="60">
      <formula>AND(IF($Q6=2,1,0),IF($X6&lt;30,1,0))</formula>
    </cfRule>
    <cfRule type="expression" dxfId="6981" priority="61">
      <formula>AND(IF($Q6=3,1,0),IF($X6&lt;30,1,0))</formula>
    </cfRule>
    <cfRule type="expression" dxfId="6980" priority="62">
      <formula>AND(IF($Q6=3,1,IF($Q6=4,1,0)),IF($F6&lt;=85,1,0))</formula>
    </cfRule>
  </conditionalFormatting>
  <conditionalFormatting sqref="AI6">
    <cfRule type="expression" dxfId="6979" priority="55">
      <formula>AND(IF(OR($Q6=1,$Q6=2),1,0),IF($X6&lt;=20,1,0))</formula>
    </cfRule>
    <cfRule type="expression" dxfId="6978" priority="56">
      <formula>AND(IF($Q6=2,1,0),IF($X6&lt;30,1,0))</formula>
    </cfRule>
    <cfRule type="expression" dxfId="6977" priority="57">
      <formula>AND(IF($Q6=3,1,0),IF($X6&lt;30,1,0))</formula>
    </cfRule>
    <cfRule type="expression" dxfId="6976" priority="58">
      <formula>AND(IF($Q6=3,1,IF($Q6=4,1,0)),IF($F6&lt;=85,1,0))</formula>
    </cfRule>
  </conditionalFormatting>
  <conditionalFormatting sqref="AV7">
    <cfRule type="expression" dxfId="6975" priority="53">
      <formula>AV7="X"</formula>
    </cfRule>
    <cfRule type="expression" dxfId="6974" priority="54">
      <formula>AV7="후보"</formula>
    </cfRule>
  </conditionalFormatting>
  <conditionalFormatting sqref="AC7">
    <cfRule type="cellIs" dxfId="6973" priority="51" operator="greaterThan">
      <formula>0.9</formula>
    </cfRule>
    <cfRule type="cellIs" dxfId="6972" priority="52" operator="greaterThan">
      <formula>0.85</formula>
    </cfRule>
  </conditionalFormatting>
  <conditionalFormatting sqref="N7">
    <cfRule type="cellIs" dxfId="6971" priority="49" operator="greaterThan">
      <formula>0.9</formula>
    </cfRule>
    <cfRule type="cellIs" dxfId="6970" priority="50" operator="greaterThan">
      <formula>0.85</formula>
    </cfRule>
  </conditionalFormatting>
  <conditionalFormatting sqref="E7">
    <cfRule type="expression" dxfId="6969" priority="45">
      <formula>AND(IF(OR($Q7=1,$Q7=2),1,0),IF($X7&lt;=20,1,0))</formula>
    </cfRule>
    <cfRule type="expression" dxfId="6968" priority="46">
      <formula>AND(IF($Q7=2,1,0),IF($X7&lt;30,1,0))</formula>
    </cfRule>
    <cfRule type="expression" dxfId="6967" priority="47">
      <formula>AND(IF($Q7=3,1,0),IF($X7&lt;30,1,0))</formula>
    </cfRule>
    <cfRule type="expression" dxfId="6966" priority="48">
      <formula>AND(IF($Q7=3,1,IF($Q7=4,1,0)),IF($F7&lt;=85,1,0))</formula>
    </cfRule>
  </conditionalFormatting>
  <conditionalFormatting sqref="X7">
    <cfRule type="expression" dxfId="6965" priority="41">
      <formula>AND(IF(OR($Q7=1,$Q7=2),1,0),IF($X7&lt;=20,1,0))</formula>
    </cfRule>
    <cfRule type="expression" dxfId="6964" priority="42">
      <formula>AND(IF($Q7=2,1,0),IF($X7&lt;30,1,0))</formula>
    </cfRule>
    <cfRule type="expression" dxfId="6963" priority="43">
      <formula>AND(IF($Q7=3,1,0),IF($X7&lt;30,1,0))</formula>
    </cfRule>
    <cfRule type="expression" dxfId="6962" priority="44">
      <formula>AND(IF($Q7=3,1,IF($Q7=4,1,0)),IF($F7&lt;=85,1,0))</formula>
    </cfRule>
  </conditionalFormatting>
  <conditionalFormatting sqref="AI7">
    <cfRule type="expression" dxfId="6961" priority="37">
      <formula>AND(IF(OR($Q7=1,$Q7=2),1,0),IF($X7&lt;=20,1,0))</formula>
    </cfRule>
    <cfRule type="expression" dxfId="6960" priority="38">
      <formula>AND(IF($Q7=2,1,0),IF($X7&lt;30,1,0))</formula>
    </cfRule>
    <cfRule type="expression" dxfId="6959" priority="39">
      <formula>AND(IF($Q7=3,1,0),IF($X7&lt;30,1,0))</formula>
    </cfRule>
    <cfRule type="expression" dxfId="6958" priority="40">
      <formula>AND(IF($Q7=3,1,IF($Q7=4,1,0)),IF($F7&lt;=85,1,0))</formula>
    </cfRule>
  </conditionalFormatting>
  <conditionalFormatting sqref="AV8">
    <cfRule type="expression" dxfId="6957" priority="35">
      <formula>AV8="X"</formula>
    </cfRule>
    <cfRule type="expression" dxfId="6956" priority="36">
      <formula>AV8="후보"</formula>
    </cfRule>
  </conditionalFormatting>
  <conditionalFormatting sqref="AC8">
    <cfRule type="cellIs" dxfId="6955" priority="33" operator="greaterThan">
      <formula>0.9</formula>
    </cfRule>
    <cfRule type="cellIs" dxfId="6954" priority="34" operator="greaterThan">
      <formula>0.85</formula>
    </cfRule>
  </conditionalFormatting>
  <conditionalFormatting sqref="N8">
    <cfRule type="cellIs" dxfId="6953" priority="31" operator="greaterThan">
      <formula>0.9</formula>
    </cfRule>
    <cfRule type="cellIs" dxfId="6952" priority="32" operator="greaterThan">
      <formula>0.85</formula>
    </cfRule>
  </conditionalFormatting>
  <conditionalFormatting sqref="E8">
    <cfRule type="expression" dxfId="6951" priority="27">
      <formula>AND(IF(OR($Q8=1,$Q8=2),1,0),IF($X8&lt;=20,1,0))</formula>
    </cfRule>
    <cfRule type="expression" dxfId="6950" priority="28">
      <formula>AND(IF($Q8=2,1,0),IF($X8&lt;30,1,0))</formula>
    </cfRule>
    <cfRule type="expression" dxfId="6949" priority="29">
      <formula>AND(IF($Q8=3,1,0),IF($X8&lt;30,1,0))</formula>
    </cfRule>
    <cfRule type="expression" dxfId="6948" priority="30">
      <formula>AND(IF($Q8=3,1,IF($Q8=4,1,0)),IF($F8&lt;=85,1,0))</formula>
    </cfRule>
  </conditionalFormatting>
  <conditionalFormatting sqref="X8">
    <cfRule type="expression" dxfId="6947" priority="23">
      <formula>AND(IF(OR($Q8=1,$Q8=2),1,0),IF($X8&lt;=20,1,0))</formula>
    </cfRule>
    <cfRule type="expression" dxfId="6946" priority="24">
      <formula>AND(IF($Q8=2,1,0),IF($X8&lt;30,1,0))</formula>
    </cfRule>
    <cfRule type="expression" dxfId="6945" priority="25">
      <formula>AND(IF($Q8=3,1,0),IF($X8&lt;30,1,0))</formula>
    </cfRule>
    <cfRule type="expression" dxfId="6944" priority="26">
      <formula>AND(IF($Q8=3,1,IF($Q8=4,1,0)),IF($F8&lt;=85,1,0))</formula>
    </cfRule>
  </conditionalFormatting>
  <conditionalFormatting sqref="AI8">
    <cfRule type="expression" dxfId="6943" priority="19">
      <formula>AND(IF(OR($Q8=1,$Q8=2),1,0),IF($X8&lt;=20,1,0))</formula>
    </cfRule>
    <cfRule type="expression" dxfId="6942" priority="20">
      <formula>AND(IF($Q8=2,1,0),IF($X8&lt;30,1,0))</formula>
    </cfRule>
    <cfRule type="expression" dxfId="6941" priority="21">
      <formula>AND(IF($Q8=3,1,0),IF($X8&lt;30,1,0))</formula>
    </cfRule>
    <cfRule type="expression" dxfId="6940" priority="22">
      <formula>AND(IF($Q8=3,1,IF($Q8=4,1,0)),IF($F8&lt;=85,1,0))</formula>
    </cfRule>
  </conditionalFormatting>
  <conditionalFormatting sqref="AV9">
    <cfRule type="expression" dxfId="6939" priority="17">
      <formula>AV9="X"</formula>
    </cfRule>
    <cfRule type="expression" dxfId="6938" priority="18">
      <formula>AV9="후보"</formula>
    </cfRule>
  </conditionalFormatting>
  <conditionalFormatting sqref="AC9">
    <cfRule type="cellIs" dxfId="6937" priority="15" operator="greaterThan">
      <formula>0.9</formula>
    </cfRule>
    <cfRule type="cellIs" dxfId="6936" priority="16" operator="greaterThan">
      <formula>0.85</formula>
    </cfRule>
  </conditionalFormatting>
  <conditionalFormatting sqref="N9">
    <cfRule type="cellIs" dxfId="6935" priority="13" operator="greaterThan">
      <formula>0.9</formula>
    </cfRule>
    <cfRule type="cellIs" dxfId="6934" priority="14" operator="greaterThan">
      <formula>0.85</formula>
    </cfRule>
  </conditionalFormatting>
  <conditionalFormatting sqref="E9">
    <cfRule type="expression" dxfId="6933" priority="9">
      <formula>AND(IF(OR($Q9=1,$Q9=2),1,0),IF($X9&lt;=20,1,0))</formula>
    </cfRule>
    <cfRule type="expression" dxfId="6932" priority="10">
      <formula>AND(IF($Q9=2,1,0),IF($X9&lt;30,1,0))</formula>
    </cfRule>
    <cfRule type="expression" dxfId="6931" priority="11">
      <formula>AND(IF($Q9=3,1,0),IF($X9&lt;30,1,0))</formula>
    </cfRule>
    <cfRule type="expression" dxfId="6930" priority="12">
      <formula>AND(IF($Q9=3,1,IF($Q9=4,1,0)),IF($F9&lt;=85,1,0))</formula>
    </cfRule>
  </conditionalFormatting>
  <conditionalFormatting sqref="X9">
    <cfRule type="expression" dxfId="6929" priority="5">
      <formula>AND(IF(OR($Q9=1,$Q9=2),1,0),IF($X9&lt;=20,1,0))</formula>
    </cfRule>
    <cfRule type="expression" dxfId="6928" priority="6">
      <formula>AND(IF($Q9=2,1,0),IF($X9&lt;30,1,0))</formula>
    </cfRule>
    <cfRule type="expression" dxfId="6927" priority="7">
      <formula>AND(IF($Q9=3,1,0),IF($X9&lt;30,1,0))</formula>
    </cfRule>
    <cfRule type="expression" dxfId="6926" priority="8">
      <formula>AND(IF($Q9=3,1,IF($Q9=4,1,0)),IF($F9&lt;=85,1,0))</formula>
    </cfRule>
  </conditionalFormatting>
  <conditionalFormatting sqref="AI9">
    <cfRule type="expression" dxfId="6925" priority="1">
      <formula>AND(IF(OR($Q9=1,$Q9=2),1,0),IF($X9&lt;=20,1,0))</formula>
    </cfRule>
    <cfRule type="expression" dxfId="6924" priority="2">
      <formula>AND(IF($Q9=2,1,0),IF($X9&lt;30,1,0))</formula>
    </cfRule>
    <cfRule type="expression" dxfId="6923" priority="3">
      <formula>AND(IF($Q9=3,1,0),IF($X9&lt;30,1,0))</formula>
    </cfRule>
    <cfRule type="expression" dxfId="692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나운동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158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나운동 나운금호어울림센트럴('22.09.,993^)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262</v>
      </c>
      <c r="B6" s="10" t="s">
        <v>1285</v>
      </c>
      <c r="C6" s="89">
        <v>993</v>
      </c>
      <c r="D6" s="87">
        <v>80.5</v>
      </c>
      <c r="E6" s="88">
        <v>24</v>
      </c>
      <c r="F6" s="87">
        <v>59.8</v>
      </c>
      <c r="G6" s="17">
        <v>18</v>
      </c>
      <c r="H6" s="89">
        <v>178</v>
      </c>
      <c r="I6" s="90"/>
      <c r="J6" s="90"/>
      <c r="K6" s="90"/>
      <c r="L6" s="90"/>
      <c r="M6" s="91">
        <f t="shared" ref="M6:M11" si="2">I6-K6</f>
        <v>0</v>
      </c>
      <c r="N6" s="4" t="str">
        <f t="shared" ref="N6:N11" si="3">IF(ISERROR(K6/I6),"",K6/I6)</f>
        <v/>
      </c>
      <c r="O6" s="92">
        <f t="shared" ref="O6:O11" si="4">I6/E6</f>
        <v>0</v>
      </c>
      <c r="P6" s="92">
        <f t="shared" ref="P6:P11" si="5">K6/E6</f>
        <v>0</v>
      </c>
      <c r="Q6" s="80">
        <v>3</v>
      </c>
      <c r="R6" s="80">
        <v>2</v>
      </c>
      <c r="S6" s="80" t="s">
        <v>61</v>
      </c>
      <c r="T6" s="5" t="s">
        <v>87</v>
      </c>
      <c r="U6" s="9"/>
      <c r="W6" s="87">
        <f t="shared" ref="W6:X11" si="6">D6</f>
        <v>80.5</v>
      </c>
      <c r="X6" s="88">
        <f t="shared" si="6"/>
        <v>24</v>
      </c>
      <c r="Y6" s="93">
        <f t="shared" ref="Y6:Z11" si="7">H6</f>
        <v>178</v>
      </c>
      <c r="Z6" s="91">
        <f t="shared" si="7"/>
        <v>0</v>
      </c>
      <c r="AA6" s="91">
        <f t="shared" ref="AA6:AA11" si="8">K6</f>
        <v>0</v>
      </c>
      <c r="AB6" s="91">
        <f t="shared" ref="AB6:AD11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1" si="10">S6</f>
        <v>계</v>
      </c>
      <c r="AF6" s="80" t="str">
        <f t="shared" ref="AF6:AF11" si="11">Q6&amp;"/"&amp;R6</f>
        <v>3/2</v>
      </c>
      <c r="AH6" s="20" t="str">
        <f t="shared" si="1"/>
        <v>나운금호어울림센트럴</v>
      </c>
      <c r="AI6" s="88">
        <f t="shared" si="0"/>
        <v>24</v>
      </c>
      <c r="AJ6" s="80" t="str">
        <f t="shared" ref="AJ6:AJ11" si="12">IF(AI6="","",$AJ$2)</f>
        <v>A-</v>
      </c>
      <c r="AK6" s="80" t="s">
        <v>14</v>
      </c>
      <c r="AL6" s="80" t="s">
        <v>63</v>
      </c>
      <c r="AM6" s="80" t="s">
        <v>64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/>
      </c>
      <c r="AP6" s="80" t="str">
        <f t="shared" ref="AP6:AP11" si="15">IF(I6="","",IF(I6&lt;=$AP$1,"O","X"))</f>
        <v/>
      </c>
      <c r="AQ6" s="80" t="str">
        <f t="shared" ref="AQ6:AQ11" si="16">IF(O6="","",IF(O6&lt;=$AQ$1,"O","X"))</f>
        <v>O</v>
      </c>
      <c r="AR6" s="80" t="str">
        <f t="shared" ref="AR6:AR11" si="17">IF(M6="","",IF(M6&lt;=$AR$1,"O","X"))</f>
        <v>O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O</v>
      </c>
      <c r="AV6" s="80" t="str">
        <f t="shared" ref="AV6:AV11" si="20">IF(AO6="","",IF(AND(AO6="O",AP6="O",AR6="O",AT6="O",AU6="O"),"후보","X"))</f>
        <v/>
      </c>
    </row>
    <row r="7" spans="1:48" x14ac:dyDescent="0.3">
      <c r="A7" s="9" t="s">
        <v>262</v>
      </c>
      <c r="B7" s="10" t="s">
        <v>1285</v>
      </c>
      <c r="C7" s="89">
        <v>993</v>
      </c>
      <c r="D7" s="87">
        <v>80.599999999999994</v>
      </c>
      <c r="E7" s="88">
        <v>24</v>
      </c>
      <c r="F7" s="87">
        <v>60</v>
      </c>
      <c r="G7" s="17">
        <v>18</v>
      </c>
      <c r="H7" s="89">
        <v>82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3</v>
      </c>
      <c r="R7" s="80">
        <v>2</v>
      </c>
      <c r="S7" s="80" t="s">
        <v>61</v>
      </c>
      <c r="T7" s="5" t="s">
        <v>85</v>
      </c>
      <c r="U7" s="9"/>
      <c r="W7" s="87">
        <f t="shared" si="6"/>
        <v>80.599999999999994</v>
      </c>
      <c r="X7" s="88">
        <f t="shared" si="6"/>
        <v>24</v>
      </c>
      <c r="Y7" s="93">
        <f t="shared" si="7"/>
        <v>82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3/2</v>
      </c>
      <c r="AH7" s="20" t="str">
        <f t="shared" si="1"/>
        <v>나운금호어울림센트럴</v>
      </c>
      <c r="AI7" s="88">
        <f t="shared" si="0"/>
        <v>24</v>
      </c>
      <c r="AJ7" s="80" t="str">
        <f t="shared" si="12"/>
        <v>A-</v>
      </c>
      <c r="AK7" s="80" t="s">
        <v>14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/>
      </c>
    </row>
    <row r="8" spans="1:48" x14ac:dyDescent="0.3">
      <c r="A8" s="9" t="s">
        <v>262</v>
      </c>
      <c r="B8" s="10" t="s">
        <v>1285</v>
      </c>
      <c r="C8" s="89">
        <v>993</v>
      </c>
      <c r="D8" s="87">
        <v>98.3</v>
      </c>
      <c r="E8" s="88">
        <v>30</v>
      </c>
      <c r="F8" s="87">
        <v>73.400000000000006</v>
      </c>
      <c r="G8" s="17">
        <v>22</v>
      </c>
      <c r="H8" s="89">
        <v>86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2</v>
      </c>
      <c r="S8" s="80" t="s">
        <v>61</v>
      </c>
      <c r="T8" s="5">
        <v>98</v>
      </c>
      <c r="U8" s="9"/>
      <c r="W8" s="87">
        <f t="shared" si="6"/>
        <v>98.3</v>
      </c>
      <c r="X8" s="88">
        <f t="shared" si="6"/>
        <v>30</v>
      </c>
      <c r="Y8" s="93">
        <f t="shared" si="7"/>
        <v>86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3/2</v>
      </c>
      <c r="AH8" s="20" t="str">
        <f t="shared" si="1"/>
        <v>나운금호어울림센트럴</v>
      </c>
      <c r="AI8" s="88">
        <f t="shared" si="0"/>
        <v>30</v>
      </c>
      <c r="AJ8" s="80" t="str">
        <f t="shared" si="12"/>
        <v>A-</v>
      </c>
      <c r="AK8" s="80" t="s">
        <v>14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262</v>
      </c>
      <c r="B9" s="10" t="s">
        <v>1285</v>
      </c>
      <c r="C9" s="89">
        <v>993</v>
      </c>
      <c r="D9" s="87">
        <v>112.4</v>
      </c>
      <c r="E9" s="88">
        <v>34</v>
      </c>
      <c r="F9" s="87">
        <v>85</v>
      </c>
      <c r="G9" s="17">
        <v>26</v>
      </c>
      <c r="H9" s="89">
        <v>36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61</v>
      </c>
      <c r="T9" s="5" t="s">
        <v>140</v>
      </c>
      <c r="U9" s="9"/>
      <c r="W9" s="87">
        <f t="shared" si="6"/>
        <v>112.4</v>
      </c>
      <c r="X9" s="88">
        <f t="shared" si="6"/>
        <v>34</v>
      </c>
      <c r="Y9" s="93">
        <f t="shared" si="7"/>
        <v>36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3/2</v>
      </c>
      <c r="AH9" s="20" t="str">
        <f t="shared" si="1"/>
        <v>나운금호어울림센트럴</v>
      </c>
      <c r="AI9" s="88">
        <f t="shared" si="0"/>
        <v>34</v>
      </c>
      <c r="AJ9" s="80" t="str">
        <f t="shared" si="12"/>
        <v>A-</v>
      </c>
      <c r="AK9" s="80" t="s">
        <v>14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/>
      </c>
    </row>
    <row r="10" spans="1:48" x14ac:dyDescent="0.3">
      <c r="A10" s="9" t="s">
        <v>262</v>
      </c>
      <c r="B10" s="10" t="s">
        <v>1285</v>
      </c>
      <c r="C10" s="89">
        <v>993</v>
      </c>
      <c r="D10" s="87">
        <v>113.4</v>
      </c>
      <c r="E10" s="88">
        <v>34</v>
      </c>
      <c r="F10" s="87">
        <v>84.9</v>
      </c>
      <c r="G10" s="17">
        <v>26</v>
      </c>
      <c r="H10" s="89">
        <v>4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61</v>
      </c>
      <c r="T10" s="5" t="s">
        <v>267</v>
      </c>
      <c r="U10" s="9"/>
      <c r="W10" s="87">
        <f t="shared" si="6"/>
        <v>113.4</v>
      </c>
      <c r="X10" s="88">
        <f t="shared" si="6"/>
        <v>34</v>
      </c>
      <c r="Y10" s="93">
        <f t="shared" si="7"/>
        <v>4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3/2</v>
      </c>
      <c r="AH10" s="20" t="str">
        <f t="shared" si="1"/>
        <v>나운금호어울림센트럴</v>
      </c>
      <c r="AI10" s="88">
        <f t="shared" si="0"/>
        <v>34</v>
      </c>
      <c r="AJ10" s="80" t="str">
        <f t="shared" si="12"/>
        <v>A-</v>
      </c>
      <c r="AK10" s="80" t="s">
        <v>14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/>
      </c>
    </row>
    <row r="11" spans="1:48" x14ac:dyDescent="0.3">
      <c r="A11" s="9" t="s">
        <v>262</v>
      </c>
      <c r="B11" s="10" t="s">
        <v>1285</v>
      </c>
      <c r="C11" s="89">
        <v>993</v>
      </c>
      <c r="D11" s="87">
        <v>115.3</v>
      </c>
      <c r="E11" s="88">
        <v>35</v>
      </c>
      <c r="F11" s="87">
        <v>84.9</v>
      </c>
      <c r="G11" s="17">
        <v>26</v>
      </c>
      <c r="H11" s="89">
        <v>6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2</v>
      </c>
      <c r="S11" s="80" t="s">
        <v>61</v>
      </c>
      <c r="T11" s="5" t="s">
        <v>141</v>
      </c>
      <c r="U11" s="9"/>
      <c r="W11" s="87">
        <f t="shared" si="6"/>
        <v>115.3</v>
      </c>
      <c r="X11" s="88">
        <f t="shared" si="6"/>
        <v>35</v>
      </c>
      <c r="Y11" s="93">
        <f t="shared" si="7"/>
        <v>6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3/2</v>
      </c>
      <c r="AH11" s="20" t="str">
        <f t="shared" si="1"/>
        <v>나운금호어울림센트럴</v>
      </c>
      <c r="AI11" s="88">
        <f t="shared" si="0"/>
        <v>35</v>
      </c>
      <c r="AJ11" s="80" t="str">
        <f t="shared" si="12"/>
        <v>A-</v>
      </c>
      <c r="AK11" s="80" t="s">
        <v>14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7" t="str">
        <f>$A$4&amp;" "&amp;A13&amp;"("&amp;B13&amp;","&amp;C13&amp;"^)"</f>
        <v>나운동 세경('02.12.,1186^)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298</v>
      </c>
      <c r="B13" s="10" t="s">
        <v>1286</v>
      </c>
      <c r="C13" s="89">
        <v>1186</v>
      </c>
      <c r="D13" s="87">
        <v>51.7</v>
      </c>
      <c r="E13" s="88">
        <v>16</v>
      </c>
      <c r="F13" s="87">
        <v>40.299999999999997</v>
      </c>
      <c r="G13" s="17">
        <v>12</v>
      </c>
      <c r="H13" s="89">
        <v>230</v>
      </c>
      <c r="I13" s="90">
        <v>4900</v>
      </c>
      <c r="J13" s="90" t="s">
        <v>84</v>
      </c>
      <c r="K13" s="90">
        <v>5000</v>
      </c>
      <c r="L13" s="90" t="s">
        <v>69</v>
      </c>
      <c r="M13" s="91">
        <f>I13-K13</f>
        <v>-100</v>
      </c>
      <c r="N13" s="4">
        <f>IF(ISERROR(K13/I13),"",K13/I13)</f>
        <v>1.0204081632653061</v>
      </c>
      <c r="O13" s="92">
        <f>I13/E13</f>
        <v>306.25</v>
      </c>
      <c r="P13" s="92">
        <f>K13/E13</f>
        <v>312.5</v>
      </c>
      <c r="Q13" s="80">
        <v>1</v>
      </c>
      <c r="R13" s="80">
        <v>1</v>
      </c>
      <c r="S13" s="80" t="s">
        <v>76</v>
      </c>
      <c r="T13" s="5">
        <v>51</v>
      </c>
      <c r="U13" s="9"/>
      <c r="W13" s="87">
        <f>D13</f>
        <v>51.7</v>
      </c>
      <c r="X13" s="88">
        <f>E13</f>
        <v>16</v>
      </c>
      <c r="Y13" s="93">
        <f>H13</f>
        <v>230</v>
      </c>
      <c r="Z13" s="91">
        <f>I13</f>
        <v>4900</v>
      </c>
      <c r="AA13" s="91">
        <f>K13</f>
        <v>5000</v>
      </c>
      <c r="AB13" s="91">
        <f t="shared" ref="AB13:AD14" si="21">M13</f>
        <v>-100</v>
      </c>
      <c r="AC13" s="4">
        <f t="shared" si="21"/>
        <v>1.0204081632653061</v>
      </c>
      <c r="AD13" s="92">
        <f t="shared" si="21"/>
        <v>306.25</v>
      </c>
      <c r="AE13" s="80" t="str">
        <f>S13</f>
        <v>복</v>
      </c>
      <c r="AF13" s="80" t="str">
        <f>Q13&amp;"/"&amp;R13</f>
        <v>1/1</v>
      </c>
      <c r="AH13" s="20" t="str">
        <f t="shared" si="1"/>
        <v>세경</v>
      </c>
      <c r="AI13" s="88">
        <f t="shared" si="0"/>
        <v>16</v>
      </c>
      <c r="AJ13" s="80" t="str">
        <f>IF(AI13="","",$AJ$2)</f>
        <v>A-</v>
      </c>
      <c r="AK13" s="80" t="s">
        <v>14</v>
      </c>
      <c r="AL13" s="80" t="s">
        <v>63</v>
      </c>
      <c r="AM13" s="80" t="s">
        <v>64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후보</v>
      </c>
    </row>
    <row r="14" spans="1:48" x14ac:dyDescent="0.3">
      <c r="A14" s="9" t="s">
        <v>298</v>
      </c>
      <c r="B14" s="10" t="s">
        <v>1286</v>
      </c>
      <c r="C14" s="89">
        <v>1186</v>
      </c>
      <c r="D14" s="87">
        <v>69</v>
      </c>
      <c r="E14" s="88">
        <v>21</v>
      </c>
      <c r="F14" s="87">
        <v>53.8</v>
      </c>
      <c r="G14" s="17">
        <v>16</v>
      </c>
      <c r="H14" s="89">
        <v>941</v>
      </c>
      <c r="I14" s="90">
        <v>7000</v>
      </c>
      <c r="J14" s="90" t="s">
        <v>72</v>
      </c>
      <c r="K14" s="90">
        <v>6500</v>
      </c>
      <c r="L14" s="90" t="s">
        <v>72</v>
      </c>
      <c r="M14" s="91">
        <f>I14-K14</f>
        <v>500</v>
      </c>
      <c r="N14" s="4">
        <f>IF(ISERROR(K14/I14),"",K14/I14)</f>
        <v>0.9285714285714286</v>
      </c>
      <c r="O14" s="92">
        <f>I14/E14</f>
        <v>333.33333333333331</v>
      </c>
      <c r="P14" s="92">
        <f>K14/E14</f>
        <v>309.52380952380952</v>
      </c>
      <c r="Q14" s="80">
        <v>2</v>
      </c>
      <c r="R14" s="80">
        <v>1</v>
      </c>
      <c r="S14" s="80" t="s">
        <v>76</v>
      </c>
      <c r="T14" s="5">
        <v>68</v>
      </c>
      <c r="U14" s="9"/>
      <c r="W14" s="87">
        <f>D14</f>
        <v>69</v>
      </c>
      <c r="X14" s="88">
        <f>E14</f>
        <v>21</v>
      </c>
      <c r="Y14" s="93">
        <f>H14</f>
        <v>941</v>
      </c>
      <c r="Z14" s="91">
        <f>I14</f>
        <v>7000</v>
      </c>
      <c r="AA14" s="91">
        <f>K14</f>
        <v>6500</v>
      </c>
      <c r="AB14" s="91">
        <f t="shared" si="21"/>
        <v>500</v>
      </c>
      <c r="AC14" s="4">
        <f t="shared" si="21"/>
        <v>0.9285714285714286</v>
      </c>
      <c r="AD14" s="92">
        <f t="shared" si="21"/>
        <v>333.33333333333331</v>
      </c>
      <c r="AE14" s="80" t="str">
        <f>S14</f>
        <v>복</v>
      </c>
      <c r="AF14" s="80" t="str">
        <f>Q14&amp;"/"&amp;R14</f>
        <v>2/1</v>
      </c>
      <c r="AH14" s="20" t="str">
        <f t="shared" si="1"/>
        <v>세경</v>
      </c>
      <c r="AI14" s="88">
        <f t="shared" si="0"/>
        <v>21</v>
      </c>
      <c r="AJ14" s="80" t="str">
        <f>IF(AI14="","",$AJ$2)</f>
        <v>A-</v>
      </c>
      <c r="AK14" s="80" t="s">
        <v>14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>O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후보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7" t="str">
        <f>$A$4&amp;" "&amp;A16&amp;"("&amp;B16&amp;","&amp;C16&amp;"^)"</f>
        <v>나운동 수송코아루('09.03.,392^)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317</v>
      </c>
      <c r="B16" s="10" t="s">
        <v>1287</v>
      </c>
      <c r="C16" s="89">
        <v>392</v>
      </c>
      <c r="D16" s="87">
        <v>87.1</v>
      </c>
      <c r="E16" s="88">
        <v>26</v>
      </c>
      <c r="F16" s="87">
        <v>59.6</v>
      </c>
      <c r="G16" s="17">
        <v>18</v>
      </c>
      <c r="H16" s="89">
        <v>392</v>
      </c>
      <c r="I16" s="90">
        <v>19500</v>
      </c>
      <c r="J16" s="90" t="s">
        <v>68</v>
      </c>
      <c r="K16" s="90">
        <v>19000</v>
      </c>
      <c r="L16" s="90" t="s">
        <v>77</v>
      </c>
      <c r="M16" s="91">
        <f>I16-K16</f>
        <v>500</v>
      </c>
      <c r="N16" s="4">
        <f>IF(ISERROR(K16/I16),"",K16/I16)</f>
        <v>0.97435897435897434</v>
      </c>
      <c r="O16" s="92">
        <f>I16/E16</f>
        <v>750</v>
      </c>
      <c r="P16" s="92">
        <f>K16/E16</f>
        <v>730.76923076923072</v>
      </c>
      <c r="Q16" s="80">
        <v>3</v>
      </c>
      <c r="R16" s="80">
        <v>2</v>
      </c>
      <c r="S16" s="80" t="s">
        <v>61</v>
      </c>
      <c r="T16" s="5">
        <v>87</v>
      </c>
      <c r="U16" s="9"/>
      <c r="W16" s="87">
        <f>D16</f>
        <v>87.1</v>
      </c>
      <c r="X16" s="88">
        <f>E16</f>
        <v>26</v>
      </c>
      <c r="Y16" s="93">
        <f>H16</f>
        <v>392</v>
      </c>
      <c r="Z16" s="91">
        <f>I16</f>
        <v>19500</v>
      </c>
      <c r="AA16" s="91">
        <f>K16</f>
        <v>19000</v>
      </c>
      <c r="AB16" s="91">
        <f>M16</f>
        <v>500</v>
      </c>
      <c r="AC16" s="4">
        <f>N16</f>
        <v>0.97435897435897434</v>
      </c>
      <c r="AD16" s="92">
        <f>O16</f>
        <v>750</v>
      </c>
      <c r="AE16" s="80" t="str">
        <f>S16</f>
        <v>계</v>
      </c>
      <c r="AF16" s="80" t="str">
        <f>Q16&amp;"/"&amp;R16</f>
        <v>3/2</v>
      </c>
      <c r="AH16" s="20" t="str">
        <f t="shared" si="1"/>
        <v>수송코아루</v>
      </c>
      <c r="AI16" s="88">
        <f t="shared" si="0"/>
        <v>26</v>
      </c>
      <c r="AJ16" s="80" t="str">
        <f>IF(AI16="","",$AJ$2)</f>
        <v>A-</v>
      </c>
      <c r="AK16" s="80" t="s">
        <v>14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O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후보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7" t="str">
        <f>$A$4&amp;" "&amp;A18&amp;"("&amp;B18&amp;","&amp;C18&amp;"^)"</f>
        <v>나운동 금호타운2차('94.09.,336^)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329</v>
      </c>
      <c r="B18" s="10" t="s">
        <v>1288</v>
      </c>
      <c r="C18" s="89">
        <v>336</v>
      </c>
      <c r="D18" s="87">
        <v>83.8</v>
      </c>
      <c r="E18" s="88">
        <v>25</v>
      </c>
      <c r="F18" s="87">
        <v>59.9</v>
      </c>
      <c r="G18" s="17">
        <v>18</v>
      </c>
      <c r="H18" s="89">
        <v>120</v>
      </c>
      <c r="I18" s="90">
        <v>9300</v>
      </c>
      <c r="J18" s="90" t="s">
        <v>60</v>
      </c>
      <c r="K18" s="90"/>
      <c r="L18" s="90"/>
      <c r="M18" s="91">
        <f>I18-K18</f>
        <v>9300</v>
      </c>
      <c r="N18" s="4">
        <f>IF(ISERROR(K18/I18),"",K18/I18)</f>
        <v>0</v>
      </c>
      <c r="O18" s="92">
        <f>I18/E18</f>
        <v>372</v>
      </c>
      <c r="P18" s="92">
        <f>K18/E18</f>
        <v>0</v>
      </c>
      <c r="Q18" s="80">
        <v>2</v>
      </c>
      <c r="R18" s="80">
        <v>1</v>
      </c>
      <c r="S18" s="80" t="s">
        <v>61</v>
      </c>
      <c r="T18" s="5">
        <v>83</v>
      </c>
      <c r="U18" s="9"/>
      <c r="W18" s="87">
        <f t="shared" ref="W18:X20" si="22">D18</f>
        <v>83.8</v>
      </c>
      <c r="X18" s="88">
        <f t="shared" si="22"/>
        <v>25</v>
      </c>
      <c r="Y18" s="93">
        <f t="shared" ref="Y18:Z20" si="23">H18</f>
        <v>120</v>
      </c>
      <c r="Z18" s="91">
        <f t="shared" si="23"/>
        <v>9300</v>
      </c>
      <c r="AA18" s="91">
        <f>K18</f>
        <v>0</v>
      </c>
      <c r="AB18" s="91">
        <f t="shared" ref="AB18:AD20" si="24">M18</f>
        <v>9300</v>
      </c>
      <c r="AC18" s="4">
        <f t="shared" si="24"/>
        <v>0</v>
      </c>
      <c r="AD18" s="92">
        <f t="shared" si="24"/>
        <v>372</v>
      </c>
      <c r="AE18" s="80" t="str">
        <f>S18</f>
        <v>계</v>
      </c>
      <c r="AF18" s="80" t="str">
        <f>Q18&amp;"/"&amp;R18</f>
        <v>2/1</v>
      </c>
      <c r="AH18" s="20" t="str">
        <f t="shared" si="1"/>
        <v>금호타운2차</v>
      </c>
      <c r="AI18" s="88">
        <f t="shared" si="0"/>
        <v>25</v>
      </c>
      <c r="AJ18" s="80" t="str">
        <f>IF(AI18="","",$AJ$2)</f>
        <v>A-</v>
      </c>
      <c r="AK18" s="80" t="s">
        <v>14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329</v>
      </c>
      <c r="B19" s="10" t="s">
        <v>1288</v>
      </c>
      <c r="C19" s="89">
        <v>336</v>
      </c>
      <c r="D19" s="87">
        <v>103</v>
      </c>
      <c r="E19" s="88">
        <v>31</v>
      </c>
      <c r="F19" s="87">
        <v>84.8</v>
      </c>
      <c r="G19" s="17">
        <v>26</v>
      </c>
      <c r="H19" s="89">
        <v>120</v>
      </c>
      <c r="I19" s="90">
        <v>17300</v>
      </c>
      <c r="J19" s="90" t="s">
        <v>70</v>
      </c>
      <c r="K19" s="90"/>
      <c r="L19" s="90"/>
      <c r="M19" s="91">
        <f>I19-K19</f>
        <v>17300</v>
      </c>
      <c r="N19" s="4">
        <f>IF(ISERROR(K19/I19),"",K19/I19)</f>
        <v>0</v>
      </c>
      <c r="O19" s="92">
        <f>I19/E19</f>
        <v>558.06451612903231</v>
      </c>
      <c r="P19" s="92">
        <f>K19/E19</f>
        <v>0</v>
      </c>
      <c r="Q19" s="80">
        <v>3</v>
      </c>
      <c r="R19" s="80">
        <v>2</v>
      </c>
      <c r="S19" s="80" t="s">
        <v>61</v>
      </c>
      <c r="T19" s="5">
        <v>103</v>
      </c>
      <c r="U19" s="9"/>
      <c r="W19" s="87">
        <f t="shared" si="22"/>
        <v>103</v>
      </c>
      <c r="X19" s="88">
        <f t="shared" si="22"/>
        <v>31</v>
      </c>
      <c r="Y19" s="93">
        <f t="shared" si="23"/>
        <v>120</v>
      </c>
      <c r="Z19" s="91">
        <f t="shared" si="23"/>
        <v>17300</v>
      </c>
      <c r="AA19" s="91">
        <f>K19</f>
        <v>0</v>
      </c>
      <c r="AB19" s="91">
        <f t="shared" si="24"/>
        <v>17300</v>
      </c>
      <c r="AC19" s="4">
        <f t="shared" si="24"/>
        <v>0</v>
      </c>
      <c r="AD19" s="92">
        <f t="shared" si="24"/>
        <v>558.06451612903231</v>
      </c>
      <c r="AE19" s="80" t="str">
        <f>S19</f>
        <v>계</v>
      </c>
      <c r="AF19" s="80" t="str">
        <f>Q19&amp;"/"&amp;R19</f>
        <v>3/2</v>
      </c>
      <c r="AH19" s="20" t="str">
        <f t="shared" si="1"/>
        <v>금호타운2차</v>
      </c>
      <c r="AI19" s="88">
        <f t="shared" si="0"/>
        <v>31</v>
      </c>
      <c r="AJ19" s="80" t="str">
        <f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329</v>
      </c>
      <c r="B20" s="10" t="s">
        <v>1288</v>
      </c>
      <c r="C20" s="89">
        <v>336</v>
      </c>
      <c r="D20" s="87">
        <v>148.80000000000001</v>
      </c>
      <c r="E20" s="88">
        <v>45</v>
      </c>
      <c r="F20" s="87">
        <v>126.6</v>
      </c>
      <c r="G20" s="17">
        <v>38</v>
      </c>
      <c r="H20" s="89">
        <v>96</v>
      </c>
      <c r="I20" s="90"/>
      <c r="J20" s="90"/>
      <c r="K20" s="90"/>
      <c r="L20" s="90"/>
      <c r="M20" s="91">
        <f>I20-K20</f>
        <v>0</v>
      </c>
      <c r="N20" s="4" t="str">
        <f>IF(ISERROR(K20/I20),"",K20/I20)</f>
        <v/>
      </c>
      <c r="O20" s="92">
        <f>I20/E20</f>
        <v>0</v>
      </c>
      <c r="P20" s="92">
        <f>K20/E20</f>
        <v>0</v>
      </c>
      <c r="Q20" s="80">
        <v>4</v>
      </c>
      <c r="R20" s="80">
        <v>2</v>
      </c>
      <c r="S20" s="80" t="s">
        <v>61</v>
      </c>
      <c r="T20" s="5">
        <v>148</v>
      </c>
      <c r="U20" s="9"/>
      <c r="W20" s="87">
        <f t="shared" si="22"/>
        <v>148.80000000000001</v>
      </c>
      <c r="X20" s="88">
        <f t="shared" si="22"/>
        <v>45</v>
      </c>
      <c r="Y20" s="93">
        <f t="shared" si="23"/>
        <v>96</v>
      </c>
      <c r="Z20" s="91">
        <f t="shared" si="23"/>
        <v>0</v>
      </c>
      <c r="AA20" s="91">
        <f>K20</f>
        <v>0</v>
      </c>
      <c r="AB20" s="91">
        <f t="shared" si="24"/>
        <v>0</v>
      </c>
      <c r="AC20" s="4" t="str">
        <f t="shared" si="24"/>
        <v/>
      </c>
      <c r="AD20" s="92">
        <f t="shared" si="24"/>
        <v>0</v>
      </c>
      <c r="AE20" s="80" t="str">
        <f>S20</f>
        <v>계</v>
      </c>
      <c r="AF20" s="80" t="str">
        <f>Q20&amp;"/"&amp;R20</f>
        <v>4/2</v>
      </c>
      <c r="AH20" s="20" t="str">
        <f t="shared" si="1"/>
        <v>금호타운2차</v>
      </c>
      <c r="AI20" s="88">
        <f t="shared" si="0"/>
        <v>45</v>
      </c>
      <c r="AJ20" s="80" t="str">
        <f>IF(AI20="","",$AJ$2)</f>
        <v>A-</v>
      </c>
      <c r="AK20" s="80" t="s">
        <v>14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/>
      </c>
      <c r="AP20" s="80" t="str">
        <f>IF(I20="","",IF(I20&lt;=$AP$1,"O","X"))</f>
        <v/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X</v>
      </c>
      <c r="AU20" s="80" t="str">
        <f>IF(C20="","",IF(C20&gt;=$AU$1,"O","X"))</f>
        <v>O</v>
      </c>
      <c r="AV20" s="80" t="str">
        <f>IF(AO20="","",IF(AND(AO20="O",AP20="O",AR20="O",AT20="O",AU20="O"),"후보","X"))</f>
        <v/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7" t="str">
        <f>$A$4&amp;" "&amp;A22&amp;"("&amp;B22&amp;","&amp;C22&amp;"^)"</f>
        <v>나운동 나운현대2차('93.10.,899^)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339</v>
      </c>
      <c r="B22" s="10" t="s">
        <v>1289</v>
      </c>
      <c r="C22" s="89">
        <v>899</v>
      </c>
      <c r="D22" s="87">
        <v>74.2</v>
      </c>
      <c r="E22" s="88">
        <v>22</v>
      </c>
      <c r="F22" s="87">
        <v>59.4</v>
      </c>
      <c r="G22" s="17">
        <v>18</v>
      </c>
      <c r="H22" s="89">
        <v>344</v>
      </c>
      <c r="I22" s="90">
        <v>9000</v>
      </c>
      <c r="J22" s="90" t="s">
        <v>71</v>
      </c>
      <c r="K22" s="90">
        <v>8000</v>
      </c>
      <c r="L22" s="90" t="s">
        <v>81</v>
      </c>
      <c r="M22" s="91">
        <f>I22-K22</f>
        <v>1000</v>
      </c>
      <c r="N22" s="4">
        <f>IF(ISERROR(K22/I22),"",K22/I22)</f>
        <v>0.88888888888888884</v>
      </c>
      <c r="O22" s="92">
        <f>I22/E22</f>
        <v>409.09090909090907</v>
      </c>
      <c r="P22" s="92">
        <f>K22/E22</f>
        <v>363.63636363636363</v>
      </c>
      <c r="Q22" s="80">
        <v>3</v>
      </c>
      <c r="R22" s="80">
        <v>1</v>
      </c>
      <c r="S22" s="80" t="s">
        <v>61</v>
      </c>
      <c r="T22" s="5">
        <v>74</v>
      </c>
      <c r="U22" s="9"/>
      <c r="W22" s="87">
        <f t="shared" ref="W22:X25" si="25">D22</f>
        <v>74.2</v>
      </c>
      <c r="X22" s="88">
        <f t="shared" si="25"/>
        <v>22</v>
      </c>
      <c r="Y22" s="93">
        <f t="shared" ref="Y22:Z25" si="26">H22</f>
        <v>344</v>
      </c>
      <c r="Z22" s="91">
        <f t="shared" si="26"/>
        <v>9000</v>
      </c>
      <c r="AA22" s="91">
        <f>K22</f>
        <v>8000</v>
      </c>
      <c r="AB22" s="91">
        <f t="shared" ref="AB22:AD25" si="27">M22</f>
        <v>1000</v>
      </c>
      <c r="AC22" s="4">
        <f t="shared" si="27"/>
        <v>0.88888888888888884</v>
      </c>
      <c r="AD22" s="92">
        <f t="shared" si="27"/>
        <v>409.09090909090907</v>
      </c>
      <c r="AE22" s="80" t="str">
        <f>S22</f>
        <v>계</v>
      </c>
      <c r="AF22" s="80" t="str">
        <f>Q22&amp;"/"&amp;R22</f>
        <v>3/1</v>
      </c>
      <c r="AH22" s="20" t="str">
        <f t="shared" si="1"/>
        <v>나운현대2차</v>
      </c>
      <c r="AI22" s="88">
        <f t="shared" si="0"/>
        <v>22</v>
      </c>
      <c r="AJ22" s="80" t="str">
        <f>IF(AI22="","",$AJ$2)</f>
        <v>A-</v>
      </c>
      <c r="AK22" s="80" t="s">
        <v>14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O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후보</v>
      </c>
    </row>
    <row r="23" spans="1:48" x14ac:dyDescent="0.3">
      <c r="A23" s="9" t="s">
        <v>339</v>
      </c>
      <c r="B23" s="10" t="s">
        <v>1289</v>
      </c>
      <c r="C23" s="89">
        <v>899</v>
      </c>
      <c r="D23" s="87">
        <v>94.1</v>
      </c>
      <c r="E23" s="88">
        <v>28</v>
      </c>
      <c r="F23" s="87">
        <v>75.3</v>
      </c>
      <c r="G23" s="17">
        <v>23</v>
      </c>
      <c r="H23" s="89">
        <v>119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61</v>
      </c>
      <c r="T23" s="5">
        <v>94</v>
      </c>
      <c r="U23" s="9"/>
      <c r="W23" s="87">
        <f t="shared" si="25"/>
        <v>94.1</v>
      </c>
      <c r="X23" s="88">
        <f t="shared" si="25"/>
        <v>28</v>
      </c>
      <c r="Y23" s="93">
        <f t="shared" si="26"/>
        <v>119</v>
      </c>
      <c r="Z23" s="91">
        <f t="shared" si="26"/>
        <v>0</v>
      </c>
      <c r="AA23" s="91">
        <f>K23</f>
        <v>0</v>
      </c>
      <c r="AB23" s="91">
        <f t="shared" si="27"/>
        <v>0</v>
      </c>
      <c r="AC23" s="4" t="str">
        <f t="shared" si="27"/>
        <v/>
      </c>
      <c r="AD23" s="92">
        <f t="shared" si="27"/>
        <v>0</v>
      </c>
      <c r="AE23" s="80" t="str">
        <f>S23</f>
        <v>계</v>
      </c>
      <c r="AF23" s="80" t="str">
        <f>Q23&amp;"/"&amp;R23</f>
        <v>3/1</v>
      </c>
      <c r="AH23" s="20" t="str">
        <f t="shared" si="1"/>
        <v>나운현대2차</v>
      </c>
      <c r="AI23" s="88">
        <f t="shared" si="0"/>
        <v>28</v>
      </c>
      <c r="AJ23" s="80" t="str">
        <f>IF(AI23="","",$AJ$2)</f>
        <v>A-</v>
      </c>
      <c r="AK23" s="80" t="s">
        <v>14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339</v>
      </c>
      <c r="B24" s="10" t="s">
        <v>1289</v>
      </c>
      <c r="C24" s="89">
        <v>899</v>
      </c>
      <c r="D24" s="87">
        <v>105.9</v>
      </c>
      <c r="E24" s="88">
        <v>32</v>
      </c>
      <c r="F24" s="87">
        <v>84.7</v>
      </c>
      <c r="G24" s="17">
        <v>26</v>
      </c>
      <c r="H24" s="89">
        <v>377</v>
      </c>
      <c r="I24" s="90">
        <v>13200</v>
      </c>
      <c r="J24" s="90" t="s">
        <v>69</v>
      </c>
      <c r="K24" s="90">
        <v>12000</v>
      </c>
      <c r="L24" s="90" t="s">
        <v>67</v>
      </c>
      <c r="M24" s="91">
        <f>I24-K24</f>
        <v>1200</v>
      </c>
      <c r="N24" s="4">
        <f>IF(ISERROR(K24/I24),"",K24/I24)</f>
        <v>0.90909090909090906</v>
      </c>
      <c r="O24" s="92">
        <f>I24/E24</f>
        <v>412.5</v>
      </c>
      <c r="P24" s="92">
        <f>K24/E24</f>
        <v>375</v>
      </c>
      <c r="Q24" s="80">
        <v>3</v>
      </c>
      <c r="R24" s="80">
        <v>2</v>
      </c>
      <c r="S24" s="80" t="s">
        <v>61</v>
      </c>
      <c r="T24" s="5">
        <v>105</v>
      </c>
      <c r="U24" s="9"/>
      <c r="W24" s="87">
        <f t="shared" si="25"/>
        <v>105.9</v>
      </c>
      <c r="X24" s="88">
        <f t="shared" si="25"/>
        <v>32</v>
      </c>
      <c r="Y24" s="93">
        <f t="shared" si="26"/>
        <v>377</v>
      </c>
      <c r="Z24" s="91">
        <f t="shared" si="26"/>
        <v>13200</v>
      </c>
      <c r="AA24" s="91">
        <f>K24</f>
        <v>12000</v>
      </c>
      <c r="AB24" s="91">
        <f t="shared" si="27"/>
        <v>1200</v>
      </c>
      <c r="AC24" s="4">
        <f t="shared" si="27"/>
        <v>0.90909090909090906</v>
      </c>
      <c r="AD24" s="92">
        <f t="shared" si="27"/>
        <v>412.5</v>
      </c>
      <c r="AE24" s="80" t="str">
        <f>S24</f>
        <v>계</v>
      </c>
      <c r="AF24" s="80" t="str">
        <f>Q24&amp;"/"&amp;R24</f>
        <v>3/2</v>
      </c>
      <c r="AH24" s="20" t="str">
        <f t="shared" si="1"/>
        <v>나운현대2차</v>
      </c>
      <c r="AI24" s="88">
        <f t="shared" si="0"/>
        <v>32</v>
      </c>
      <c r="AJ24" s="80" t="str">
        <f>IF(AI24="","",$AJ$2)</f>
        <v>A-</v>
      </c>
      <c r="AK24" s="80" t="s">
        <v>14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>O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후보</v>
      </c>
    </row>
    <row r="25" spans="1:48" x14ac:dyDescent="0.3">
      <c r="A25" s="9" t="s">
        <v>339</v>
      </c>
      <c r="B25" s="10" t="s">
        <v>1289</v>
      </c>
      <c r="C25" s="89">
        <v>899</v>
      </c>
      <c r="D25" s="87">
        <v>168.1</v>
      </c>
      <c r="E25" s="88">
        <v>51</v>
      </c>
      <c r="F25" s="87">
        <v>134.6</v>
      </c>
      <c r="G25" s="17">
        <v>41</v>
      </c>
      <c r="H25" s="89">
        <v>59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4</v>
      </c>
      <c r="R25" s="80">
        <v>2</v>
      </c>
      <c r="S25" s="80" t="s">
        <v>61</v>
      </c>
      <c r="T25" s="5">
        <v>168</v>
      </c>
      <c r="U25" s="9"/>
      <c r="W25" s="87">
        <f t="shared" si="25"/>
        <v>168.1</v>
      </c>
      <c r="X25" s="88">
        <f t="shared" si="25"/>
        <v>51</v>
      </c>
      <c r="Y25" s="93">
        <f t="shared" si="26"/>
        <v>59</v>
      </c>
      <c r="Z25" s="91">
        <f t="shared" si="26"/>
        <v>0</v>
      </c>
      <c r="AA25" s="91">
        <f>K25</f>
        <v>0</v>
      </c>
      <c r="AB25" s="91">
        <f t="shared" si="27"/>
        <v>0</v>
      </c>
      <c r="AC25" s="4" t="str">
        <f t="shared" si="27"/>
        <v/>
      </c>
      <c r="AD25" s="92">
        <f t="shared" si="27"/>
        <v>0</v>
      </c>
      <c r="AE25" s="80" t="str">
        <f>S25</f>
        <v>계</v>
      </c>
      <c r="AF25" s="80" t="str">
        <f>Q25&amp;"/"&amp;R25</f>
        <v>4/2</v>
      </c>
      <c r="AH25" s="20" t="str">
        <f t="shared" si="1"/>
        <v>나운현대2차</v>
      </c>
      <c r="AI25" s="88">
        <f t="shared" si="0"/>
        <v>51</v>
      </c>
      <c r="AJ25" s="80" t="str">
        <f>IF(AI25="","",$AJ$2)</f>
        <v>A-</v>
      </c>
      <c r="AK25" s="80" t="s">
        <v>14</v>
      </c>
      <c r="AL25" s="80" t="s">
        <v>63</v>
      </c>
      <c r="AM25" s="80" t="s">
        <v>64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/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7" t="str">
        <f>$A$4&amp;" "&amp;A27&amp;"("&amp;B27&amp;","&amp;C27&amp;"^)"</f>
        <v>나운동 현대1차('90.04.,498^)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344</v>
      </c>
      <c r="B27" s="10" t="s">
        <v>1290</v>
      </c>
      <c r="C27" s="89">
        <v>498</v>
      </c>
      <c r="D27" s="87">
        <v>89.5</v>
      </c>
      <c r="E27" s="88">
        <v>27</v>
      </c>
      <c r="F27" s="87">
        <v>72.2</v>
      </c>
      <c r="G27" s="17">
        <v>22</v>
      </c>
      <c r="H27" s="89">
        <v>112</v>
      </c>
      <c r="I27" s="90"/>
      <c r="J27" s="90"/>
      <c r="K27" s="90">
        <v>10500</v>
      </c>
      <c r="L27" s="90" t="s">
        <v>65</v>
      </c>
      <c r="M27" s="91">
        <f>I27-K27</f>
        <v>-10500</v>
      </c>
      <c r="N27" s="4" t="str">
        <f>IF(ISERROR(K27/I27),"",K27/I27)</f>
        <v/>
      </c>
      <c r="O27" s="92">
        <f>I27/E27</f>
        <v>0</v>
      </c>
      <c r="P27" s="92">
        <f>K27/E27</f>
        <v>388.88888888888891</v>
      </c>
      <c r="Q27" s="80">
        <v>3</v>
      </c>
      <c r="R27" s="80">
        <v>1</v>
      </c>
      <c r="S27" s="80" t="s">
        <v>61</v>
      </c>
      <c r="T27" s="5">
        <v>89</v>
      </c>
      <c r="U27" s="9"/>
      <c r="W27" s="87">
        <f t="shared" ref="W27:X29" si="28">D27</f>
        <v>89.5</v>
      </c>
      <c r="X27" s="88">
        <f t="shared" si="28"/>
        <v>27</v>
      </c>
      <c r="Y27" s="93">
        <f t="shared" ref="Y27:Z29" si="29">H27</f>
        <v>112</v>
      </c>
      <c r="Z27" s="91">
        <f t="shared" si="29"/>
        <v>0</v>
      </c>
      <c r="AA27" s="91">
        <f>K27</f>
        <v>10500</v>
      </c>
      <c r="AB27" s="91">
        <f t="shared" ref="AB27:AD29" si="30">M27</f>
        <v>-10500</v>
      </c>
      <c r="AC27" s="4" t="str">
        <f t="shared" si="30"/>
        <v/>
      </c>
      <c r="AD27" s="92">
        <f t="shared" si="30"/>
        <v>0</v>
      </c>
      <c r="AE27" s="80" t="str">
        <f>S27</f>
        <v>계</v>
      </c>
      <c r="AF27" s="80" t="str">
        <f>Q27&amp;"/"&amp;R27</f>
        <v>3/1</v>
      </c>
      <c r="AH27" s="20" t="str">
        <f t="shared" si="1"/>
        <v>현대1차</v>
      </c>
      <c r="AI27" s="88">
        <f t="shared" si="0"/>
        <v>27</v>
      </c>
      <c r="AJ27" s="80" t="str">
        <f>IF(AI27="","",$AJ$2)</f>
        <v>A-</v>
      </c>
      <c r="AK27" s="80" t="s">
        <v>14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x14ac:dyDescent="0.3">
      <c r="A28" s="9" t="s">
        <v>344</v>
      </c>
      <c r="B28" s="10" t="s">
        <v>1290</v>
      </c>
      <c r="C28" s="89">
        <v>498</v>
      </c>
      <c r="D28" s="87">
        <v>104.1</v>
      </c>
      <c r="E28" s="88">
        <v>31</v>
      </c>
      <c r="F28" s="87">
        <v>84.7</v>
      </c>
      <c r="G28" s="17">
        <v>26</v>
      </c>
      <c r="H28" s="89">
        <v>330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3</v>
      </c>
      <c r="R28" s="80">
        <v>1</v>
      </c>
      <c r="S28" s="80" t="s">
        <v>61</v>
      </c>
      <c r="T28" s="5">
        <v>104</v>
      </c>
      <c r="U28" s="9"/>
      <c r="W28" s="87">
        <f t="shared" si="28"/>
        <v>104.1</v>
      </c>
      <c r="X28" s="88">
        <f t="shared" si="28"/>
        <v>31</v>
      </c>
      <c r="Y28" s="93">
        <f t="shared" si="29"/>
        <v>330</v>
      </c>
      <c r="Z28" s="91">
        <f t="shared" si="29"/>
        <v>0</v>
      </c>
      <c r="AA28" s="91">
        <f>K28</f>
        <v>0</v>
      </c>
      <c r="AB28" s="91">
        <f t="shared" si="30"/>
        <v>0</v>
      </c>
      <c r="AC28" s="4" t="str">
        <f t="shared" si="30"/>
        <v/>
      </c>
      <c r="AD28" s="92">
        <f t="shared" si="30"/>
        <v>0</v>
      </c>
      <c r="AE28" s="80" t="str">
        <f>S28</f>
        <v>계</v>
      </c>
      <c r="AF28" s="80" t="str">
        <f>Q28&amp;"/"&amp;R28</f>
        <v>3/1</v>
      </c>
      <c r="AH28" s="20" t="str">
        <f t="shared" si="1"/>
        <v>현대1차</v>
      </c>
      <c r="AI28" s="88">
        <f t="shared" si="0"/>
        <v>31</v>
      </c>
      <c r="AJ28" s="80" t="str">
        <f>IF(AI28="","",$AJ$2)</f>
        <v>A-</v>
      </c>
      <c r="AK28" s="80" t="s">
        <v>14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 t="s">
        <v>344</v>
      </c>
      <c r="B29" s="10" t="s">
        <v>1290</v>
      </c>
      <c r="C29" s="89">
        <v>498</v>
      </c>
      <c r="D29" s="87">
        <v>149.30000000000001</v>
      </c>
      <c r="E29" s="88">
        <v>45</v>
      </c>
      <c r="F29" s="87">
        <v>126.2</v>
      </c>
      <c r="G29" s="17">
        <v>38</v>
      </c>
      <c r="H29" s="89">
        <v>56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4</v>
      </c>
      <c r="R29" s="80">
        <v>2</v>
      </c>
      <c r="S29" s="80" t="s">
        <v>61</v>
      </c>
      <c r="T29" s="5">
        <v>149</v>
      </c>
      <c r="U29" s="9"/>
      <c r="W29" s="87">
        <f t="shared" si="28"/>
        <v>149.30000000000001</v>
      </c>
      <c r="X29" s="88">
        <f t="shared" si="28"/>
        <v>45</v>
      </c>
      <c r="Y29" s="93">
        <f t="shared" si="29"/>
        <v>56</v>
      </c>
      <c r="Z29" s="91">
        <f t="shared" si="29"/>
        <v>0</v>
      </c>
      <c r="AA29" s="91">
        <f>K29</f>
        <v>0</v>
      </c>
      <c r="AB29" s="91">
        <f t="shared" si="30"/>
        <v>0</v>
      </c>
      <c r="AC29" s="4" t="str">
        <f t="shared" si="30"/>
        <v/>
      </c>
      <c r="AD29" s="92">
        <f t="shared" si="30"/>
        <v>0</v>
      </c>
      <c r="AE29" s="80" t="str">
        <f>S29</f>
        <v>계</v>
      </c>
      <c r="AF29" s="80" t="str">
        <f>Q29&amp;"/"&amp;R29</f>
        <v>4/2</v>
      </c>
      <c r="AH29" s="20" t="str">
        <f t="shared" si="1"/>
        <v>현대1차</v>
      </c>
      <c r="AI29" s="88">
        <f t="shared" si="0"/>
        <v>45</v>
      </c>
      <c r="AJ29" s="80" t="str">
        <f>IF(AI29="","",$AJ$2)</f>
        <v>A-</v>
      </c>
      <c r="AK29" s="80" t="s">
        <v>14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O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나운동 나운청솔('02.12.,495^)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353</v>
      </c>
      <c r="B31" s="10" t="s">
        <v>1286</v>
      </c>
      <c r="C31" s="89">
        <v>495</v>
      </c>
      <c r="D31" s="87">
        <v>63.7</v>
      </c>
      <c r="E31" s="88">
        <v>19</v>
      </c>
      <c r="F31" s="87">
        <v>49.7</v>
      </c>
      <c r="G31" s="17">
        <v>15</v>
      </c>
      <c r="H31" s="89">
        <v>495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61</v>
      </c>
      <c r="T31" s="5">
        <v>63</v>
      </c>
      <c r="U31" s="9"/>
      <c r="W31" s="87">
        <f>D31</f>
        <v>63.7</v>
      </c>
      <c r="X31" s="88">
        <f>E31</f>
        <v>19</v>
      </c>
      <c r="Y31" s="93">
        <f>H31</f>
        <v>495</v>
      </c>
      <c r="Z31" s="91">
        <f>I31</f>
        <v>0</v>
      </c>
      <c r="AA31" s="91">
        <f>K31</f>
        <v>0</v>
      </c>
      <c r="AB31" s="91">
        <f>M31</f>
        <v>0</v>
      </c>
      <c r="AC31" s="4" t="str">
        <f>N31</f>
        <v/>
      </c>
      <c r="AD31" s="92">
        <f>O31</f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나운청솔</v>
      </c>
      <c r="AI31" s="88">
        <f t="shared" si="0"/>
        <v>19</v>
      </c>
      <c r="AJ31" s="80" t="str">
        <f>IF(AI31="","",$AJ$2)</f>
        <v>A-</v>
      </c>
      <c r="AK31" s="80" t="s">
        <v>14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x14ac:dyDescent="0.3">
      <c r="A32" s="9"/>
      <c r="B32" s="80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7" t="str">
        <f>$A$4&amp;" "&amp;A33&amp;"("&amp;B33&amp;","&amp;C33&amp;"^)"</f>
        <v>나운동 신일('95.12.,600^)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12" t="str">
        <f t="shared" si="0"/>
        <v/>
      </c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</row>
    <row r="33" spans="1:48" x14ac:dyDescent="0.3">
      <c r="A33" s="9" t="s">
        <v>357</v>
      </c>
      <c r="B33" s="10" t="s">
        <v>1291</v>
      </c>
      <c r="C33" s="89">
        <v>600</v>
      </c>
      <c r="D33" s="87">
        <v>75.099999999999994</v>
      </c>
      <c r="E33" s="88">
        <v>23</v>
      </c>
      <c r="F33" s="87">
        <v>59.9</v>
      </c>
      <c r="G33" s="17">
        <v>18</v>
      </c>
      <c r="H33" s="89">
        <v>600</v>
      </c>
      <c r="I33" s="90">
        <v>12000</v>
      </c>
      <c r="J33" s="90" t="s">
        <v>67</v>
      </c>
      <c r="K33" s="90">
        <v>10500</v>
      </c>
      <c r="L33" s="90" t="s">
        <v>68</v>
      </c>
      <c r="M33" s="91">
        <f>I33-K33</f>
        <v>1500</v>
      </c>
      <c r="N33" s="4">
        <f>IF(ISERROR(K33/I33),"",K33/I33)</f>
        <v>0.875</v>
      </c>
      <c r="O33" s="92">
        <f>I33/E33</f>
        <v>521.73913043478262</v>
      </c>
      <c r="P33" s="92">
        <f>K33/E33</f>
        <v>456.52173913043481</v>
      </c>
      <c r="Q33" s="80">
        <v>3</v>
      </c>
      <c r="R33" s="80">
        <v>1</v>
      </c>
      <c r="S33" s="80" t="s">
        <v>61</v>
      </c>
      <c r="T33" s="5">
        <v>75</v>
      </c>
      <c r="U33" s="9"/>
      <c r="W33" s="87">
        <f>D33</f>
        <v>75.099999999999994</v>
      </c>
      <c r="X33" s="88">
        <f>E33</f>
        <v>23</v>
      </c>
      <c r="Y33" s="93">
        <f>H33</f>
        <v>600</v>
      </c>
      <c r="Z33" s="91">
        <f>I33</f>
        <v>12000</v>
      </c>
      <c r="AA33" s="91">
        <f>K33</f>
        <v>10500</v>
      </c>
      <c r="AB33" s="91">
        <f>M33</f>
        <v>1500</v>
      </c>
      <c r="AC33" s="4">
        <f>N33</f>
        <v>0.875</v>
      </c>
      <c r="AD33" s="92">
        <f>O33</f>
        <v>521.73913043478262</v>
      </c>
      <c r="AE33" s="80" t="str">
        <f>S33</f>
        <v>계</v>
      </c>
      <c r="AF33" s="80" t="str">
        <f>Q33&amp;"/"&amp;R33</f>
        <v>3/1</v>
      </c>
      <c r="AH33" s="20" t="str">
        <f t="shared" si="1"/>
        <v>신일</v>
      </c>
      <c r="AI33" s="88">
        <f t="shared" si="0"/>
        <v>23</v>
      </c>
      <c r="AJ33" s="80" t="str">
        <f>IF(AI33="","",$AJ$2)</f>
        <v>A-</v>
      </c>
      <c r="AK33" s="80" t="s">
        <v>14</v>
      </c>
      <c r="AL33" s="80" t="s">
        <v>63</v>
      </c>
      <c r="AM33" s="80" t="s">
        <v>64</v>
      </c>
      <c r="AN33" s="80" t="str">
        <f>IF(AI33="","",$AN$2)</f>
        <v>C</v>
      </c>
      <c r="AO33" s="80" t="str">
        <f>IF(N33="","",IF(N33&gt;=$AO$1/100,"O","X"))</f>
        <v>O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후보</v>
      </c>
    </row>
    <row r="34" spans="1:48" x14ac:dyDescent="0.3">
      <c r="A34" s="9"/>
      <c r="B34" s="80"/>
      <c r="C34" s="6"/>
      <c r="D34" s="9"/>
      <c r="E34" s="14"/>
      <c r="F34" s="87"/>
      <c r="G34" s="9"/>
      <c r="H34" s="9"/>
      <c r="I34" s="9"/>
      <c r="J34" s="9"/>
      <c r="K34" s="9"/>
      <c r="L34" s="9"/>
      <c r="M34" s="9"/>
      <c r="N34" s="9"/>
      <c r="O34" s="92"/>
      <c r="P34" s="92"/>
      <c r="Q34" s="88"/>
      <c r="R34" s="88"/>
      <c r="S34" s="9"/>
      <c r="T34" s="47"/>
      <c r="U34" s="9"/>
      <c r="W34" s="67" t="str">
        <f>$A$4&amp;" "&amp;A35&amp;"("&amp;B35&amp;","&amp;C35&amp;"^)"</f>
        <v>나운동 롯데4차('96.04.,210^)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2" t="str">
        <f t="shared" si="0"/>
        <v/>
      </c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</row>
    <row r="35" spans="1:48" x14ac:dyDescent="0.3">
      <c r="A35" s="9" t="s">
        <v>372</v>
      </c>
      <c r="B35" s="10" t="s">
        <v>1292</v>
      </c>
      <c r="C35" s="89">
        <v>210</v>
      </c>
      <c r="D35" s="87">
        <v>122.5</v>
      </c>
      <c r="E35" s="88">
        <v>37</v>
      </c>
      <c r="F35" s="87">
        <v>99.9</v>
      </c>
      <c r="G35" s="17">
        <v>30</v>
      </c>
      <c r="H35" s="89">
        <v>90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4</v>
      </c>
      <c r="R35" s="80">
        <v>2</v>
      </c>
      <c r="S35" s="80" t="s">
        <v>61</v>
      </c>
      <c r="T35" s="5">
        <v>122</v>
      </c>
      <c r="U35" s="9"/>
      <c r="W35" s="87">
        <f t="shared" ref="W35:X37" si="31">D35</f>
        <v>122.5</v>
      </c>
      <c r="X35" s="88">
        <f t="shared" si="31"/>
        <v>37</v>
      </c>
      <c r="Y35" s="93">
        <f t="shared" ref="Y35:Z37" si="32">H35</f>
        <v>90</v>
      </c>
      <c r="Z35" s="91">
        <f t="shared" si="32"/>
        <v>0</v>
      </c>
      <c r="AA35" s="91">
        <f>K35</f>
        <v>0</v>
      </c>
      <c r="AB35" s="91">
        <f t="shared" ref="AB35:AD37" si="33">M35</f>
        <v>0</v>
      </c>
      <c r="AC35" s="4" t="str">
        <f t="shared" si="33"/>
        <v/>
      </c>
      <c r="AD35" s="92">
        <f t="shared" si="33"/>
        <v>0</v>
      </c>
      <c r="AE35" s="80" t="str">
        <f>S35</f>
        <v>계</v>
      </c>
      <c r="AF35" s="80" t="str">
        <f>Q35&amp;"/"&amp;R35</f>
        <v>4/2</v>
      </c>
      <c r="AH35" s="20" t="str">
        <f t="shared" si="1"/>
        <v>롯데4차</v>
      </c>
      <c r="AI35" s="88">
        <f t="shared" ref="AI35:AI66" si="34">IF(E35="","",E35)</f>
        <v>37</v>
      </c>
      <c r="AJ35" s="80" t="str">
        <f>IF(AI35="","",$AJ$2)</f>
        <v>A-</v>
      </c>
      <c r="AK35" s="80" t="s">
        <v>14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X</v>
      </c>
      <c r="AU35" s="80" t="str">
        <f>IF(C35="","",IF(C35&gt;=$AU$1,"O","X"))</f>
        <v>X</v>
      </c>
      <c r="AV35" s="80" t="str">
        <f>IF(AO35="","",IF(AND(AO35="O",AP35="O",AR35="O",AT35="O",AU35="O"),"후보","X"))</f>
        <v/>
      </c>
    </row>
    <row r="36" spans="1:48" x14ac:dyDescent="0.3">
      <c r="A36" s="9" t="s">
        <v>372</v>
      </c>
      <c r="B36" s="10" t="s">
        <v>1292</v>
      </c>
      <c r="C36" s="89">
        <v>210</v>
      </c>
      <c r="D36" s="87">
        <v>160</v>
      </c>
      <c r="E36" s="88">
        <v>48</v>
      </c>
      <c r="F36" s="87">
        <v>134.9</v>
      </c>
      <c r="G36" s="17">
        <v>41</v>
      </c>
      <c r="H36" s="89">
        <v>90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4</v>
      </c>
      <c r="R36" s="80">
        <v>2</v>
      </c>
      <c r="S36" s="80" t="s">
        <v>61</v>
      </c>
      <c r="T36" s="5">
        <v>160</v>
      </c>
      <c r="U36" s="9"/>
      <c r="W36" s="87">
        <f t="shared" si="31"/>
        <v>160</v>
      </c>
      <c r="X36" s="88">
        <f t="shared" si="31"/>
        <v>48</v>
      </c>
      <c r="Y36" s="93">
        <f t="shared" si="32"/>
        <v>90</v>
      </c>
      <c r="Z36" s="91">
        <f t="shared" si="32"/>
        <v>0</v>
      </c>
      <c r="AA36" s="91">
        <f>K36</f>
        <v>0</v>
      </c>
      <c r="AB36" s="91">
        <f t="shared" si="33"/>
        <v>0</v>
      </c>
      <c r="AC36" s="4" t="str">
        <f t="shared" si="33"/>
        <v/>
      </c>
      <c r="AD36" s="92">
        <f t="shared" si="33"/>
        <v>0</v>
      </c>
      <c r="AE36" s="80" t="str">
        <f>S36</f>
        <v>계</v>
      </c>
      <c r="AF36" s="80" t="str">
        <f>Q36&amp;"/"&amp;R36</f>
        <v>4/2</v>
      </c>
      <c r="AH36" s="20" t="str">
        <f t="shared" si="1"/>
        <v>롯데4차</v>
      </c>
      <c r="AI36" s="88">
        <f t="shared" si="34"/>
        <v>48</v>
      </c>
      <c r="AJ36" s="80" t="str">
        <f>IF(AI36="","",$AJ$2)</f>
        <v>A-</v>
      </c>
      <c r="AK36" s="80" t="s">
        <v>14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X</v>
      </c>
      <c r="AU36" s="80" t="str">
        <f>IF(C36="","",IF(C36&gt;=$AU$1,"O","X"))</f>
        <v>X</v>
      </c>
      <c r="AV36" s="80" t="str">
        <f>IF(AO36="","",IF(AND(AO36="O",AP36="O",AR36="O",AT36="O",AU36="O"),"후보","X"))</f>
        <v/>
      </c>
    </row>
    <row r="37" spans="1:48" x14ac:dyDescent="0.3">
      <c r="A37" s="9" t="s">
        <v>372</v>
      </c>
      <c r="B37" s="10" t="s">
        <v>1292</v>
      </c>
      <c r="C37" s="89">
        <v>210</v>
      </c>
      <c r="D37" s="87">
        <v>197.4</v>
      </c>
      <c r="E37" s="88">
        <v>60</v>
      </c>
      <c r="F37" s="87">
        <v>164.9</v>
      </c>
      <c r="G37" s="17">
        <v>50</v>
      </c>
      <c r="H37" s="89">
        <v>30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4</v>
      </c>
      <c r="R37" s="80">
        <v>2</v>
      </c>
      <c r="S37" s="80" t="s">
        <v>61</v>
      </c>
      <c r="T37" s="5">
        <v>197</v>
      </c>
      <c r="U37" s="9"/>
      <c r="W37" s="87">
        <f t="shared" si="31"/>
        <v>197.4</v>
      </c>
      <c r="X37" s="88">
        <f t="shared" si="31"/>
        <v>60</v>
      </c>
      <c r="Y37" s="93">
        <f t="shared" si="32"/>
        <v>30</v>
      </c>
      <c r="Z37" s="91">
        <f t="shared" si="32"/>
        <v>0</v>
      </c>
      <c r="AA37" s="91">
        <f>K37</f>
        <v>0</v>
      </c>
      <c r="AB37" s="91">
        <f t="shared" si="33"/>
        <v>0</v>
      </c>
      <c r="AC37" s="4" t="str">
        <f t="shared" si="33"/>
        <v/>
      </c>
      <c r="AD37" s="92">
        <f t="shared" si="33"/>
        <v>0</v>
      </c>
      <c r="AE37" s="80" t="str">
        <f>S37</f>
        <v>계</v>
      </c>
      <c r="AF37" s="80" t="str">
        <f>Q37&amp;"/"&amp;R37</f>
        <v>4/2</v>
      </c>
      <c r="AH37" s="20" t="str">
        <f t="shared" ref="AH37:AH68" si="35">IF(A37="","",A37)</f>
        <v>롯데4차</v>
      </c>
      <c r="AI37" s="88">
        <f t="shared" si="34"/>
        <v>60</v>
      </c>
      <c r="AJ37" s="80" t="str">
        <f>IF(AI37="","",$AJ$2)</f>
        <v>A-</v>
      </c>
      <c r="AK37" s="80" t="s">
        <v>14</v>
      </c>
      <c r="AL37" s="80" t="s">
        <v>63</v>
      </c>
      <c r="AM37" s="80" t="s">
        <v>64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X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7" t="str">
        <f>$A$4&amp;" "&amp;A39&amp;"("&amp;B39&amp;","&amp;C39&amp;"^)"</f>
        <v>나운동 롯데2차('92.08.,460^)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12" t="str">
        <f t="shared" si="34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382</v>
      </c>
      <c r="B39" s="10" t="s">
        <v>1293</v>
      </c>
      <c r="C39" s="89">
        <v>460</v>
      </c>
      <c r="D39" s="87">
        <v>92</v>
      </c>
      <c r="E39" s="88">
        <v>28</v>
      </c>
      <c r="F39" s="87">
        <v>74</v>
      </c>
      <c r="G39" s="17">
        <v>22</v>
      </c>
      <c r="H39" s="89">
        <v>104</v>
      </c>
      <c r="I39" s="90">
        <v>10500</v>
      </c>
      <c r="J39" s="90" t="s">
        <v>65</v>
      </c>
      <c r="K39" s="90"/>
      <c r="L39" s="90"/>
      <c r="M39" s="91">
        <f>I39-K39</f>
        <v>10500</v>
      </c>
      <c r="N39" s="4">
        <f>IF(ISERROR(K39/I39),"",K39/I39)</f>
        <v>0</v>
      </c>
      <c r="O39" s="92">
        <f>I39/E39</f>
        <v>375</v>
      </c>
      <c r="P39" s="92">
        <f>K39/E39</f>
        <v>0</v>
      </c>
      <c r="Q39" s="80">
        <v>3</v>
      </c>
      <c r="R39" s="80">
        <v>1</v>
      </c>
      <c r="S39" s="80" t="s">
        <v>61</v>
      </c>
      <c r="T39" s="5">
        <v>91</v>
      </c>
      <c r="U39" s="9"/>
      <c r="W39" s="87">
        <f t="shared" ref="W39:X41" si="36">D39</f>
        <v>92</v>
      </c>
      <c r="X39" s="88">
        <f t="shared" si="36"/>
        <v>28</v>
      </c>
      <c r="Y39" s="93">
        <f t="shared" ref="Y39:Z41" si="37">H39</f>
        <v>104</v>
      </c>
      <c r="Z39" s="91">
        <f t="shared" si="37"/>
        <v>10500</v>
      </c>
      <c r="AA39" s="91">
        <f>K39</f>
        <v>0</v>
      </c>
      <c r="AB39" s="91">
        <f t="shared" ref="AB39:AD41" si="38">M39</f>
        <v>10500</v>
      </c>
      <c r="AC39" s="4">
        <f t="shared" si="38"/>
        <v>0</v>
      </c>
      <c r="AD39" s="92">
        <f t="shared" si="38"/>
        <v>375</v>
      </c>
      <c r="AE39" s="80" t="str">
        <f>S39</f>
        <v>계</v>
      </c>
      <c r="AF39" s="80" t="str">
        <f>Q39&amp;"/"&amp;R39</f>
        <v>3/1</v>
      </c>
      <c r="AH39" s="20" t="str">
        <f t="shared" si="35"/>
        <v>롯데2차</v>
      </c>
      <c r="AI39" s="88">
        <f t="shared" si="34"/>
        <v>28</v>
      </c>
      <c r="AJ39" s="80" t="str">
        <f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 t="s">
        <v>382</v>
      </c>
      <c r="B40" s="10" t="s">
        <v>1293</v>
      </c>
      <c r="C40" s="89">
        <v>460</v>
      </c>
      <c r="D40" s="87">
        <v>106</v>
      </c>
      <c r="E40" s="88">
        <v>32</v>
      </c>
      <c r="F40" s="87">
        <v>84.8</v>
      </c>
      <c r="G40" s="17">
        <v>26</v>
      </c>
      <c r="H40" s="89">
        <v>278</v>
      </c>
      <c r="I40" s="90">
        <v>13800</v>
      </c>
      <c r="J40" s="90" t="s">
        <v>111</v>
      </c>
      <c r="K40" s="90"/>
      <c r="L40" s="90"/>
      <c r="M40" s="91">
        <f>I40-K40</f>
        <v>13800</v>
      </c>
      <c r="N40" s="4">
        <f>IF(ISERROR(K40/I40),"",K40/I40)</f>
        <v>0</v>
      </c>
      <c r="O40" s="92">
        <f>I40/E40</f>
        <v>431.25</v>
      </c>
      <c r="P40" s="92">
        <f>K40/E40</f>
        <v>0</v>
      </c>
      <c r="Q40" s="80">
        <v>3</v>
      </c>
      <c r="R40" s="80">
        <v>2</v>
      </c>
      <c r="S40" s="80" t="s">
        <v>61</v>
      </c>
      <c r="T40" s="5">
        <v>105</v>
      </c>
      <c r="U40" s="9"/>
      <c r="W40" s="87">
        <f t="shared" si="36"/>
        <v>106</v>
      </c>
      <c r="X40" s="88">
        <f t="shared" si="36"/>
        <v>32</v>
      </c>
      <c r="Y40" s="93">
        <f t="shared" si="37"/>
        <v>278</v>
      </c>
      <c r="Z40" s="91">
        <f t="shared" si="37"/>
        <v>13800</v>
      </c>
      <c r="AA40" s="91">
        <f>K40</f>
        <v>0</v>
      </c>
      <c r="AB40" s="91">
        <f t="shared" si="38"/>
        <v>13800</v>
      </c>
      <c r="AC40" s="4">
        <f t="shared" si="38"/>
        <v>0</v>
      </c>
      <c r="AD40" s="92">
        <f t="shared" si="38"/>
        <v>431.25</v>
      </c>
      <c r="AE40" s="80" t="str">
        <f>S40</f>
        <v>계</v>
      </c>
      <c r="AF40" s="80" t="str">
        <f>Q40&amp;"/"&amp;R40</f>
        <v>3/2</v>
      </c>
      <c r="AH40" s="20" t="str">
        <f t="shared" si="35"/>
        <v>롯데2차</v>
      </c>
      <c r="AI40" s="88">
        <f t="shared" si="34"/>
        <v>32</v>
      </c>
      <c r="AJ40" s="80" t="str">
        <f>IF(AI40="","",$AJ$2)</f>
        <v>A-</v>
      </c>
      <c r="AK40" s="80" t="s">
        <v>14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 t="s">
        <v>382</v>
      </c>
      <c r="B41" s="10" t="s">
        <v>1293</v>
      </c>
      <c r="C41" s="89">
        <v>460</v>
      </c>
      <c r="D41" s="87">
        <v>155.6</v>
      </c>
      <c r="E41" s="88">
        <v>47</v>
      </c>
      <c r="F41" s="87">
        <v>131.80000000000001</v>
      </c>
      <c r="G41" s="17">
        <v>40</v>
      </c>
      <c r="H41" s="89">
        <v>78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4</v>
      </c>
      <c r="R41" s="80">
        <v>2</v>
      </c>
      <c r="S41" s="80" t="s">
        <v>61</v>
      </c>
      <c r="T41" s="5">
        <v>155</v>
      </c>
      <c r="U41" s="9"/>
      <c r="W41" s="87">
        <f t="shared" si="36"/>
        <v>155.6</v>
      </c>
      <c r="X41" s="88">
        <f t="shared" si="36"/>
        <v>47</v>
      </c>
      <c r="Y41" s="93">
        <f t="shared" si="37"/>
        <v>78</v>
      </c>
      <c r="Z41" s="91">
        <f t="shared" si="37"/>
        <v>0</v>
      </c>
      <c r="AA41" s="91">
        <f>K41</f>
        <v>0</v>
      </c>
      <c r="AB41" s="91">
        <f t="shared" si="38"/>
        <v>0</v>
      </c>
      <c r="AC41" s="4" t="str">
        <f t="shared" si="38"/>
        <v/>
      </c>
      <c r="AD41" s="92">
        <f t="shared" si="38"/>
        <v>0</v>
      </c>
      <c r="AE41" s="80" t="str">
        <f>S41</f>
        <v>계</v>
      </c>
      <c r="AF41" s="80" t="str">
        <f>Q41&amp;"/"&amp;R41</f>
        <v>4/2</v>
      </c>
      <c r="AH41" s="20" t="str">
        <f t="shared" si="35"/>
        <v>롯데2차</v>
      </c>
      <c r="AI41" s="88">
        <f t="shared" si="34"/>
        <v>47</v>
      </c>
      <c r="AJ41" s="80" t="str">
        <f>IF(AI41="","",$AJ$2)</f>
        <v>A-</v>
      </c>
      <c r="AK41" s="80" t="s">
        <v>14</v>
      </c>
      <c r="AL41" s="80" t="s">
        <v>63</v>
      </c>
      <c r="AM41" s="80" t="s">
        <v>64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X</v>
      </c>
      <c r="AU41" s="80" t="str">
        <f>IF(C41="","",IF(C41&gt;=$AU$1,"O","X"))</f>
        <v>O</v>
      </c>
      <c r="AV41" s="80" t="str">
        <f>IF(AO41="","",IF(AND(AO41="O",AP41="O",AR41="O",AT41="O",AU41="O"),"후보","X"))</f>
        <v/>
      </c>
    </row>
    <row r="42" spans="1:48" x14ac:dyDescent="0.3">
      <c r="A42" s="9"/>
      <c r="B42" s="80"/>
      <c r="C42" s="6"/>
      <c r="D42" s="9"/>
      <c r="E42" s="14"/>
      <c r="F42" s="87"/>
      <c r="G42" s="9"/>
      <c r="H42" s="9"/>
      <c r="I42" s="9"/>
      <c r="J42" s="9"/>
      <c r="K42" s="9"/>
      <c r="L42" s="9"/>
      <c r="M42" s="9"/>
      <c r="N42" s="9"/>
      <c r="O42" s="92"/>
      <c r="P42" s="92"/>
      <c r="Q42" s="88"/>
      <c r="R42" s="88"/>
      <c r="S42" s="9"/>
      <c r="T42" s="47"/>
      <c r="U42" s="9"/>
      <c r="W42" s="67" t="str">
        <f>$A$4&amp;" "&amp;A43&amp;"("&amp;B43&amp;","&amp;C43&amp;"^)"</f>
        <v>나운동 우성('95.06.,345^)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35"/>
        <v/>
      </c>
      <c r="AI42" s="112" t="str">
        <f t="shared" si="34"/>
        <v/>
      </c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</row>
    <row r="43" spans="1:48" x14ac:dyDescent="0.3">
      <c r="A43" s="9" t="s">
        <v>396</v>
      </c>
      <c r="B43" s="10" t="s">
        <v>1278</v>
      </c>
      <c r="C43" s="89">
        <v>345</v>
      </c>
      <c r="D43" s="87">
        <v>115.7</v>
      </c>
      <c r="E43" s="88">
        <v>35</v>
      </c>
      <c r="F43" s="87">
        <v>93.6</v>
      </c>
      <c r="G43" s="17">
        <v>28</v>
      </c>
      <c r="H43" s="89">
        <v>75</v>
      </c>
      <c r="I43" s="90">
        <v>18500</v>
      </c>
      <c r="J43" s="90" t="s">
        <v>60</v>
      </c>
      <c r="K43" s="90"/>
      <c r="L43" s="90"/>
      <c r="M43" s="91">
        <f>I43-K43</f>
        <v>18500</v>
      </c>
      <c r="N43" s="4">
        <f>IF(ISERROR(K43/I43),"",K43/I43)</f>
        <v>0</v>
      </c>
      <c r="O43" s="92">
        <f>I43/E43</f>
        <v>528.57142857142856</v>
      </c>
      <c r="P43" s="92">
        <f>K43/E43</f>
        <v>0</v>
      </c>
      <c r="Q43" s="80">
        <v>3</v>
      </c>
      <c r="R43" s="80">
        <v>2</v>
      </c>
      <c r="S43" s="80" t="s">
        <v>61</v>
      </c>
      <c r="T43" s="5">
        <v>115</v>
      </c>
      <c r="U43" s="9"/>
      <c r="W43" s="87">
        <f>D43</f>
        <v>115.7</v>
      </c>
      <c r="X43" s="88">
        <f>E43</f>
        <v>35</v>
      </c>
      <c r="Y43" s="93">
        <f>H43</f>
        <v>75</v>
      </c>
      <c r="Z43" s="91">
        <f>I43</f>
        <v>18500</v>
      </c>
      <c r="AA43" s="91">
        <f>K43</f>
        <v>0</v>
      </c>
      <c r="AB43" s="91">
        <f t="shared" ref="AB43:AD44" si="39">M43</f>
        <v>18500</v>
      </c>
      <c r="AC43" s="4">
        <f t="shared" si="39"/>
        <v>0</v>
      </c>
      <c r="AD43" s="92">
        <f t="shared" si="39"/>
        <v>528.57142857142856</v>
      </c>
      <c r="AE43" s="80" t="str">
        <f>S43</f>
        <v>계</v>
      </c>
      <c r="AF43" s="80" t="str">
        <f>Q43&amp;"/"&amp;R43</f>
        <v>3/2</v>
      </c>
      <c r="AH43" s="20" t="str">
        <f t="shared" si="35"/>
        <v>우성</v>
      </c>
      <c r="AI43" s="88">
        <f t="shared" si="34"/>
        <v>35</v>
      </c>
      <c r="AJ43" s="80" t="str">
        <f>IF(AI43="","",$AJ$2)</f>
        <v>A-</v>
      </c>
      <c r="AK43" s="80" t="s">
        <v>14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X</v>
      </c>
      <c r="AS43" s="80" t="s">
        <v>2</v>
      </c>
      <c r="AT43" s="80" t="str">
        <f>IF(OR(F43="",AI43=""),"",IF(AND((F43&lt;=85),(AI43&gt;=15)),"O","X"))</f>
        <v>X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x14ac:dyDescent="0.3">
      <c r="A44" s="9" t="s">
        <v>396</v>
      </c>
      <c r="B44" s="10" t="s">
        <v>1278</v>
      </c>
      <c r="C44" s="89">
        <v>345</v>
      </c>
      <c r="D44" s="87">
        <v>120.2</v>
      </c>
      <c r="E44" s="88">
        <v>36</v>
      </c>
      <c r="F44" s="87">
        <v>100</v>
      </c>
      <c r="G44" s="17">
        <v>30</v>
      </c>
      <c r="H44" s="89">
        <v>270</v>
      </c>
      <c r="I44" s="90">
        <v>18000</v>
      </c>
      <c r="J44" s="90" t="s">
        <v>68</v>
      </c>
      <c r="K44" s="90"/>
      <c r="L44" s="90"/>
      <c r="M44" s="91">
        <f>I44-K44</f>
        <v>18000</v>
      </c>
      <c r="N44" s="4">
        <f>IF(ISERROR(K44/I44),"",K44/I44)</f>
        <v>0</v>
      </c>
      <c r="O44" s="92">
        <f>I44/E44</f>
        <v>500</v>
      </c>
      <c r="P44" s="92">
        <f>K44/E44</f>
        <v>0</v>
      </c>
      <c r="Q44" s="80">
        <v>3</v>
      </c>
      <c r="R44" s="80">
        <v>2</v>
      </c>
      <c r="S44" s="80" t="s">
        <v>61</v>
      </c>
      <c r="T44" s="5">
        <v>120</v>
      </c>
      <c r="U44" s="9"/>
      <c r="W44" s="87">
        <f>D44</f>
        <v>120.2</v>
      </c>
      <c r="X44" s="88">
        <f>E44</f>
        <v>36</v>
      </c>
      <c r="Y44" s="93">
        <f>H44</f>
        <v>270</v>
      </c>
      <c r="Z44" s="91">
        <f>I44</f>
        <v>18000</v>
      </c>
      <c r="AA44" s="91">
        <f>K44</f>
        <v>0</v>
      </c>
      <c r="AB44" s="91">
        <f t="shared" si="39"/>
        <v>18000</v>
      </c>
      <c r="AC44" s="4">
        <f t="shared" si="39"/>
        <v>0</v>
      </c>
      <c r="AD44" s="92">
        <f t="shared" si="39"/>
        <v>500</v>
      </c>
      <c r="AE44" s="80" t="str">
        <f>S44</f>
        <v>계</v>
      </c>
      <c r="AF44" s="80" t="str">
        <f>Q44&amp;"/"&amp;R44</f>
        <v>3/2</v>
      </c>
      <c r="AH44" s="20" t="str">
        <f t="shared" si="35"/>
        <v>우성</v>
      </c>
      <c r="AI44" s="88">
        <f t="shared" si="34"/>
        <v>36</v>
      </c>
      <c r="AJ44" s="80" t="str">
        <f>IF(AI44="","",$AJ$2)</f>
        <v>A-</v>
      </c>
      <c r="AK44" s="80" t="s">
        <v>14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X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7" t="str">
        <f>$A$4&amp;" "&amp;A46&amp;"("&amp;B46&amp;","&amp;C46&amp;"^)"</f>
        <v>나운동 금호타운1차('91.09.,930^)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5"/>
        <v/>
      </c>
      <c r="AI45" s="112" t="str">
        <f t="shared" si="34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x14ac:dyDescent="0.3">
      <c r="A46" s="9" t="s">
        <v>400</v>
      </c>
      <c r="B46" s="10" t="s">
        <v>1294</v>
      </c>
      <c r="C46" s="89">
        <v>930</v>
      </c>
      <c r="D46" s="87">
        <v>89.1</v>
      </c>
      <c r="E46" s="88">
        <v>27</v>
      </c>
      <c r="F46" s="87">
        <v>73.099999999999994</v>
      </c>
      <c r="G46" s="17">
        <v>22</v>
      </c>
      <c r="H46" s="89">
        <v>330</v>
      </c>
      <c r="I46" s="90">
        <v>13000</v>
      </c>
      <c r="J46" s="90" t="s">
        <v>84</v>
      </c>
      <c r="K46" s="90">
        <v>13000</v>
      </c>
      <c r="L46" s="90" t="s">
        <v>65</v>
      </c>
      <c r="M46" s="91">
        <f>I46-K46</f>
        <v>0</v>
      </c>
      <c r="N46" s="4">
        <f>IF(ISERROR(K46/I46),"",K46/I46)</f>
        <v>1</v>
      </c>
      <c r="O46" s="92">
        <f>I46/E46</f>
        <v>481.48148148148147</v>
      </c>
      <c r="P46" s="92">
        <f>K46/E46</f>
        <v>481.48148148148147</v>
      </c>
      <c r="Q46" s="80">
        <v>3</v>
      </c>
      <c r="R46" s="80">
        <v>2</v>
      </c>
      <c r="S46" s="80" t="s">
        <v>61</v>
      </c>
      <c r="T46" s="5">
        <v>89</v>
      </c>
      <c r="U46" s="9"/>
      <c r="W46" s="87">
        <f>D46</f>
        <v>89.1</v>
      </c>
      <c r="X46" s="88">
        <f>E46</f>
        <v>27</v>
      </c>
      <c r="Y46" s="93">
        <f>H46</f>
        <v>330</v>
      </c>
      <c r="Z46" s="91">
        <f>I46</f>
        <v>13000</v>
      </c>
      <c r="AA46" s="91">
        <f>K46</f>
        <v>13000</v>
      </c>
      <c r="AB46" s="91">
        <f t="shared" ref="AB46:AD47" si="40">M46</f>
        <v>0</v>
      </c>
      <c r="AC46" s="4">
        <f t="shared" si="40"/>
        <v>1</v>
      </c>
      <c r="AD46" s="92">
        <f t="shared" si="40"/>
        <v>481.48148148148147</v>
      </c>
      <c r="AE46" s="80" t="str">
        <f>S46</f>
        <v>계</v>
      </c>
      <c r="AF46" s="80" t="str">
        <f>Q46&amp;"/"&amp;R46</f>
        <v>3/2</v>
      </c>
      <c r="AH46" s="20" t="str">
        <f t="shared" si="35"/>
        <v>금호타운1차</v>
      </c>
      <c r="AI46" s="88">
        <f t="shared" si="34"/>
        <v>27</v>
      </c>
      <c r="AJ46" s="80" t="str">
        <f>IF(AI46="","",$AJ$2)</f>
        <v>A-</v>
      </c>
      <c r="AK46" s="80" t="s">
        <v>14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>O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후보</v>
      </c>
    </row>
    <row r="47" spans="1:48" x14ac:dyDescent="0.3">
      <c r="A47" s="9" t="s">
        <v>400</v>
      </c>
      <c r="B47" s="10" t="s">
        <v>1294</v>
      </c>
      <c r="C47" s="89">
        <v>930</v>
      </c>
      <c r="D47" s="87">
        <v>101.7</v>
      </c>
      <c r="E47" s="88">
        <v>31</v>
      </c>
      <c r="F47" s="87">
        <v>84.8</v>
      </c>
      <c r="G47" s="17">
        <v>26</v>
      </c>
      <c r="H47" s="89">
        <v>600</v>
      </c>
      <c r="I47" s="90">
        <v>14000</v>
      </c>
      <c r="J47" s="90" t="s">
        <v>84</v>
      </c>
      <c r="K47" s="90">
        <v>13000</v>
      </c>
      <c r="L47" s="90" t="s">
        <v>68</v>
      </c>
      <c r="M47" s="91">
        <f>I47-K47</f>
        <v>1000</v>
      </c>
      <c r="N47" s="4">
        <f>IF(ISERROR(K47/I47),"",K47/I47)</f>
        <v>0.9285714285714286</v>
      </c>
      <c r="O47" s="92">
        <f>I47/E47</f>
        <v>451.61290322580646</v>
      </c>
      <c r="P47" s="92">
        <f>K47/E47</f>
        <v>419.35483870967744</v>
      </c>
      <c r="Q47" s="80">
        <v>3</v>
      </c>
      <c r="R47" s="80">
        <v>2</v>
      </c>
      <c r="S47" s="80" t="s">
        <v>61</v>
      </c>
      <c r="T47" s="5">
        <v>101</v>
      </c>
      <c r="U47" s="9"/>
      <c r="W47" s="87">
        <f>D47</f>
        <v>101.7</v>
      </c>
      <c r="X47" s="88">
        <f>E47</f>
        <v>31</v>
      </c>
      <c r="Y47" s="93">
        <f>H47</f>
        <v>600</v>
      </c>
      <c r="Z47" s="91">
        <f>I47</f>
        <v>14000</v>
      </c>
      <c r="AA47" s="91">
        <f>K47</f>
        <v>13000</v>
      </c>
      <c r="AB47" s="91">
        <f t="shared" si="40"/>
        <v>1000</v>
      </c>
      <c r="AC47" s="4">
        <f t="shared" si="40"/>
        <v>0.9285714285714286</v>
      </c>
      <c r="AD47" s="92">
        <f t="shared" si="40"/>
        <v>451.61290322580646</v>
      </c>
      <c r="AE47" s="80" t="str">
        <f>S47</f>
        <v>계</v>
      </c>
      <c r="AF47" s="80" t="str">
        <f>Q47&amp;"/"&amp;R47</f>
        <v>3/2</v>
      </c>
      <c r="AH47" s="20" t="str">
        <f t="shared" si="35"/>
        <v>금호타운1차</v>
      </c>
      <c r="AI47" s="88">
        <f t="shared" si="34"/>
        <v>31</v>
      </c>
      <c r="AJ47" s="80" t="str">
        <f>IF(AI47="","",$AJ$2)</f>
        <v>A-</v>
      </c>
      <c r="AK47" s="80" t="s">
        <v>14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>O</v>
      </c>
      <c r="AP47" s="80" t="str">
        <f>IF(I47="","",IF(I47&lt;=$AP$1,"O","X"))</f>
        <v>O</v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후보</v>
      </c>
    </row>
    <row r="48" spans="1:48" x14ac:dyDescent="0.3">
      <c r="A48" s="9"/>
      <c r="B48" s="80"/>
      <c r="C48" s="6"/>
      <c r="D48" s="9"/>
      <c r="E48" s="14"/>
      <c r="F48" s="87"/>
      <c r="G48" s="9"/>
      <c r="H48" s="9"/>
      <c r="I48" s="9"/>
      <c r="J48" s="9"/>
      <c r="K48" s="9"/>
      <c r="L48" s="9"/>
      <c r="M48" s="9"/>
      <c r="N48" s="9"/>
      <c r="O48" s="92"/>
      <c r="P48" s="92"/>
      <c r="Q48" s="88"/>
      <c r="R48" s="88"/>
      <c r="S48" s="9"/>
      <c r="T48" s="47"/>
      <c r="U48" s="9"/>
      <c r="W48" s="67" t="str">
        <f>$A$4&amp;" "&amp;A49&amp;"("&amp;B49&amp;","&amp;C49&amp;"^)"</f>
        <v>나운동 서호('95.06.,490^)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5"/>
        <v/>
      </c>
      <c r="AI48" s="112" t="str">
        <f t="shared" si="34"/>
        <v/>
      </c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</row>
    <row r="49" spans="1:48" x14ac:dyDescent="0.3">
      <c r="A49" s="9" t="s">
        <v>410</v>
      </c>
      <c r="B49" s="10" t="s">
        <v>1278</v>
      </c>
      <c r="C49" s="89">
        <v>490</v>
      </c>
      <c r="D49" s="87">
        <v>83.8</v>
      </c>
      <c r="E49" s="88">
        <v>25</v>
      </c>
      <c r="F49" s="87">
        <v>67.900000000000006</v>
      </c>
      <c r="G49" s="17">
        <v>21</v>
      </c>
      <c r="H49" s="89">
        <v>262</v>
      </c>
      <c r="I49" s="90">
        <v>11000</v>
      </c>
      <c r="J49" s="90" t="s">
        <v>81</v>
      </c>
      <c r="K49" s="90">
        <v>11500</v>
      </c>
      <c r="L49" s="90" t="s">
        <v>70</v>
      </c>
      <c r="M49" s="91">
        <f>I49-K49</f>
        <v>-500</v>
      </c>
      <c r="N49" s="4">
        <f>IF(ISERROR(K49/I49),"",K49/I49)</f>
        <v>1.0454545454545454</v>
      </c>
      <c r="O49" s="92">
        <f>I49/E49</f>
        <v>440</v>
      </c>
      <c r="P49" s="92">
        <f>K49/E49</f>
        <v>460</v>
      </c>
      <c r="Q49" s="80">
        <v>3</v>
      </c>
      <c r="R49" s="80">
        <v>1</v>
      </c>
      <c r="S49" s="80" t="s">
        <v>61</v>
      </c>
      <c r="T49" s="5">
        <v>83</v>
      </c>
      <c r="U49" s="9"/>
      <c r="W49" s="87">
        <f>D49</f>
        <v>83.8</v>
      </c>
      <c r="X49" s="88">
        <f>E49</f>
        <v>25</v>
      </c>
      <c r="Y49" s="93">
        <f>H49</f>
        <v>262</v>
      </c>
      <c r="Z49" s="91">
        <f>I49</f>
        <v>11000</v>
      </c>
      <c r="AA49" s="91">
        <f>K49</f>
        <v>11500</v>
      </c>
      <c r="AB49" s="91">
        <f t="shared" ref="AB49:AD50" si="41">M49</f>
        <v>-500</v>
      </c>
      <c r="AC49" s="4">
        <f t="shared" si="41"/>
        <v>1.0454545454545454</v>
      </c>
      <c r="AD49" s="92">
        <f t="shared" si="41"/>
        <v>440</v>
      </c>
      <c r="AE49" s="80" t="str">
        <f>S49</f>
        <v>계</v>
      </c>
      <c r="AF49" s="80" t="str">
        <f>Q49&amp;"/"&amp;R49</f>
        <v>3/1</v>
      </c>
      <c r="AH49" s="20" t="str">
        <f t="shared" si="35"/>
        <v>서호</v>
      </c>
      <c r="AI49" s="88">
        <f t="shared" si="34"/>
        <v>25</v>
      </c>
      <c r="AJ49" s="80" t="str">
        <f>IF(AI49="","",$AJ$2)</f>
        <v>A-</v>
      </c>
      <c r="AK49" s="80" t="s">
        <v>14</v>
      </c>
      <c r="AL49" s="80" t="s">
        <v>63</v>
      </c>
      <c r="AM49" s="80" t="s">
        <v>64</v>
      </c>
      <c r="AN49" s="80" t="str">
        <f>IF(AI49="","",$AN$2)</f>
        <v>C</v>
      </c>
      <c r="AO49" s="80" t="str">
        <f>IF(N49="","",IF(N49&gt;=$AO$1/100,"O","X"))</f>
        <v>O</v>
      </c>
      <c r="AP49" s="80" t="str">
        <f>IF(I49="","",IF(I49&lt;=$AP$1,"O","X"))</f>
        <v>O</v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후보</v>
      </c>
    </row>
    <row r="50" spans="1:48" x14ac:dyDescent="0.3">
      <c r="A50" s="9" t="s">
        <v>410</v>
      </c>
      <c r="B50" s="10" t="s">
        <v>1278</v>
      </c>
      <c r="C50" s="89">
        <v>490</v>
      </c>
      <c r="D50" s="87">
        <v>103.8</v>
      </c>
      <c r="E50" s="88">
        <v>31</v>
      </c>
      <c r="F50" s="87">
        <v>85</v>
      </c>
      <c r="G50" s="17">
        <v>26</v>
      </c>
      <c r="H50" s="89">
        <v>228</v>
      </c>
      <c r="I50" s="90">
        <v>15700</v>
      </c>
      <c r="J50" s="90" t="s">
        <v>70</v>
      </c>
      <c r="K50" s="90">
        <v>14000</v>
      </c>
      <c r="L50" s="90" t="s">
        <v>71</v>
      </c>
      <c r="M50" s="91">
        <f>I50-K50</f>
        <v>1700</v>
      </c>
      <c r="N50" s="4">
        <f>IF(ISERROR(K50/I50),"",K50/I50)</f>
        <v>0.89171974522292996</v>
      </c>
      <c r="O50" s="92">
        <f>I50/E50</f>
        <v>506.45161290322579</v>
      </c>
      <c r="P50" s="92">
        <f>K50/E50</f>
        <v>451.61290322580646</v>
      </c>
      <c r="Q50" s="80">
        <v>3</v>
      </c>
      <c r="R50" s="80">
        <v>2</v>
      </c>
      <c r="S50" s="80" t="s">
        <v>61</v>
      </c>
      <c r="T50" s="5">
        <v>103</v>
      </c>
      <c r="U50" s="9"/>
      <c r="W50" s="87">
        <f>D50</f>
        <v>103.8</v>
      </c>
      <c r="X50" s="88">
        <f>E50</f>
        <v>31</v>
      </c>
      <c r="Y50" s="93">
        <f>H50</f>
        <v>228</v>
      </c>
      <c r="Z50" s="91">
        <f>I50</f>
        <v>15700</v>
      </c>
      <c r="AA50" s="91">
        <f>K50</f>
        <v>14000</v>
      </c>
      <c r="AB50" s="91">
        <f t="shared" si="41"/>
        <v>1700</v>
      </c>
      <c r="AC50" s="4">
        <f t="shared" si="41"/>
        <v>0.89171974522292996</v>
      </c>
      <c r="AD50" s="92">
        <f t="shared" si="41"/>
        <v>506.45161290322579</v>
      </c>
      <c r="AE50" s="80" t="str">
        <f>S50</f>
        <v>계</v>
      </c>
      <c r="AF50" s="80" t="str">
        <f>Q50&amp;"/"&amp;R50</f>
        <v>3/2</v>
      </c>
      <c r="AH50" s="20" t="str">
        <f t="shared" si="35"/>
        <v>서호</v>
      </c>
      <c r="AI50" s="88">
        <f t="shared" si="34"/>
        <v>31</v>
      </c>
      <c r="AJ50" s="80" t="str">
        <f>IF(AI50="","",$AJ$2)</f>
        <v>A-</v>
      </c>
      <c r="AK50" s="80" t="s">
        <v>14</v>
      </c>
      <c r="AL50" s="80" t="s">
        <v>63</v>
      </c>
      <c r="AM50" s="80" t="s">
        <v>64</v>
      </c>
      <c r="AN50" s="80" t="str">
        <f>IF(AI50="","",$AN$2)</f>
        <v>C</v>
      </c>
      <c r="AO50" s="80" t="str">
        <f>IF(N50="","",IF(N50&gt;=$AO$1/100,"O","X"))</f>
        <v>O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후보</v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7" t="str">
        <f>$A$4&amp;" "&amp;A52&amp;"("&amp;B52&amp;","&amp;C52&amp;"^)"</f>
        <v>나운동 주공3단지('83.12.,800^)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5"/>
        <v/>
      </c>
      <c r="AI51" s="112" t="str">
        <f t="shared" si="34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414</v>
      </c>
      <c r="B52" s="10" t="s">
        <v>1295</v>
      </c>
      <c r="C52" s="89">
        <v>800</v>
      </c>
      <c r="D52" s="87">
        <v>47.6</v>
      </c>
      <c r="E52" s="88">
        <v>14</v>
      </c>
      <c r="F52" s="87">
        <v>47.6</v>
      </c>
      <c r="G52" s="17">
        <v>14</v>
      </c>
      <c r="H52" s="89">
        <v>25</v>
      </c>
      <c r="I52" s="90"/>
      <c r="J52" s="90"/>
      <c r="K52" s="90"/>
      <c r="L52" s="90"/>
      <c r="M52" s="91">
        <f t="shared" ref="M52:M61" si="42">I52-K52</f>
        <v>0</v>
      </c>
      <c r="N52" s="4" t="str">
        <f t="shared" ref="N52:N61" si="43">IF(ISERROR(K52/I52),"",K52/I52)</f>
        <v/>
      </c>
      <c r="O52" s="92">
        <f t="shared" ref="O52:O61" si="44">I52/E52</f>
        <v>0</v>
      </c>
      <c r="P52" s="92">
        <f t="shared" ref="P52:P61" si="45">K52/E52</f>
        <v>0</v>
      </c>
      <c r="Q52" s="80">
        <v>1</v>
      </c>
      <c r="R52" s="80">
        <v>1</v>
      </c>
      <c r="S52" s="80" t="s">
        <v>61</v>
      </c>
      <c r="T52" s="5">
        <v>47</v>
      </c>
      <c r="U52" s="9"/>
      <c r="W52" s="87">
        <f t="shared" ref="W52:W61" si="46">D52</f>
        <v>47.6</v>
      </c>
      <c r="X52" s="88">
        <f t="shared" ref="X52:X61" si="47">E52</f>
        <v>14</v>
      </c>
      <c r="Y52" s="93">
        <f t="shared" ref="Y52:Y61" si="48">H52</f>
        <v>25</v>
      </c>
      <c r="Z52" s="91">
        <f t="shared" ref="Z52:Z61" si="49">I52</f>
        <v>0</v>
      </c>
      <c r="AA52" s="91">
        <f t="shared" ref="AA52:AA61" si="50">K52</f>
        <v>0</v>
      </c>
      <c r="AB52" s="91">
        <f t="shared" ref="AB52:AB61" si="51">M52</f>
        <v>0</v>
      </c>
      <c r="AC52" s="4" t="str">
        <f t="shared" ref="AC52:AC61" si="52">N52</f>
        <v/>
      </c>
      <c r="AD52" s="92">
        <f t="shared" ref="AD52:AD61" si="53">O52</f>
        <v>0</v>
      </c>
      <c r="AE52" s="80" t="str">
        <f t="shared" ref="AE52:AE61" si="54">S52</f>
        <v>계</v>
      </c>
      <c r="AF52" s="80" t="str">
        <f t="shared" ref="AF52:AF61" si="55">Q52&amp;"/"&amp;R52</f>
        <v>1/1</v>
      </c>
      <c r="AH52" s="20" t="str">
        <f t="shared" si="35"/>
        <v>주공3단지</v>
      </c>
      <c r="AI52" s="88">
        <f t="shared" si="34"/>
        <v>14</v>
      </c>
      <c r="AJ52" s="80" t="str">
        <f t="shared" ref="AJ52:AJ61" si="56">IF(AI52="","",$AJ$2)</f>
        <v>A-</v>
      </c>
      <c r="AK52" s="80" t="s">
        <v>14</v>
      </c>
      <c r="AL52" s="80" t="s">
        <v>63</v>
      </c>
      <c r="AM52" s="80" t="s">
        <v>64</v>
      </c>
      <c r="AN52" s="80" t="str">
        <f t="shared" ref="AN52:AN61" si="57">IF(AI52="","",$AN$2)</f>
        <v>C</v>
      </c>
      <c r="AO52" s="80" t="str">
        <f t="shared" ref="AO52:AO61" si="58">IF(N52="","",IF(N52&gt;=$AO$1/100,"O","X"))</f>
        <v/>
      </c>
      <c r="AP52" s="80" t="str">
        <f t="shared" ref="AP52:AP61" si="59">IF(I52="","",IF(I52&lt;=$AP$1,"O","X"))</f>
        <v/>
      </c>
      <c r="AQ52" s="80" t="str">
        <f t="shared" ref="AQ52:AQ61" si="60">IF(O52="","",IF(O52&lt;=$AQ$1,"O","X"))</f>
        <v>O</v>
      </c>
      <c r="AR52" s="80" t="str">
        <f t="shared" ref="AR52:AR61" si="61">IF(M52="","",IF(M52&lt;=$AR$1,"O","X"))</f>
        <v>O</v>
      </c>
      <c r="AS52" s="80" t="s">
        <v>2</v>
      </c>
      <c r="AT52" s="80" t="str">
        <f t="shared" ref="AT52:AT61" si="62">IF(OR(F52="",AI52=""),"",IF(AND((F52&lt;=85),(AI52&gt;=15)),"O","X"))</f>
        <v>X</v>
      </c>
      <c r="AU52" s="80" t="str">
        <f t="shared" ref="AU52:AU61" si="63">IF(C52="","",IF(C52&gt;=$AU$1,"O","X"))</f>
        <v>O</v>
      </c>
      <c r="AV52" s="80" t="str">
        <f t="shared" ref="AV52:AV61" si="64">IF(AO52="","",IF(AND(AO52="O",AP52="O",AR52="O",AT52="O",AU52="O"),"후보","X"))</f>
        <v/>
      </c>
    </row>
    <row r="53" spans="1:48" x14ac:dyDescent="0.3">
      <c r="A53" s="9" t="s">
        <v>414</v>
      </c>
      <c r="B53" s="10" t="s">
        <v>1295</v>
      </c>
      <c r="C53" s="89">
        <v>800</v>
      </c>
      <c r="D53" s="87">
        <v>53.6</v>
      </c>
      <c r="E53" s="88">
        <v>16</v>
      </c>
      <c r="F53" s="87">
        <v>48.6</v>
      </c>
      <c r="G53" s="17">
        <v>15</v>
      </c>
      <c r="H53" s="89">
        <v>136</v>
      </c>
      <c r="I53" s="90">
        <v>17500</v>
      </c>
      <c r="J53" s="90" t="s">
        <v>68</v>
      </c>
      <c r="K53" s="90"/>
      <c r="L53" s="90"/>
      <c r="M53" s="91">
        <f t="shared" si="42"/>
        <v>17500</v>
      </c>
      <c r="N53" s="4">
        <f t="shared" si="43"/>
        <v>0</v>
      </c>
      <c r="O53" s="92">
        <f t="shared" si="44"/>
        <v>1093.75</v>
      </c>
      <c r="P53" s="92">
        <f t="shared" si="45"/>
        <v>0</v>
      </c>
      <c r="Q53" s="80">
        <v>2</v>
      </c>
      <c r="R53" s="80">
        <v>1</v>
      </c>
      <c r="S53" s="80" t="s">
        <v>61</v>
      </c>
      <c r="T53" s="5" t="s">
        <v>129</v>
      </c>
      <c r="U53" s="9"/>
      <c r="W53" s="87">
        <f t="shared" si="46"/>
        <v>53.6</v>
      </c>
      <c r="X53" s="88">
        <f t="shared" si="47"/>
        <v>16</v>
      </c>
      <c r="Y53" s="93">
        <f t="shared" si="48"/>
        <v>136</v>
      </c>
      <c r="Z53" s="91">
        <f t="shared" si="49"/>
        <v>17500</v>
      </c>
      <c r="AA53" s="91">
        <f t="shared" si="50"/>
        <v>0</v>
      </c>
      <c r="AB53" s="91">
        <f t="shared" si="51"/>
        <v>17500</v>
      </c>
      <c r="AC53" s="4">
        <f t="shared" si="52"/>
        <v>0</v>
      </c>
      <c r="AD53" s="92">
        <f t="shared" si="53"/>
        <v>1093.75</v>
      </c>
      <c r="AE53" s="80" t="str">
        <f t="shared" si="54"/>
        <v>계</v>
      </c>
      <c r="AF53" s="80" t="str">
        <f t="shared" si="55"/>
        <v>2/1</v>
      </c>
      <c r="AH53" s="20" t="str">
        <f t="shared" si="35"/>
        <v>주공3단지</v>
      </c>
      <c r="AI53" s="88">
        <f t="shared" si="34"/>
        <v>16</v>
      </c>
      <c r="AJ53" s="80" t="str">
        <f t="shared" si="56"/>
        <v>A-</v>
      </c>
      <c r="AK53" s="80" t="s">
        <v>14</v>
      </c>
      <c r="AL53" s="80" t="s">
        <v>63</v>
      </c>
      <c r="AM53" s="80" t="s">
        <v>64</v>
      </c>
      <c r="AN53" s="80" t="str">
        <f t="shared" si="57"/>
        <v>C</v>
      </c>
      <c r="AO53" s="80" t="str">
        <f t="shared" si="58"/>
        <v>X</v>
      </c>
      <c r="AP53" s="80" t="str">
        <f t="shared" si="59"/>
        <v>O</v>
      </c>
      <c r="AQ53" s="80" t="str">
        <f t="shared" si="60"/>
        <v>O</v>
      </c>
      <c r="AR53" s="80" t="str">
        <f t="shared" si="61"/>
        <v>X</v>
      </c>
      <c r="AS53" s="80" t="s">
        <v>2</v>
      </c>
      <c r="AT53" s="80" t="str">
        <f t="shared" si="62"/>
        <v>O</v>
      </c>
      <c r="AU53" s="80" t="str">
        <f t="shared" si="63"/>
        <v>O</v>
      </c>
      <c r="AV53" s="80" t="str">
        <f t="shared" si="64"/>
        <v>X</v>
      </c>
    </row>
    <row r="54" spans="1:48" x14ac:dyDescent="0.3">
      <c r="A54" s="9" t="s">
        <v>414</v>
      </c>
      <c r="B54" s="10" t="s">
        <v>1295</v>
      </c>
      <c r="C54" s="89">
        <v>800</v>
      </c>
      <c r="D54" s="87">
        <v>54.1</v>
      </c>
      <c r="E54" s="88">
        <v>16</v>
      </c>
      <c r="F54" s="87">
        <v>54.1</v>
      </c>
      <c r="G54" s="17">
        <v>16</v>
      </c>
      <c r="H54" s="89">
        <v>115</v>
      </c>
      <c r="I54" s="90">
        <v>18000</v>
      </c>
      <c r="J54" s="90" t="s">
        <v>68</v>
      </c>
      <c r="K54" s="90"/>
      <c r="L54" s="90"/>
      <c r="M54" s="91">
        <f t="shared" si="42"/>
        <v>18000</v>
      </c>
      <c r="N54" s="4">
        <f t="shared" si="43"/>
        <v>0</v>
      </c>
      <c r="O54" s="92">
        <f t="shared" si="44"/>
        <v>1125</v>
      </c>
      <c r="P54" s="92">
        <f t="shared" si="45"/>
        <v>0</v>
      </c>
      <c r="Q54" s="80">
        <v>2</v>
      </c>
      <c r="R54" s="80">
        <v>1</v>
      </c>
      <c r="S54" s="80" t="s">
        <v>61</v>
      </c>
      <c r="T54" s="5" t="s">
        <v>128</v>
      </c>
      <c r="U54" s="9"/>
      <c r="W54" s="87">
        <f t="shared" si="46"/>
        <v>54.1</v>
      </c>
      <c r="X54" s="88">
        <f t="shared" si="47"/>
        <v>16</v>
      </c>
      <c r="Y54" s="93">
        <f t="shared" si="48"/>
        <v>115</v>
      </c>
      <c r="Z54" s="91">
        <f t="shared" si="49"/>
        <v>18000</v>
      </c>
      <c r="AA54" s="91">
        <f t="shared" si="50"/>
        <v>0</v>
      </c>
      <c r="AB54" s="91">
        <f t="shared" si="51"/>
        <v>18000</v>
      </c>
      <c r="AC54" s="4">
        <f t="shared" si="52"/>
        <v>0</v>
      </c>
      <c r="AD54" s="92">
        <f t="shared" si="53"/>
        <v>1125</v>
      </c>
      <c r="AE54" s="80" t="str">
        <f t="shared" si="54"/>
        <v>계</v>
      </c>
      <c r="AF54" s="80" t="str">
        <f t="shared" si="55"/>
        <v>2/1</v>
      </c>
      <c r="AH54" s="20" t="str">
        <f t="shared" si="35"/>
        <v>주공3단지</v>
      </c>
      <c r="AI54" s="88">
        <f t="shared" si="34"/>
        <v>16</v>
      </c>
      <c r="AJ54" s="80" t="str">
        <f t="shared" si="56"/>
        <v>A-</v>
      </c>
      <c r="AK54" s="80" t="s">
        <v>14</v>
      </c>
      <c r="AL54" s="80" t="s">
        <v>63</v>
      </c>
      <c r="AM54" s="80" t="s">
        <v>64</v>
      </c>
      <c r="AN54" s="80" t="str">
        <f t="shared" si="57"/>
        <v>C</v>
      </c>
      <c r="AO54" s="80" t="str">
        <f t="shared" si="58"/>
        <v>X</v>
      </c>
      <c r="AP54" s="80" t="str">
        <f t="shared" si="59"/>
        <v>O</v>
      </c>
      <c r="AQ54" s="80" t="str">
        <f t="shared" si="60"/>
        <v>O</v>
      </c>
      <c r="AR54" s="80" t="str">
        <f t="shared" si="61"/>
        <v>X</v>
      </c>
      <c r="AS54" s="80" t="s">
        <v>2</v>
      </c>
      <c r="AT54" s="80" t="str">
        <f t="shared" si="62"/>
        <v>O</v>
      </c>
      <c r="AU54" s="80" t="str">
        <f t="shared" si="63"/>
        <v>O</v>
      </c>
      <c r="AV54" s="80" t="str">
        <f t="shared" si="64"/>
        <v>X</v>
      </c>
    </row>
    <row r="55" spans="1:48" x14ac:dyDescent="0.3">
      <c r="A55" s="9" t="s">
        <v>414</v>
      </c>
      <c r="B55" s="10" t="s">
        <v>1295</v>
      </c>
      <c r="C55" s="89">
        <v>800</v>
      </c>
      <c r="D55" s="87">
        <v>54.8</v>
      </c>
      <c r="E55" s="88">
        <v>17</v>
      </c>
      <c r="F55" s="87">
        <v>54.8</v>
      </c>
      <c r="G55" s="17">
        <v>17</v>
      </c>
      <c r="H55" s="89">
        <v>100</v>
      </c>
      <c r="I55" s="90"/>
      <c r="J55" s="90"/>
      <c r="K55" s="90"/>
      <c r="L55" s="90"/>
      <c r="M55" s="91">
        <f t="shared" si="42"/>
        <v>0</v>
      </c>
      <c r="N55" s="4" t="str">
        <f t="shared" si="43"/>
        <v/>
      </c>
      <c r="O55" s="92">
        <f t="shared" si="44"/>
        <v>0</v>
      </c>
      <c r="P55" s="92">
        <f t="shared" si="45"/>
        <v>0</v>
      </c>
      <c r="Q55" s="80">
        <v>2</v>
      </c>
      <c r="R55" s="80">
        <v>1</v>
      </c>
      <c r="S55" s="80" t="s">
        <v>61</v>
      </c>
      <c r="T55" s="5">
        <v>54</v>
      </c>
      <c r="U55" s="9"/>
      <c r="W55" s="87">
        <f t="shared" si="46"/>
        <v>54.8</v>
      </c>
      <c r="X55" s="88">
        <f t="shared" si="47"/>
        <v>17</v>
      </c>
      <c r="Y55" s="93">
        <f t="shared" si="48"/>
        <v>100</v>
      </c>
      <c r="Z55" s="91">
        <f t="shared" si="49"/>
        <v>0</v>
      </c>
      <c r="AA55" s="91">
        <f t="shared" si="50"/>
        <v>0</v>
      </c>
      <c r="AB55" s="91">
        <f t="shared" si="51"/>
        <v>0</v>
      </c>
      <c r="AC55" s="4" t="str">
        <f t="shared" si="52"/>
        <v/>
      </c>
      <c r="AD55" s="92">
        <f t="shared" si="53"/>
        <v>0</v>
      </c>
      <c r="AE55" s="80" t="str">
        <f t="shared" si="54"/>
        <v>계</v>
      </c>
      <c r="AF55" s="80" t="str">
        <f t="shared" si="55"/>
        <v>2/1</v>
      </c>
      <c r="AH55" s="20" t="str">
        <f t="shared" si="35"/>
        <v>주공3단지</v>
      </c>
      <c r="AI55" s="88">
        <f t="shared" si="34"/>
        <v>17</v>
      </c>
      <c r="AJ55" s="80" t="str">
        <f t="shared" si="56"/>
        <v>A-</v>
      </c>
      <c r="AK55" s="80" t="s">
        <v>14</v>
      </c>
      <c r="AL55" s="80" t="s">
        <v>63</v>
      </c>
      <c r="AM55" s="80" t="s">
        <v>64</v>
      </c>
      <c r="AN55" s="80" t="str">
        <f t="shared" si="57"/>
        <v>C</v>
      </c>
      <c r="AO55" s="80" t="str">
        <f t="shared" si="58"/>
        <v/>
      </c>
      <c r="AP55" s="80" t="str">
        <f t="shared" si="59"/>
        <v/>
      </c>
      <c r="AQ55" s="80" t="str">
        <f t="shared" si="60"/>
        <v>O</v>
      </c>
      <c r="AR55" s="80" t="str">
        <f t="shared" si="61"/>
        <v>O</v>
      </c>
      <c r="AS55" s="80" t="s">
        <v>2</v>
      </c>
      <c r="AT55" s="80" t="str">
        <f t="shared" si="62"/>
        <v>O</v>
      </c>
      <c r="AU55" s="80" t="str">
        <f t="shared" si="63"/>
        <v>O</v>
      </c>
      <c r="AV55" s="80" t="str">
        <f t="shared" si="64"/>
        <v/>
      </c>
    </row>
    <row r="56" spans="1:48" x14ac:dyDescent="0.3">
      <c r="A56" s="9" t="s">
        <v>414</v>
      </c>
      <c r="B56" s="10" t="s">
        <v>1295</v>
      </c>
      <c r="C56" s="89">
        <v>800</v>
      </c>
      <c r="D56" s="87">
        <v>54.4</v>
      </c>
      <c r="E56" s="88">
        <v>16</v>
      </c>
      <c r="F56" s="87">
        <v>54.4</v>
      </c>
      <c r="G56" s="17">
        <v>16</v>
      </c>
      <c r="H56" s="89">
        <v>43</v>
      </c>
      <c r="I56" s="90"/>
      <c r="J56" s="90"/>
      <c r="K56" s="90"/>
      <c r="L56" s="90"/>
      <c r="M56" s="91">
        <f t="shared" si="42"/>
        <v>0</v>
      </c>
      <c r="N56" s="4" t="str">
        <f t="shared" si="43"/>
        <v/>
      </c>
      <c r="O56" s="92">
        <f t="shared" si="44"/>
        <v>0</v>
      </c>
      <c r="P56" s="92">
        <f t="shared" si="45"/>
        <v>0</v>
      </c>
      <c r="Q56" s="80">
        <v>3</v>
      </c>
      <c r="R56" s="80">
        <v>1</v>
      </c>
      <c r="S56" s="80" t="s">
        <v>61</v>
      </c>
      <c r="T56" s="5" t="s">
        <v>419</v>
      </c>
      <c r="U56" s="9"/>
      <c r="W56" s="87">
        <f t="shared" si="46"/>
        <v>54.4</v>
      </c>
      <c r="X56" s="88">
        <f t="shared" si="47"/>
        <v>16</v>
      </c>
      <c r="Y56" s="93">
        <f t="shared" si="48"/>
        <v>43</v>
      </c>
      <c r="Z56" s="91">
        <f t="shared" si="49"/>
        <v>0</v>
      </c>
      <c r="AA56" s="91">
        <f t="shared" si="50"/>
        <v>0</v>
      </c>
      <c r="AB56" s="91">
        <f t="shared" si="51"/>
        <v>0</v>
      </c>
      <c r="AC56" s="4" t="str">
        <f t="shared" si="52"/>
        <v/>
      </c>
      <c r="AD56" s="92">
        <f t="shared" si="53"/>
        <v>0</v>
      </c>
      <c r="AE56" s="80" t="str">
        <f t="shared" si="54"/>
        <v>계</v>
      </c>
      <c r="AF56" s="80" t="str">
        <f t="shared" si="55"/>
        <v>3/1</v>
      </c>
      <c r="AH56" s="20" t="str">
        <f t="shared" si="35"/>
        <v>주공3단지</v>
      </c>
      <c r="AI56" s="88">
        <f t="shared" si="34"/>
        <v>16</v>
      </c>
      <c r="AJ56" s="80" t="str">
        <f t="shared" si="56"/>
        <v>A-</v>
      </c>
      <c r="AK56" s="80" t="s">
        <v>14</v>
      </c>
      <c r="AL56" s="80" t="s">
        <v>63</v>
      </c>
      <c r="AM56" s="80" t="s">
        <v>64</v>
      </c>
      <c r="AN56" s="80" t="str">
        <f t="shared" si="57"/>
        <v>C</v>
      </c>
      <c r="AO56" s="80" t="str">
        <f t="shared" si="58"/>
        <v/>
      </c>
      <c r="AP56" s="80" t="str">
        <f t="shared" si="59"/>
        <v/>
      </c>
      <c r="AQ56" s="80" t="str">
        <f t="shared" si="60"/>
        <v>O</v>
      </c>
      <c r="AR56" s="80" t="str">
        <f t="shared" si="61"/>
        <v>O</v>
      </c>
      <c r="AS56" s="80" t="s">
        <v>2</v>
      </c>
      <c r="AT56" s="80" t="str">
        <f t="shared" si="62"/>
        <v>O</v>
      </c>
      <c r="AU56" s="80" t="str">
        <f t="shared" si="63"/>
        <v>O</v>
      </c>
      <c r="AV56" s="80" t="str">
        <f t="shared" si="64"/>
        <v/>
      </c>
    </row>
    <row r="57" spans="1:48" x14ac:dyDescent="0.3">
      <c r="A57" s="9" t="s">
        <v>414</v>
      </c>
      <c r="B57" s="10" t="s">
        <v>1295</v>
      </c>
      <c r="C57" s="89">
        <v>800</v>
      </c>
      <c r="D57" s="87">
        <v>61.6</v>
      </c>
      <c r="E57" s="88">
        <v>19</v>
      </c>
      <c r="F57" s="87">
        <v>55.8</v>
      </c>
      <c r="G57" s="17">
        <v>17</v>
      </c>
      <c r="H57" s="89">
        <v>112</v>
      </c>
      <c r="I57" s="90"/>
      <c r="J57" s="90"/>
      <c r="K57" s="90"/>
      <c r="L57" s="90"/>
      <c r="M57" s="91">
        <f t="shared" si="42"/>
        <v>0</v>
      </c>
      <c r="N57" s="4" t="str">
        <f t="shared" si="43"/>
        <v/>
      </c>
      <c r="O57" s="92">
        <f t="shared" si="44"/>
        <v>0</v>
      </c>
      <c r="P57" s="92">
        <f t="shared" si="45"/>
        <v>0</v>
      </c>
      <c r="Q57" s="80">
        <v>3</v>
      </c>
      <c r="R57" s="80">
        <v>1</v>
      </c>
      <c r="S57" s="80" t="s">
        <v>61</v>
      </c>
      <c r="T57" s="5" t="s">
        <v>420</v>
      </c>
      <c r="U57" s="9"/>
      <c r="W57" s="87">
        <f t="shared" si="46"/>
        <v>61.6</v>
      </c>
      <c r="X57" s="88">
        <f t="shared" si="47"/>
        <v>19</v>
      </c>
      <c r="Y57" s="93">
        <f t="shared" si="48"/>
        <v>112</v>
      </c>
      <c r="Z57" s="91">
        <f t="shared" si="49"/>
        <v>0</v>
      </c>
      <c r="AA57" s="91">
        <f t="shared" si="50"/>
        <v>0</v>
      </c>
      <c r="AB57" s="91">
        <f t="shared" si="51"/>
        <v>0</v>
      </c>
      <c r="AC57" s="4" t="str">
        <f t="shared" si="52"/>
        <v/>
      </c>
      <c r="AD57" s="92">
        <f t="shared" si="53"/>
        <v>0</v>
      </c>
      <c r="AE57" s="80" t="str">
        <f t="shared" si="54"/>
        <v>계</v>
      </c>
      <c r="AF57" s="80" t="str">
        <f t="shared" si="55"/>
        <v>3/1</v>
      </c>
      <c r="AH57" s="20" t="str">
        <f t="shared" si="35"/>
        <v>주공3단지</v>
      </c>
      <c r="AI57" s="88">
        <f t="shared" si="34"/>
        <v>19</v>
      </c>
      <c r="AJ57" s="80" t="str">
        <f t="shared" si="56"/>
        <v>A-</v>
      </c>
      <c r="AK57" s="80" t="s">
        <v>14</v>
      </c>
      <c r="AL57" s="80" t="s">
        <v>63</v>
      </c>
      <c r="AM57" s="80" t="s">
        <v>64</v>
      </c>
      <c r="AN57" s="80" t="str">
        <f t="shared" si="57"/>
        <v>C</v>
      </c>
      <c r="AO57" s="80" t="str">
        <f t="shared" si="58"/>
        <v/>
      </c>
      <c r="AP57" s="80" t="str">
        <f t="shared" si="59"/>
        <v/>
      </c>
      <c r="AQ57" s="80" t="str">
        <f t="shared" si="60"/>
        <v>O</v>
      </c>
      <c r="AR57" s="80" t="str">
        <f t="shared" si="61"/>
        <v>O</v>
      </c>
      <c r="AS57" s="80" t="s">
        <v>2</v>
      </c>
      <c r="AT57" s="80" t="str">
        <f t="shared" si="62"/>
        <v>O</v>
      </c>
      <c r="AU57" s="80" t="str">
        <f t="shared" si="63"/>
        <v>O</v>
      </c>
      <c r="AV57" s="80" t="str">
        <f t="shared" si="64"/>
        <v/>
      </c>
    </row>
    <row r="58" spans="1:48" x14ac:dyDescent="0.3">
      <c r="A58" s="9" t="s">
        <v>414</v>
      </c>
      <c r="B58" s="10" t="s">
        <v>1295</v>
      </c>
      <c r="C58" s="89">
        <v>800</v>
      </c>
      <c r="D58" s="87">
        <v>61.6</v>
      </c>
      <c r="E58" s="88">
        <v>19</v>
      </c>
      <c r="F58" s="87">
        <v>61.6</v>
      </c>
      <c r="G58" s="17">
        <v>19</v>
      </c>
      <c r="H58" s="89">
        <v>1</v>
      </c>
      <c r="I58" s="90"/>
      <c r="J58" s="90"/>
      <c r="K58" s="90"/>
      <c r="L58" s="90"/>
      <c r="M58" s="91">
        <f t="shared" si="42"/>
        <v>0</v>
      </c>
      <c r="N58" s="4" t="str">
        <f t="shared" si="43"/>
        <v/>
      </c>
      <c r="O58" s="92">
        <f t="shared" si="44"/>
        <v>0</v>
      </c>
      <c r="P58" s="92">
        <f t="shared" si="45"/>
        <v>0</v>
      </c>
      <c r="Q58" s="80">
        <v>3</v>
      </c>
      <c r="R58" s="80">
        <v>1</v>
      </c>
      <c r="S58" s="80" t="s">
        <v>61</v>
      </c>
      <c r="T58" s="5" t="s">
        <v>421</v>
      </c>
      <c r="U58" s="9"/>
      <c r="W58" s="87">
        <f t="shared" si="46"/>
        <v>61.6</v>
      </c>
      <c r="X58" s="88">
        <f t="shared" si="47"/>
        <v>19</v>
      </c>
      <c r="Y58" s="93">
        <f t="shared" si="48"/>
        <v>1</v>
      </c>
      <c r="Z58" s="91">
        <f t="shared" si="49"/>
        <v>0</v>
      </c>
      <c r="AA58" s="91">
        <f t="shared" si="50"/>
        <v>0</v>
      </c>
      <c r="AB58" s="91">
        <f t="shared" si="51"/>
        <v>0</v>
      </c>
      <c r="AC58" s="4" t="str">
        <f t="shared" si="52"/>
        <v/>
      </c>
      <c r="AD58" s="92">
        <f t="shared" si="53"/>
        <v>0</v>
      </c>
      <c r="AE58" s="80" t="str">
        <f t="shared" si="54"/>
        <v>계</v>
      </c>
      <c r="AF58" s="80" t="str">
        <f t="shared" si="55"/>
        <v>3/1</v>
      </c>
      <c r="AH58" s="20" t="str">
        <f t="shared" si="35"/>
        <v>주공3단지</v>
      </c>
      <c r="AI58" s="88">
        <f t="shared" si="34"/>
        <v>19</v>
      </c>
      <c r="AJ58" s="80" t="str">
        <f t="shared" si="56"/>
        <v>A-</v>
      </c>
      <c r="AK58" s="80" t="s">
        <v>14</v>
      </c>
      <c r="AL58" s="80" t="s">
        <v>63</v>
      </c>
      <c r="AM58" s="80" t="s">
        <v>64</v>
      </c>
      <c r="AN58" s="80" t="str">
        <f t="shared" si="57"/>
        <v>C</v>
      </c>
      <c r="AO58" s="80" t="str">
        <f t="shared" si="58"/>
        <v/>
      </c>
      <c r="AP58" s="80" t="str">
        <f t="shared" si="59"/>
        <v/>
      </c>
      <c r="AQ58" s="80" t="str">
        <f t="shared" si="60"/>
        <v>O</v>
      </c>
      <c r="AR58" s="80" t="str">
        <f t="shared" si="61"/>
        <v>O</v>
      </c>
      <c r="AS58" s="80" t="s">
        <v>2</v>
      </c>
      <c r="AT58" s="80" t="str">
        <f t="shared" si="62"/>
        <v>O</v>
      </c>
      <c r="AU58" s="80" t="str">
        <f t="shared" si="63"/>
        <v>O</v>
      </c>
      <c r="AV58" s="80" t="str">
        <f t="shared" si="64"/>
        <v/>
      </c>
    </row>
    <row r="59" spans="1:48" x14ac:dyDescent="0.3">
      <c r="A59" s="9" t="s">
        <v>414</v>
      </c>
      <c r="B59" s="10" t="s">
        <v>1295</v>
      </c>
      <c r="C59" s="89">
        <v>800</v>
      </c>
      <c r="D59" s="87">
        <v>62.4</v>
      </c>
      <c r="E59" s="88">
        <v>19</v>
      </c>
      <c r="F59" s="87">
        <v>62.4</v>
      </c>
      <c r="G59" s="17">
        <v>19</v>
      </c>
      <c r="H59" s="89">
        <v>28</v>
      </c>
      <c r="I59" s="90"/>
      <c r="J59" s="90"/>
      <c r="K59" s="90"/>
      <c r="L59" s="90"/>
      <c r="M59" s="91">
        <f t="shared" si="42"/>
        <v>0</v>
      </c>
      <c r="N59" s="4" t="str">
        <f t="shared" si="43"/>
        <v/>
      </c>
      <c r="O59" s="92">
        <f t="shared" si="44"/>
        <v>0</v>
      </c>
      <c r="P59" s="92">
        <f t="shared" si="45"/>
        <v>0</v>
      </c>
      <c r="Q59" s="80">
        <v>3</v>
      </c>
      <c r="R59" s="80">
        <v>1</v>
      </c>
      <c r="S59" s="80" t="s">
        <v>61</v>
      </c>
      <c r="T59" s="5" t="s">
        <v>422</v>
      </c>
      <c r="U59" s="9"/>
      <c r="W59" s="87">
        <f t="shared" si="46"/>
        <v>62.4</v>
      </c>
      <c r="X59" s="88">
        <f t="shared" si="47"/>
        <v>19</v>
      </c>
      <c r="Y59" s="93">
        <f t="shared" si="48"/>
        <v>28</v>
      </c>
      <c r="Z59" s="91">
        <f t="shared" si="49"/>
        <v>0</v>
      </c>
      <c r="AA59" s="91">
        <f t="shared" si="50"/>
        <v>0</v>
      </c>
      <c r="AB59" s="91">
        <f t="shared" si="51"/>
        <v>0</v>
      </c>
      <c r="AC59" s="4" t="str">
        <f t="shared" si="52"/>
        <v/>
      </c>
      <c r="AD59" s="92">
        <f t="shared" si="53"/>
        <v>0</v>
      </c>
      <c r="AE59" s="80" t="str">
        <f t="shared" si="54"/>
        <v>계</v>
      </c>
      <c r="AF59" s="80" t="str">
        <f t="shared" si="55"/>
        <v>3/1</v>
      </c>
      <c r="AH59" s="20" t="str">
        <f t="shared" si="35"/>
        <v>주공3단지</v>
      </c>
      <c r="AI59" s="88">
        <f t="shared" si="34"/>
        <v>19</v>
      </c>
      <c r="AJ59" s="80" t="str">
        <f t="shared" si="56"/>
        <v>A-</v>
      </c>
      <c r="AK59" s="80" t="s">
        <v>14</v>
      </c>
      <c r="AL59" s="80" t="s">
        <v>63</v>
      </c>
      <c r="AM59" s="80" t="s">
        <v>64</v>
      </c>
      <c r="AN59" s="80" t="str">
        <f t="shared" si="57"/>
        <v>C</v>
      </c>
      <c r="AO59" s="80" t="str">
        <f t="shared" si="58"/>
        <v/>
      </c>
      <c r="AP59" s="80" t="str">
        <f t="shared" si="59"/>
        <v/>
      </c>
      <c r="AQ59" s="80" t="str">
        <f t="shared" si="60"/>
        <v>O</v>
      </c>
      <c r="AR59" s="80" t="str">
        <f t="shared" si="61"/>
        <v>O</v>
      </c>
      <c r="AS59" s="80" t="s">
        <v>2</v>
      </c>
      <c r="AT59" s="80" t="str">
        <f t="shared" si="62"/>
        <v>O</v>
      </c>
      <c r="AU59" s="80" t="str">
        <f t="shared" si="63"/>
        <v>O</v>
      </c>
      <c r="AV59" s="80" t="str">
        <f t="shared" si="64"/>
        <v/>
      </c>
    </row>
    <row r="60" spans="1:48" x14ac:dyDescent="0.3">
      <c r="A60" s="9" t="s">
        <v>414</v>
      </c>
      <c r="B60" s="10" t="s">
        <v>1295</v>
      </c>
      <c r="C60" s="89">
        <v>800</v>
      </c>
      <c r="D60" s="87">
        <v>66</v>
      </c>
      <c r="E60" s="88">
        <v>20</v>
      </c>
      <c r="F60" s="87">
        <v>66</v>
      </c>
      <c r="G60" s="17">
        <v>20</v>
      </c>
      <c r="H60" s="89">
        <v>125</v>
      </c>
      <c r="I60" s="90">
        <v>22000</v>
      </c>
      <c r="J60" s="90" t="s">
        <v>66</v>
      </c>
      <c r="K60" s="90"/>
      <c r="L60" s="90"/>
      <c r="M60" s="91">
        <f t="shared" si="42"/>
        <v>22000</v>
      </c>
      <c r="N60" s="4">
        <f t="shared" si="43"/>
        <v>0</v>
      </c>
      <c r="O60" s="92">
        <f t="shared" si="44"/>
        <v>1100</v>
      </c>
      <c r="P60" s="92">
        <f t="shared" si="45"/>
        <v>0</v>
      </c>
      <c r="Q60" s="80">
        <v>3</v>
      </c>
      <c r="R60" s="80">
        <v>1</v>
      </c>
      <c r="S60" s="80" t="s">
        <v>61</v>
      </c>
      <c r="T60" s="5" t="s">
        <v>127</v>
      </c>
      <c r="U60" s="9"/>
      <c r="W60" s="87">
        <f t="shared" si="46"/>
        <v>66</v>
      </c>
      <c r="X60" s="88">
        <f t="shared" si="47"/>
        <v>20</v>
      </c>
      <c r="Y60" s="93">
        <f t="shared" si="48"/>
        <v>125</v>
      </c>
      <c r="Z60" s="91">
        <f t="shared" si="49"/>
        <v>22000</v>
      </c>
      <c r="AA60" s="91">
        <f t="shared" si="50"/>
        <v>0</v>
      </c>
      <c r="AB60" s="91">
        <f t="shared" si="51"/>
        <v>22000</v>
      </c>
      <c r="AC60" s="4">
        <f t="shared" si="52"/>
        <v>0</v>
      </c>
      <c r="AD60" s="92">
        <f t="shared" si="53"/>
        <v>1100</v>
      </c>
      <c r="AE60" s="80" t="str">
        <f t="shared" si="54"/>
        <v>계</v>
      </c>
      <c r="AF60" s="80" t="str">
        <f t="shared" si="55"/>
        <v>3/1</v>
      </c>
      <c r="AH60" s="20" t="str">
        <f t="shared" si="35"/>
        <v>주공3단지</v>
      </c>
      <c r="AI60" s="88">
        <f t="shared" si="34"/>
        <v>20</v>
      </c>
      <c r="AJ60" s="80" t="str">
        <f t="shared" si="56"/>
        <v>A-</v>
      </c>
      <c r="AK60" s="80" t="s">
        <v>14</v>
      </c>
      <c r="AL60" s="80" t="s">
        <v>63</v>
      </c>
      <c r="AM60" s="80" t="s">
        <v>64</v>
      </c>
      <c r="AN60" s="80" t="str">
        <f t="shared" si="57"/>
        <v>C</v>
      </c>
      <c r="AO60" s="80" t="str">
        <f t="shared" si="58"/>
        <v>X</v>
      </c>
      <c r="AP60" s="80" t="str">
        <f t="shared" si="59"/>
        <v>O</v>
      </c>
      <c r="AQ60" s="80" t="str">
        <f t="shared" si="60"/>
        <v>O</v>
      </c>
      <c r="AR60" s="80" t="str">
        <f t="shared" si="61"/>
        <v>X</v>
      </c>
      <c r="AS60" s="80" t="s">
        <v>2</v>
      </c>
      <c r="AT60" s="80" t="str">
        <f t="shared" si="62"/>
        <v>O</v>
      </c>
      <c r="AU60" s="80" t="str">
        <f t="shared" si="63"/>
        <v>O</v>
      </c>
      <c r="AV60" s="80" t="str">
        <f t="shared" si="64"/>
        <v>X</v>
      </c>
    </row>
    <row r="61" spans="1:48" x14ac:dyDescent="0.3">
      <c r="A61" s="9" t="s">
        <v>414</v>
      </c>
      <c r="B61" s="10" t="s">
        <v>1295</v>
      </c>
      <c r="C61" s="89">
        <v>800</v>
      </c>
      <c r="D61" s="87">
        <v>65.2</v>
      </c>
      <c r="E61" s="88">
        <v>20</v>
      </c>
      <c r="F61" s="87">
        <v>65.2</v>
      </c>
      <c r="G61" s="17">
        <v>20</v>
      </c>
      <c r="H61" s="89">
        <v>115</v>
      </c>
      <c r="I61" s="90">
        <v>22000</v>
      </c>
      <c r="J61" s="90" t="s">
        <v>68</v>
      </c>
      <c r="K61" s="90"/>
      <c r="L61" s="90"/>
      <c r="M61" s="91">
        <f t="shared" si="42"/>
        <v>22000</v>
      </c>
      <c r="N61" s="4">
        <f t="shared" si="43"/>
        <v>0</v>
      </c>
      <c r="O61" s="92">
        <f t="shared" si="44"/>
        <v>1100</v>
      </c>
      <c r="P61" s="92">
        <f t="shared" si="45"/>
        <v>0</v>
      </c>
      <c r="Q61" s="80">
        <v>3</v>
      </c>
      <c r="R61" s="80">
        <v>1</v>
      </c>
      <c r="S61" s="80" t="s">
        <v>61</v>
      </c>
      <c r="T61" s="5" t="s">
        <v>423</v>
      </c>
      <c r="U61" s="9"/>
      <c r="W61" s="87">
        <f t="shared" si="46"/>
        <v>65.2</v>
      </c>
      <c r="X61" s="88">
        <f t="shared" si="47"/>
        <v>20</v>
      </c>
      <c r="Y61" s="93">
        <f t="shared" si="48"/>
        <v>115</v>
      </c>
      <c r="Z61" s="91">
        <f t="shared" si="49"/>
        <v>22000</v>
      </c>
      <c r="AA61" s="91">
        <f t="shared" si="50"/>
        <v>0</v>
      </c>
      <c r="AB61" s="91">
        <f t="shared" si="51"/>
        <v>22000</v>
      </c>
      <c r="AC61" s="4">
        <f t="shared" si="52"/>
        <v>0</v>
      </c>
      <c r="AD61" s="92">
        <f t="shared" si="53"/>
        <v>1100</v>
      </c>
      <c r="AE61" s="80" t="str">
        <f t="shared" si="54"/>
        <v>계</v>
      </c>
      <c r="AF61" s="80" t="str">
        <f t="shared" si="55"/>
        <v>3/1</v>
      </c>
      <c r="AH61" s="20" t="str">
        <f t="shared" si="35"/>
        <v>주공3단지</v>
      </c>
      <c r="AI61" s="88">
        <f t="shared" si="34"/>
        <v>20</v>
      </c>
      <c r="AJ61" s="80" t="str">
        <f t="shared" si="56"/>
        <v>A-</v>
      </c>
      <c r="AK61" s="80" t="s">
        <v>14</v>
      </c>
      <c r="AL61" s="80" t="s">
        <v>63</v>
      </c>
      <c r="AM61" s="80" t="s">
        <v>64</v>
      </c>
      <c r="AN61" s="80" t="str">
        <f t="shared" si="57"/>
        <v>C</v>
      </c>
      <c r="AO61" s="80" t="str">
        <f t="shared" si="58"/>
        <v>X</v>
      </c>
      <c r="AP61" s="80" t="str">
        <f t="shared" si="59"/>
        <v>O</v>
      </c>
      <c r="AQ61" s="80" t="str">
        <f t="shared" si="60"/>
        <v>O</v>
      </c>
      <c r="AR61" s="80" t="str">
        <f t="shared" si="61"/>
        <v>X</v>
      </c>
      <c r="AS61" s="80" t="s">
        <v>2</v>
      </c>
      <c r="AT61" s="80" t="str">
        <f t="shared" si="62"/>
        <v>O</v>
      </c>
      <c r="AU61" s="80" t="str">
        <f t="shared" si="63"/>
        <v>O</v>
      </c>
      <c r="AV61" s="80" t="str">
        <f t="shared" si="64"/>
        <v>X</v>
      </c>
    </row>
    <row r="62" spans="1:48" x14ac:dyDescent="0.3">
      <c r="A62" s="9"/>
      <c r="B62" s="80"/>
      <c r="C62" s="6"/>
      <c r="D62" s="9"/>
      <c r="E62" s="14"/>
      <c r="F62" s="87"/>
      <c r="G62" s="9"/>
      <c r="H62" s="9"/>
      <c r="I62" s="9"/>
      <c r="J62" s="9"/>
      <c r="K62" s="9"/>
      <c r="L62" s="9"/>
      <c r="M62" s="9"/>
      <c r="N62" s="9"/>
      <c r="O62" s="92"/>
      <c r="P62" s="92"/>
      <c r="Q62" s="88"/>
      <c r="R62" s="88"/>
      <c r="S62" s="9"/>
      <c r="T62" s="47"/>
      <c r="U62" s="9"/>
      <c r="W62" s="67" t="str">
        <f>$A$4&amp;" "&amp;A63&amp;"("&amp;B63&amp;","&amp;C63&amp;"^)"</f>
        <v>나운동 나운보람더하임('10.03.,437^)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5"/>
        <v/>
      </c>
      <c r="AI62" s="112" t="str">
        <f t="shared" si="34"/>
        <v/>
      </c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</row>
    <row r="63" spans="1:48" x14ac:dyDescent="0.3">
      <c r="A63" s="9" t="s">
        <v>432</v>
      </c>
      <c r="B63" s="10" t="s">
        <v>1296</v>
      </c>
      <c r="C63" s="89">
        <v>437</v>
      </c>
      <c r="D63" s="87">
        <v>78</v>
      </c>
      <c r="E63" s="88">
        <v>24</v>
      </c>
      <c r="F63" s="87">
        <v>59.9</v>
      </c>
      <c r="G63" s="17">
        <v>18</v>
      </c>
      <c r="H63" s="89">
        <v>155</v>
      </c>
      <c r="I63" s="90">
        <v>14200</v>
      </c>
      <c r="J63" s="90" t="s">
        <v>68</v>
      </c>
      <c r="K63" s="90">
        <v>13000</v>
      </c>
      <c r="L63" s="90" t="s">
        <v>72</v>
      </c>
      <c r="M63" s="91">
        <f>I63-K63</f>
        <v>1200</v>
      </c>
      <c r="N63" s="4">
        <f>IF(ISERROR(K63/I63),"",K63/I63)</f>
        <v>0.91549295774647887</v>
      </c>
      <c r="O63" s="92">
        <f>I63/E63</f>
        <v>591.66666666666663</v>
      </c>
      <c r="P63" s="92">
        <f>K63/E63</f>
        <v>541.66666666666663</v>
      </c>
      <c r="Q63" s="80">
        <v>3</v>
      </c>
      <c r="R63" s="80">
        <v>2</v>
      </c>
      <c r="S63" s="80" t="s">
        <v>61</v>
      </c>
      <c r="T63" s="5">
        <v>77</v>
      </c>
      <c r="U63" s="9"/>
      <c r="W63" s="87">
        <f t="shared" ref="W63:X67" si="65">D63</f>
        <v>78</v>
      </c>
      <c r="X63" s="88">
        <f t="shared" si="65"/>
        <v>24</v>
      </c>
      <c r="Y63" s="93">
        <f t="shared" ref="Y63:Z67" si="66">H63</f>
        <v>155</v>
      </c>
      <c r="Z63" s="91">
        <f t="shared" si="66"/>
        <v>14200</v>
      </c>
      <c r="AA63" s="91">
        <f>K63</f>
        <v>13000</v>
      </c>
      <c r="AB63" s="91">
        <f t="shared" ref="AB63:AD67" si="67">M63</f>
        <v>1200</v>
      </c>
      <c r="AC63" s="4">
        <f t="shared" si="67"/>
        <v>0.91549295774647887</v>
      </c>
      <c r="AD63" s="92">
        <f t="shared" si="67"/>
        <v>591.66666666666663</v>
      </c>
      <c r="AE63" s="80" t="str">
        <f>S63</f>
        <v>계</v>
      </c>
      <c r="AF63" s="80" t="str">
        <f>Q63&amp;"/"&amp;R63</f>
        <v>3/2</v>
      </c>
      <c r="AH63" s="20" t="str">
        <f t="shared" si="35"/>
        <v>나운보람더하임</v>
      </c>
      <c r="AI63" s="88">
        <f t="shared" si="34"/>
        <v>24</v>
      </c>
      <c r="AJ63" s="80" t="str">
        <f>IF(AI63="","",$AJ$2)</f>
        <v>A-</v>
      </c>
      <c r="AK63" s="80" t="s">
        <v>14</v>
      </c>
      <c r="AL63" s="80" t="s">
        <v>63</v>
      </c>
      <c r="AM63" s="80" t="s">
        <v>64</v>
      </c>
      <c r="AN63" s="80" t="str">
        <f>IF(AI63="","",$AN$2)</f>
        <v>C</v>
      </c>
      <c r="AO63" s="80" t="str">
        <f>IF(N63="","",IF(N63&gt;=$AO$1/100,"O","X"))</f>
        <v>O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후보</v>
      </c>
    </row>
    <row r="64" spans="1:48" x14ac:dyDescent="0.3">
      <c r="A64" s="9" t="s">
        <v>432</v>
      </c>
      <c r="B64" s="10" t="s">
        <v>1296</v>
      </c>
      <c r="C64" s="89">
        <v>437</v>
      </c>
      <c r="D64" s="87">
        <v>110.6</v>
      </c>
      <c r="E64" s="88">
        <v>33</v>
      </c>
      <c r="F64" s="87">
        <v>85</v>
      </c>
      <c r="G64" s="17">
        <v>26</v>
      </c>
      <c r="H64" s="89">
        <v>202</v>
      </c>
      <c r="I64" s="90">
        <v>21000</v>
      </c>
      <c r="J64" s="90" t="s">
        <v>70</v>
      </c>
      <c r="K64" s="90"/>
      <c r="L64" s="90"/>
      <c r="M64" s="91">
        <f>I64-K64</f>
        <v>21000</v>
      </c>
      <c r="N64" s="4">
        <f>IF(ISERROR(K64/I64),"",K64/I64)</f>
        <v>0</v>
      </c>
      <c r="O64" s="92">
        <f>I64/E64</f>
        <v>636.36363636363637</v>
      </c>
      <c r="P64" s="92">
        <f>K64/E64</f>
        <v>0</v>
      </c>
      <c r="Q64" s="80">
        <v>3</v>
      </c>
      <c r="R64" s="80">
        <v>2</v>
      </c>
      <c r="S64" s="80" t="s">
        <v>61</v>
      </c>
      <c r="T64" s="5" t="s">
        <v>62</v>
      </c>
      <c r="U64" s="9"/>
      <c r="W64" s="87">
        <f t="shared" si="65"/>
        <v>110.6</v>
      </c>
      <c r="X64" s="88">
        <f t="shared" si="65"/>
        <v>33</v>
      </c>
      <c r="Y64" s="93">
        <f t="shared" si="66"/>
        <v>202</v>
      </c>
      <c r="Z64" s="91">
        <f t="shared" si="66"/>
        <v>21000</v>
      </c>
      <c r="AA64" s="91">
        <f>K64</f>
        <v>0</v>
      </c>
      <c r="AB64" s="91">
        <f t="shared" si="67"/>
        <v>21000</v>
      </c>
      <c r="AC64" s="4">
        <f t="shared" si="67"/>
        <v>0</v>
      </c>
      <c r="AD64" s="92">
        <f t="shared" si="67"/>
        <v>636.36363636363637</v>
      </c>
      <c r="AE64" s="80" t="str">
        <f>S64</f>
        <v>계</v>
      </c>
      <c r="AF64" s="80" t="str">
        <f>Q64&amp;"/"&amp;R64</f>
        <v>3/2</v>
      </c>
      <c r="AH64" s="20" t="str">
        <f t="shared" si="35"/>
        <v>나운보람더하임</v>
      </c>
      <c r="AI64" s="88">
        <f t="shared" si="34"/>
        <v>33</v>
      </c>
      <c r="AJ64" s="80" t="str">
        <f>IF(AI64="","",$AJ$2)</f>
        <v>A-</v>
      </c>
      <c r="AK64" s="80" t="s">
        <v>14</v>
      </c>
      <c r="AL64" s="80" t="s">
        <v>63</v>
      </c>
      <c r="AM64" s="80" t="s">
        <v>64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x14ac:dyDescent="0.3">
      <c r="A65" s="9" t="s">
        <v>432</v>
      </c>
      <c r="B65" s="10" t="s">
        <v>1296</v>
      </c>
      <c r="C65" s="89">
        <v>437</v>
      </c>
      <c r="D65" s="87">
        <v>110.7</v>
      </c>
      <c r="E65" s="88">
        <v>33</v>
      </c>
      <c r="F65" s="87">
        <v>84.9</v>
      </c>
      <c r="G65" s="17">
        <v>26</v>
      </c>
      <c r="H65" s="89">
        <v>14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2</v>
      </c>
      <c r="S65" s="80" t="s">
        <v>61</v>
      </c>
      <c r="T65" s="5" t="s">
        <v>97</v>
      </c>
      <c r="U65" s="9"/>
      <c r="W65" s="87">
        <f t="shared" si="65"/>
        <v>110.7</v>
      </c>
      <c r="X65" s="88">
        <f t="shared" si="65"/>
        <v>33</v>
      </c>
      <c r="Y65" s="93">
        <f t="shared" si="66"/>
        <v>14</v>
      </c>
      <c r="Z65" s="91">
        <f t="shared" si="66"/>
        <v>0</v>
      </c>
      <c r="AA65" s="91">
        <f>K65</f>
        <v>0</v>
      </c>
      <c r="AB65" s="91">
        <f t="shared" si="67"/>
        <v>0</v>
      </c>
      <c r="AC65" s="4" t="str">
        <f t="shared" si="67"/>
        <v/>
      </c>
      <c r="AD65" s="92">
        <f t="shared" si="67"/>
        <v>0</v>
      </c>
      <c r="AE65" s="80" t="str">
        <f>S65</f>
        <v>계</v>
      </c>
      <c r="AF65" s="80" t="str">
        <f>Q65&amp;"/"&amp;R65</f>
        <v>3/2</v>
      </c>
      <c r="AH65" s="20" t="str">
        <f t="shared" si="35"/>
        <v>나운보람더하임</v>
      </c>
      <c r="AI65" s="88">
        <f t="shared" si="34"/>
        <v>33</v>
      </c>
      <c r="AJ65" s="80" t="str">
        <f>IF(AI65="","",$AJ$2)</f>
        <v>A-</v>
      </c>
      <c r="AK65" s="80" t="s">
        <v>14</v>
      </c>
      <c r="AL65" s="80" t="s">
        <v>63</v>
      </c>
      <c r="AM65" s="80" t="s">
        <v>64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  <row r="66" spans="1:48" x14ac:dyDescent="0.3">
      <c r="A66" s="9" t="s">
        <v>432</v>
      </c>
      <c r="B66" s="10" t="s">
        <v>1296</v>
      </c>
      <c r="C66" s="89">
        <v>437</v>
      </c>
      <c r="D66" s="87">
        <v>110.5</v>
      </c>
      <c r="E66" s="88">
        <v>33</v>
      </c>
      <c r="F66" s="87">
        <v>84.5</v>
      </c>
      <c r="G66" s="17">
        <v>26</v>
      </c>
      <c r="H66" s="89">
        <v>12</v>
      </c>
      <c r="I66" s="90"/>
      <c r="J66" s="90"/>
      <c r="K66" s="90"/>
      <c r="L66" s="90"/>
      <c r="M66" s="91">
        <f>I66-K66</f>
        <v>0</v>
      </c>
      <c r="N66" s="4" t="str">
        <f>IF(ISERROR(K66/I66),"",K66/I66)</f>
        <v/>
      </c>
      <c r="O66" s="92">
        <f>I66/E66</f>
        <v>0</v>
      </c>
      <c r="P66" s="92">
        <f>K66/E66</f>
        <v>0</v>
      </c>
      <c r="Q66" s="80">
        <v>3</v>
      </c>
      <c r="R66" s="80">
        <v>2</v>
      </c>
      <c r="S66" s="80" t="s">
        <v>61</v>
      </c>
      <c r="T66" s="5" t="s">
        <v>437</v>
      </c>
      <c r="U66" s="9"/>
      <c r="W66" s="87">
        <f t="shared" si="65"/>
        <v>110.5</v>
      </c>
      <c r="X66" s="88">
        <f t="shared" si="65"/>
        <v>33</v>
      </c>
      <c r="Y66" s="93">
        <f t="shared" si="66"/>
        <v>12</v>
      </c>
      <c r="Z66" s="91">
        <f t="shared" si="66"/>
        <v>0</v>
      </c>
      <c r="AA66" s="91">
        <f>K66</f>
        <v>0</v>
      </c>
      <c r="AB66" s="91">
        <f t="shared" si="67"/>
        <v>0</v>
      </c>
      <c r="AC66" s="4" t="str">
        <f t="shared" si="67"/>
        <v/>
      </c>
      <c r="AD66" s="92">
        <f t="shared" si="67"/>
        <v>0</v>
      </c>
      <c r="AE66" s="80" t="str">
        <f>S66</f>
        <v>계</v>
      </c>
      <c r="AF66" s="80" t="str">
        <f>Q66&amp;"/"&amp;R66</f>
        <v>3/2</v>
      </c>
      <c r="AH66" s="20" t="str">
        <f t="shared" si="35"/>
        <v>나운보람더하임</v>
      </c>
      <c r="AI66" s="88">
        <f t="shared" si="34"/>
        <v>33</v>
      </c>
      <c r="AJ66" s="80" t="str">
        <f>IF(AI66="","",$AJ$2)</f>
        <v>A-</v>
      </c>
      <c r="AK66" s="80" t="s">
        <v>14</v>
      </c>
      <c r="AL66" s="80" t="s">
        <v>63</v>
      </c>
      <c r="AM66" s="80" t="s">
        <v>64</v>
      </c>
      <c r="AN66" s="80" t="str">
        <f>IF(AI66="","",$AN$2)</f>
        <v>C</v>
      </c>
      <c r="AO66" s="80" t="str">
        <f>IF(N66="","",IF(N66&gt;=$AO$1/100,"O","X"))</f>
        <v/>
      </c>
      <c r="AP66" s="80" t="str">
        <f>IF(I66="","",IF(I66&lt;=$AP$1,"O","X"))</f>
        <v/>
      </c>
      <c r="AQ66" s="80" t="str">
        <f>IF(O66="","",IF(O66&lt;=$AQ$1,"O","X"))</f>
        <v>O</v>
      </c>
      <c r="AR66" s="80" t="str">
        <f>IF(M66="","",IF(M66&lt;=$AR$1,"O","X"))</f>
        <v>O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/>
      </c>
    </row>
    <row r="67" spans="1:48" x14ac:dyDescent="0.3">
      <c r="A67" s="9" t="s">
        <v>432</v>
      </c>
      <c r="B67" s="10" t="s">
        <v>1296</v>
      </c>
      <c r="C67" s="89">
        <v>437</v>
      </c>
      <c r="D67" s="87">
        <v>152.69999999999999</v>
      </c>
      <c r="E67" s="88">
        <v>46</v>
      </c>
      <c r="F67" s="87">
        <v>118.6</v>
      </c>
      <c r="G67" s="17">
        <v>36</v>
      </c>
      <c r="H67" s="89">
        <v>54</v>
      </c>
      <c r="I67" s="90">
        <v>32000</v>
      </c>
      <c r="J67" s="90" t="s">
        <v>67</v>
      </c>
      <c r="K67" s="90"/>
      <c r="L67" s="90"/>
      <c r="M67" s="91">
        <f>I67-K67</f>
        <v>32000</v>
      </c>
      <c r="N67" s="4">
        <f>IF(ISERROR(K67/I67),"",K67/I67)</f>
        <v>0</v>
      </c>
      <c r="O67" s="92">
        <f>I67/E67</f>
        <v>695.6521739130435</v>
      </c>
      <c r="P67" s="92">
        <f>K67/E67</f>
        <v>0</v>
      </c>
      <c r="Q67" s="80">
        <v>4</v>
      </c>
      <c r="R67" s="80">
        <v>2</v>
      </c>
      <c r="S67" s="80" t="s">
        <v>61</v>
      </c>
      <c r="T67" s="5">
        <v>152</v>
      </c>
      <c r="U67" s="9"/>
      <c r="W67" s="87">
        <f t="shared" si="65"/>
        <v>152.69999999999999</v>
      </c>
      <c r="X67" s="88">
        <f t="shared" si="65"/>
        <v>46</v>
      </c>
      <c r="Y67" s="93">
        <f t="shared" si="66"/>
        <v>54</v>
      </c>
      <c r="Z67" s="91">
        <f t="shared" si="66"/>
        <v>32000</v>
      </c>
      <c r="AA67" s="91">
        <f>K67</f>
        <v>0</v>
      </c>
      <c r="AB67" s="91">
        <f t="shared" si="67"/>
        <v>32000</v>
      </c>
      <c r="AC67" s="4">
        <f t="shared" si="67"/>
        <v>0</v>
      </c>
      <c r="AD67" s="92">
        <f t="shared" si="67"/>
        <v>695.6521739130435</v>
      </c>
      <c r="AE67" s="80" t="str">
        <f>S67</f>
        <v>계</v>
      </c>
      <c r="AF67" s="80" t="str">
        <f>Q67&amp;"/"&amp;R67</f>
        <v>4/2</v>
      </c>
      <c r="AH67" s="20" t="str">
        <f t="shared" si="35"/>
        <v>나운보람더하임</v>
      </c>
      <c r="AI67" s="88">
        <f t="shared" ref="AI67:AI98" si="68">IF(E67="","",E67)</f>
        <v>46</v>
      </c>
      <c r="AJ67" s="80" t="str">
        <f>IF(AI67="","",$AJ$2)</f>
        <v>A-</v>
      </c>
      <c r="AK67" s="80" t="s">
        <v>14</v>
      </c>
      <c r="AL67" s="80" t="s">
        <v>63</v>
      </c>
      <c r="AM67" s="80" t="s">
        <v>64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X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7" t="str">
        <f>$A$4&amp;" "&amp;A69&amp;"("&amp;B69&amp;","&amp;C69&amp;"^)"</f>
        <v>나운동 동신('97.12.,420^)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5"/>
        <v/>
      </c>
      <c r="AI68" s="112" t="str">
        <f t="shared" si="68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249</v>
      </c>
      <c r="B69" s="10" t="s">
        <v>1297</v>
      </c>
      <c r="C69" s="89">
        <v>420</v>
      </c>
      <c r="D69" s="87">
        <v>112.4</v>
      </c>
      <c r="E69" s="88">
        <v>34</v>
      </c>
      <c r="F69" s="87">
        <v>92.3</v>
      </c>
      <c r="G69" s="17">
        <v>28</v>
      </c>
      <c r="H69" s="89">
        <v>270</v>
      </c>
      <c r="I69" s="90">
        <v>18000</v>
      </c>
      <c r="J69" s="90" t="s">
        <v>67</v>
      </c>
      <c r="K69" s="90"/>
      <c r="L69" s="90"/>
      <c r="M69" s="91">
        <f>I69-K69</f>
        <v>18000</v>
      </c>
      <c r="N69" s="4">
        <f>IF(ISERROR(K69/I69),"",K69/I69)</f>
        <v>0</v>
      </c>
      <c r="O69" s="92">
        <f>I69/E69</f>
        <v>529.41176470588232</v>
      </c>
      <c r="P69" s="92">
        <f>K69/E69</f>
        <v>0</v>
      </c>
      <c r="Q69" s="80">
        <v>3</v>
      </c>
      <c r="R69" s="80">
        <v>2</v>
      </c>
      <c r="S69" s="80" t="s">
        <v>61</v>
      </c>
      <c r="T69" s="5">
        <v>112</v>
      </c>
      <c r="U69" s="9"/>
      <c r="W69" s="87">
        <f>D69</f>
        <v>112.4</v>
      </c>
      <c r="X69" s="88">
        <f>E69</f>
        <v>34</v>
      </c>
      <c r="Y69" s="93">
        <f>H69</f>
        <v>270</v>
      </c>
      <c r="Z69" s="91">
        <f>I69</f>
        <v>18000</v>
      </c>
      <c r="AA69" s="91">
        <f>K69</f>
        <v>0</v>
      </c>
      <c r="AB69" s="91">
        <f t="shared" ref="AB69:AD70" si="69">M69</f>
        <v>18000</v>
      </c>
      <c r="AC69" s="4">
        <f t="shared" si="69"/>
        <v>0</v>
      </c>
      <c r="AD69" s="92">
        <f t="shared" si="69"/>
        <v>529.41176470588232</v>
      </c>
      <c r="AE69" s="80" t="str">
        <f>S69</f>
        <v>계</v>
      </c>
      <c r="AF69" s="80" t="str">
        <f>Q69&amp;"/"&amp;R69</f>
        <v>3/2</v>
      </c>
      <c r="AH69" s="20" t="str">
        <f t="shared" ref="AH69:AH100" si="70">IF(A69="","",A69)</f>
        <v>동신</v>
      </c>
      <c r="AI69" s="88">
        <f t="shared" si="68"/>
        <v>34</v>
      </c>
      <c r="AJ69" s="80" t="str">
        <f>IF(AI69="","",$AJ$2)</f>
        <v>A-</v>
      </c>
      <c r="AK69" s="80" t="s">
        <v>14</v>
      </c>
      <c r="AL69" s="80" t="s">
        <v>63</v>
      </c>
      <c r="AM69" s="80" t="s">
        <v>64</v>
      </c>
      <c r="AN69" s="80" t="str">
        <f>IF(AI69="","",$AN$2)</f>
        <v>C</v>
      </c>
      <c r="AO69" s="80" t="str">
        <f>IF(N69="","",IF(N69&gt;=$AO$1/100,"O","X"))</f>
        <v>X</v>
      </c>
      <c r="AP69" s="80" t="str">
        <f>IF(I69="","",IF(I69&lt;=$AP$1,"O","X"))</f>
        <v>O</v>
      </c>
      <c r="AQ69" s="80" t="str">
        <f>IF(O69="","",IF(O69&lt;=$AQ$1,"O","X"))</f>
        <v>O</v>
      </c>
      <c r="AR69" s="80" t="str">
        <f>IF(M69="","",IF(M69&lt;=$AR$1,"O","X"))</f>
        <v>X</v>
      </c>
      <c r="AS69" s="80" t="s">
        <v>2</v>
      </c>
      <c r="AT69" s="80" t="str">
        <f>IF(OR(F69="",AI69=""),"",IF(AND((F69&lt;=85),(AI69&gt;=15)),"O","X"))</f>
        <v>X</v>
      </c>
      <c r="AU69" s="80" t="str">
        <f>IF(C69="","",IF(C69&gt;=$AU$1,"O","X"))</f>
        <v>O</v>
      </c>
      <c r="AV69" s="80" t="str">
        <f>IF(AO69="","",IF(AND(AO69="O",AP69="O",AR69="O",AT69="O",AU69="O"),"후보","X"))</f>
        <v>X</v>
      </c>
    </row>
    <row r="70" spans="1:48" x14ac:dyDescent="0.3">
      <c r="A70" s="9" t="s">
        <v>249</v>
      </c>
      <c r="B70" s="10" t="s">
        <v>1297</v>
      </c>
      <c r="C70" s="89">
        <v>420</v>
      </c>
      <c r="D70" s="87">
        <v>136.5</v>
      </c>
      <c r="E70" s="88">
        <v>41</v>
      </c>
      <c r="F70" s="87">
        <v>114.6</v>
      </c>
      <c r="G70" s="17">
        <v>35</v>
      </c>
      <c r="H70" s="89">
        <v>150</v>
      </c>
      <c r="I70" s="90">
        <v>22000</v>
      </c>
      <c r="J70" s="90" t="s">
        <v>68</v>
      </c>
      <c r="K70" s="90"/>
      <c r="L70" s="90"/>
      <c r="M70" s="91">
        <f>I70-K70</f>
        <v>22000</v>
      </c>
      <c r="N70" s="4">
        <f>IF(ISERROR(K70/I70),"",K70/I70)</f>
        <v>0</v>
      </c>
      <c r="O70" s="92">
        <f>I70/E70</f>
        <v>536.58536585365857</v>
      </c>
      <c r="P70" s="92">
        <f>K70/E70</f>
        <v>0</v>
      </c>
      <c r="Q70" s="80">
        <v>4</v>
      </c>
      <c r="R70" s="80">
        <v>2</v>
      </c>
      <c r="S70" s="80" t="s">
        <v>61</v>
      </c>
      <c r="T70" s="5">
        <v>136</v>
      </c>
      <c r="U70" s="9"/>
      <c r="W70" s="87">
        <f>D70</f>
        <v>136.5</v>
      </c>
      <c r="X70" s="88">
        <f>E70</f>
        <v>41</v>
      </c>
      <c r="Y70" s="93">
        <f>H70</f>
        <v>150</v>
      </c>
      <c r="Z70" s="91">
        <f>I70</f>
        <v>22000</v>
      </c>
      <c r="AA70" s="91">
        <f>K70</f>
        <v>0</v>
      </c>
      <c r="AB70" s="91">
        <f t="shared" si="69"/>
        <v>22000</v>
      </c>
      <c r="AC70" s="4">
        <f t="shared" si="69"/>
        <v>0</v>
      </c>
      <c r="AD70" s="92">
        <f t="shared" si="69"/>
        <v>536.58536585365857</v>
      </c>
      <c r="AE70" s="80" t="str">
        <f>S70</f>
        <v>계</v>
      </c>
      <c r="AF70" s="80" t="str">
        <f>Q70&amp;"/"&amp;R70</f>
        <v>4/2</v>
      </c>
      <c r="AH70" s="20" t="str">
        <f t="shared" si="70"/>
        <v>동신</v>
      </c>
      <c r="AI70" s="88">
        <f t="shared" si="68"/>
        <v>41</v>
      </c>
      <c r="AJ70" s="80" t="str">
        <f>IF(AI70="","",$AJ$2)</f>
        <v>A-</v>
      </c>
      <c r="AK70" s="80" t="s">
        <v>14</v>
      </c>
      <c r="AL70" s="80" t="s">
        <v>63</v>
      </c>
      <c r="AM70" s="80" t="s">
        <v>64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O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X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/>
      <c r="B71" s="80"/>
      <c r="C71" s="6"/>
      <c r="D71" s="9"/>
      <c r="E71" s="14"/>
      <c r="F71" s="87"/>
      <c r="G71" s="9"/>
      <c r="H71" s="9"/>
      <c r="I71" s="9"/>
      <c r="J71" s="9"/>
      <c r="K71" s="9"/>
      <c r="L71" s="9"/>
      <c r="M71" s="9"/>
      <c r="N71" s="9"/>
      <c r="O71" s="92"/>
      <c r="P71" s="92"/>
      <c r="Q71" s="88"/>
      <c r="R71" s="88"/>
      <c r="S71" s="9"/>
      <c r="T71" s="47"/>
      <c r="U71" s="9"/>
      <c r="W71" s="67" t="str">
        <f>$A$4&amp;" "&amp;A72&amp;"("&amp;B72&amp;","&amp;C72&amp;"^)"</f>
        <v>나운동 대우('97.02.,260^)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70"/>
        <v/>
      </c>
      <c r="AI71" s="112" t="str">
        <f t="shared" si="68"/>
        <v/>
      </c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</row>
    <row r="72" spans="1:48" x14ac:dyDescent="0.3">
      <c r="A72" s="9" t="s">
        <v>442</v>
      </c>
      <c r="B72" s="10" t="s">
        <v>1298</v>
      </c>
      <c r="C72" s="89">
        <v>260</v>
      </c>
      <c r="D72" s="87">
        <v>105.3</v>
      </c>
      <c r="E72" s="88">
        <v>32</v>
      </c>
      <c r="F72" s="87">
        <v>85</v>
      </c>
      <c r="G72" s="17">
        <v>26</v>
      </c>
      <c r="H72" s="89">
        <v>230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80">
        <v>3</v>
      </c>
      <c r="R72" s="80">
        <v>2</v>
      </c>
      <c r="S72" s="80" t="s">
        <v>61</v>
      </c>
      <c r="T72" s="5">
        <v>105</v>
      </c>
      <c r="U72" s="9"/>
      <c r="W72" s="87">
        <f>D72</f>
        <v>105.3</v>
      </c>
      <c r="X72" s="88">
        <f>E72</f>
        <v>32</v>
      </c>
      <c r="Y72" s="93">
        <f>H72</f>
        <v>230</v>
      </c>
      <c r="Z72" s="91">
        <f>I72</f>
        <v>0</v>
      </c>
      <c r="AA72" s="91">
        <f>K72</f>
        <v>0</v>
      </c>
      <c r="AB72" s="91">
        <f t="shared" ref="AB72:AD73" si="71">M72</f>
        <v>0</v>
      </c>
      <c r="AC72" s="4" t="str">
        <f t="shared" si="71"/>
        <v/>
      </c>
      <c r="AD72" s="92">
        <f t="shared" si="71"/>
        <v>0</v>
      </c>
      <c r="AE72" s="80" t="str">
        <f>S72</f>
        <v>계</v>
      </c>
      <c r="AF72" s="80" t="str">
        <f>Q72&amp;"/"&amp;R72</f>
        <v>3/2</v>
      </c>
      <c r="AH72" s="20" t="str">
        <f t="shared" si="70"/>
        <v>대우</v>
      </c>
      <c r="AI72" s="88">
        <f t="shared" si="68"/>
        <v>32</v>
      </c>
      <c r="AJ72" s="80" t="str">
        <f>IF(AI72="","",$AJ$2)</f>
        <v>A-</v>
      </c>
      <c r="AK72" s="80" t="s">
        <v>14</v>
      </c>
      <c r="AL72" s="80" t="s">
        <v>63</v>
      </c>
      <c r="AM72" s="80" t="s">
        <v>64</v>
      </c>
      <c r="AN72" s="80" t="str">
        <f>IF(AI72="","",$AN$2)</f>
        <v>C</v>
      </c>
      <c r="AO72" s="80" t="str">
        <f>IF(N72="","",IF(N72&gt;=$AO$1/100,"O","X"))</f>
        <v/>
      </c>
      <c r="AP72" s="80" t="str">
        <f>IF(I72="","",IF(I72&lt;=$AP$1,"O","X"))</f>
        <v/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X</v>
      </c>
      <c r="AV72" s="80" t="str">
        <f>IF(AO72="","",IF(AND(AO72="O",AP72="O",AR72="O",AT72="O",AU72="O"),"후보","X"))</f>
        <v/>
      </c>
    </row>
    <row r="73" spans="1:48" x14ac:dyDescent="0.3">
      <c r="A73" s="9" t="s">
        <v>442</v>
      </c>
      <c r="B73" s="10" t="s">
        <v>1298</v>
      </c>
      <c r="C73" s="89">
        <v>260</v>
      </c>
      <c r="D73" s="87">
        <v>225.8</v>
      </c>
      <c r="E73" s="88">
        <v>68</v>
      </c>
      <c r="F73" s="87">
        <v>187.1</v>
      </c>
      <c r="G73" s="17">
        <v>57</v>
      </c>
      <c r="H73" s="89">
        <v>30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80">
        <v>5</v>
      </c>
      <c r="R73" s="80">
        <v>2</v>
      </c>
      <c r="S73" s="80" t="s">
        <v>61</v>
      </c>
      <c r="T73" s="5">
        <v>225</v>
      </c>
      <c r="U73" s="9"/>
      <c r="W73" s="87">
        <f>D73</f>
        <v>225.8</v>
      </c>
      <c r="X73" s="88">
        <f>E73</f>
        <v>68</v>
      </c>
      <c r="Y73" s="93">
        <f>H73</f>
        <v>30</v>
      </c>
      <c r="Z73" s="91">
        <f>I73</f>
        <v>0</v>
      </c>
      <c r="AA73" s="91">
        <f>K73</f>
        <v>0</v>
      </c>
      <c r="AB73" s="91">
        <f t="shared" si="71"/>
        <v>0</v>
      </c>
      <c r="AC73" s="4" t="str">
        <f t="shared" si="71"/>
        <v/>
      </c>
      <c r="AD73" s="92">
        <f t="shared" si="71"/>
        <v>0</v>
      </c>
      <c r="AE73" s="80" t="str">
        <f>S73</f>
        <v>계</v>
      </c>
      <c r="AF73" s="80" t="str">
        <f>Q73&amp;"/"&amp;R73</f>
        <v>5/2</v>
      </c>
      <c r="AH73" s="20" t="str">
        <f t="shared" si="70"/>
        <v>대우</v>
      </c>
      <c r="AI73" s="88">
        <f t="shared" si="68"/>
        <v>68</v>
      </c>
      <c r="AJ73" s="80" t="str">
        <f>IF(AI73="","",$AJ$2)</f>
        <v>A-</v>
      </c>
      <c r="AK73" s="80" t="s">
        <v>14</v>
      </c>
      <c r="AL73" s="80" t="s">
        <v>63</v>
      </c>
      <c r="AM73" s="80" t="s">
        <v>64</v>
      </c>
      <c r="AN73" s="80" t="str">
        <f>IF(AI73="","",$AN$2)</f>
        <v>C</v>
      </c>
      <c r="AO73" s="80" t="str">
        <f>IF(N73="","",IF(N73&gt;=$AO$1/100,"O","X"))</f>
        <v/>
      </c>
      <c r="AP73" s="80" t="str">
        <f>IF(I73="","",IF(I73&lt;=$AP$1,"O","X"))</f>
        <v/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X</v>
      </c>
      <c r="AU73" s="80" t="str">
        <f>IF(C73="","",IF(C73&gt;=$AU$1,"O","X"))</f>
        <v>X</v>
      </c>
      <c r="AV73" s="80" t="str">
        <f>IF(AO73="","",IF(AND(AO73="O",AP73="O",AR73="O",AT73="O",AU73="O"),"후보","X"))</f>
        <v/>
      </c>
    </row>
    <row r="74" spans="1:48" x14ac:dyDescent="0.3">
      <c r="A74" s="9"/>
      <c r="B74" s="80"/>
      <c r="C74" s="6"/>
      <c r="D74" s="9"/>
      <c r="E74" s="14"/>
      <c r="F74" s="87"/>
      <c r="G74" s="9"/>
      <c r="H74" s="9"/>
      <c r="I74" s="9"/>
      <c r="J74" s="9"/>
      <c r="K74" s="9"/>
      <c r="L74" s="9"/>
      <c r="M74" s="9"/>
      <c r="N74" s="9"/>
      <c r="O74" s="92"/>
      <c r="P74" s="92"/>
      <c r="Q74" s="88"/>
      <c r="R74" s="88"/>
      <c r="S74" s="9"/>
      <c r="T74" s="47"/>
      <c r="U74" s="9"/>
      <c r="W74" s="67" t="str">
        <f>$A$4&amp;" "&amp;A75&amp;"("&amp;B75&amp;","&amp;C75&amp;"^)"</f>
        <v>나운동 롯데1차('91.03.,420^)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70"/>
        <v/>
      </c>
      <c r="AI74" s="112" t="str">
        <f t="shared" si="68"/>
        <v/>
      </c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</row>
    <row r="75" spans="1:48" x14ac:dyDescent="0.3">
      <c r="A75" s="9" t="s">
        <v>452</v>
      </c>
      <c r="B75" s="10" t="s">
        <v>1299</v>
      </c>
      <c r="C75" s="89">
        <v>420</v>
      </c>
      <c r="D75" s="87">
        <v>91.9</v>
      </c>
      <c r="E75" s="88">
        <v>28</v>
      </c>
      <c r="F75" s="87">
        <v>74</v>
      </c>
      <c r="G75" s="17">
        <v>22</v>
      </c>
      <c r="H75" s="89">
        <v>104</v>
      </c>
      <c r="I75" s="90">
        <v>12200</v>
      </c>
      <c r="J75" s="90" t="s">
        <v>84</v>
      </c>
      <c r="K75" s="90"/>
      <c r="L75" s="90"/>
      <c r="M75" s="91">
        <f>I75-K75</f>
        <v>12200</v>
      </c>
      <c r="N75" s="4">
        <f>IF(ISERROR(K75/I75),"",K75/I75)</f>
        <v>0</v>
      </c>
      <c r="O75" s="92">
        <f>I75/E75</f>
        <v>435.71428571428572</v>
      </c>
      <c r="P75" s="92">
        <f>K75/E75</f>
        <v>0</v>
      </c>
      <c r="Q75" s="80">
        <v>3</v>
      </c>
      <c r="R75" s="80">
        <v>1</v>
      </c>
      <c r="S75" s="80" t="s">
        <v>61</v>
      </c>
      <c r="T75" s="5">
        <v>91</v>
      </c>
      <c r="U75" s="9"/>
      <c r="W75" s="87">
        <f t="shared" ref="W75:X78" si="72">D75</f>
        <v>91.9</v>
      </c>
      <c r="X75" s="88">
        <f t="shared" si="72"/>
        <v>28</v>
      </c>
      <c r="Y75" s="93">
        <f t="shared" ref="Y75:Z78" si="73">H75</f>
        <v>104</v>
      </c>
      <c r="Z75" s="91">
        <f t="shared" si="73"/>
        <v>12200</v>
      </c>
      <c r="AA75" s="91">
        <f>K75</f>
        <v>0</v>
      </c>
      <c r="AB75" s="91">
        <f t="shared" ref="AB75:AD78" si="74">M75</f>
        <v>12200</v>
      </c>
      <c r="AC75" s="4">
        <f t="shared" si="74"/>
        <v>0</v>
      </c>
      <c r="AD75" s="92">
        <f t="shared" si="74"/>
        <v>435.71428571428572</v>
      </c>
      <c r="AE75" s="80" t="str">
        <f>S75</f>
        <v>계</v>
      </c>
      <c r="AF75" s="80" t="str">
        <f>Q75&amp;"/"&amp;R75</f>
        <v>3/1</v>
      </c>
      <c r="AH75" s="20" t="str">
        <f t="shared" si="70"/>
        <v>롯데1차</v>
      </c>
      <c r="AI75" s="88">
        <f t="shared" si="68"/>
        <v>28</v>
      </c>
      <c r="AJ75" s="80" t="str">
        <f>IF(AI75="","",$AJ$2)</f>
        <v>A-</v>
      </c>
      <c r="AK75" s="80" t="s">
        <v>14</v>
      </c>
      <c r="AL75" s="80" t="s">
        <v>63</v>
      </c>
      <c r="AM75" s="80" t="s">
        <v>64</v>
      </c>
      <c r="AN75" s="80" t="str">
        <f>IF(AI75="","",$AN$2)</f>
        <v>C</v>
      </c>
      <c r="AO75" s="80" t="str">
        <f>IF(N75="","",IF(N75&gt;=$AO$1/100,"O","X"))</f>
        <v>X</v>
      </c>
      <c r="AP75" s="80" t="str">
        <f>IF(I75="","",IF(I75&lt;=$AP$1,"O","X"))</f>
        <v>O</v>
      </c>
      <c r="AQ75" s="80" t="str">
        <f>IF(O75="","",IF(O75&lt;=$AQ$1,"O","X"))</f>
        <v>O</v>
      </c>
      <c r="AR75" s="80" t="str">
        <f>IF(M75="","",IF(M75&lt;=$AR$1,"O","X"))</f>
        <v>X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>X</v>
      </c>
    </row>
    <row r="76" spans="1:48" x14ac:dyDescent="0.3">
      <c r="A76" s="9" t="s">
        <v>452</v>
      </c>
      <c r="B76" s="10" t="s">
        <v>1299</v>
      </c>
      <c r="C76" s="89">
        <v>420</v>
      </c>
      <c r="D76" s="87">
        <v>105.9</v>
      </c>
      <c r="E76" s="88">
        <v>32</v>
      </c>
      <c r="F76" s="87">
        <v>84.8</v>
      </c>
      <c r="G76" s="17">
        <v>26</v>
      </c>
      <c r="H76" s="89">
        <v>182</v>
      </c>
      <c r="I76" s="90">
        <v>13500</v>
      </c>
      <c r="J76" s="90" t="s">
        <v>60</v>
      </c>
      <c r="K76" s="90"/>
      <c r="L76" s="90"/>
      <c r="M76" s="91">
        <f>I76-K76</f>
        <v>13500</v>
      </c>
      <c r="N76" s="4">
        <f>IF(ISERROR(K76/I76),"",K76/I76)</f>
        <v>0</v>
      </c>
      <c r="O76" s="92">
        <f>I76/E76</f>
        <v>421.875</v>
      </c>
      <c r="P76" s="92">
        <f>K76/E76</f>
        <v>0</v>
      </c>
      <c r="Q76" s="80">
        <v>3</v>
      </c>
      <c r="R76" s="80">
        <v>2</v>
      </c>
      <c r="S76" s="80" t="s">
        <v>61</v>
      </c>
      <c r="T76" s="5">
        <v>105</v>
      </c>
      <c r="U76" s="9"/>
      <c r="W76" s="87">
        <f t="shared" si="72"/>
        <v>105.9</v>
      </c>
      <c r="X76" s="88">
        <f t="shared" si="72"/>
        <v>32</v>
      </c>
      <c r="Y76" s="93">
        <f t="shared" si="73"/>
        <v>182</v>
      </c>
      <c r="Z76" s="91">
        <f t="shared" si="73"/>
        <v>13500</v>
      </c>
      <c r="AA76" s="91">
        <f>K76</f>
        <v>0</v>
      </c>
      <c r="AB76" s="91">
        <f t="shared" si="74"/>
        <v>13500</v>
      </c>
      <c r="AC76" s="4">
        <f t="shared" si="74"/>
        <v>0</v>
      </c>
      <c r="AD76" s="92">
        <f t="shared" si="74"/>
        <v>421.875</v>
      </c>
      <c r="AE76" s="80" t="str">
        <f>S76</f>
        <v>계</v>
      </c>
      <c r="AF76" s="80" t="str">
        <f>Q76&amp;"/"&amp;R76</f>
        <v>3/2</v>
      </c>
      <c r="AH76" s="20" t="str">
        <f t="shared" si="70"/>
        <v>롯데1차</v>
      </c>
      <c r="AI76" s="88">
        <f t="shared" si="68"/>
        <v>32</v>
      </c>
      <c r="AJ76" s="80" t="str">
        <f>IF(AI76="","",$AJ$2)</f>
        <v>A-</v>
      </c>
      <c r="AK76" s="80" t="s">
        <v>14</v>
      </c>
      <c r="AL76" s="80" t="s">
        <v>63</v>
      </c>
      <c r="AM76" s="80" t="s">
        <v>64</v>
      </c>
      <c r="AN76" s="80" t="str">
        <f>IF(AI76="","",$AN$2)</f>
        <v>C</v>
      </c>
      <c r="AO76" s="80" t="str">
        <f>IF(N76="","",IF(N76&gt;=$AO$1/100,"O","X"))</f>
        <v>X</v>
      </c>
      <c r="AP76" s="80" t="str">
        <f>IF(I76="","",IF(I76&lt;=$AP$1,"O","X"))</f>
        <v>O</v>
      </c>
      <c r="AQ76" s="80" t="str">
        <f>IF(O76="","",IF(O76&lt;=$AQ$1,"O","X"))</f>
        <v>O</v>
      </c>
      <c r="AR76" s="80" t="str">
        <f>IF(M76="","",IF(M76&lt;=$AR$1,"O","X"))</f>
        <v>X</v>
      </c>
      <c r="AS76" s="80" t="s">
        <v>2</v>
      </c>
      <c r="AT76" s="80" t="str">
        <f>IF(OR(F76="",AI76=""),"",IF(AND((F76&lt;=85),(AI76&gt;=15)),"O","X"))</f>
        <v>O</v>
      </c>
      <c r="AU76" s="80" t="str">
        <f>IF(C76="","",IF(C76&gt;=$AU$1,"O","X"))</f>
        <v>O</v>
      </c>
      <c r="AV76" s="80" t="str">
        <f>IF(AO76="","",IF(AND(AO76="O",AP76="O",AR76="O",AT76="O",AU76="O"),"후보","X"))</f>
        <v>X</v>
      </c>
    </row>
    <row r="77" spans="1:48" x14ac:dyDescent="0.3">
      <c r="A77" s="9" t="s">
        <v>452</v>
      </c>
      <c r="B77" s="10" t="s">
        <v>1299</v>
      </c>
      <c r="C77" s="89">
        <v>420</v>
      </c>
      <c r="D77" s="87">
        <v>155.4</v>
      </c>
      <c r="E77" s="88">
        <v>47</v>
      </c>
      <c r="F77" s="87">
        <v>131.80000000000001</v>
      </c>
      <c r="G77" s="17">
        <v>40</v>
      </c>
      <c r="H77" s="89">
        <v>78</v>
      </c>
      <c r="I77" s="90"/>
      <c r="J77" s="90"/>
      <c r="K77" s="90"/>
      <c r="L77" s="90"/>
      <c r="M77" s="91">
        <f>I77-K77</f>
        <v>0</v>
      </c>
      <c r="N77" s="4" t="str">
        <f>IF(ISERROR(K77/I77),"",K77/I77)</f>
        <v/>
      </c>
      <c r="O77" s="92">
        <f>I77/E77</f>
        <v>0</v>
      </c>
      <c r="P77" s="92">
        <f>K77/E77</f>
        <v>0</v>
      </c>
      <c r="Q77" s="80">
        <v>4</v>
      </c>
      <c r="R77" s="80">
        <v>2</v>
      </c>
      <c r="S77" s="80" t="s">
        <v>61</v>
      </c>
      <c r="T77" s="5">
        <v>155</v>
      </c>
      <c r="U77" s="9"/>
      <c r="W77" s="87">
        <f t="shared" si="72"/>
        <v>155.4</v>
      </c>
      <c r="X77" s="88">
        <f t="shared" si="72"/>
        <v>47</v>
      </c>
      <c r="Y77" s="93">
        <f t="shared" si="73"/>
        <v>78</v>
      </c>
      <c r="Z77" s="91">
        <f t="shared" si="73"/>
        <v>0</v>
      </c>
      <c r="AA77" s="91">
        <f>K77</f>
        <v>0</v>
      </c>
      <c r="AB77" s="91">
        <f t="shared" si="74"/>
        <v>0</v>
      </c>
      <c r="AC77" s="4" t="str">
        <f t="shared" si="74"/>
        <v/>
      </c>
      <c r="AD77" s="92">
        <f t="shared" si="74"/>
        <v>0</v>
      </c>
      <c r="AE77" s="80" t="str">
        <f>S77</f>
        <v>계</v>
      </c>
      <c r="AF77" s="80" t="str">
        <f>Q77&amp;"/"&amp;R77</f>
        <v>4/2</v>
      </c>
      <c r="AH77" s="20" t="str">
        <f t="shared" si="70"/>
        <v>롯데1차</v>
      </c>
      <c r="AI77" s="88">
        <f t="shared" si="68"/>
        <v>47</v>
      </c>
      <c r="AJ77" s="80" t="str">
        <f>IF(AI77="","",$AJ$2)</f>
        <v>A-</v>
      </c>
      <c r="AK77" s="80" t="s">
        <v>14</v>
      </c>
      <c r="AL77" s="80" t="s">
        <v>63</v>
      </c>
      <c r="AM77" s="80" t="s">
        <v>64</v>
      </c>
      <c r="AN77" s="80" t="str">
        <f>IF(AI77="","",$AN$2)</f>
        <v>C</v>
      </c>
      <c r="AO77" s="80" t="str">
        <f>IF(N77="","",IF(N77&gt;=$AO$1/100,"O","X"))</f>
        <v/>
      </c>
      <c r="AP77" s="80" t="str">
        <f>IF(I77="","",IF(I77&lt;=$AP$1,"O","X"))</f>
        <v/>
      </c>
      <c r="AQ77" s="80" t="str">
        <f>IF(O77="","",IF(O77&lt;=$AQ$1,"O","X"))</f>
        <v>O</v>
      </c>
      <c r="AR77" s="80" t="str">
        <f>IF(M77="","",IF(M77&lt;=$AR$1,"O","X"))</f>
        <v>O</v>
      </c>
      <c r="AS77" s="80" t="s">
        <v>2</v>
      </c>
      <c r="AT77" s="80" t="str">
        <f>IF(OR(F77="",AI77=""),"",IF(AND((F77&lt;=85),(AI77&gt;=15)),"O","X"))</f>
        <v>X</v>
      </c>
      <c r="AU77" s="80" t="str">
        <f>IF(C77="","",IF(C77&gt;=$AU$1,"O","X"))</f>
        <v>O</v>
      </c>
      <c r="AV77" s="80" t="str">
        <f>IF(AO77="","",IF(AND(AO77="O",AP77="O",AR77="O",AT77="O",AU77="O"),"후보","X"))</f>
        <v/>
      </c>
    </row>
    <row r="78" spans="1:48" x14ac:dyDescent="0.3">
      <c r="A78" s="9" t="s">
        <v>452</v>
      </c>
      <c r="B78" s="10" t="s">
        <v>1299</v>
      </c>
      <c r="C78" s="89">
        <v>420</v>
      </c>
      <c r="D78" s="87">
        <v>191.8</v>
      </c>
      <c r="E78" s="88">
        <v>58</v>
      </c>
      <c r="F78" s="87">
        <v>162.9</v>
      </c>
      <c r="G78" s="17">
        <v>49</v>
      </c>
      <c r="H78" s="89">
        <v>56</v>
      </c>
      <c r="I78" s="90"/>
      <c r="J78" s="90"/>
      <c r="K78" s="90"/>
      <c r="L78" s="90"/>
      <c r="M78" s="91">
        <f>I78-K78</f>
        <v>0</v>
      </c>
      <c r="N78" s="4" t="str">
        <f>IF(ISERROR(K78/I78),"",K78/I78)</f>
        <v/>
      </c>
      <c r="O78" s="92">
        <f>I78/E78</f>
        <v>0</v>
      </c>
      <c r="P78" s="92">
        <f>K78/E78</f>
        <v>0</v>
      </c>
      <c r="Q78" s="80">
        <v>5</v>
      </c>
      <c r="R78" s="80">
        <v>2</v>
      </c>
      <c r="S78" s="80" t="s">
        <v>61</v>
      </c>
      <c r="T78" s="5">
        <v>191</v>
      </c>
      <c r="U78" s="9"/>
      <c r="W78" s="87">
        <f t="shared" si="72"/>
        <v>191.8</v>
      </c>
      <c r="X78" s="88">
        <f t="shared" si="72"/>
        <v>58</v>
      </c>
      <c r="Y78" s="93">
        <f t="shared" si="73"/>
        <v>56</v>
      </c>
      <c r="Z78" s="91">
        <f t="shared" si="73"/>
        <v>0</v>
      </c>
      <c r="AA78" s="91">
        <f>K78</f>
        <v>0</v>
      </c>
      <c r="AB78" s="91">
        <f t="shared" si="74"/>
        <v>0</v>
      </c>
      <c r="AC78" s="4" t="str">
        <f t="shared" si="74"/>
        <v/>
      </c>
      <c r="AD78" s="92">
        <f t="shared" si="74"/>
        <v>0</v>
      </c>
      <c r="AE78" s="80" t="str">
        <f>S78</f>
        <v>계</v>
      </c>
      <c r="AF78" s="80" t="str">
        <f>Q78&amp;"/"&amp;R78</f>
        <v>5/2</v>
      </c>
      <c r="AH78" s="20" t="str">
        <f t="shared" si="70"/>
        <v>롯데1차</v>
      </c>
      <c r="AI78" s="88">
        <f t="shared" si="68"/>
        <v>58</v>
      </c>
      <c r="AJ78" s="80" t="str">
        <f>IF(AI78="","",$AJ$2)</f>
        <v>A-</v>
      </c>
      <c r="AK78" s="80" t="s">
        <v>14</v>
      </c>
      <c r="AL78" s="80" t="s">
        <v>63</v>
      </c>
      <c r="AM78" s="80" t="s">
        <v>64</v>
      </c>
      <c r="AN78" s="80" t="str">
        <f>IF(AI78="","",$AN$2)</f>
        <v>C</v>
      </c>
      <c r="AO78" s="80" t="str">
        <f>IF(N78="","",IF(N78&gt;=$AO$1/100,"O","X"))</f>
        <v/>
      </c>
      <c r="AP78" s="80" t="str">
        <f>IF(I78="","",IF(I78&lt;=$AP$1,"O","X"))</f>
        <v/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X</v>
      </c>
      <c r="AU78" s="80" t="str">
        <f>IF(C78="","",IF(C78&gt;=$AU$1,"O","X"))</f>
        <v>O</v>
      </c>
      <c r="AV78" s="80" t="str">
        <f>IF(AO78="","",IF(AND(AO78="O",AP78="O",AR78="O",AT78="O",AU78="O"),"후보","X"))</f>
        <v/>
      </c>
    </row>
    <row r="79" spans="1:48" x14ac:dyDescent="0.3">
      <c r="A79" s="9"/>
      <c r="B79" s="80"/>
      <c r="C79" s="6"/>
      <c r="D79" s="9"/>
      <c r="E79" s="14"/>
      <c r="F79" s="87"/>
      <c r="G79" s="9"/>
      <c r="H79" s="9"/>
      <c r="I79" s="9"/>
      <c r="J79" s="9"/>
      <c r="K79" s="9"/>
      <c r="L79" s="9"/>
      <c r="M79" s="9"/>
      <c r="N79" s="9"/>
      <c r="O79" s="92"/>
      <c r="P79" s="92"/>
      <c r="Q79" s="88"/>
      <c r="R79" s="88"/>
      <c r="S79" s="9"/>
      <c r="T79" s="47"/>
      <c r="U79" s="9"/>
      <c r="W79" s="67" t="str">
        <f>$A$4&amp;" "&amp;A80&amp;"("&amp;B80&amp;","&amp;C80&amp;"^)"</f>
        <v>나운동 한울('96.07.,840^)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70"/>
        <v/>
      </c>
      <c r="AI79" s="112" t="str">
        <f t="shared" si="68"/>
        <v/>
      </c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</row>
    <row r="80" spans="1:48" x14ac:dyDescent="0.3">
      <c r="A80" s="9" t="s">
        <v>465</v>
      </c>
      <c r="B80" s="10" t="s">
        <v>1300</v>
      </c>
      <c r="C80" s="89">
        <v>840</v>
      </c>
      <c r="D80" s="87">
        <v>76.099999999999994</v>
      </c>
      <c r="E80" s="88">
        <v>23</v>
      </c>
      <c r="F80" s="87">
        <v>59.7</v>
      </c>
      <c r="G80" s="17">
        <v>18</v>
      </c>
      <c r="H80" s="89">
        <v>477</v>
      </c>
      <c r="I80" s="90">
        <v>10000</v>
      </c>
      <c r="J80" s="90" t="s">
        <v>65</v>
      </c>
      <c r="K80" s="90">
        <v>10000</v>
      </c>
      <c r="L80" s="90" t="s">
        <v>84</v>
      </c>
      <c r="M80" s="91">
        <f>I80-K80</f>
        <v>0</v>
      </c>
      <c r="N80" s="4">
        <f>IF(ISERROR(K80/I80),"",K80/I80)</f>
        <v>1</v>
      </c>
      <c r="O80" s="92">
        <f>I80/E80</f>
        <v>434.78260869565219</v>
      </c>
      <c r="P80" s="92">
        <f>K80/E80</f>
        <v>434.78260869565219</v>
      </c>
      <c r="Q80" s="80">
        <v>3</v>
      </c>
      <c r="R80" s="80">
        <v>1</v>
      </c>
      <c r="S80" s="80" t="s">
        <v>61</v>
      </c>
      <c r="T80" s="5" t="s">
        <v>73</v>
      </c>
      <c r="U80" s="9"/>
      <c r="W80" s="87">
        <f>D80</f>
        <v>76.099999999999994</v>
      </c>
      <c r="X80" s="88">
        <f>E80</f>
        <v>23</v>
      </c>
      <c r="Y80" s="93">
        <f>H80</f>
        <v>477</v>
      </c>
      <c r="Z80" s="91">
        <f>I80</f>
        <v>10000</v>
      </c>
      <c r="AA80" s="91">
        <f>K80</f>
        <v>10000</v>
      </c>
      <c r="AB80" s="91">
        <f t="shared" ref="AB80:AD81" si="75">M80</f>
        <v>0</v>
      </c>
      <c r="AC80" s="4">
        <f t="shared" si="75"/>
        <v>1</v>
      </c>
      <c r="AD80" s="92">
        <f t="shared" si="75"/>
        <v>434.78260869565219</v>
      </c>
      <c r="AE80" s="80" t="str">
        <f>S80</f>
        <v>계</v>
      </c>
      <c r="AF80" s="80" t="str">
        <f>Q80&amp;"/"&amp;R80</f>
        <v>3/1</v>
      </c>
      <c r="AH80" s="20" t="str">
        <f t="shared" si="70"/>
        <v>한울</v>
      </c>
      <c r="AI80" s="88">
        <f t="shared" si="68"/>
        <v>23</v>
      </c>
      <c r="AJ80" s="80" t="str">
        <f>IF(AI80="","",$AJ$2)</f>
        <v>A-</v>
      </c>
      <c r="AK80" s="80" t="s">
        <v>14</v>
      </c>
      <c r="AL80" s="80" t="s">
        <v>63</v>
      </c>
      <c r="AM80" s="80" t="s">
        <v>64</v>
      </c>
      <c r="AN80" s="80" t="str">
        <f>IF(AI80="","",$AN$2)</f>
        <v>C</v>
      </c>
      <c r="AO80" s="80" t="str">
        <f>IF(N80="","",IF(N80&gt;=$AO$1/100,"O","X"))</f>
        <v>O</v>
      </c>
      <c r="AP80" s="80" t="str">
        <f>IF(I80="","",IF(I80&lt;=$AP$1,"O","X"))</f>
        <v>O</v>
      </c>
      <c r="AQ80" s="80" t="str">
        <f>IF(O80="","",IF(O80&lt;=$AQ$1,"O","X"))</f>
        <v>O</v>
      </c>
      <c r="AR80" s="80" t="str">
        <f>IF(M80="","",IF(M80&lt;=$AR$1,"O","X"))</f>
        <v>O</v>
      </c>
      <c r="AS80" s="80" t="s">
        <v>2</v>
      </c>
      <c r="AT80" s="80" t="str">
        <f>IF(OR(F80="",AI80=""),"",IF(AND((F80&lt;=85),(AI80&gt;=15)),"O","X"))</f>
        <v>O</v>
      </c>
      <c r="AU80" s="80" t="str">
        <f>IF(C80="","",IF(C80&gt;=$AU$1,"O","X"))</f>
        <v>O</v>
      </c>
      <c r="AV80" s="80" t="str">
        <f>IF(AO80="","",IF(AND(AO80="O",AP80="O",AR80="O",AT80="O",AU80="O"),"후보","X"))</f>
        <v>후보</v>
      </c>
    </row>
    <row r="81" spans="1:48" x14ac:dyDescent="0.3">
      <c r="A81" s="9" t="s">
        <v>465</v>
      </c>
      <c r="B81" s="10" t="s">
        <v>1300</v>
      </c>
      <c r="C81" s="89">
        <v>840</v>
      </c>
      <c r="D81" s="87">
        <v>76.900000000000006</v>
      </c>
      <c r="E81" s="88">
        <v>23</v>
      </c>
      <c r="F81" s="87">
        <v>60</v>
      </c>
      <c r="G81" s="17">
        <v>18</v>
      </c>
      <c r="H81" s="89">
        <v>360</v>
      </c>
      <c r="I81" s="90"/>
      <c r="J81" s="90"/>
      <c r="K81" s="90"/>
      <c r="L81" s="90"/>
      <c r="M81" s="91">
        <f>I81-K81</f>
        <v>0</v>
      </c>
      <c r="N81" s="4" t="str">
        <f>IF(ISERROR(K81/I81),"",K81/I81)</f>
        <v/>
      </c>
      <c r="O81" s="92">
        <f>I81/E81</f>
        <v>0</v>
      </c>
      <c r="P81" s="92">
        <f>K81/E81</f>
        <v>0</v>
      </c>
      <c r="Q81" s="80">
        <v>3</v>
      </c>
      <c r="R81" s="80">
        <v>1</v>
      </c>
      <c r="S81" s="80" t="s">
        <v>61</v>
      </c>
      <c r="T81" s="5" t="s">
        <v>151</v>
      </c>
      <c r="U81" s="9"/>
      <c r="W81" s="87">
        <f>D81</f>
        <v>76.900000000000006</v>
      </c>
      <c r="X81" s="88">
        <f>E81</f>
        <v>23</v>
      </c>
      <c r="Y81" s="93">
        <f>H81</f>
        <v>360</v>
      </c>
      <c r="Z81" s="91">
        <f>I81</f>
        <v>0</v>
      </c>
      <c r="AA81" s="91">
        <f>K81</f>
        <v>0</v>
      </c>
      <c r="AB81" s="91">
        <f t="shared" si="75"/>
        <v>0</v>
      </c>
      <c r="AC81" s="4" t="str">
        <f t="shared" si="75"/>
        <v/>
      </c>
      <c r="AD81" s="92">
        <f t="shared" si="75"/>
        <v>0</v>
      </c>
      <c r="AE81" s="80" t="str">
        <f>S81</f>
        <v>계</v>
      </c>
      <c r="AF81" s="80" t="str">
        <f>Q81&amp;"/"&amp;R81</f>
        <v>3/1</v>
      </c>
      <c r="AH81" s="20" t="str">
        <f t="shared" si="70"/>
        <v>한울</v>
      </c>
      <c r="AI81" s="88">
        <f t="shared" si="68"/>
        <v>23</v>
      </c>
      <c r="AJ81" s="80" t="str">
        <f>IF(AI81="","",$AJ$2)</f>
        <v>A-</v>
      </c>
      <c r="AK81" s="80" t="s">
        <v>14</v>
      </c>
      <c r="AL81" s="80" t="s">
        <v>63</v>
      </c>
      <c r="AM81" s="80" t="s">
        <v>64</v>
      </c>
      <c r="AN81" s="80" t="str">
        <f>IF(AI81="","",$AN$2)</f>
        <v>C</v>
      </c>
      <c r="AO81" s="80" t="str">
        <f>IF(N81="","",IF(N81&gt;=$AO$1/100,"O","X"))</f>
        <v/>
      </c>
      <c r="AP81" s="80" t="str">
        <f>IF(I81="","",IF(I81&lt;=$AP$1,"O","X"))</f>
        <v/>
      </c>
      <c r="AQ81" s="80" t="str">
        <f>IF(O81="","",IF(O81&lt;=$AQ$1,"O","X"))</f>
        <v>O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O</v>
      </c>
      <c r="AU81" s="80" t="str">
        <f>IF(C81="","",IF(C81&gt;=$AU$1,"O","X"))</f>
        <v>O</v>
      </c>
      <c r="AV81" s="80" t="str">
        <f>IF(AO81="","",IF(AND(AO81="O",AP81="O",AR81="O",AT81="O",AU81="O"),"후보","X"))</f>
        <v/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7" t="str">
        <f>$A$4&amp;" "&amp;A83&amp;"("&amp;B83&amp;","&amp;C83&amp;"^)"</f>
        <v>나운동 현대3차('95.06.,479^)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70"/>
        <v/>
      </c>
      <c r="AI82" s="112" t="str">
        <f t="shared" si="68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476</v>
      </c>
      <c r="B83" s="10" t="s">
        <v>1278</v>
      </c>
      <c r="C83" s="89">
        <v>479</v>
      </c>
      <c r="D83" s="87">
        <v>70</v>
      </c>
      <c r="E83" s="88">
        <v>21</v>
      </c>
      <c r="F83" s="87">
        <v>56.4</v>
      </c>
      <c r="G83" s="17">
        <v>17</v>
      </c>
      <c r="H83" s="89">
        <v>20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80">
        <v>2</v>
      </c>
      <c r="R83" s="80">
        <v>1</v>
      </c>
      <c r="S83" s="80" t="s">
        <v>76</v>
      </c>
      <c r="T83" s="5">
        <v>69</v>
      </c>
      <c r="U83" s="9"/>
      <c r="W83" s="87">
        <f t="shared" ref="W83:X86" si="76">D83</f>
        <v>70</v>
      </c>
      <c r="X83" s="88">
        <f t="shared" si="76"/>
        <v>21</v>
      </c>
      <c r="Y83" s="93">
        <f t="shared" ref="Y83:Z86" si="77">H83</f>
        <v>20</v>
      </c>
      <c r="Z83" s="91">
        <f t="shared" si="77"/>
        <v>0</v>
      </c>
      <c r="AA83" s="91">
        <f>K83</f>
        <v>0</v>
      </c>
      <c r="AB83" s="91">
        <f t="shared" ref="AB83:AD86" si="78">M83</f>
        <v>0</v>
      </c>
      <c r="AC83" s="4" t="str">
        <f t="shared" si="78"/>
        <v/>
      </c>
      <c r="AD83" s="92">
        <f t="shared" si="78"/>
        <v>0</v>
      </c>
      <c r="AE83" s="80" t="str">
        <f>S83</f>
        <v>복</v>
      </c>
      <c r="AF83" s="80" t="str">
        <f>Q83&amp;"/"&amp;R83</f>
        <v>2/1</v>
      </c>
      <c r="AH83" s="20" t="str">
        <f t="shared" si="70"/>
        <v>현대3차</v>
      </c>
      <c r="AI83" s="88">
        <f t="shared" si="68"/>
        <v>21</v>
      </c>
      <c r="AJ83" s="80" t="str">
        <f>IF(AI83="","",$AJ$2)</f>
        <v>A-</v>
      </c>
      <c r="AK83" s="80" t="s">
        <v>14</v>
      </c>
      <c r="AL83" s="80" t="s">
        <v>63</v>
      </c>
      <c r="AM83" s="80" t="s">
        <v>64</v>
      </c>
      <c r="AN83" s="80" t="str">
        <f>IF(AI83="","",$AN$2)</f>
        <v>C</v>
      </c>
      <c r="AO83" s="80" t="str">
        <f>IF(N83="","",IF(N83&gt;=$AO$1/100,"O","X"))</f>
        <v/>
      </c>
      <c r="AP83" s="80" t="str">
        <f>IF(I83="","",IF(I83&lt;=$AP$1,"O","X"))</f>
        <v/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/>
      </c>
    </row>
    <row r="84" spans="1:48" x14ac:dyDescent="0.3">
      <c r="A84" s="9" t="s">
        <v>476</v>
      </c>
      <c r="B84" s="10" t="s">
        <v>1278</v>
      </c>
      <c r="C84" s="89">
        <v>479</v>
      </c>
      <c r="D84" s="87">
        <v>74.3</v>
      </c>
      <c r="E84" s="88">
        <v>22</v>
      </c>
      <c r="F84" s="87">
        <v>60</v>
      </c>
      <c r="G84" s="17">
        <v>18</v>
      </c>
      <c r="H84" s="89">
        <v>180</v>
      </c>
      <c r="I84" s="90">
        <v>10800</v>
      </c>
      <c r="J84" s="90" t="s">
        <v>71</v>
      </c>
      <c r="K84" s="90">
        <v>9500</v>
      </c>
      <c r="L84" s="90" t="s">
        <v>84</v>
      </c>
      <c r="M84" s="91">
        <f>I84-K84</f>
        <v>1300</v>
      </c>
      <c r="N84" s="4">
        <f>IF(ISERROR(K84/I84),"",K84/I84)</f>
        <v>0.87962962962962965</v>
      </c>
      <c r="O84" s="92">
        <f>I84/E84</f>
        <v>490.90909090909093</v>
      </c>
      <c r="P84" s="92">
        <f>K84/E84</f>
        <v>431.81818181818181</v>
      </c>
      <c r="Q84" s="80">
        <v>3</v>
      </c>
      <c r="R84" s="80">
        <v>1</v>
      </c>
      <c r="S84" s="80" t="s">
        <v>76</v>
      </c>
      <c r="T84" s="5">
        <v>74</v>
      </c>
      <c r="U84" s="9"/>
      <c r="W84" s="87">
        <f t="shared" si="76"/>
        <v>74.3</v>
      </c>
      <c r="X84" s="88">
        <f t="shared" si="76"/>
        <v>22</v>
      </c>
      <c r="Y84" s="93">
        <f t="shared" si="77"/>
        <v>180</v>
      </c>
      <c r="Z84" s="91">
        <f t="shared" si="77"/>
        <v>10800</v>
      </c>
      <c r="AA84" s="91">
        <f>K84</f>
        <v>9500</v>
      </c>
      <c r="AB84" s="91">
        <f t="shared" si="78"/>
        <v>1300</v>
      </c>
      <c r="AC84" s="4">
        <f t="shared" si="78"/>
        <v>0.87962962962962965</v>
      </c>
      <c r="AD84" s="92">
        <f t="shared" si="78"/>
        <v>490.90909090909093</v>
      </c>
      <c r="AE84" s="80" t="str">
        <f>S84</f>
        <v>복</v>
      </c>
      <c r="AF84" s="80" t="str">
        <f>Q84&amp;"/"&amp;R84</f>
        <v>3/1</v>
      </c>
      <c r="AH84" s="20" t="str">
        <f t="shared" si="70"/>
        <v>현대3차</v>
      </c>
      <c r="AI84" s="88">
        <f t="shared" si="68"/>
        <v>22</v>
      </c>
      <c r="AJ84" s="80" t="str">
        <f>IF(AI84="","",$AJ$2)</f>
        <v>A-</v>
      </c>
      <c r="AK84" s="80" t="s">
        <v>14</v>
      </c>
      <c r="AL84" s="80" t="s">
        <v>63</v>
      </c>
      <c r="AM84" s="80" t="s">
        <v>64</v>
      </c>
      <c r="AN84" s="80" t="str">
        <f>IF(AI84="","",$AN$2)</f>
        <v>C</v>
      </c>
      <c r="AO84" s="80" t="str">
        <f>IF(N84="","",IF(N84&gt;=$AO$1/100,"O","X"))</f>
        <v>O</v>
      </c>
      <c r="AP84" s="80" t="str">
        <f>IF(I84="","",IF(I84&lt;=$AP$1,"O","X"))</f>
        <v>O</v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>후보</v>
      </c>
    </row>
    <row r="85" spans="1:48" x14ac:dyDescent="0.3">
      <c r="A85" s="9" t="s">
        <v>476</v>
      </c>
      <c r="B85" s="10" t="s">
        <v>1278</v>
      </c>
      <c r="C85" s="89">
        <v>479</v>
      </c>
      <c r="D85" s="87">
        <v>105.3</v>
      </c>
      <c r="E85" s="88">
        <v>32</v>
      </c>
      <c r="F85" s="87">
        <v>85</v>
      </c>
      <c r="G85" s="17">
        <v>26</v>
      </c>
      <c r="H85" s="89">
        <v>199</v>
      </c>
      <c r="I85" s="90">
        <v>15000</v>
      </c>
      <c r="J85" s="90" t="s">
        <v>72</v>
      </c>
      <c r="K85" s="90"/>
      <c r="L85" s="90"/>
      <c r="M85" s="91">
        <f>I85-K85</f>
        <v>15000</v>
      </c>
      <c r="N85" s="4">
        <f>IF(ISERROR(K85/I85),"",K85/I85)</f>
        <v>0</v>
      </c>
      <c r="O85" s="92">
        <f>I85/E85</f>
        <v>468.75</v>
      </c>
      <c r="P85" s="92">
        <f>K85/E85</f>
        <v>0</v>
      </c>
      <c r="Q85" s="80">
        <v>3</v>
      </c>
      <c r="R85" s="80">
        <v>2</v>
      </c>
      <c r="S85" s="80" t="s">
        <v>61</v>
      </c>
      <c r="T85" s="5">
        <v>105</v>
      </c>
      <c r="U85" s="9"/>
      <c r="W85" s="87">
        <f t="shared" si="76"/>
        <v>105.3</v>
      </c>
      <c r="X85" s="88">
        <f t="shared" si="76"/>
        <v>32</v>
      </c>
      <c r="Y85" s="93">
        <f t="shared" si="77"/>
        <v>199</v>
      </c>
      <c r="Z85" s="91">
        <f t="shared" si="77"/>
        <v>15000</v>
      </c>
      <c r="AA85" s="91">
        <f>K85</f>
        <v>0</v>
      </c>
      <c r="AB85" s="91">
        <f t="shared" si="78"/>
        <v>15000</v>
      </c>
      <c r="AC85" s="4">
        <f t="shared" si="78"/>
        <v>0</v>
      </c>
      <c r="AD85" s="92">
        <f t="shared" si="78"/>
        <v>468.75</v>
      </c>
      <c r="AE85" s="80" t="str">
        <f>S85</f>
        <v>계</v>
      </c>
      <c r="AF85" s="80" t="str">
        <f>Q85&amp;"/"&amp;R85</f>
        <v>3/2</v>
      </c>
      <c r="AH85" s="20" t="str">
        <f t="shared" si="70"/>
        <v>현대3차</v>
      </c>
      <c r="AI85" s="88">
        <f t="shared" si="68"/>
        <v>32</v>
      </c>
      <c r="AJ85" s="80" t="str">
        <f>IF(AI85="","",$AJ$2)</f>
        <v>A-</v>
      </c>
      <c r="AK85" s="80" t="s">
        <v>14</v>
      </c>
      <c r="AL85" s="80" t="s">
        <v>63</v>
      </c>
      <c r="AM85" s="80" t="s">
        <v>64</v>
      </c>
      <c r="AN85" s="80" t="str">
        <f>IF(AI85="","",$AN$2)</f>
        <v>C</v>
      </c>
      <c r="AO85" s="80" t="str">
        <f>IF(N85="","",IF(N85&gt;=$AO$1/100,"O","X"))</f>
        <v>X</v>
      </c>
      <c r="AP85" s="80" t="str">
        <f>IF(I85="","",IF(I85&lt;=$AP$1,"O","X"))</f>
        <v>O</v>
      </c>
      <c r="AQ85" s="80" t="str">
        <f>IF(O85="","",IF(O85&lt;=$AQ$1,"O","X"))</f>
        <v>O</v>
      </c>
      <c r="AR85" s="80" t="str">
        <f>IF(M85="","",IF(M85&lt;=$AR$1,"O","X"))</f>
        <v>X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X</v>
      </c>
    </row>
    <row r="86" spans="1:48" x14ac:dyDescent="0.3">
      <c r="A86" s="9" t="s">
        <v>476</v>
      </c>
      <c r="B86" s="10" t="s">
        <v>1278</v>
      </c>
      <c r="C86" s="89">
        <v>479</v>
      </c>
      <c r="D86" s="87">
        <v>167.1</v>
      </c>
      <c r="E86" s="88">
        <v>51</v>
      </c>
      <c r="F86" s="87">
        <v>134.80000000000001</v>
      </c>
      <c r="G86" s="17">
        <v>41</v>
      </c>
      <c r="H86" s="89">
        <v>80</v>
      </c>
      <c r="I86" s="90"/>
      <c r="J86" s="90"/>
      <c r="K86" s="90"/>
      <c r="L86" s="90"/>
      <c r="M86" s="91">
        <f>I86-K86</f>
        <v>0</v>
      </c>
      <c r="N86" s="4" t="str">
        <f>IF(ISERROR(K86/I86),"",K86/I86)</f>
        <v/>
      </c>
      <c r="O86" s="92">
        <f>I86/E86</f>
        <v>0</v>
      </c>
      <c r="P86" s="92">
        <f>K86/E86</f>
        <v>0</v>
      </c>
      <c r="Q86" s="80">
        <v>4</v>
      </c>
      <c r="R86" s="80">
        <v>2</v>
      </c>
      <c r="S86" s="80" t="s">
        <v>61</v>
      </c>
      <c r="T86" s="5">
        <v>167</v>
      </c>
      <c r="U86" s="9"/>
      <c r="W86" s="87">
        <f t="shared" si="76"/>
        <v>167.1</v>
      </c>
      <c r="X86" s="88">
        <f t="shared" si="76"/>
        <v>51</v>
      </c>
      <c r="Y86" s="93">
        <f t="shared" si="77"/>
        <v>80</v>
      </c>
      <c r="Z86" s="91">
        <f t="shared" si="77"/>
        <v>0</v>
      </c>
      <c r="AA86" s="91">
        <f>K86</f>
        <v>0</v>
      </c>
      <c r="AB86" s="91">
        <f t="shared" si="78"/>
        <v>0</v>
      </c>
      <c r="AC86" s="4" t="str">
        <f t="shared" si="78"/>
        <v/>
      </c>
      <c r="AD86" s="92">
        <f t="shared" si="78"/>
        <v>0</v>
      </c>
      <c r="AE86" s="80" t="str">
        <f>S86</f>
        <v>계</v>
      </c>
      <c r="AF86" s="80" t="str">
        <f>Q86&amp;"/"&amp;R86</f>
        <v>4/2</v>
      </c>
      <c r="AH86" s="20" t="str">
        <f t="shared" si="70"/>
        <v>현대3차</v>
      </c>
      <c r="AI86" s="88">
        <f t="shared" si="68"/>
        <v>51</v>
      </c>
      <c r="AJ86" s="80" t="str">
        <f>IF(AI86="","",$AJ$2)</f>
        <v>A-</v>
      </c>
      <c r="AK86" s="80" t="s">
        <v>14</v>
      </c>
      <c r="AL86" s="80" t="s">
        <v>63</v>
      </c>
      <c r="AM86" s="80" t="s">
        <v>64</v>
      </c>
      <c r="AN86" s="80" t="str">
        <f>IF(AI86="","",$AN$2)</f>
        <v>C</v>
      </c>
      <c r="AO86" s="80" t="str">
        <f>IF(N86="","",IF(N86&gt;=$AO$1/100,"O","X"))</f>
        <v/>
      </c>
      <c r="AP86" s="80" t="str">
        <f>IF(I86="","",IF(I86&lt;=$AP$1,"O","X"))</f>
        <v/>
      </c>
      <c r="AQ86" s="80" t="str">
        <f>IF(O86="","",IF(O86&lt;=$AQ$1,"O","X"))</f>
        <v>O</v>
      </c>
      <c r="AR86" s="80" t="str">
        <f>IF(M86="","",IF(M86&lt;=$AR$1,"O","X"))</f>
        <v>O</v>
      </c>
      <c r="AS86" s="80" t="s">
        <v>2</v>
      </c>
      <c r="AT86" s="80" t="str">
        <f>IF(OR(F86="",AI86=""),"",IF(AND((F86&lt;=85),(AI86&gt;=15)),"O","X"))</f>
        <v>X</v>
      </c>
      <c r="AU86" s="80" t="str">
        <f>IF(C86="","",IF(C86&gt;=$AU$1,"O","X"))</f>
        <v>O</v>
      </c>
      <c r="AV86" s="80" t="str">
        <f>IF(AO86="","",IF(AND(AO86="O",AP86="O",AR86="O",AT86="O",AU86="O"),"후보","X"))</f>
        <v/>
      </c>
    </row>
    <row r="87" spans="1:48" x14ac:dyDescent="0.3">
      <c r="A87" s="9"/>
      <c r="B87" s="80"/>
      <c r="C87" s="6"/>
      <c r="D87" s="9"/>
      <c r="E87" s="14"/>
      <c r="F87" s="87"/>
      <c r="G87" s="9"/>
      <c r="H87" s="9"/>
      <c r="I87" s="9"/>
      <c r="J87" s="9"/>
      <c r="K87" s="9"/>
      <c r="L87" s="9"/>
      <c r="M87" s="9"/>
      <c r="N87" s="9"/>
      <c r="O87" s="92"/>
      <c r="P87" s="92"/>
      <c r="Q87" s="88"/>
      <c r="R87" s="88"/>
      <c r="S87" s="9"/>
      <c r="T87" s="47"/>
      <c r="U87" s="9"/>
      <c r="W87" s="67" t="str">
        <f>$A$4&amp;" "&amp;A88&amp;"("&amp;B88&amp;","&amp;C88&amp;"^)"</f>
        <v>나운동 현대백조('92.11.,498^)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70"/>
        <v/>
      </c>
      <c r="AI87" s="112" t="str">
        <f t="shared" si="68"/>
        <v/>
      </c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</row>
    <row r="88" spans="1:48" x14ac:dyDescent="0.3">
      <c r="A88" s="9" t="s">
        <v>480</v>
      </c>
      <c r="B88" s="10" t="s">
        <v>1301</v>
      </c>
      <c r="C88" s="89">
        <v>498</v>
      </c>
      <c r="D88" s="87">
        <v>84.4</v>
      </c>
      <c r="E88" s="88">
        <v>26</v>
      </c>
      <c r="F88" s="87">
        <v>73.2</v>
      </c>
      <c r="G88" s="17">
        <v>22</v>
      </c>
      <c r="H88" s="89">
        <v>84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3</v>
      </c>
      <c r="R88" s="80">
        <v>1</v>
      </c>
      <c r="S88" s="80" t="s">
        <v>61</v>
      </c>
      <c r="T88" s="5">
        <v>84</v>
      </c>
      <c r="U88" s="9"/>
      <c r="W88" s="87">
        <f t="shared" ref="W88:X90" si="79">D88</f>
        <v>84.4</v>
      </c>
      <c r="X88" s="88">
        <f t="shared" si="79"/>
        <v>26</v>
      </c>
      <c r="Y88" s="93">
        <f t="shared" ref="Y88:Z90" si="80">H88</f>
        <v>84</v>
      </c>
      <c r="Z88" s="91">
        <f t="shared" si="80"/>
        <v>0</v>
      </c>
      <c r="AA88" s="91">
        <f>K88</f>
        <v>0</v>
      </c>
      <c r="AB88" s="91">
        <f t="shared" ref="AB88:AD90" si="81">M88</f>
        <v>0</v>
      </c>
      <c r="AC88" s="4" t="str">
        <f t="shared" si="81"/>
        <v/>
      </c>
      <c r="AD88" s="92">
        <f t="shared" si="81"/>
        <v>0</v>
      </c>
      <c r="AE88" s="80" t="str">
        <f>S88</f>
        <v>계</v>
      </c>
      <c r="AF88" s="80" t="str">
        <f>Q88&amp;"/"&amp;R88</f>
        <v>3/1</v>
      </c>
      <c r="AH88" s="20" t="str">
        <f t="shared" si="70"/>
        <v>현대백조</v>
      </c>
      <c r="AI88" s="88">
        <f t="shared" si="68"/>
        <v>26</v>
      </c>
      <c r="AJ88" s="80" t="str">
        <f>IF(AI88="","",$AJ$2)</f>
        <v>A-</v>
      </c>
      <c r="AK88" s="80" t="s">
        <v>14</v>
      </c>
      <c r="AL88" s="80" t="s">
        <v>63</v>
      </c>
      <c r="AM88" s="80" t="s">
        <v>64</v>
      </c>
      <c r="AN88" s="80" t="str">
        <f>IF(AI88="","",$AN$2)</f>
        <v>C</v>
      </c>
      <c r="AO88" s="80" t="str">
        <f>IF(N88="","",IF(N88&gt;=$AO$1/100,"O","X"))</f>
        <v/>
      </c>
      <c r="AP88" s="80" t="str">
        <f>IF(I88="","",IF(I88&lt;=$AP$1,"O","X"))</f>
        <v/>
      </c>
      <c r="AQ88" s="80" t="str">
        <f>IF(O88="","",IF(O88&lt;=$AQ$1,"O","X"))</f>
        <v>O</v>
      </c>
      <c r="AR88" s="80" t="str">
        <f>IF(M88="","",IF(M88&lt;=$AR$1,"O","X"))</f>
        <v>O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O</v>
      </c>
      <c r="AV88" s="80" t="str">
        <f>IF(AO88="","",IF(AND(AO88="O",AP88="O",AR88="O",AT88="O",AU88="O"),"후보","X"))</f>
        <v/>
      </c>
    </row>
    <row r="89" spans="1:48" x14ac:dyDescent="0.3">
      <c r="A89" s="9" t="s">
        <v>480</v>
      </c>
      <c r="B89" s="10" t="s">
        <v>1301</v>
      </c>
      <c r="C89" s="89">
        <v>498</v>
      </c>
      <c r="D89" s="87">
        <v>95.8</v>
      </c>
      <c r="E89" s="88">
        <v>29</v>
      </c>
      <c r="F89" s="87">
        <v>84.6</v>
      </c>
      <c r="G89" s="17">
        <v>26</v>
      </c>
      <c r="H89" s="89">
        <v>384</v>
      </c>
      <c r="I89" s="90">
        <v>10000</v>
      </c>
      <c r="J89" s="90" t="s">
        <v>65</v>
      </c>
      <c r="K89" s="90"/>
      <c r="L89" s="90"/>
      <c r="M89" s="91">
        <f>I89-K89</f>
        <v>10000</v>
      </c>
      <c r="N89" s="4">
        <f>IF(ISERROR(K89/I89),"",K89/I89)</f>
        <v>0</v>
      </c>
      <c r="O89" s="92">
        <f>I89/E89</f>
        <v>344.82758620689657</v>
      </c>
      <c r="P89" s="92">
        <f>K89/E89</f>
        <v>0</v>
      </c>
      <c r="Q89" s="80">
        <v>3</v>
      </c>
      <c r="R89" s="80">
        <v>2</v>
      </c>
      <c r="S89" s="80" t="s">
        <v>61</v>
      </c>
      <c r="T89" s="5" t="s">
        <v>132</v>
      </c>
      <c r="U89" s="9"/>
      <c r="W89" s="87">
        <f t="shared" si="79"/>
        <v>95.8</v>
      </c>
      <c r="X89" s="88">
        <f t="shared" si="79"/>
        <v>29</v>
      </c>
      <c r="Y89" s="93">
        <f t="shared" si="80"/>
        <v>384</v>
      </c>
      <c r="Z89" s="91">
        <f t="shared" si="80"/>
        <v>10000</v>
      </c>
      <c r="AA89" s="91">
        <f>K89</f>
        <v>0</v>
      </c>
      <c r="AB89" s="91">
        <f t="shared" si="81"/>
        <v>10000</v>
      </c>
      <c r="AC89" s="4">
        <f t="shared" si="81"/>
        <v>0</v>
      </c>
      <c r="AD89" s="92">
        <f t="shared" si="81"/>
        <v>344.82758620689657</v>
      </c>
      <c r="AE89" s="80" t="str">
        <f>S89</f>
        <v>계</v>
      </c>
      <c r="AF89" s="80" t="str">
        <f>Q89&amp;"/"&amp;R89</f>
        <v>3/2</v>
      </c>
      <c r="AH89" s="20" t="str">
        <f t="shared" si="70"/>
        <v>현대백조</v>
      </c>
      <c r="AI89" s="88">
        <f t="shared" si="68"/>
        <v>29</v>
      </c>
      <c r="AJ89" s="80" t="str">
        <f>IF(AI89="","",$AJ$2)</f>
        <v>A-</v>
      </c>
      <c r="AK89" s="80" t="s">
        <v>14</v>
      </c>
      <c r="AL89" s="80" t="s">
        <v>63</v>
      </c>
      <c r="AM89" s="80" t="s">
        <v>64</v>
      </c>
      <c r="AN89" s="80" t="str">
        <f>IF(AI89="","",$AN$2)</f>
        <v>C</v>
      </c>
      <c r="AO89" s="80" t="str">
        <f>IF(N89="","",IF(N89&gt;=$AO$1/100,"O","X"))</f>
        <v>X</v>
      </c>
      <c r="AP89" s="80" t="str">
        <f>IF(I89="","",IF(I89&lt;=$AP$1,"O","X"))</f>
        <v>O</v>
      </c>
      <c r="AQ89" s="80" t="str">
        <f>IF(O89="","",IF(O89&lt;=$AQ$1,"O","X"))</f>
        <v>O</v>
      </c>
      <c r="AR89" s="80" t="str">
        <f>IF(M89="","",IF(M89&lt;=$AR$1,"O","X"))</f>
        <v>X</v>
      </c>
      <c r="AS89" s="80" t="s">
        <v>2</v>
      </c>
      <c r="AT89" s="80" t="str">
        <f>IF(OR(F89="",AI89=""),"",IF(AND((F89&lt;=85),(AI89&gt;=15)),"O","X"))</f>
        <v>O</v>
      </c>
      <c r="AU89" s="80" t="str">
        <f>IF(C89="","",IF(C89&gt;=$AU$1,"O","X"))</f>
        <v>O</v>
      </c>
      <c r="AV89" s="80" t="str">
        <f>IF(AO89="","",IF(AND(AO89="O",AP89="O",AR89="O",AT89="O",AU89="O"),"후보","X"))</f>
        <v>X</v>
      </c>
    </row>
    <row r="90" spans="1:48" x14ac:dyDescent="0.3">
      <c r="A90" s="9" t="s">
        <v>480</v>
      </c>
      <c r="B90" s="10" t="s">
        <v>1301</v>
      </c>
      <c r="C90" s="89">
        <v>498</v>
      </c>
      <c r="D90" s="87">
        <v>95.7</v>
      </c>
      <c r="E90" s="88">
        <v>29</v>
      </c>
      <c r="F90" s="87">
        <v>84.5</v>
      </c>
      <c r="G90" s="17">
        <v>26</v>
      </c>
      <c r="H90" s="89">
        <v>30</v>
      </c>
      <c r="I90" s="90"/>
      <c r="J90" s="90"/>
      <c r="K90" s="90"/>
      <c r="L90" s="90"/>
      <c r="M90" s="91">
        <f>I90-K90</f>
        <v>0</v>
      </c>
      <c r="N90" s="4" t="str">
        <f>IF(ISERROR(K90/I90),"",K90/I90)</f>
        <v/>
      </c>
      <c r="O90" s="92">
        <f>I90/E90</f>
        <v>0</v>
      </c>
      <c r="P90" s="92">
        <f>K90/E90</f>
        <v>0</v>
      </c>
      <c r="Q90" s="80">
        <v>3</v>
      </c>
      <c r="R90" s="80">
        <v>2</v>
      </c>
      <c r="S90" s="80" t="s">
        <v>61</v>
      </c>
      <c r="T90" s="5" t="s">
        <v>485</v>
      </c>
      <c r="U90" s="9"/>
      <c r="W90" s="87">
        <f t="shared" si="79"/>
        <v>95.7</v>
      </c>
      <c r="X90" s="88">
        <f t="shared" si="79"/>
        <v>29</v>
      </c>
      <c r="Y90" s="93">
        <f t="shared" si="80"/>
        <v>30</v>
      </c>
      <c r="Z90" s="91">
        <f t="shared" si="80"/>
        <v>0</v>
      </c>
      <c r="AA90" s="91">
        <f>K90</f>
        <v>0</v>
      </c>
      <c r="AB90" s="91">
        <f t="shared" si="81"/>
        <v>0</v>
      </c>
      <c r="AC90" s="4" t="str">
        <f t="shared" si="81"/>
        <v/>
      </c>
      <c r="AD90" s="92">
        <f t="shared" si="81"/>
        <v>0</v>
      </c>
      <c r="AE90" s="80" t="str">
        <f>S90</f>
        <v>계</v>
      </c>
      <c r="AF90" s="80" t="str">
        <f>Q90&amp;"/"&amp;R90</f>
        <v>3/2</v>
      </c>
      <c r="AH90" s="20" t="str">
        <f t="shared" si="70"/>
        <v>현대백조</v>
      </c>
      <c r="AI90" s="88">
        <f t="shared" si="68"/>
        <v>29</v>
      </c>
      <c r="AJ90" s="80" t="str">
        <f>IF(AI90="","",$AJ$2)</f>
        <v>A-</v>
      </c>
      <c r="AK90" s="80" t="s">
        <v>14</v>
      </c>
      <c r="AL90" s="80" t="s">
        <v>63</v>
      </c>
      <c r="AM90" s="80" t="s">
        <v>64</v>
      </c>
      <c r="AN90" s="80" t="str">
        <f>IF(AI90="","",$AN$2)</f>
        <v>C</v>
      </c>
      <c r="AO90" s="80" t="str">
        <f>IF(N90="","",IF(N90&gt;=$AO$1/100,"O","X"))</f>
        <v/>
      </c>
      <c r="AP90" s="80" t="str">
        <f>IF(I90="","",IF(I90&lt;=$AP$1,"O","X"))</f>
        <v/>
      </c>
      <c r="AQ90" s="80" t="str">
        <f>IF(O90="","",IF(O90&lt;=$AQ$1,"O","X"))</f>
        <v>O</v>
      </c>
      <c r="AR90" s="80" t="str">
        <f>IF(M90="","",IF(M90&lt;=$AR$1,"O","X"))</f>
        <v>O</v>
      </c>
      <c r="AS90" s="80" t="s">
        <v>2</v>
      </c>
      <c r="AT90" s="80" t="str">
        <f>IF(OR(F90="",AI90=""),"",IF(AND((F90&lt;=85),(AI90&gt;=15)),"O","X"))</f>
        <v>O</v>
      </c>
      <c r="AU90" s="80" t="str">
        <f>IF(C90="","",IF(C90&gt;=$AU$1,"O","X"))</f>
        <v>O</v>
      </c>
      <c r="AV90" s="80" t="str">
        <f>IF(AO90="","",IF(AND(AO90="O",AP90="O",AR90="O",AT90="O",AU90="O"),"후보","X"))</f>
        <v/>
      </c>
    </row>
    <row r="91" spans="1:48" x14ac:dyDescent="0.3">
      <c r="A91" s="9"/>
      <c r="B91" s="80"/>
      <c r="C91" s="6"/>
      <c r="D91" s="9"/>
      <c r="E91" s="14"/>
      <c r="F91" s="87"/>
      <c r="G91" s="9"/>
      <c r="H91" s="9"/>
      <c r="I91" s="9"/>
      <c r="J91" s="9"/>
      <c r="K91" s="9"/>
      <c r="L91" s="9"/>
      <c r="M91" s="9"/>
      <c r="N91" s="9"/>
      <c r="O91" s="92"/>
      <c r="P91" s="92"/>
      <c r="Q91" s="88"/>
      <c r="R91" s="88"/>
      <c r="S91" s="9"/>
      <c r="T91" s="47"/>
      <c r="U91" s="9"/>
      <c r="W91" s="67" t="str">
        <f>$A$4&amp;" "&amp;A92&amp;"("&amp;B92&amp;","&amp;C92&amp;"^)"</f>
        <v>나운동 동신진주('93.12.,246^)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0"/>
        <v/>
      </c>
      <c r="AI91" s="112" t="str">
        <f t="shared" si="68"/>
        <v/>
      </c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</row>
    <row r="92" spans="1:48" x14ac:dyDescent="0.3">
      <c r="A92" s="9" t="s">
        <v>486</v>
      </c>
      <c r="B92" s="10" t="s">
        <v>1302</v>
      </c>
      <c r="C92" s="89">
        <v>246</v>
      </c>
      <c r="D92" s="87">
        <v>74.400000000000006</v>
      </c>
      <c r="E92" s="88">
        <v>23</v>
      </c>
      <c r="F92" s="87">
        <v>59.1</v>
      </c>
      <c r="G92" s="17">
        <v>18</v>
      </c>
      <c r="H92" s="89">
        <v>168</v>
      </c>
      <c r="I92" s="90"/>
      <c r="J92" s="90"/>
      <c r="K92" s="90"/>
      <c r="L92" s="90"/>
      <c r="M92" s="91">
        <f>I92-K92</f>
        <v>0</v>
      </c>
      <c r="N92" s="4" t="str">
        <f>IF(ISERROR(K92/I92),"",K92/I92)</f>
        <v/>
      </c>
      <c r="O92" s="92">
        <f>I92/E92</f>
        <v>0</v>
      </c>
      <c r="P92" s="92">
        <f>K92/E92</f>
        <v>0</v>
      </c>
      <c r="Q92" s="80">
        <v>3</v>
      </c>
      <c r="R92" s="80">
        <v>1</v>
      </c>
      <c r="S92" s="80" t="s">
        <v>61</v>
      </c>
      <c r="T92" s="5">
        <v>74</v>
      </c>
      <c r="U92" s="9"/>
      <c r="W92" s="87">
        <f t="shared" ref="W92:X95" si="82">D92</f>
        <v>74.400000000000006</v>
      </c>
      <c r="X92" s="88">
        <f t="shared" si="82"/>
        <v>23</v>
      </c>
      <c r="Y92" s="93">
        <f t="shared" ref="Y92:Z95" si="83">H92</f>
        <v>168</v>
      </c>
      <c r="Z92" s="91">
        <f t="shared" si="83"/>
        <v>0</v>
      </c>
      <c r="AA92" s="91">
        <f>K92</f>
        <v>0</v>
      </c>
      <c r="AB92" s="91">
        <f t="shared" ref="AB92:AD95" si="84">M92</f>
        <v>0</v>
      </c>
      <c r="AC92" s="4" t="str">
        <f t="shared" si="84"/>
        <v/>
      </c>
      <c r="AD92" s="92">
        <f t="shared" si="84"/>
        <v>0</v>
      </c>
      <c r="AE92" s="80" t="str">
        <f>S92</f>
        <v>계</v>
      </c>
      <c r="AF92" s="80" t="str">
        <f>Q92&amp;"/"&amp;R92</f>
        <v>3/1</v>
      </c>
      <c r="AH92" s="20" t="str">
        <f t="shared" si="70"/>
        <v>동신진주</v>
      </c>
      <c r="AI92" s="88">
        <f t="shared" si="68"/>
        <v>23</v>
      </c>
      <c r="AJ92" s="80" t="str">
        <f>IF(AI92="","",$AJ$2)</f>
        <v>A-</v>
      </c>
      <c r="AK92" s="80" t="s">
        <v>14</v>
      </c>
      <c r="AL92" s="80" t="s">
        <v>63</v>
      </c>
      <c r="AM92" s="80" t="s">
        <v>64</v>
      </c>
      <c r="AN92" s="80" t="str">
        <f>IF(AI92="","",$AN$2)</f>
        <v>C</v>
      </c>
      <c r="AO92" s="80" t="str">
        <f>IF(N92="","",IF(N92&gt;=$AO$1/100,"O","X"))</f>
        <v/>
      </c>
      <c r="AP92" s="80" t="str">
        <f>IF(I92="","",IF(I92&lt;=$AP$1,"O","X"))</f>
        <v/>
      </c>
      <c r="AQ92" s="80" t="str">
        <f>IF(O92="","",IF(O92&lt;=$AQ$1,"O","X"))</f>
        <v>O</v>
      </c>
      <c r="AR92" s="80" t="str">
        <f>IF(M92="","",IF(M92&lt;=$AR$1,"O","X"))</f>
        <v>O</v>
      </c>
      <c r="AS92" s="80" t="s">
        <v>2</v>
      </c>
      <c r="AT92" s="80" t="str">
        <f>IF(OR(F92="",AI92=""),"",IF(AND((F92&lt;=85),(AI92&gt;=15)),"O","X"))</f>
        <v>O</v>
      </c>
      <c r="AU92" s="80" t="str">
        <f>IF(C92="","",IF(C92&gt;=$AU$1,"O","X"))</f>
        <v>X</v>
      </c>
      <c r="AV92" s="80" t="str">
        <f>IF(AO92="","",IF(AND(AO92="O",AP92="O",AR92="O",AT92="O",AU92="O"),"후보","X"))</f>
        <v/>
      </c>
    </row>
    <row r="93" spans="1:48" x14ac:dyDescent="0.3">
      <c r="A93" s="9" t="s">
        <v>486</v>
      </c>
      <c r="B93" s="10" t="s">
        <v>1302</v>
      </c>
      <c r="C93" s="89">
        <v>246</v>
      </c>
      <c r="D93" s="87">
        <v>81.599999999999994</v>
      </c>
      <c r="E93" s="88">
        <v>25</v>
      </c>
      <c r="F93" s="87">
        <v>59.6</v>
      </c>
      <c r="G93" s="17">
        <v>18</v>
      </c>
      <c r="H93" s="89">
        <v>20</v>
      </c>
      <c r="I93" s="90"/>
      <c r="J93" s="90"/>
      <c r="K93" s="90"/>
      <c r="L93" s="90"/>
      <c r="M93" s="91">
        <f>I93-K93</f>
        <v>0</v>
      </c>
      <c r="N93" s="4" t="str">
        <f>IF(ISERROR(K93/I93),"",K93/I93)</f>
        <v/>
      </c>
      <c r="O93" s="92">
        <f>I93/E93</f>
        <v>0</v>
      </c>
      <c r="P93" s="92">
        <f>K93/E93</f>
        <v>0</v>
      </c>
      <c r="Q93" s="80">
        <v>3</v>
      </c>
      <c r="R93" s="80">
        <v>1</v>
      </c>
      <c r="S93" s="80" t="s">
        <v>61</v>
      </c>
      <c r="T93" s="5" t="s">
        <v>121</v>
      </c>
      <c r="U93" s="9"/>
      <c r="W93" s="87">
        <f t="shared" si="82"/>
        <v>81.599999999999994</v>
      </c>
      <c r="X93" s="88">
        <f t="shared" si="82"/>
        <v>25</v>
      </c>
      <c r="Y93" s="93">
        <f t="shared" si="83"/>
        <v>20</v>
      </c>
      <c r="Z93" s="91">
        <f t="shared" si="83"/>
        <v>0</v>
      </c>
      <c r="AA93" s="91">
        <f>K93</f>
        <v>0</v>
      </c>
      <c r="AB93" s="91">
        <f t="shared" si="84"/>
        <v>0</v>
      </c>
      <c r="AC93" s="4" t="str">
        <f t="shared" si="84"/>
        <v/>
      </c>
      <c r="AD93" s="92">
        <f t="shared" si="84"/>
        <v>0</v>
      </c>
      <c r="AE93" s="80" t="str">
        <f>S93</f>
        <v>계</v>
      </c>
      <c r="AF93" s="80" t="str">
        <f>Q93&amp;"/"&amp;R93</f>
        <v>3/1</v>
      </c>
      <c r="AH93" s="20" t="str">
        <f t="shared" si="70"/>
        <v>동신진주</v>
      </c>
      <c r="AI93" s="88">
        <f t="shared" si="68"/>
        <v>25</v>
      </c>
      <c r="AJ93" s="80" t="str">
        <f>IF(AI93="","",$AJ$2)</f>
        <v>A-</v>
      </c>
      <c r="AK93" s="80" t="s">
        <v>14</v>
      </c>
      <c r="AL93" s="80" t="s">
        <v>63</v>
      </c>
      <c r="AM93" s="80" t="s">
        <v>64</v>
      </c>
      <c r="AN93" s="80" t="str">
        <f>IF(AI93="","",$AN$2)</f>
        <v>C</v>
      </c>
      <c r="AO93" s="80" t="str">
        <f>IF(N93="","",IF(N93&gt;=$AO$1/100,"O","X"))</f>
        <v/>
      </c>
      <c r="AP93" s="80" t="str">
        <f>IF(I93="","",IF(I93&lt;=$AP$1,"O","X"))</f>
        <v/>
      </c>
      <c r="AQ93" s="80" t="str">
        <f>IF(O93="","",IF(O93&lt;=$AQ$1,"O","X"))</f>
        <v>O</v>
      </c>
      <c r="AR93" s="80" t="str">
        <f>IF(M93="","",IF(M93&lt;=$AR$1,"O","X"))</f>
        <v>O</v>
      </c>
      <c r="AS93" s="80" t="s">
        <v>2</v>
      </c>
      <c r="AT93" s="80" t="str">
        <f>IF(OR(F93="",AI93=""),"",IF(AND((F93&lt;=85),(AI93&gt;=15)),"O","X"))</f>
        <v>O</v>
      </c>
      <c r="AU93" s="80" t="str">
        <f>IF(C93="","",IF(C93&gt;=$AU$1,"O","X"))</f>
        <v>X</v>
      </c>
      <c r="AV93" s="80" t="str">
        <f>IF(AO93="","",IF(AND(AO93="O",AP93="O",AR93="O",AT93="O",AU93="O"),"후보","X"))</f>
        <v/>
      </c>
    </row>
    <row r="94" spans="1:48" x14ac:dyDescent="0.3">
      <c r="A94" s="9" t="s">
        <v>486</v>
      </c>
      <c r="B94" s="10" t="s">
        <v>1302</v>
      </c>
      <c r="C94" s="89">
        <v>246</v>
      </c>
      <c r="D94" s="87">
        <v>82.2</v>
      </c>
      <c r="E94" s="88">
        <v>25</v>
      </c>
      <c r="F94" s="87">
        <v>60</v>
      </c>
      <c r="G94" s="17">
        <v>18</v>
      </c>
      <c r="H94" s="89">
        <v>10</v>
      </c>
      <c r="I94" s="90"/>
      <c r="J94" s="90"/>
      <c r="K94" s="90"/>
      <c r="L94" s="90"/>
      <c r="M94" s="91">
        <f>I94-K94</f>
        <v>0</v>
      </c>
      <c r="N94" s="4" t="str">
        <f>IF(ISERROR(K94/I94),"",K94/I94)</f>
        <v/>
      </c>
      <c r="O94" s="92">
        <f>I94/E94</f>
        <v>0</v>
      </c>
      <c r="P94" s="92">
        <f>K94/E94</f>
        <v>0</v>
      </c>
      <c r="Q94" s="80">
        <v>3</v>
      </c>
      <c r="R94" s="80">
        <v>1</v>
      </c>
      <c r="S94" s="80" t="s">
        <v>61</v>
      </c>
      <c r="T94" s="5" t="s">
        <v>90</v>
      </c>
      <c r="U94" s="9"/>
      <c r="W94" s="87">
        <f t="shared" si="82"/>
        <v>82.2</v>
      </c>
      <c r="X94" s="88">
        <f t="shared" si="82"/>
        <v>25</v>
      </c>
      <c r="Y94" s="93">
        <f t="shared" si="83"/>
        <v>10</v>
      </c>
      <c r="Z94" s="91">
        <f t="shared" si="83"/>
        <v>0</v>
      </c>
      <c r="AA94" s="91">
        <f>K94</f>
        <v>0</v>
      </c>
      <c r="AB94" s="91">
        <f t="shared" si="84"/>
        <v>0</v>
      </c>
      <c r="AC94" s="4" t="str">
        <f t="shared" si="84"/>
        <v/>
      </c>
      <c r="AD94" s="92">
        <f t="shared" si="84"/>
        <v>0</v>
      </c>
      <c r="AE94" s="80" t="str">
        <f>S94</f>
        <v>계</v>
      </c>
      <c r="AF94" s="80" t="str">
        <f>Q94&amp;"/"&amp;R94</f>
        <v>3/1</v>
      </c>
      <c r="AH94" s="20" t="str">
        <f t="shared" si="70"/>
        <v>동신진주</v>
      </c>
      <c r="AI94" s="88">
        <f t="shared" si="68"/>
        <v>25</v>
      </c>
      <c r="AJ94" s="80" t="str">
        <f>IF(AI94="","",$AJ$2)</f>
        <v>A-</v>
      </c>
      <c r="AK94" s="80" t="s">
        <v>14</v>
      </c>
      <c r="AL94" s="80" t="s">
        <v>63</v>
      </c>
      <c r="AM94" s="80" t="s">
        <v>64</v>
      </c>
      <c r="AN94" s="80" t="str">
        <f>IF(AI94="","",$AN$2)</f>
        <v>C</v>
      </c>
      <c r="AO94" s="80" t="str">
        <f>IF(N94="","",IF(N94&gt;=$AO$1/100,"O","X"))</f>
        <v/>
      </c>
      <c r="AP94" s="80" t="str">
        <f>IF(I94="","",IF(I94&lt;=$AP$1,"O","X"))</f>
        <v/>
      </c>
      <c r="AQ94" s="80" t="str">
        <f>IF(O94="","",IF(O94&lt;=$AQ$1,"O","X"))</f>
        <v>O</v>
      </c>
      <c r="AR94" s="80" t="str">
        <f>IF(M94="","",IF(M94&lt;=$AR$1,"O","X"))</f>
        <v>O</v>
      </c>
      <c r="AS94" s="80" t="s">
        <v>2</v>
      </c>
      <c r="AT94" s="80" t="str">
        <f>IF(OR(F94="",AI94=""),"",IF(AND((F94&lt;=85),(AI94&gt;=15)),"O","X"))</f>
        <v>O</v>
      </c>
      <c r="AU94" s="80" t="str">
        <f>IF(C94="","",IF(C94&gt;=$AU$1,"O","X"))</f>
        <v>X</v>
      </c>
      <c r="AV94" s="80" t="str">
        <f>IF(AO94="","",IF(AND(AO94="O",AP94="O",AR94="O",AT94="O",AU94="O"),"후보","X"))</f>
        <v/>
      </c>
    </row>
    <row r="95" spans="1:48" x14ac:dyDescent="0.3">
      <c r="A95" s="9" t="s">
        <v>486</v>
      </c>
      <c r="B95" s="10" t="s">
        <v>1302</v>
      </c>
      <c r="C95" s="89">
        <v>246</v>
      </c>
      <c r="D95" s="87">
        <v>103.7</v>
      </c>
      <c r="E95" s="88">
        <v>31</v>
      </c>
      <c r="F95" s="87">
        <v>84.7</v>
      </c>
      <c r="G95" s="17">
        <v>26</v>
      </c>
      <c r="H95" s="89">
        <v>48</v>
      </c>
      <c r="I95" s="90"/>
      <c r="J95" s="90"/>
      <c r="K95" s="90"/>
      <c r="L95" s="90"/>
      <c r="M95" s="91">
        <f>I95-K95</f>
        <v>0</v>
      </c>
      <c r="N95" s="4" t="str">
        <f>IF(ISERROR(K95/I95),"",K95/I95)</f>
        <v/>
      </c>
      <c r="O95" s="92">
        <f>I95/E95</f>
        <v>0</v>
      </c>
      <c r="P95" s="92">
        <f>K95/E95</f>
        <v>0</v>
      </c>
      <c r="Q95" s="80">
        <v>3</v>
      </c>
      <c r="R95" s="80">
        <v>2</v>
      </c>
      <c r="S95" s="80" t="s">
        <v>61</v>
      </c>
      <c r="T95" s="5">
        <v>103</v>
      </c>
      <c r="U95" s="9"/>
      <c r="W95" s="87">
        <f t="shared" si="82"/>
        <v>103.7</v>
      </c>
      <c r="X95" s="88">
        <f t="shared" si="82"/>
        <v>31</v>
      </c>
      <c r="Y95" s="93">
        <f t="shared" si="83"/>
        <v>48</v>
      </c>
      <c r="Z95" s="91">
        <f t="shared" si="83"/>
        <v>0</v>
      </c>
      <c r="AA95" s="91">
        <f>K95</f>
        <v>0</v>
      </c>
      <c r="AB95" s="91">
        <f t="shared" si="84"/>
        <v>0</v>
      </c>
      <c r="AC95" s="4" t="str">
        <f t="shared" si="84"/>
        <v/>
      </c>
      <c r="AD95" s="92">
        <f t="shared" si="84"/>
        <v>0</v>
      </c>
      <c r="AE95" s="80" t="str">
        <f>S95</f>
        <v>계</v>
      </c>
      <c r="AF95" s="80" t="str">
        <f>Q95&amp;"/"&amp;R95</f>
        <v>3/2</v>
      </c>
      <c r="AH95" s="20" t="str">
        <f t="shared" si="70"/>
        <v>동신진주</v>
      </c>
      <c r="AI95" s="88">
        <f t="shared" si="68"/>
        <v>31</v>
      </c>
      <c r="AJ95" s="80" t="str">
        <f>IF(AI95="","",$AJ$2)</f>
        <v>A-</v>
      </c>
      <c r="AK95" s="80" t="s">
        <v>14</v>
      </c>
      <c r="AL95" s="80" t="s">
        <v>63</v>
      </c>
      <c r="AM95" s="80" t="s">
        <v>64</v>
      </c>
      <c r="AN95" s="80" t="str">
        <f>IF(AI95="","",$AN$2)</f>
        <v>C</v>
      </c>
      <c r="AO95" s="80" t="str">
        <f>IF(N95="","",IF(N95&gt;=$AO$1/100,"O","X"))</f>
        <v/>
      </c>
      <c r="AP95" s="80" t="str">
        <f>IF(I95="","",IF(I95&lt;=$AP$1,"O","X"))</f>
        <v/>
      </c>
      <c r="AQ95" s="80" t="str">
        <f>IF(O95="","",IF(O95&lt;=$AQ$1,"O","X"))</f>
        <v>O</v>
      </c>
      <c r="AR95" s="80" t="str">
        <f>IF(M95="","",IF(M95&lt;=$AR$1,"O","X"))</f>
        <v>O</v>
      </c>
      <c r="AS95" s="80" t="s">
        <v>2</v>
      </c>
      <c r="AT95" s="80" t="str">
        <f>IF(OR(F95="",AI95=""),"",IF(AND((F95&lt;=85),(AI95&gt;=15)),"O","X"))</f>
        <v>O</v>
      </c>
      <c r="AU95" s="80" t="str">
        <f>IF(C95="","",IF(C95&gt;=$AU$1,"O","X"))</f>
        <v>X</v>
      </c>
      <c r="AV95" s="80" t="str">
        <f>IF(AO95="","",IF(AND(AO95="O",AP95="O",AR95="O",AT95="O",AU95="O"),"후보","X"))</f>
        <v/>
      </c>
    </row>
    <row r="96" spans="1:48" x14ac:dyDescent="0.3">
      <c r="A96" s="9"/>
      <c r="B96" s="80"/>
      <c r="C96" s="6"/>
      <c r="D96" s="9"/>
      <c r="E96" s="14"/>
      <c r="F96" s="87"/>
      <c r="G96" s="9"/>
      <c r="H96" s="9"/>
      <c r="I96" s="9"/>
      <c r="J96" s="9"/>
      <c r="K96" s="9"/>
      <c r="L96" s="9"/>
      <c r="M96" s="9"/>
      <c r="N96" s="9"/>
      <c r="O96" s="92"/>
      <c r="P96" s="92"/>
      <c r="Q96" s="88"/>
      <c r="R96" s="88"/>
      <c r="S96" s="9"/>
      <c r="T96" s="47"/>
      <c r="U96" s="9"/>
      <c r="W96" s="67" t="str">
        <f>$A$4&amp;" "&amp;A97&amp;"("&amp;B97&amp;","&amp;C97&amp;"^)"</f>
        <v>나운동 수송금호어울림('08.08.,773^)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70"/>
        <v/>
      </c>
      <c r="AI96" s="112" t="str">
        <f t="shared" si="68"/>
        <v/>
      </c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</row>
    <row r="97" spans="1:48" x14ac:dyDescent="0.3">
      <c r="A97" s="9" t="s">
        <v>501</v>
      </c>
      <c r="B97" s="10" t="s">
        <v>1303</v>
      </c>
      <c r="C97" s="89">
        <v>773</v>
      </c>
      <c r="D97" s="87">
        <v>110.6</v>
      </c>
      <c r="E97" s="88">
        <v>33</v>
      </c>
      <c r="F97" s="87">
        <v>84.9</v>
      </c>
      <c r="G97" s="17">
        <v>26</v>
      </c>
      <c r="H97" s="89">
        <v>336</v>
      </c>
      <c r="I97" s="90"/>
      <c r="J97" s="90"/>
      <c r="K97" s="90"/>
      <c r="L97" s="90"/>
      <c r="M97" s="91">
        <f>I97-K97</f>
        <v>0</v>
      </c>
      <c r="N97" s="4" t="str">
        <f>IF(ISERROR(K97/I97),"",K97/I97)</f>
        <v/>
      </c>
      <c r="O97" s="92">
        <f>I97/E97</f>
        <v>0</v>
      </c>
      <c r="P97" s="92">
        <f>K97/E97</f>
        <v>0</v>
      </c>
      <c r="Q97" s="80">
        <v>3</v>
      </c>
      <c r="R97" s="80">
        <v>2</v>
      </c>
      <c r="S97" s="80" t="s">
        <v>61</v>
      </c>
      <c r="T97" s="5" t="s">
        <v>62</v>
      </c>
      <c r="U97" s="9"/>
      <c r="W97" s="87">
        <f t="shared" ref="W97:X100" si="85">D97</f>
        <v>110.6</v>
      </c>
      <c r="X97" s="88">
        <f t="shared" si="85"/>
        <v>33</v>
      </c>
      <c r="Y97" s="93">
        <f t="shared" ref="Y97:Z100" si="86">H97</f>
        <v>336</v>
      </c>
      <c r="Z97" s="91">
        <f t="shared" si="86"/>
        <v>0</v>
      </c>
      <c r="AA97" s="91">
        <f>K97</f>
        <v>0</v>
      </c>
      <c r="AB97" s="91">
        <f t="shared" ref="AB97:AD100" si="87">M97</f>
        <v>0</v>
      </c>
      <c r="AC97" s="4" t="str">
        <f t="shared" si="87"/>
        <v/>
      </c>
      <c r="AD97" s="92">
        <f t="shared" si="87"/>
        <v>0</v>
      </c>
      <c r="AE97" s="80" t="str">
        <f>S97</f>
        <v>계</v>
      </c>
      <c r="AF97" s="80" t="str">
        <f>Q97&amp;"/"&amp;R97</f>
        <v>3/2</v>
      </c>
      <c r="AH97" s="20" t="str">
        <f t="shared" si="70"/>
        <v>수송금호어울림</v>
      </c>
      <c r="AI97" s="88">
        <f t="shared" si="68"/>
        <v>33</v>
      </c>
      <c r="AJ97" s="80" t="str">
        <f>IF(AI97="","",$AJ$2)</f>
        <v>A-</v>
      </c>
      <c r="AK97" s="80" t="s">
        <v>14</v>
      </c>
      <c r="AL97" s="80" t="s">
        <v>63</v>
      </c>
      <c r="AM97" s="80" t="s">
        <v>64</v>
      </c>
      <c r="AN97" s="80" t="str">
        <f>IF(AI97="","",$AN$2)</f>
        <v>C</v>
      </c>
      <c r="AO97" s="80" t="str">
        <f>IF(N97="","",IF(N97&gt;=$AO$1/100,"O","X"))</f>
        <v/>
      </c>
      <c r="AP97" s="80" t="str">
        <f>IF(I97="","",IF(I97&lt;=$AP$1,"O","X"))</f>
        <v/>
      </c>
      <c r="AQ97" s="80" t="str">
        <f>IF(O97="","",IF(O97&lt;=$AQ$1,"O","X"))</f>
        <v>O</v>
      </c>
      <c r="AR97" s="80" t="str">
        <f>IF(M97="","",IF(M97&lt;=$AR$1,"O","X"))</f>
        <v>O</v>
      </c>
      <c r="AS97" s="80" t="s">
        <v>2</v>
      </c>
      <c r="AT97" s="80" t="str">
        <f>IF(OR(F97="",AI97=""),"",IF(AND((F97&lt;=85),(AI97&gt;=15)),"O","X"))</f>
        <v>O</v>
      </c>
      <c r="AU97" s="80" t="str">
        <f>IF(C97="","",IF(C97&gt;=$AU$1,"O","X"))</f>
        <v>O</v>
      </c>
      <c r="AV97" s="80" t="str">
        <f>IF(AO97="","",IF(AND(AO97="O",AP97="O",AR97="O",AT97="O",AU97="O"),"후보","X"))</f>
        <v/>
      </c>
    </row>
    <row r="98" spans="1:48" x14ac:dyDescent="0.3">
      <c r="A98" s="9" t="s">
        <v>501</v>
      </c>
      <c r="B98" s="10" t="s">
        <v>1303</v>
      </c>
      <c r="C98" s="89">
        <v>773</v>
      </c>
      <c r="D98" s="87">
        <v>111.2</v>
      </c>
      <c r="E98" s="88">
        <v>34</v>
      </c>
      <c r="F98" s="87">
        <v>85</v>
      </c>
      <c r="G98" s="17">
        <v>26</v>
      </c>
      <c r="H98" s="89">
        <v>324</v>
      </c>
      <c r="I98" s="90">
        <v>27000</v>
      </c>
      <c r="J98" s="90" t="s">
        <v>74</v>
      </c>
      <c r="K98" s="90">
        <v>23500</v>
      </c>
      <c r="L98" s="90" t="s">
        <v>68</v>
      </c>
      <c r="M98" s="91">
        <f>I98-K98</f>
        <v>3500</v>
      </c>
      <c r="N98" s="4">
        <f>IF(ISERROR(K98/I98),"",K98/I98)</f>
        <v>0.87037037037037035</v>
      </c>
      <c r="O98" s="92">
        <f>I98/E98</f>
        <v>794.11764705882354</v>
      </c>
      <c r="P98" s="92">
        <f>K98/E98</f>
        <v>691.17647058823525</v>
      </c>
      <c r="Q98" s="80">
        <v>3</v>
      </c>
      <c r="R98" s="80">
        <v>2</v>
      </c>
      <c r="S98" s="80" t="s">
        <v>61</v>
      </c>
      <c r="T98" s="5" t="s">
        <v>78</v>
      </c>
      <c r="U98" s="9"/>
      <c r="W98" s="87">
        <f t="shared" si="85"/>
        <v>111.2</v>
      </c>
      <c r="X98" s="88">
        <f t="shared" si="85"/>
        <v>34</v>
      </c>
      <c r="Y98" s="93">
        <f t="shared" si="86"/>
        <v>324</v>
      </c>
      <c r="Z98" s="91">
        <f t="shared" si="86"/>
        <v>27000</v>
      </c>
      <c r="AA98" s="91">
        <f>K98</f>
        <v>23500</v>
      </c>
      <c r="AB98" s="91">
        <f t="shared" si="87"/>
        <v>3500</v>
      </c>
      <c r="AC98" s="4">
        <f t="shared" si="87"/>
        <v>0.87037037037037035</v>
      </c>
      <c r="AD98" s="92">
        <f t="shared" si="87"/>
        <v>794.11764705882354</v>
      </c>
      <c r="AE98" s="80" t="str">
        <f>S98</f>
        <v>계</v>
      </c>
      <c r="AF98" s="80" t="str">
        <f>Q98&amp;"/"&amp;R98</f>
        <v>3/2</v>
      </c>
      <c r="AH98" s="20" t="str">
        <f t="shared" si="70"/>
        <v>수송금호어울림</v>
      </c>
      <c r="AI98" s="88">
        <f t="shared" si="68"/>
        <v>34</v>
      </c>
      <c r="AJ98" s="80" t="str">
        <f>IF(AI98="","",$AJ$2)</f>
        <v>A-</v>
      </c>
      <c r="AK98" s="80" t="s">
        <v>14</v>
      </c>
      <c r="AL98" s="80" t="s">
        <v>63</v>
      </c>
      <c r="AM98" s="80" t="s">
        <v>64</v>
      </c>
      <c r="AN98" s="80" t="str">
        <f>IF(AI98="","",$AN$2)</f>
        <v>C</v>
      </c>
      <c r="AO98" s="80" t="str">
        <f>IF(N98="","",IF(N98&gt;=$AO$1/100,"O","X"))</f>
        <v>O</v>
      </c>
      <c r="AP98" s="80" t="str">
        <f>IF(I98="","",IF(I98&lt;=$AP$1,"O","X"))</f>
        <v>O</v>
      </c>
      <c r="AQ98" s="80" t="str">
        <f>IF(O98="","",IF(O98&lt;=$AQ$1,"O","X"))</f>
        <v>O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O</v>
      </c>
      <c r="AV98" s="80" t="str">
        <f>IF(AO98="","",IF(AND(AO98="O",AP98="O",AR98="O",AT98="O",AU98="O"),"후보","X"))</f>
        <v>후보</v>
      </c>
    </row>
    <row r="99" spans="1:48" x14ac:dyDescent="0.3">
      <c r="A99" s="9" t="s">
        <v>501</v>
      </c>
      <c r="B99" s="10" t="s">
        <v>1303</v>
      </c>
      <c r="C99" s="89">
        <v>773</v>
      </c>
      <c r="D99" s="87">
        <v>111.3</v>
      </c>
      <c r="E99" s="88">
        <v>34</v>
      </c>
      <c r="F99" s="87">
        <v>85</v>
      </c>
      <c r="G99" s="17">
        <v>26</v>
      </c>
      <c r="H99" s="89">
        <v>37</v>
      </c>
      <c r="I99" s="90">
        <v>27000</v>
      </c>
      <c r="J99" s="90" t="s">
        <v>66</v>
      </c>
      <c r="K99" s="90">
        <v>27000</v>
      </c>
      <c r="L99" s="90" t="s">
        <v>70</v>
      </c>
      <c r="M99" s="91">
        <f>I99-K99</f>
        <v>0</v>
      </c>
      <c r="N99" s="4">
        <f>IF(ISERROR(K99/I99),"",K99/I99)</f>
        <v>1</v>
      </c>
      <c r="O99" s="92">
        <f>I99/E99</f>
        <v>794.11764705882354</v>
      </c>
      <c r="P99" s="92">
        <f>K99/E99</f>
        <v>794.11764705882354</v>
      </c>
      <c r="Q99" s="80">
        <v>3</v>
      </c>
      <c r="R99" s="80">
        <v>2</v>
      </c>
      <c r="S99" s="80" t="s">
        <v>61</v>
      </c>
      <c r="T99" s="5" t="s">
        <v>79</v>
      </c>
      <c r="U99" s="9"/>
      <c r="W99" s="87">
        <f t="shared" si="85"/>
        <v>111.3</v>
      </c>
      <c r="X99" s="88">
        <f t="shared" si="85"/>
        <v>34</v>
      </c>
      <c r="Y99" s="93">
        <f t="shared" si="86"/>
        <v>37</v>
      </c>
      <c r="Z99" s="91">
        <f t="shared" si="86"/>
        <v>27000</v>
      </c>
      <c r="AA99" s="91">
        <f>K99</f>
        <v>27000</v>
      </c>
      <c r="AB99" s="91">
        <f t="shared" si="87"/>
        <v>0</v>
      </c>
      <c r="AC99" s="4">
        <f t="shared" si="87"/>
        <v>1</v>
      </c>
      <c r="AD99" s="92">
        <f t="shared" si="87"/>
        <v>794.11764705882354</v>
      </c>
      <c r="AE99" s="80" t="str">
        <f>S99</f>
        <v>계</v>
      </c>
      <c r="AF99" s="80" t="str">
        <f>Q99&amp;"/"&amp;R99</f>
        <v>3/2</v>
      </c>
      <c r="AH99" s="20" t="str">
        <f t="shared" si="70"/>
        <v>수송금호어울림</v>
      </c>
      <c r="AI99" s="88">
        <f t="shared" ref="AI99:AI134" si="88">IF(E99="","",E99)</f>
        <v>34</v>
      </c>
      <c r="AJ99" s="80" t="str">
        <f>IF(AI99="","",$AJ$2)</f>
        <v>A-</v>
      </c>
      <c r="AK99" s="80" t="s">
        <v>14</v>
      </c>
      <c r="AL99" s="80" t="s">
        <v>63</v>
      </c>
      <c r="AM99" s="80" t="s">
        <v>64</v>
      </c>
      <c r="AN99" s="80" t="str">
        <f>IF(AI99="","",$AN$2)</f>
        <v>C</v>
      </c>
      <c r="AO99" s="80" t="str">
        <f>IF(N99="","",IF(N99&gt;=$AO$1/100,"O","X"))</f>
        <v>O</v>
      </c>
      <c r="AP99" s="80" t="str">
        <f>IF(I99="","",IF(I99&lt;=$AP$1,"O","X"))</f>
        <v>O</v>
      </c>
      <c r="AQ99" s="80" t="str">
        <f>IF(O99="","",IF(O99&lt;=$AQ$1,"O","X"))</f>
        <v>O</v>
      </c>
      <c r="AR99" s="80" t="str">
        <f>IF(M99="","",IF(M99&lt;=$AR$1,"O","X"))</f>
        <v>O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O</v>
      </c>
      <c r="AV99" s="80" t="str">
        <f>IF(AO99="","",IF(AND(AO99="O",AP99="O",AR99="O",AT99="O",AU99="O"),"후보","X"))</f>
        <v>후보</v>
      </c>
    </row>
    <row r="100" spans="1:48" x14ac:dyDescent="0.3">
      <c r="A100" s="9" t="s">
        <v>501</v>
      </c>
      <c r="B100" s="10" t="s">
        <v>1303</v>
      </c>
      <c r="C100" s="89">
        <v>773</v>
      </c>
      <c r="D100" s="87">
        <v>112.4</v>
      </c>
      <c r="E100" s="88">
        <v>34</v>
      </c>
      <c r="F100" s="87">
        <v>85</v>
      </c>
      <c r="G100" s="17">
        <v>26</v>
      </c>
      <c r="H100" s="89">
        <v>76</v>
      </c>
      <c r="I100" s="90">
        <v>29500</v>
      </c>
      <c r="J100" s="90" t="s">
        <v>74</v>
      </c>
      <c r="K100" s="90">
        <v>23000</v>
      </c>
      <c r="L100" s="90" t="s">
        <v>70</v>
      </c>
      <c r="M100" s="91">
        <f>I100-K100</f>
        <v>6500</v>
      </c>
      <c r="N100" s="4">
        <f>IF(ISERROR(K100/I100),"",K100/I100)</f>
        <v>0.77966101694915257</v>
      </c>
      <c r="O100" s="92">
        <f>I100/E100</f>
        <v>867.64705882352939</v>
      </c>
      <c r="P100" s="92">
        <f>K100/E100</f>
        <v>676.47058823529414</v>
      </c>
      <c r="Q100" s="80">
        <v>3</v>
      </c>
      <c r="R100" s="80">
        <v>2</v>
      </c>
      <c r="S100" s="80" t="s">
        <v>61</v>
      </c>
      <c r="T100" s="5" t="s">
        <v>506</v>
      </c>
      <c r="U100" s="9"/>
      <c r="W100" s="87">
        <f t="shared" si="85"/>
        <v>112.4</v>
      </c>
      <c r="X100" s="88">
        <f t="shared" si="85"/>
        <v>34</v>
      </c>
      <c r="Y100" s="93">
        <f t="shared" si="86"/>
        <v>76</v>
      </c>
      <c r="Z100" s="91">
        <f t="shared" si="86"/>
        <v>29500</v>
      </c>
      <c r="AA100" s="91">
        <f>K100</f>
        <v>23000</v>
      </c>
      <c r="AB100" s="91">
        <f t="shared" si="87"/>
        <v>6500</v>
      </c>
      <c r="AC100" s="4">
        <f t="shared" si="87"/>
        <v>0.77966101694915257</v>
      </c>
      <c r="AD100" s="92">
        <f t="shared" si="87"/>
        <v>867.64705882352939</v>
      </c>
      <c r="AE100" s="80" t="str">
        <f>S100</f>
        <v>계</v>
      </c>
      <c r="AF100" s="80" t="str">
        <f>Q100&amp;"/"&amp;R100</f>
        <v>3/2</v>
      </c>
      <c r="AH100" s="20" t="str">
        <f t="shared" si="70"/>
        <v>수송금호어울림</v>
      </c>
      <c r="AI100" s="88">
        <f t="shared" si="88"/>
        <v>34</v>
      </c>
      <c r="AJ100" s="80" t="str">
        <f>IF(AI100="","",$AJ$2)</f>
        <v>A-</v>
      </c>
      <c r="AK100" s="80" t="s">
        <v>14</v>
      </c>
      <c r="AL100" s="80" t="s">
        <v>63</v>
      </c>
      <c r="AM100" s="80" t="s">
        <v>64</v>
      </c>
      <c r="AN100" s="80" t="str">
        <f>IF(AI100="","",$AN$2)</f>
        <v>C</v>
      </c>
      <c r="AO100" s="80" t="str">
        <f>IF(N100="","",IF(N100&gt;=$AO$1/100,"O","X"))</f>
        <v>X</v>
      </c>
      <c r="AP100" s="80" t="str">
        <f>IF(I100="","",IF(I100&lt;=$AP$1,"O","X"))</f>
        <v>O</v>
      </c>
      <c r="AQ100" s="80" t="str">
        <f>IF(O100="","",IF(O100&lt;=$AQ$1,"O","X"))</f>
        <v>O</v>
      </c>
      <c r="AR100" s="80" t="str">
        <f>IF(M100="","",IF(M100&lt;=$AR$1,"O","X"))</f>
        <v>X</v>
      </c>
      <c r="AS100" s="80" t="s">
        <v>2</v>
      </c>
      <c r="AT100" s="80" t="str">
        <f>IF(OR(F100="",AI100=""),"",IF(AND((F100&lt;=85),(AI100&gt;=15)),"O","X"))</f>
        <v>O</v>
      </c>
      <c r="AU100" s="80" t="str">
        <f>IF(C100="","",IF(C100&gt;=$AU$1,"O","X"))</f>
        <v>O</v>
      </c>
      <c r="AV100" s="80" t="str">
        <f>IF(AO100="","",IF(AND(AO100="O",AP100="O",AR100="O",AT100="O",AU100="O"),"후보","X"))</f>
        <v>X</v>
      </c>
    </row>
    <row r="101" spans="1:48" x14ac:dyDescent="0.3">
      <c r="A101" s="9"/>
      <c r="B101" s="80"/>
      <c r="C101" s="6"/>
      <c r="D101" s="9"/>
      <c r="E101" s="14"/>
      <c r="F101" s="87"/>
      <c r="G101" s="9"/>
      <c r="H101" s="9"/>
      <c r="I101" s="9"/>
      <c r="J101" s="9"/>
      <c r="K101" s="9"/>
      <c r="L101" s="9"/>
      <c r="M101" s="9"/>
      <c r="N101" s="9"/>
      <c r="O101" s="92"/>
      <c r="P101" s="92"/>
      <c r="Q101" s="88"/>
      <c r="R101" s="88"/>
      <c r="S101" s="9"/>
      <c r="T101" s="47"/>
      <c r="U101" s="9"/>
      <c r="W101" s="67" t="str">
        <f>$A$4&amp;" "&amp;A102&amp;"("&amp;B102&amp;","&amp;C102&amp;"^)"</f>
        <v>나운동 영창('95.06.,765^)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4" si="89">IF(A101="","",A101)</f>
        <v/>
      </c>
      <c r="AI101" s="112" t="str">
        <f t="shared" si="88"/>
        <v/>
      </c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</row>
    <row r="102" spans="1:48" x14ac:dyDescent="0.3">
      <c r="A102" s="9" t="s">
        <v>513</v>
      </c>
      <c r="B102" s="10" t="s">
        <v>1278</v>
      </c>
      <c r="C102" s="89">
        <v>765</v>
      </c>
      <c r="D102" s="87">
        <v>56.5</v>
      </c>
      <c r="E102" s="88">
        <v>17</v>
      </c>
      <c r="F102" s="87">
        <v>39.299999999999997</v>
      </c>
      <c r="G102" s="17">
        <v>12</v>
      </c>
      <c r="H102" s="89">
        <v>60</v>
      </c>
      <c r="I102" s="90">
        <v>5500</v>
      </c>
      <c r="J102" s="90" t="s">
        <v>72</v>
      </c>
      <c r="K102" s="90"/>
      <c r="L102" s="90"/>
      <c r="M102" s="91">
        <f>I102-K102</f>
        <v>5500</v>
      </c>
      <c r="N102" s="4">
        <f>IF(ISERROR(K102/I102),"",K102/I102)</f>
        <v>0</v>
      </c>
      <c r="O102" s="92">
        <f>I102/E102</f>
        <v>323.52941176470586</v>
      </c>
      <c r="P102" s="92">
        <f>K102/E102</f>
        <v>0</v>
      </c>
      <c r="Q102" s="80">
        <v>2</v>
      </c>
      <c r="R102" s="80">
        <v>1</v>
      </c>
      <c r="S102" s="80" t="s">
        <v>76</v>
      </c>
      <c r="T102" s="5">
        <v>56</v>
      </c>
      <c r="U102" s="9"/>
      <c r="W102" s="87">
        <f t="shared" ref="W102:X105" si="90">D102</f>
        <v>56.5</v>
      </c>
      <c r="X102" s="88">
        <f t="shared" si="90"/>
        <v>17</v>
      </c>
      <c r="Y102" s="93">
        <f t="shared" ref="Y102:Z105" si="91">H102</f>
        <v>60</v>
      </c>
      <c r="Z102" s="91">
        <f t="shared" si="91"/>
        <v>5500</v>
      </c>
      <c r="AA102" s="91">
        <f>K102</f>
        <v>0</v>
      </c>
      <c r="AB102" s="91">
        <f t="shared" ref="AB102:AD105" si="92">M102</f>
        <v>5500</v>
      </c>
      <c r="AC102" s="4">
        <f t="shared" si="92"/>
        <v>0</v>
      </c>
      <c r="AD102" s="92">
        <f t="shared" si="92"/>
        <v>323.52941176470586</v>
      </c>
      <c r="AE102" s="80" t="str">
        <f>S102</f>
        <v>복</v>
      </c>
      <c r="AF102" s="80" t="str">
        <f>Q102&amp;"/"&amp;R102</f>
        <v>2/1</v>
      </c>
      <c r="AH102" s="20" t="str">
        <f t="shared" si="89"/>
        <v>영창</v>
      </c>
      <c r="AI102" s="88">
        <f t="shared" si="88"/>
        <v>17</v>
      </c>
      <c r="AJ102" s="80" t="str">
        <f>IF(AI102="","",$AJ$2)</f>
        <v>A-</v>
      </c>
      <c r="AK102" s="80" t="s">
        <v>14</v>
      </c>
      <c r="AL102" s="80" t="s">
        <v>63</v>
      </c>
      <c r="AM102" s="80" t="s">
        <v>64</v>
      </c>
      <c r="AN102" s="80" t="str">
        <f>IF(AI102="","",$AN$2)</f>
        <v>C</v>
      </c>
      <c r="AO102" s="80" t="str">
        <f>IF(N102="","",IF(N102&gt;=$AO$1/100,"O","X"))</f>
        <v>X</v>
      </c>
      <c r="AP102" s="80" t="str">
        <f>IF(I102="","",IF(I102&lt;=$AP$1,"O","X"))</f>
        <v>O</v>
      </c>
      <c r="AQ102" s="80" t="str">
        <f>IF(O102="","",IF(O102&lt;=$AQ$1,"O","X"))</f>
        <v>O</v>
      </c>
      <c r="AR102" s="80" t="str">
        <f>IF(M102="","",IF(M102&lt;=$AR$1,"O","X"))</f>
        <v>X</v>
      </c>
      <c r="AS102" s="80" t="s">
        <v>2</v>
      </c>
      <c r="AT102" s="80" t="str">
        <f>IF(OR(F102="",AI102=""),"",IF(AND((F102&lt;=85),(AI102&gt;=15)),"O","X"))</f>
        <v>O</v>
      </c>
      <c r="AU102" s="80" t="str">
        <f>IF(C102="","",IF(C102&gt;=$AU$1,"O","X"))</f>
        <v>O</v>
      </c>
      <c r="AV102" s="80" t="str">
        <f>IF(AO102="","",IF(AND(AO102="O",AP102="O",AR102="O",AT102="O",AU102="O"),"후보","X"))</f>
        <v>X</v>
      </c>
    </row>
    <row r="103" spans="1:48" x14ac:dyDescent="0.3">
      <c r="A103" s="9" t="s">
        <v>513</v>
      </c>
      <c r="B103" s="10" t="s">
        <v>1278</v>
      </c>
      <c r="C103" s="89">
        <v>765</v>
      </c>
      <c r="D103" s="87">
        <v>71.5</v>
      </c>
      <c r="E103" s="88">
        <v>22</v>
      </c>
      <c r="F103" s="87">
        <v>49.8</v>
      </c>
      <c r="G103" s="17">
        <v>15</v>
      </c>
      <c r="H103" s="89">
        <v>120</v>
      </c>
      <c r="I103" s="90">
        <v>7500</v>
      </c>
      <c r="J103" s="90" t="s">
        <v>69</v>
      </c>
      <c r="K103" s="90">
        <v>7000</v>
      </c>
      <c r="L103" s="90" t="s">
        <v>72</v>
      </c>
      <c r="M103" s="91">
        <f>I103-K103</f>
        <v>500</v>
      </c>
      <c r="N103" s="4">
        <f>IF(ISERROR(K103/I103),"",K103/I103)</f>
        <v>0.93333333333333335</v>
      </c>
      <c r="O103" s="92">
        <f>I103/E103</f>
        <v>340.90909090909093</v>
      </c>
      <c r="P103" s="92">
        <f>K103/E103</f>
        <v>318.18181818181819</v>
      </c>
      <c r="Q103" s="80">
        <v>2</v>
      </c>
      <c r="R103" s="80">
        <v>1</v>
      </c>
      <c r="S103" s="80" t="s">
        <v>76</v>
      </c>
      <c r="T103" s="5">
        <v>71</v>
      </c>
      <c r="U103" s="9"/>
      <c r="W103" s="87">
        <f t="shared" si="90"/>
        <v>71.5</v>
      </c>
      <c r="X103" s="88">
        <f t="shared" si="90"/>
        <v>22</v>
      </c>
      <c r="Y103" s="93">
        <f t="shared" si="91"/>
        <v>120</v>
      </c>
      <c r="Z103" s="91">
        <f t="shared" si="91"/>
        <v>7500</v>
      </c>
      <c r="AA103" s="91">
        <f>K103</f>
        <v>7000</v>
      </c>
      <c r="AB103" s="91">
        <f t="shared" si="92"/>
        <v>500</v>
      </c>
      <c r="AC103" s="4">
        <f t="shared" si="92"/>
        <v>0.93333333333333335</v>
      </c>
      <c r="AD103" s="92">
        <f t="shared" si="92"/>
        <v>340.90909090909093</v>
      </c>
      <c r="AE103" s="80" t="str">
        <f>S103</f>
        <v>복</v>
      </c>
      <c r="AF103" s="80" t="str">
        <f>Q103&amp;"/"&amp;R103</f>
        <v>2/1</v>
      </c>
      <c r="AH103" s="20" t="str">
        <f t="shared" si="89"/>
        <v>영창</v>
      </c>
      <c r="AI103" s="88">
        <f t="shared" si="88"/>
        <v>22</v>
      </c>
      <c r="AJ103" s="80" t="str">
        <f>IF(AI103="","",$AJ$2)</f>
        <v>A-</v>
      </c>
      <c r="AK103" s="80" t="s">
        <v>14</v>
      </c>
      <c r="AL103" s="80" t="s">
        <v>63</v>
      </c>
      <c r="AM103" s="80" t="s">
        <v>64</v>
      </c>
      <c r="AN103" s="80" t="str">
        <f>IF(AI103="","",$AN$2)</f>
        <v>C</v>
      </c>
      <c r="AO103" s="80" t="str">
        <f>IF(N103="","",IF(N103&gt;=$AO$1/100,"O","X"))</f>
        <v>O</v>
      </c>
      <c r="AP103" s="80" t="str">
        <f>IF(I103="","",IF(I103&lt;=$AP$1,"O","X"))</f>
        <v>O</v>
      </c>
      <c r="AQ103" s="80" t="str">
        <f>IF(O103="","",IF(O103&lt;=$AQ$1,"O","X"))</f>
        <v>O</v>
      </c>
      <c r="AR103" s="80" t="str">
        <f>IF(M103="","",IF(M103&lt;=$AR$1,"O","X"))</f>
        <v>O</v>
      </c>
      <c r="AS103" s="80" t="s">
        <v>2</v>
      </c>
      <c r="AT103" s="80" t="str">
        <f>IF(OR(F103="",AI103=""),"",IF(AND((F103&lt;=85),(AI103&gt;=15)),"O","X"))</f>
        <v>O</v>
      </c>
      <c r="AU103" s="80" t="str">
        <f>IF(C103="","",IF(C103&gt;=$AU$1,"O","X"))</f>
        <v>O</v>
      </c>
      <c r="AV103" s="80" t="str">
        <f>IF(AO103="","",IF(AND(AO103="O",AP103="O",AR103="O",AT103="O",AU103="O"),"후보","X"))</f>
        <v>후보</v>
      </c>
    </row>
    <row r="104" spans="1:48" x14ac:dyDescent="0.3">
      <c r="A104" s="9" t="s">
        <v>513</v>
      </c>
      <c r="B104" s="10" t="s">
        <v>1278</v>
      </c>
      <c r="C104" s="89">
        <v>765</v>
      </c>
      <c r="D104" s="87">
        <v>74.7</v>
      </c>
      <c r="E104" s="88">
        <v>23</v>
      </c>
      <c r="F104" s="87">
        <v>59.9</v>
      </c>
      <c r="G104" s="17">
        <v>18</v>
      </c>
      <c r="H104" s="89">
        <v>300</v>
      </c>
      <c r="I104" s="90">
        <v>11500</v>
      </c>
      <c r="J104" s="90" t="s">
        <v>71</v>
      </c>
      <c r="K104" s="90"/>
      <c r="L104" s="90"/>
      <c r="M104" s="91">
        <f>I104-K104</f>
        <v>11500</v>
      </c>
      <c r="N104" s="4">
        <f>IF(ISERROR(K104/I104),"",K104/I104)</f>
        <v>0</v>
      </c>
      <c r="O104" s="92">
        <f>I104/E104</f>
        <v>500</v>
      </c>
      <c r="P104" s="92">
        <f>K104/E104</f>
        <v>0</v>
      </c>
      <c r="Q104" s="80">
        <v>3</v>
      </c>
      <c r="R104" s="80">
        <v>1</v>
      </c>
      <c r="S104" s="80" t="s">
        <v>61</v>
      </c>
      <c r="T104" s="5">
        <v>74</v>
      </c>
      <c r="U104" s="9"/>
      <c r="W104" s="87">
        <f t="shared" si="90"/>
        <v>74.7</v>
      </c>
      <c r="X104" s="88">
        <f t="shared" si="90"/>
        <v>23</v>
      </c>
      <c r="Y104" s="93">
        <f t="shared" si="91"/>
        <v>300</v>
      </c>
      <c r="Z104" s="91">
        <f t="shared" si="91"/>
        <v>11500</v>
      </c>
      <c r="AA104" s="91">
        <f>K104</f>
        <v>0</v>
      </c>
      <c r="AB104" s="91">
        <f t="shared" si="92"/>
        <v>11500</v>
      </c>
      <c r="AC104" s="4">
        <f t="shared" si="92"/>
        <v>0</v>
      </c>
      <c r="AD104" s="92">
        <f t="shared" si="92"/>
        <v>500</v>
      </c>
      <c r="AE104" s="80" t="str">
        <f>S104</f>
        <v>계</v>
      </c>
      <c r="AF104" s="80" t="str">
        <f>Q104&amp;"/"&amp;R104</f>
        <v>3/1</v>
      </c>
      <c r="AH104" s="20" t="str">
        <f t="shared" si="89"/>
        <v>영창</v>
      </c>
      <c r="AI104" s="88">
        <f t="shared" si="88"/>
        <v>23</v>
      </c>
      <c r="AJ104" s="80" t="str">
        <f>IF(AI104="","",$AJ$2)</f>
        <v>A-</v>
      </c>
      <c r="AK104" s="80" t="s">
        <v>14</v>
      </c>
      <c r="AL104" s="80" t="s">
        <v>63</v>
      </c>
      <c r="AM104" s="80" t="s">
        <v>64</v>
      </c>
      <c r="AN104" s="80" t="str">
        <f>IF(AI104="","",$AN$2)</f>
        <v>C</v>
      </c>
      <c r="AO104" s="80" t="str">
        <f>IF(N104="","",IF(N104&gt;=$AO$1/100,"O","X"))</f>
        <v>X</v>
      </c>
      <c r="AP104" s="80" t="str">
        <f>IF(I104="","",IF(I104&lt;=$AP$1,"O","X"))</f>
        <v>O</v>
      </c>
      <c r="AQ104" s="80" t="str">
        <f>IF(O104="","",IF(O104&lt;=$AQ$1,"O","X"))</f>
        <v>O</v>
      </c>
      <c r="AR104" s="80" t="str">
        <f>IF(M104="","",IF(M104&lt;=$AR$1,"O","X"))</f>
        <v>X</v>
      </c>
      <c r="AS104" s="80" t="s">
        <v>2</v>
      </c>
      <c r="AT104" s="80" t="str">
        <f>IF(OR(F104="",AI104=""),"",IF(AND((F104&lt;=85),(AI104&gt;=15)),"O","X"))</f>
        <v>O</v>
      </c>
      <c r="AU104" s="80" t="str">
        <f>IF(C104="","",IF(C104&gt;=$AU$1,"O","X"))</f>
        <v>O</v>
      </c>
      <c r="AV104" s="80" t="str">
        <f>IF(AO104="","",IF(AND(AO104="O",AP104="O",AR104="O",AT104="O",AU104="O"),"후보","X"))</f>
        <v>X</v>
      </c>
    </row>
    <row r="105" spans="1:48" x14ac:dyDescent="0.3">
      <c r="A105" s="9" t="s">
        <v>513</v>
      </c>
      <c r="B105" s="10" t="s">
        <v>1278</v>
      </c>
      <c r="C105" s="89">
        <v>765</v>
      </c>
      <c r="D105" s="87">
        <v>82.2</v>
      </c>
      <c r="E105" s="88">
        <v>25</v>
      </c>
      <c r="F105" s="87">
        <v>59.8</v>
      </c>
      <c r="G105" s="17">
        <v>18</v>
      </c>
      <c r="H105" s="89">
        <v>285</v>
      </c>
      <c r="I105" s="90">
        <v>9500</v>
      </c>
      <c r="J105" s="90" t="s">
        <v>81</v>
      </c>
      <c r="K105" s="90">
        <v>8000</v>
      </c>
      <c r="L105" s="90" t="s">
        <v>84</v>
      </c>
      <c r="M105" s="91">
        <f>I105-K105</f>
        <v>1500</v>
      </c>
      <c r="N105" s="4">
        <f>IF(ISERROR(K105/I105),"",K105/I105)</f>
        <v>0.84210526315789469</v>
      </c>
      <c r="O105" s="92">
        <f>I105/E105</f>
        <v>380</v>
      </c>
      <c r="P105" s="92">
        <f>K105/E105</f>
        <v>320</v>
      </c>
      <c r="Q105" s="80">
        <v>3</v>
      </c>
      <c r="R105" s="80">
        <v>1</v>
      </c>
      <c r="S105" s="80" t="s">
        <v>76</v>
      </c>
      <c r="T105" s="5">
        <v>82</v>
      </c>
      <c r="U105" s="9"/>
      <c r="W105" s="87">
        <f t="shared" si="90"/>
        <v>82.2</v>
      </c>
      <c r="X105" s="88">
        <f t="shared" si="90"/>
        <v>25</v>
      </c>
      <c r="Y105" s="93">
        <f t="shared" si="91"/>
        <v>285</v>
      </c>
      <c r="Z105" s="91">
        <f t="shared" si="91"/>
        <v>9500</v>
      </c>
      <c r="AA105" s="91">
        <f>K105</f>
        <v>8000</v>
      </c>
      <c r="AB105" s="91">
        <f t="shared" si="92"/>
        <v>1500</v>
      </c>
      <c r="AC105" s="4">
        <f t="shared" si="92"/>
        <v>0.84210526315789469</v>
      </c>
      <c r="AD105" s="92">
        <f t="shared" si="92"/>
        <v>380</v>
      </c>
      <c r="AE105" s="80" t="str">
        <f>S105</f>
        <v>복</v>
      </c>
      <c r="AF105" s="80" t="str">
        <f>Q105&amp;"/"&amp;R105</f>
        <v>3/1</v>
      </c>
      <c r="AH105" s="20" t="str">
        <f t="shared" si="89"/>
        <v>영창</v>
      </c>
      <c r="AI105" s="88">
        <f t="shared" si="88"/>
        <v>25</v>
      </c>
      <c r="AJ105" s="80" t="str">
        <f>IF(AI105="","",$AJ$2)</f>
        <v>A-</v>
      </c>
      <c r="AK105" s="80" t="s">
        <v>14</v>
      </c>
      <c r="AL105" s="80" t="s">
        <v>63</v>
      </c>
      <c r="AM105" s="80" t="s">
        <v>64</v>
      </c>
      <c r="AN105" s="80" t="str">
        <f>IF(AI105="","",$AN$2)</f>
        <v>C</v>
      </c>
      <c r="AO105" s="80" t="str">
        <f>IF(N105="","",IF(N105&gt;=$AO$1/100,"O","X"))</f>
        <v>O</v>
      </c>
      <c r="AP105" s="80" t="str">
        <f>IF(I105="","",IF(I105&lt;=$AP$1,"O","X"))</f>
        <v>O</v>
      </c>
      <c r="AQ105" s="80" t="str">
        <f>IF(O105="","",IF(O105&lt;=$AQ$1,"O","X"))</f>
        <v>O</v>
      </c>
      <c r="AR105" s="80" t="str">
        <f>IF(M105="","",IF(M105&lt;=$AR$1,"O","X"))</f>
        <v>O</v>
      </c>
      <c r="AS105" s="80" t="s">
        <v>2</v>
      </c>
      <c r="AT105" s="80" t="str">
        <f>IF(OR(F105="",AI105=""),"",IF(AND((F105&lt;=85),(AI105&gt;=15)),"O","X"))</f>
        <v>O</v>
      </c>
      <c r="AU105" s="80" t="str">
        <f>IF(C105="","",IF(C105&gt;=$AU$1,"O","X"))</f>
        <v>O</v>
      </c>
      <c r="AV105" s="80" t="str">
        <f>IF(AO105="","",IF(AND(AO105="O",AP105="O",AR105="O",AT105="O",AU105="O"),"후보","X"))</f>
        <v>후보</v>
      </c>
    </row>
    <row r="106" spans="1:48" x14ac:dyDescent="0.3">
      <c r="A106" s="9"/>
      <c r="B106" s="80"/>
      <c r="C106" s="6"/>
      <c r="D106" s="9"/>
      <c r="E106" s="14"/>
      <c r="F106" s="87"/>
      <c r="G106" s="9"/>
      <c r="H106" s="9"/>
      <c r="I106" s="9"/>
      <c r="J106" s="9"/>
      <c r="K106" s="9"/>
      <c r="L106" s="9"/>
      <c r="M106" s="9"/>
      <c r="N106" s="9"/>
      <c r="O106" s="92"/>
      <c r="P106" s="92"/>
      <c r="Q106" s="88"/>
      <c r="R106" s="88"/>
      <c r="S106" s="9"/>
      <c r="T106" s="47"/>
      <c r="U106" s="9"/>
      <c r="W106" s="67" t="str">
        <f>$A$4&amp;" "&amp;A107&amp;"("&amp;B107&amp;","&amp;C107&amp;"^)"</f>
        <v>나운동 비사벌('97.02.,268^)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89"/>
        <v/>
      </c>
      <c r="AI106" s="112" t="str">
        <f t="shared" si="88"/>
        <v/>
      </c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</row>
    <row r="107" spans="1:48" x14ac:dyDescent="0.3">
      <c r="A107" s="9" t="s">
        <v>517</v>
      </c>
      <c r="B107" s="10" t="s">
        <v>1298</v>
      </c>
      <c r="C107" s="89">
        <v>268</v>
      </c>
      <c r="D107" s="87">
        <v>78.2</v>
      </c>
      <c r="E107" s="88">
        <v>24</v>
      </c>
      <c r="F107" s="87">
        <v>59.9</v>
      </c>
      <c r="G107" s="17">
        <v>18</v>
      </c>
      <c r="H107" s="89">
        <v>268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80">
        <v>2</v>
      </c>
      <c r="R107" s="80">
        <v>1</v>
      </c>
      <c r="S107" s="80" t="s">
        <v>61</v>
      </c>
      <c r="T107" s="5">
        <v>78</v>
      </c>
      <c r="U107" s="9"/>
      <c r="W107" s="87">
        <f>D107</f>
        <v>78.2</v>
      </c>
      <c r="X107" s="88">
        <f>E107</f>
        <v>24</v>
      </c>
      <c r="Y107" s="93">
        <f>H107</f>
        <v>268</v>
      </c>
      <c r="Z107" s="91">
        <f>I107</f>
        <v>0</v>
      </c>
      <c r="AA107" s="91">
        <f>K107</f>
        <v>0</v>
      </c>
      <c r="AB107" s="91">
        <f>M107</f>
        <v>0</v>
      </c>
      <c r="AC107" s="4" t="str">
        <f>N107</f>
        <v/>
      </c>
      <c r="AD107" s="92">
        <f>O107</f>
        <v>0</v>
      </c>
      <c r="AE107" s="80" t="str">
        <f>S107</f>
        <v>계</v>
      </c>
      <c r="AF107" s="80" t="str">
        <f>Q107&amp;"/"&amp;R107</f>
        <v>2/1</v>
      </c>
      <c r="AH107" s="20" t="str">
        <f t="shared" si="89"/>
        <v>비사벌</v>
      </c>
      <c r="AI107" s="88">
        <f t="shared" si="88"/>
        <v>24</v>
      </c>
      <c r="AJ107" s="80" t="str">
        <f>IF(AI107="","",$AJ$2)</f>
        <v>A-</v>
      </c>
      <c r="AK107" s="80" t="s">
        <v>14</v>
      </c>
      <c r="AL107" s="80" t="s">
        <v>63</v>
      </c>
      <c r="AM107" s="80" t="s">
        <v>64</v>
      </c>
      <c r="AN107" s="80" t="str">
        <f>IF(AI107="","",$AN$2)</f>
        <v>C</v>
      </c>
      <c r="AO107" s="80" t="str">
        <f>IF(N107="","",IF(N107&gt;=$AO$1/100,"O","X"))</f>
        <v/>
      </c>
      <c r="AP107" s="80" t="str">
        <f>IF(I107="","",IF(I107&lt;=$AP$1,"O","X"))</f>
        <v/>
      </c>
      <c r="AQ107" s="80" t="str">
        <f>IF(O107="","",IF(O107&lt;=$AQ$1,"O","X"))</f>
        <v>O</v>
      </c>
      <c r="AR107" s="80" t="str">
        <f>IF(M107="","",IF(M107&lt;=$AR$1,"O","X"))</f>
        <v>O</v>
      </c>
      <c r="AS107" s="80" t="s">
        <v>2</v>
      </c>
      <c r="AT107" s="80" t="str">
        <f>IF(OR(F107="",AI107=""),"",IF(AND((F107&lt;=85),(AI107&gt;=15)),"O","X"))</f>
        <v>O</v>
      </c>
      <c r="AU107" s="80" t="str">
        <f>IF(C107="","",IF(C107&gt;=$AU$1,"O","X"))</f>
        <v>X</v>
      </c>
      <c r="AV107" s="80" t="str">
        <f>IF(AO107="","",IF(AND(AO107="O",AP107="O",AR107="O",AT107="O",AU107="O"),"후보","X"))</f>
        <v/>
      </c>
    </row>
    <row r="108" spans="1:48" x14ac:dyDescent="0.3">
      <c r="A108" s="9"/>
      <c r="B108" s="80"/>
      <c r="C108" s="6"/>
      <c r="D108" s="9"/>
      <c r="E108" s="14"/>
      <c r="F108" s="87"/>
      <c r="G108" s="9"/>
      <c r="H108" s="9"/>
      <c r="I108" s="9"/>
      <c r="J108" s="9"/>
      <c r="K108" s="9"/>
      <c r="L108" s="9"/>
      <c r="M108" s="9"/>
      <c r="N108" s="9"/>
      <c r="O108" s="92"/>
      <c r="P108" s="92"/>
      <c r="Q108" s="88"/>
      <c r="R108" s="88"/>
      <c r="S108" s="9"/>
      <c r="T108" s="47"/>
      <c r="U108" s="9"/>
      <c r="W108" s="67" t="str">
        <f>$A$4&amp;" "&amp;A109&amp;"("&amp;B109&amp;","&amp;C109&amp;"^)"</f>
        <v>나운동 나운유원('90.11.,458^)</v>
      </c>
      <c r="X108" s="68"/>
      <c r="Y108" s="68"/>
      <c r="Z108" s="68"/>
      <c r="AA108" s="68"/>
      <c r="AB108" s="68"/>
      <c r="AC108" s="68"/>
      <c r="AD108" s="68"/>
      <c r="AE108" s="68"/>
      <c r="AF108" s="69"/>
      <c r="AH108" s="20" t="str">
        <f t="shared" si="89"/>
        <v/>
      </c>
      <c r="AI108" s="112" t="str">
        <f t="shared" si="88"/>
        <v/>
      </c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</row>
    <row r="109" spans="1:48" x14ac:dyDescent="0.3">
      <c r="A109" s="9" t="s">
        <v>521</v>
      </c>
      <c r="B109" s="10" t="s">
        <v>1284</v>
      </c>
      <c r="C109" s="89">
        <v>458</v>
      </c>
      <c r="D109" s="87">
        <v>81.3</v>
      </c>
      <c r="E109" s="88">
        <v>25</v>
      </c>
      <c r="F109" s="87">
        <v>65.099999999999994</v>
      </c>
      <c r="G109" s="17">
        <v>20</v>
      </c>
      <c r="H109" s="89">
        <v>144</v>
      </c>
      <c r="I109" s="90">
        <v>8500</v>
      </c>
      <c r="J109" s="90" t="s">
        <v>72</v>
      </c>
      <c r="K109" s="90">
        <v>7000</v>
      </c>
      <c r="L109" s="90" t="s">
        <v>66</v>
      </c>
      <c r="M109" s="91">
        <f>I109-K109</f>
        <v>1500</v>
      </c>
      <c r="N109" s="4">
        <f>IF(ISERROR(K109/I109),"",K109/I109)</f>
        <v>0.82352941176470584</v>
      </c>
      <c r="O109" s="92">
        <f>I109/E109</f>
        <v>340</v>
      </c>
      <c r="P109" s="92">
        <f>K109/E109</f>
        <v>280</v>
      </c>
      <c r="Q109" s="80">
        <v>3</v>
      </c>
      <c r="R109" s="80">
        <v>1</v>
      </c>
      <c r="S109" s="80" t="s">
        <v>61</v>
      </c>
      <c r="T109" s="5">
        <v>81</v>
      </c>
      <c r="U109" s="9"/>
      <c r="W109" s="87">
        <f t="shared" ref="W109:X111" si="93">D109</f>
        <v>81.3</v>
      </c>
      <c r="X109" s="88">
        <f t="shared" si="93"/>
        <v>25</v>
      </c>
      <c r="Y109" s="93">
        <f t="shared" ref="Y109:Z111" si="94">H109</f>
        <v>144</v>
      </c>
      <c r="Z109" s="91">
        <f t="shared" si="94"/>
        <v>8500</v>
      </c>
      <c r="AA109" s="91">
        <f>K109</f>
        <v>7000</v>
      </c>
      <c r="AB109" s="91">
        <f t="shared" ref="AB109:AD111" si="95">M109</f>
        <v>1500</v>
      </c>
      <c r="AC109" s="4">
        <f t="shared" si="95"/>
        <v>0.82352941176470584</v>
      </c>
      <c r="AD109" s="92">
        <f t="shared" si="95"/>
        <v>340</v>
      </c>
      <c r="AE109" s="80" t="str">
        <f>S109</f>
        <v>계</v>
      </c>
      <c r="AF109" s="80" t="str">
        <f>Q109&amp;"/"&amp;R109</f>
        <v>3/1</v>
      </c>
      <c r="AH109" s="20" t="str">
        <f t="shared" si="89"/>
        <v>나운유원</v>
      </c>
      <c r="AI109" s="88">
        <f t="shared" si="88"/>
        <v>25</v>
      </c>
      <c r="AJ109" s="80" t="str">
        <f>IF(AI109="","",$AJ$2)</f>
        <v>A-</v>
      </c>
      <c r="AK109" s="80" t="s">
        <v>14</v>
      </c>
      <c r="AL109" s="80" t="s">
        <v>63</v>
      </c>
      <c r="AM109" s="80" t="s">
        <v>64</v>
      </c>
      <c r="AN109" s="80" t="str">
        <f>IF(AI109="","",$AN$2)</f>
        <v>C</v>
      </c>
      <c r="AO109" s="80" t="str">
        <f>IF(N109="","",IF(N109&gt;=$AO$1/100,"O","X"))</f>
        <v>O</v>
      </c>
      <c r="AP109" s="80" t="str">
        <f>IF(I109="","",IF(I109&lt;=$AP$1,"O","X"))</f>
        <v>O</v>
      </c>
      <c r="AQ109" s="80" t="str">
        <f>IF(O109="","",IF(O109&lt;=$AQ$1,"O","X"))</f>
        <v>O</v>
      </c>
      <c r="AR109" s="80" t="str">
        <f>IF(M109="","",IF(M109&lt;=$AR$1,"O","X"))</f>
        <v>O</v>
      </c>
      <c r="AS109" s="80" t="s">
        <v>2</v>
      </c>
      <c r="AT109" s="80" t="str">
        <f>IF(OR(F109="",AI109=""),"",IF(AND((F109&lt;=85),(AI109&gt;=15)),"O","X"))</f>
        <v>O</v>
      </c>
      <c r="AU109" s="80" t="str">
        <f>IF(C109="","",IF(C109&gt;=$AU$1,"O","X"))</f>
        <v>O</v>
      </c>
      <c r="AV109" s="80" t="str">
        <f>IF(AO109="","",IF(AND(AO109="O",AP109="O",AR109="O",AT109="O",AU109="O"),"후보","X"))</f>
        <v>후보</v>
      </c>
    </row>
    <row r="110" spans="1:48" x14ac:dyDescent="0.3">
      <c r="A110" s="9" t="s">
        <v>521</v>
      </c>
      <c r="B110" s="10" t="s">
        <v>1284</v>
      </c>
      <c r="C110" s="89">
        <v>458</v>
      </c>
      <c r="D110" s="87">
        <v>96.8</v>
      </c>
      <c r="E110" s="88">
        <v>29</v>
      </c>
      <c r="F110" s="87">
        <v>78.099999999999994</v>
      </c>
      <c r="G110" s="17">
        <v>24</v>
      </c>
      <c r="H110" s="89">
        <v>69</v>
      </c>
      <c r="I110" s="90">
        <v>7800</v>
      </c>
      <c r="J110" s="90" t="s">
        <v>67</v>
      </c>
      <c r="K110" s="90"/>
      <c r="L110" s="90"/>
      <c r="M110" s="91">
        <f>I110-K110</f>
        <v>7800</v>
      </c>
      <c r="N110" s="4">
        <f>IF(ISERROR(K110/I110),"",K110/I110)</f>
        <v>0</v>
      </c>
      <c r="O110" s="92">
        <f>I110/E110</f>
        <v>268.9655172413793</v>
      </c>
      <c r="P110" s="92">
        <f>K110/E110</f>
        <v>0</v>
      </c>
      <c r="Q110" s="80">
        <v>3</v>
      </c>
      <c r="R110" s="80">
        <v>1</v>
      </c>
      <c r="S110" s="80" t="s">
        <v>61</v>
      </c>
      <c r="T110" s="5">
        <v>96</v>
      </c>
      <c r="U110" s="9"/>
      <c r="W110" s="87">
        <f t="shared" si="93"/>
        <v>96.8</v>
      </c>
      <c r="X110" s="88">
        <f t="shared" si="93"/>
        <v>29</v>
      </c>
      <c r="Y110" s="93">
        <f t="shared" si="94"/>
        <v>69</v>
      </c>
      <c r="Z110" s="91">
        <f t="shared" si="94"/>
        <v>7800</v>
      </c>
      <c r="AA110" s="91">
        <f>K110</f>
        <v>0</v>
      </c>
      <c r="AB110" s="91">
        <f t="shared" si="95"/>
        <v>7800</v>
      </c>
      <c r="AC110" s="4">
        <f t="shared" si="95"/>
        <v>0</v>
      </c>
      <c r="AD110" s="92">
        <f t="shared" si="95"/>
        <v>268.9655172413793</v>
      </c>
      <c r="AE110" s="80" t="str">
        <f>S110</f>
        <v>계</v>
      </c>
      <c r="AF110" s="80" t="str">
        <f>Q110&amp;"/"&amp;R110</f>
        <v>3/1</v>
      </c>
      <c r="AH110" s="20" t="str">
        <f t="shared" si="89"/>
        <v>나운유원</v>
      </c>
      <c r="AI110" s="88">
        <f t="shared" si="88"/>
        <v>29</v>
      </c>
      <c r="AJ110" s="80" t="str">
        <f>IF(AI110="","",$AJ$2)</f>
        <v>A-</v>
      </c>
      <c r="AK110" s="80" t="s">
        <v>14</v>
      </c>
      <c r="AL110" s="80" t="s">
        <v>63</v>
      </c>
      <c r="AM110" s="80" t="s">
        <v>64</v>
      </c>
      <c r="AN110" s="80" t="str">
        <f>IF(AI110="","",$AN$2)</f>
        <v>C</v>
      </c>
      <c r="AO110" s="80" t="str">
        <f>IF(N110="","",IF(N110&gt;=$AO$1/100,"O","X"))</f>
        <v>X</v>
      </c>
      <c r="AP110" s="80" t="str">
        <f>IF(I110="","",IF(I110&lt;=$AP$1,"O","X"))</f>
        <v>O</v>
      </c>
      <c r="AQ110" s="80" t="str">
        <f>IF(O110="","",IF(O110&lt;=$AQ$1,"O","X"))</f>
        <v>O</v>
      </c>
      <c r="AR110" s="80" t="str">
        <f>IF(M110="","",IF(M110&lt;=$AR$1,"O","X"))</f>
        <v>X</v>
      </c>
      <c r="AS110" s="80" t="s">
        <v>2</v>
      </c>
      <c r="AT110" s="80" t="str">
        <f>IF(OR(F110="",AI110=""),"",IF(AND((F110&lt;=85),(AI110&gt;=15)),"O","X"))</f>
        <v>O</v>
      </c>
      <c r="AU110" s="80" t="str">
        <f>IF(C110="","",IF(C110&gt;=$AU$1,"O","X"))</f>
        <v>O</v>
      </c>
      <c r="AV110" s="80" t="str">
        <f>IF(AO110="","",IF(AND(AO110="O",AP110="O",AR110="O",AT110="O",AU110="O"),"후보","X"))</f>
        <v>X</v>
      </c>
    </row>
    <row r="111" spans="1:48" x14ac:dyDescent="0.3">
      <c r="A111" s="9" t="s">
        <v>521</v>
      </c>
      <c r="B111" s="10" t="s">
        <v>1284</v>
      </c>
      <c r="C111" s="89">
        <v>458</v>
      </c>
      <c r="D111" s="87">
        <v>104.1</v>
      </c>
      <c r="E111" s="88">
        <v>31</v>
      </c>
      <c r="F111" s="87">
        <v>85</v>
      </c>
      <c r="G111" s="17">
        <v>26</v>
      </c>
      <c r="H111" s="89">
        <v>245</v>
      </c>
      <c r="I111" s="90">
        <v>9500</v>
      </c>
      <c r="J111" s="90" t="s">
        <v>111</v>
      </c>
      <c r="K111" s="90"/>
      <c r="L111" s="90"/>
      <c r="M111" s="91">
        <f>I111-K111</f>
        <v>9500</v>
      </c>
      <c r="N111" s="4">
        <f>IF(ISERROR(K111/I111),"",K111/I111)</f>
        <v>0</v>
      </c>
      <c r="O111" s="92">
        <f>I111/E111</f>
        <v>306.45161290322579</v>
      </c>
      <c r="P111" s="92">
        <f>K111/E111</f>
        <v>0</v>
      </c>
      <c r="Q111" s="80">
        <v>3</v>
      </c>
      <c r="R111" s="80">
        <v>2</v>
      </c>
      <c r="S111" s="80" t="s">
        <v>61</v>
      </c>
      <c r="T111" s="5">
        <v>104</v>
      </c>
      <c r="U111" s="9"/>
      <c r="W111" s="87">
        <f t="shared" si="93"/>
        <v>104.1</v>
      </c>
      <c r="X111" s="88">
        <f t="shared" si="93"/>
        <v>31</v>
      </c>
      <c r="Y111" s="93">
        <f t="shared" si="94"/>
        <v>245</v>
      </c>
      <c r="Z111" s="91">
        <f t="shared" si="94"/>
        <v>9500</v>
      </c>
      <c r="AA111" s="91">
        <f>K111</f>
        <v>0</v>
      </c>
      <c r="AB111" s="91">
        <f t="shared" si="95"/>
        <v>9500</v>
      </c>
      <c r="AC111" s="4">
        <f t="shared" si="95"/>
        <v>0</v>
      </c>
      <c r="AD111" s="92">
        <f t="shared" si="95"/>
        <v>306.45161290322579</v>
      </c>
      <c r="AE111" s="80" t="str">
        <f>S111</f>
        <v>계</v>
      </c>
      <c r="AF111" s="80" t="str">
        <f>Q111&amp;"/"&amp;R111</f>
        <v>3/2</v>
      </c>
      <c r="AH111" s="20" t="str">
        <f t="shared" si="89"/>
        <v>나운유원</v>
      </c>
      <c r="AI111" s="88">
        <f t="shared" si="88"/>
        <v>31</v>
      </c>
      <c r="AJ111" s="80" t="str">
        <f>IF(AI111="","",$AJ$2)</f>
        <v>A-</v>
      </c>
      <c r="AK111" s="80" t="s">
        <v>14</v>
      </c>
      <c r="AL111" s="80" t="s">
        <v>63</v>
      </c>
      <c r="AM111" s="80" t="s">
        <v>64</v>
      </c>
      <c r="AN111" s="80" t="str">
        <f>IF(AI111="","",$AN$2)</f>
        <v>C</v>
      </c>
      <c r="AO111" s="80" t="str">
        <f>IF(N111="","",IF(N111&gt;=$AO$1/100,"O","X"))</f>
        <v>X</v>
      </c>
      <c r="AP111" s="80" t="str">
        <f>IF(I111="","",IF(I111&lt;=$AP$1,"O","X"))</f>
        <v>O</v>
      </c>
      <c r="AQ111" s="80" t="str">
        <f>IF(O111="","",IF(O111&lt;=$AQ$1,"O","X"))</f>
        <v>O</v>
      </c>
      <c r="AR111" s="80" t="str">
        <f>IF(M111="","",IF(M111&lt;=$AR$1,"O","X"))</f>
        <v>X</v>
      </c>
      <c r="AS111" s="80" t="s">
        <v>2</v>
      </c>
      <c r="AT111" s="80" t="str">
        <f>IF(OR(F111="",AI111=""),"",IF(AND((F111&lt;=85),(AI111&gt;=15)),"O","X"))</f>
        <v>O</v>
      </c>
      <c r="AU111" s="80" t="str">
        <f>IF(C111="","",IF(C111&gt;=$AU$1,"O","X"))</f>
        <v>O</v>
      </c>
      <c r="AV111" s="80" t="str">
        <f>IF(AO111="","",IF(AND(AO111="O",AP111="O",AR111="O",AT111="O",AU111="O"),"후보","X"))</f>
        <v>X</v>
      </c>
    </row>
    <row r="112" spans="1:48" x14ac:dyDescent="0.3">
      <c r="A112" s="9"/>
      <c r="B112" s="80"/>
      <c r="C112" s="6"/>
      <c r="D112" s="9"/>
      <c r="E112" s="14"/>
      <c r="F112" s="87"/>
      <c r="G112" s="9"/>
      <c r="H112" s="9"/>
      <c r="I112" s="9"/>
      <c r="J112" s="9"/>
      <c r="K112" s="9"/>
      <c r="L112" s="9"/>
      <c r="M112" s="9"/>
      <c r="N112" s="9"/>
      <c r="O112" s="92"/>
      <c r="P112" s="92"/>
      <c r="Q112" s="88"/>
      <c r="R112" s="88"/>
      <c r="S112" s="9"/>
      <c r="T112" s="47"/>
      <c r="U112" s="9"/>
      <c r="W112" s="67" t="str">
        <f>$A$4&amp;" "&amp;A113&amp;"("&amp;B113&amp;","&amp;C113&amp;"^)"</f>
        <v>나운동 주공5단지('95.07.,1541^)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9"/>
        <v/>
      </c>
      <c r="AI112" s="112" t="str">
        <f t="shared" si="88"/>
        <v/>
      </c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</row>
    <row r="113" spans="1:48" x14ac:dyDescent="0.3">
      <c r="A113" s="9" t="s">
        <v>525</v>
      </c>
      <c r="B113" s="10" t="s">
        <v>1304</v>
      </c>
      <c r="C113" s="89">
        <v>1541</v>
      </c>
      <c r="D113" s="87">
        <v>54.8</v>
      </c>
      <c r="E113" s="88">
        <v>17</v>
      </c>
      <c r="F113" s="87">
        <v>37.700000000000003</v>
      </c>
      <c r="G113" s="17">
        <v>11</v>
      </c>
      <c r="H113" s="89">
        <v>149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80">
        <v>2</v>
      </c>
      <c r="R113" s="80">
        <v>1</v>
      </c>
      <c r="S113" s="80" t="s">
        <v>76</v>
      </c>
      <c r="T113" s="5">
        <v>54</v>
      </c>
      <c r="U113" s="9"/>
      <c r="W113" s="87">
        <f t="shared" ref="W113:X115" si="96">D113</f>
        <v>54.8</v>
      </c>
      <c r="X113" s="88">
        <f t="shared" si="96"/>
        <v>17</v>
      </c>
      <c r="Y113" s="93">
        <f t="shared" ref="Y113:Z115" si="97">H113</f>
        <v>149</v>
      </c>
      <c r="Z113" s="91">
        <f t="shared" si="97"/>
        <v>0</v>
      </c>
      <c r="AA113" s="91">
        <f>K113</f>
        <v>0</v>
      </c>
      <c r="AB113" s="91">
        <f t="shared" ref="AB113:AD115" si="98">M113</f>
        <v>0</v>
      </c>
      <c r="AC113" s="4" t="str">
        <f t="shared" si="98"/>
        <v/>
      </c>
      <c r="AD113" s="92">
        <f t="shared" si="98"/>
        <v>0</v>
      </c>
      <c r="AE113" s="80" t="str">
        <f>S113</f>
        <v>복</v>
      </c>
      <c r="AF113" s="80" t="str">
        <f>Q113&amp;"/"&amp;R113</f>
        <v>2/1</v>
      </c>
      <c r="AH113" s="20" t="str">
        <f t="shared" si="89"/>
        <v>주공5단지</v>
      </c>
      <c r="AI113" s="88">
        <f t="shared" si="88"/>
        <v>17</v>
      </c>
      <c r="AJ113" s="80" t="str">
        <f>IF(AI113="","",$AJ$2)</f>
        <v>A-</v>
      </c>
      <c r="AK113" s="80" t="s">
        <v>14</v>
      </c>
      <c r="AL113" s="80" t="s">
        <v>63</v>
      </c>
      <c r="AM113" s="80" t="s">
        <v>64</v>
      </c>
      <c r="AN113" s="80" t="str">
        <f>IF(AI113="","",$AN$2)</f>
        <v>C</v>
      </c>
      <c r="AO113" s="80" t="str">
        <f>IF(N113="","",IF(N113&gt;=$AO$1/100,"O","X"))</f>
        <v/>
      </c>
      <c r="AP113" s="80" t="str">
        <f>IF(I113="","",IF(I113&lt;=$AP$1,"O","X"))</f>
        <v/>
      </c>
      <c r="AQ113" s="80" t="str">
        <f>IF(O113="","",IF(O113&lt;=$AQ$1,"O","X"))</f>
        <v>O</v>
      </c>
      <c r="AR113" s="80" t="str">
        <f>IF(M113="","",IF(M113&lt;=$AR$1,"O","X"))</f>
        <v>O</v>
      </c>
      <c r="AS113" s="80" t="s">
        <v>2</v>
      </c>
      <c r="AT113" s="80" t="str">
        <f>IF(OR(F113="",AI113=""),"",IF(AND((F113&lt;=85),(AI113&gt;=15)),"O","X"))</f>
        <v>O</v>
      </c>
      <c r="AU113" s="80" t="str">
        <f>IF(C113="","",IF(C113&gt;=$AU$1,"O","X"))</f>
        <v>O</v>
      </c>
      <c r="AV113" s="80" t="str">
        <f>IF(AO113="","",IF(AND(AO113="O",AP113="O",AR113="O",AT113="O",AU113="O"),"후보","X"))</f>
        <v/>
      </c>
    </row>
    <row r="114" spans="1:48" x14ac:dyDescent="0.3">
      <c r="A114" s="9" t="s">
        <v>525</v>
      </c>
      <c r="B114" s="10" t="s">
        <v>1304</v>
      </c>
      <c r="C114" s="89">
        <v>1541</v>
      </c>
      <c r="D114" s="87">
        <v>69.8</v>
      </c>
      <c r="E114" s="88">
        <v>21</v>
      </c>
      <c r="F114" s="87">
        <v>49.7</v>
      </c>
      <c r="G114" s="17">
        <v>15</v>
      </c>
      <c r="H114" s="89">
        <v>149</v>
      </c>
      <c r="I114" s="90">
        <v>8000</v>
      </c>
      <c r="J114" s="90" t="s">
        <v>70</v>
      </c>
      <c r="K114" s="90"/>
      <c r="L114" s="90"/>
      <c r="M114" s="91">
        <f>I114-K114</f>
        <v>8000</v>
      </c>
      <c r="N114" s="4">
        <f>IF(ISERROR(K114/I114),"",K114/I114)</f>
        <v>0</v>
      </c>
      <c r="O114" s="92">
        <f>I114/E114</f>
        <v>380.95238095238096</v>
      </c>
      <c r="P114" s="92">
        <f>K114/E114</f>
        <v>0</v>
      </c>
      <c r="Q114" s="80">
        <v>2</v>
      </c>
      <c r="R114" s="80">
        <v>1</v>
      </c>
      <c r="S114" s="80" t="s">
        <v>76</v>
      </c>
      <c r="T114" s="5">
        <v>69</v>
      </c>
      <c r="U114" s="9"/>
      <c r="W114" s="87">
        <f t="shared" si="96"/>
        <v>69.8</v>
      </c>
      <c r="X114" s="88">
        <f t="shared" si="96"/>
        <v>21</v>
      </c>
      <c r="Y114" s="93">
        <f t="shared" si="97"/>
        <v>149</v>
      </c>
      <c r="Z114" s="91">
        <f t="shared" si="97"/>
        <v>8000</v>
      </c>
      <c r="AA114" s="91">
        <f>K114</f>
        <v>0</v>
      </c>
      <c r="AB114" s="91">
        <f t="shared" si="98"/>
        <v>8000</v>
      </c>
      <c r="AC114" s="4">
        <f t="shared" si="98"/>
        <v>0</v>
      </c>
      <c r="AD114" s="92">
        <f t="shared" si="98"/>
        <v>380.95238095238096</v>
      </c>
      <c r="AE114" s="80" t="str">
        <f>S114</f>
        <v>복</v>
      </c>
      <c r="AF114" s="80" t="str">
        <f>Q114&amp;"/"&amp;R114</f>
        <v>2/1</v>
      </c>
      <c r="AH114" s="20" t="str">
        <f t="shared" si="89"/>
        <v>주공5단지</v>
      </c>
      <c r="AI114" s="88">
        <f t="shared" si="88"/>
        <v>21</v>
      </c>
      <c r="AJ114" s="80" t="str">
        <f>IF(AI114="","",$AJ$2)</f>
        <v>A-</v>
      </c>
      <c r="AK114" s="80" t="s">
        <v>14</v>
      </c>
      <c r="AL114" s="80" t="s">
        <v>63</v>
      </c>
      <c r="AM114" s="80" t="s">
        <v>64</v>
      </c>
      <c r="AN114" s="80" t="str">
        <f>IF(AI114="","",$AN$2)</f>
        <v>C</v>
      </c>
      <c r="AO114" s="80" t="str">
        <f>IF(N114="","",IF(N114&gt;=$AO$1/100,"O","X"))</f>
        <v>X</v>
      </c>
      <c r="AP114" s="80" t="str">
        <f>IF(I114="","",IF(I114&lt;=$AP$1,"O","X"))</f>
        <v>O</v>
      </c>
      <c r="AQ114" s="80" t="str">
        <f>IF(O114="","",IF(O114&lt;=$AQ$1,"O","X"))</f>
        <v>O</v>
      </c>
      <c r="AR114" s="80" t="str">
        <f>IF(M114="","",IF(M114&lt;=$AR$1,"O","X"))</f>
        <v>X</v>
      </c>
      <c r="AS114" s="80" t="s">
        <v>2</v>
      </c>
      <c r="AT114" s="80" t="str">
        <f>IF(OR(F114="",AI114=""),"",IF(AND((F114&lt;=85),(AI114&gt;=15)),"O","X"))</f>
        <v>O</v>
      </c>
      <c r="AU114" s="80" t="str">
        <f>IF(C114="","",IF(C114&gt;=$AU$1,"O","X"))</f>
        <v>O</v>
      </c>
      <c r="AV114" s="80" t="str">
        <f>IF(AO114="","",IF(AND(AO114="O",AP114="O",AR114="O",AT114="O",AU114="O"),"후보","X"))</f>
        <v>X</v>
      </c>
    </row>
    <row r="115" spans="1:48" x14ac:dyDescent="0.3">
      <c r="A115" s="9" t="s">
        <v>525</v>
      </c>
      <c r="B115" s="10" t="s">
        <v>1304</v>
      </c>
      <c r="C115" s="89">
        <v>1541</v>
      </c>
      <c r="D115" s="87">
        <v>79.2</v>
      </c>
      <c r="E115" s="88">
        <v>24</v>
      </c>
      <c r="F115" s="87">
        <v>58.1</v>
      </c>
      <c r="G115" s="17">
        <v>18</v>
      </c>
      <c r="H115" s="89">
        <v>1243</v>
      </c>
      <c r="I115" s="90">
        <v>8700</v>
      </c>
      <c r="J115" s="90" t="s">
        <v>81</v>
      </c>
      <c r="K115" s="90">
        <v>8000</v>
      </c>
      <c r="L115" s="90" t="s">
        <v>65</v>
      </c>
      <c r="M115" s="91">
        <f>I115-K115</f>
        <v>700</v>
      </c>
      <c r="N115" s="4">
        <f>IF(ISERROR(K115/I115),"",K115/I115)</f>
        <v>0.91954022988505746</v>
      </c>
      <c r="O115" s="92">
        <f>I115/E115</f>
        <v>362.5</v>
      </c>
      <c r="P115" s="92">
        <f>K115/E115</f>
        <v>333.33333333333331</v>
      </c>
      <c r="Q115" s="80">
        <v>3</v>
      </c>
      <c r="R115" s="80">
        <v>1</v>
      </c>
      <c r="S115" s="80" t="s">
        <v>76</v>
      </c>
      <c r="T115" s="5">
        <v>79</v>
      </c>
      <c r="U115" s="9"/>
      <c r="W115" s="87">
        <f t="shared" si="96"/>
        <v>79.2</v>
      </c>
      <c r="X115" s="88">
        <f t="shared" si="96"/>
        <v>24</v>
      </c>
      <c r="Y115" s="93">
        <f t="shared" si="97"/>
        <v>1243</v>
      </c>
      <c r="Z115" s="91">
        <f t="shared" si="97"/>
        <v>8700</v>
      </c>
      <c r="AA115" s="91">
        <f>K115</f>
        <v>8000</v>
      </c>
      <c r="AB115" s="91">
        <f t="shared" si="98"/>
        <v>700</v>
      </c>
      <c r="AC115" s="4">
        <f t="shared" si="98"/>
        <v>0.91954022988505746</v>
      </c>
      <c r="AD115" s="92">
        <f t="shared" si="98"/>
        <v>362.5</v>
      </c>
      <c r="AE115" s="80" t="str">
        <f>S115</f>
        <v>복</v>
      </c>
      <c r="AF115" s="80" t="str">
        <f>Q115&amp;"/"&amp;R115</f>
        <v>3/1</v>
      </c>
      <c r="AH115" s="20" t="str">
        <f t="shared" si="89"/>
        <v>주공5단지</v>
      </c>
      <c r="AI115" s="88">
        <f t="shared" si="88"/>
        <v>24</v>
      </c>
      <c r="AJ115" s="80" t="str">
        <f>IF(AI115="","",$AJ$2)</f>
        <v>A-</v>
      </c>
      <c r="AK115" s="80" t="s">
        <v>14</v>
      </c>
      <c r="AL115" s="80" t="s">
        <v>63</v>
      </c>
      <c r="AM115" s="80" t="s">
        <v>64</v>
      </c>
      <c r="AN115" s="80" t="str">
        <f>IF(AI115="","",$AN$2)</f>
        <v>C</v>
      </c>
      <c r="AO115" s="80" t="str">
        <f>IF(N115="","",IF(N115&gt;=$AO$1/100,"O","X"))</f>
        <v>O</v>
      </c>
      <c r="AP115" s="80" t="str">
        <f>IF(I115="","",IF(I115&lt;=$AP$1,"O","X"))</f>
        <v>O</v>
      </c>
      <c r="AQ115" s="80" t="str">
        <f>IF(O115="","",IF(O115&lt;=$AQ$1,"O","X"))</f>
        <v>O</v>
      </c>
      <c r="AR115" s="80" t="str">
        <f>IF(M115="","",IF(M115&lt;=$AR$1,"O","X"))</f>
        <v>O</v>
      </c>
      <c r="AS115" s="80" t="s">
        <v>2</v>
      </c>
      <c r="AT115" s="80" t="str">
        <f>IF(OR(F115="",AI115=""),"",IF(AND((F115&lt;=85),(AI115&gt;=15)),"O","X"))</f>
        <v>O</v>
      </c>
      <c r="AU115" s="80" t="str">
        <f>IF(C115="","",IF(C115&gt;=$AU$1,"O","X"))</f>
        <v>O</v>
      </c>
      <c r="AV115" s="80" t="str">
        <f>IF(AO115="","",IF(AND(AO115="O",AP115="O",AR115="O",AT115="O",AU115="O"),"후보","X"))</f>
        <v>후보</v>
      </c>
    </row>
    <row r="116" spans="1:48" x14ac:dyDescent="0.3">
      <c r="A116" s="9"/>
      <c r="B116" s="80"/>
      <c r="C116" s="6"/>
      <c r="D116" s="9"/>
      <c r="E116" s="14"/>
      <c r="F116" s="87"/>
      <c r="G116" s="9"/>
      <c r="H116" s="9"/>
      <c r="I116" s="9"/>
      <c r="J116" s="9"/>
      <c r="K116" s="9"/>
      <c r="L116" s="9"/>
      <c r="M116" s="9"/>
      <c r="N116" s="9"/>
      <c r="O116" s="92"/>
      <c r="P116" s="92"/>
      <c r="Q116" s="88"/>
      <c r="R116" s="88"/>
      <c r="S116" s="9"/>
      <c r="T116" s="47"/>
      <c r="U116" s="9"/>
      <c r="W116" s="67" t="str">
        <f>$A$4&amp;" "&amp;A117&amp;"("&amp;B117&amp;","&amp;C117&amp;"^)"</f>
        <v>나운동 현대4차('98.09.,636^)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89"/>
        <v/>
      </c>
      <c r="AI116" s="112" t="str">
        <f t="shared" si="88"/>
        <v/>
      </c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</row>
    <row r="117" spans="1:48" x14ac:dyDescent="0.3">
      <c r="A117" s="9" t="s">
        <v>557</v>
      </c>
      <c r="B117" s="10" t="s">
        <v>1281</v>
      </c>
      <c r="C117" s="89">
        <v>636</v>
      </c>
      <c r="D117" s="87">
        <v>74.8</v>
      </c>
      <c r="E117" s="88">
        <v>23</v>
      </c>
      <c r="F117" s="87">
        <v>60</v>
      </c>
      <c r="G117" s="17">
        <v>18</v>
      </c>
      <c r="H117" s="89">
        <v>64</v>
      </c>
      <c r="I117" s="90">
        <v>13000</v>
      </c>
      <c r="J117" s="90" t="s">
        <v>68</v>
      </c>
      <c r="K117" s="90"/>
      <c r="L117" s="90"/>
      <c r="M117" s="91">
        <f>I117-K117</f>
        <v>13000</v>
      </c>
      <c r="N117" s="4">
        <f>IF(ISERROR(K117/I117),"",K117/I117)</f>
        <v>0</v>
      </c>
      <c r="O117" s="92">
        <f>I117/E117</f>
        <v>565.21739130434787</v>
      </c>
      <c r="P117" s="92">
        <f>K117/E117</f>
        <v>0</v>
      </c>
      <c r="Q117" s="80">
        <v>3</v>
      </c>
      <c r="R117" s="80">
        <v>1</v>
      </c>
      <c r="S117" s="80" t="s">
        <v>61</v>
      </c>
      <c r="T117" s="5">
        <v>74</v>
      </c>
      <c r="U117" s="9"/>
      <c r="W117" s="87">
        <f t="shared" ref="W117:X121" si="99">D117</f>
        <v>74.8</v>
      </c>
      <c r="X117" s="88">
        <f t="shared" si="99"/>
        <v>23</v>
      </c>
      <c r="Y117" s="93">
        <f t="shared" ref="Y117:Z121" si="100">H117</f>
        <v>64</v>
      </c>
      <c r="Z117" s="91">
        <f t="shared" si="100"/>
        <v>13000</v>
      </c>
      <c r="AA117" s="91">
        <f>K117</f>
        <v>0</v>
      </c>
      <c r="AB117" s="91">
        <f t="shared" ref="AB117:AD121" si="101">M117</f>
        <v>13000</v>
      </c>
      <c r="AC117" s="4">
        <f t="shared" si="101"/>
        <v>0</v>
      </c>
      <c r="AD117" s="92">
        <f t="shared" si="101"/>
        <v>565.21739130434787</v>
      </c>
      <c r="AE117" s="80" t="str">
        <f>S117</f>
        <v>계</v>
      </c>
      <c r="AF117" s="80" t="str">
        <f>Q117&amp;"/"&amp;R117</f>
        <v>3/1</v>
      </c>
      <c r="AH117" s="20" t="str">
        <f t="shared" si="89"/>
        <v>현대4차</v>
      </c>
      <c r="AI117" s="88">
        <f t="shared" si="88"/>
        <v>23</v>
      </c>
      <c r="AJ117" s="80" t="str">
        <f>IF(AI117="","",$AJ$2)</f>
        <v>A-</v>
      </c>
      <c r="AK117" s="80" t="s">
        <v>14</v>
      </c>
      <c r="AL117" s="80" t="s">
        <v>63</v>
      </c>
      <c r="AM117" s="80" t="s">
        <v>64</v>
      </c>
      <c r="AN117" s="80" t="str">
        <f>IF(AI117="","",$AN$2)</f>
        <v>C</v>
      </c>
      <c r="AO117" s="80" t="str">
        <f>IF(N117="","",IF(N117&gt;=$AO$1/100,"O","X"))</f>
        <v>X</v>
      </c>
      <c r="AP117" s="80" t="str">
        <f>IF(I117="","",IF(I117&lt;=$AP$1,"O","X"))</f>
        <v>O</v>
      </c>
      <c r="AQ117" s="80" t="str">
        <f>IF(O117="","",IF(O117&lt;=$AQ$1,"O","X"))</f>
        <v>O</v>
      </c>
      <c r="AR117" s="80" t="str">
        <f>IF(M117="","",IF(M117&lt;=$AR$1,"O","X"))</f>
        <v>X</v>
      </c>
      <c r="AS117" s="80" t="s">
        <v>2</v>
      </c>
      <c r="AT117" s="80" t="str">
        <f>IF(OR(F117="",AI117=""),"",IF(AND((F117&lt;=85),(AI117&gt;=15)),"O","X"))</f>
        <v>O</v>
      </c>
      <c r="AU117" s="80" t="str">
        <f>IF(C117="","",IF(C117&gt;=$AU$1,"O","X"))</f>
        <v>O</v>
      </c>
      <c r="AV117" s="80" t="str">
        <f>IF(AO117="","",IF(AND(AO117="O",AP117="O",AR117="O",AT117="O",AU117="O"),"후보","X"))</f>
        <v>X</v>
      </c>
    </row>
    <row r="118" spans="1:48" x14ac:dyDescent="0.3">
      <c r="A118" s="9" t="s">
        <v>557</v>
      </c>
      <c r="B118" s="10" t="s">
        <v>1281</v>
      </c>
      <c r="C118" s="89">
        <v>636</v>
      </c>
      <c r="D118" s="87">
        <v>93.7</v>
      </c>
      <c r="E118" s="88">
        <v>28</v>
      </c>
      <c r="F118" s="87">
        <v>75.2</v>
      </c>
      <c r="G118" s="17">
        <v>23</v>
      </c>
      <c r="H118" s="89">
        <v>68</v>
      </c>
      <c r="I118" s="90"/>
      <c r="J118" s="90"/>
      <c r="K118" s="90"/>
      <c r="L118" s="90"/>
      <c r="M118" s="91">
        <f>I118-K118</f>
        <v>0</v>
      </c>
      <c r="N118" s="4" t="str">
        <f>IF(ISERROR(K118/I118),"",K118/I118)</f>
        <v/>
      </c>
      <c r="O118" s="92">
        <f>I118/E118</f>
        <v>0</v>
      </c>
      <c r="P118" s="92">
        <f>K118/E118</f>
        <v>0</v>
      </c>
      <c r="Q118" s="80">
        <v>3</v>
      </c>
      <c r="R118" s="80">
        <v>1</v>
      </c>
      <c r="S118" s="80" t="s">
        <v>61</v>
      </c>
      <c r="T118" s="5">
        <v>93</v>
      </c>
      <c r="U118" s="9"/>
      <c r="W118" s="87">
        <f t="shared" si="99"/>
        <v>93.7</v>
      </c>
      <c r="X118" s="88">
        <f t="shared" si="99"/>
        <v>28</v>
      </c>
      <c r="Y118" s="93">
        <f t="shared" si="100"/>
        <v>68</v>
      </c>
      <c r="Z118" s="91">
        <f t="shared" si="100"/>
        <v>0</v>
      </c>
      <c r="AA118" s="91">
        <f>K118</f>
        <v>0</v>
      </c>
      <c r="AB118" s="91">
        <f t="shared" si="101"/>
        <v>0</v>
      </c>
      <c r="AC118" s="4" t="str">
        <f t="shared" si="101"/>
        <v/>
      </c>
      <c r="AD118" s="92">
        <f t="shared" si="101"/>
        <v>0</v>
      </c>
      <c r="AE118" s="80" t="str">
        <f>S118</f>
        <v>계</v>
      </c>
      <c r="AF118" s="80" t="str">
        <f>Q118&amp;"/"&amp;R118</f>
        <v>3/1</v>
      </c>
      <c r="AH118" s="20" t="str">
        <f t="shared" si="89"/>
        <v>현대4차</v>
      </c>
      <c r="AI118" s="88">
        <f t="shared" si="88"/>
        <v>28</v>
      </c>
      <c r="AJ118" s="80" t="str">
        <f>IF(AI118="","",$AJ$2)</f>
        <v>A-</v>
      </c>
      <c r="AK118" s="80" t="s">
        <v>14</v>
      </c>
      <c r="AL118" s="80" t="s">
        <v>63</v>
      </c>
      <c r="AM118" s="80" t="s">
        <v>64</v>
      </c>
      <c r="AN118" s="80" t="str">
        <f>IF(AI118="","",$AN$2)</f>
        <v>C</v>
      </c>
      <c r="AO118" s="80" t="str">
        <f>IF(N118="","",IF(N118&gt;=$AO$1/100,"O","X"))</f>
        <v/>
      </c>
      <c r="AP118" s="80" t="str">
        <f>IF(I118="","",IF(I118&lt;=$AP$1,"O","X"))</f>
        <v/>
      </c>
      <c r="AQ118" s="80" t="str">
        <f>IF(O118="","",IF(O118&lt;=$AQ$1,"O","X"))</f>
        <v>O</v>
      </c>
      <c r="AR118" s="80" t="str">
        <f>IF(M118="","",IF(M118&lt;=$AR$1,"O","X"))</f>
        <v>O</v>
      </c>
      <c r="AS118" s="80" t="s">
        <v>2</v>
      </c>
      <c r="AT118" s="80" t="str">
        <f>IF(OR(F118="",AI118=""),"",IF(AND((F118&lt;=85),(AI118&gt;=15)),"O","X"))</f>
        <v>O</v>
      </c>
      <c r="AU118" s="80" t="str">
        <f>IF(C118="","",IF(C118&gt;=$AU$1,"O","X"))</f>
        <v>O</v>
      </c>
      <c r="AV118" s="80" t="str">
        <f>IF(AO118="","",IF(AND(AO118="O",AP118="O",AR118="O",AT118="O",AU118="O"),"후보","X"))</f>
        <v/>
      </c>
    </row>
    <row r="119" spans="1:48" x14ac:dyDescent="0.3">
      <c r="A119" s="9" t="s">
        <v>557</v>
      </c>
      <c r="B119" s="10" t="s">
        <v>1281</v>
      </c>
      <c r="C119" s="89">
        <v>636</v>
      </c>
      <c r="D119" s="87">
        <v>105.9</v>
      </c>
      <c r="E119" s="88">
        <v>32</v>
      </c>
      <c r="F119" s="87">
        <v>85</v>
      </c>
      <c r="G119" s="17">
        <v>26</v>
      </c>
      <c r="H119" s="89">
        <v>386</v>
      </c>
      <c r="I119" s="90">
        <v>18700</v>
      </c>
      <c r="J119" s="90" t="s">
        <v>72</v>
      </c>
      <c r="K119" s="90">
        <v>19000</v>
      </c>
      <c r="L119" s="90" t="s">
        <v>70</v>
      </c>
      <c r="M119" s="91">
        <f>I119-K119</f>
        <v>-300</v>
      </c>
      <c r="N119" s="4">
        <f>IF(ISERROR(K119/I119),"",K119/I119)</f>
        <v>1.0160427807486632</v>
      </c>
      <c r="O119" s="92">
        <f>I119/E119</f>
        <v>584.375</v>
      </c>
      <c r="P119" s="92">
        <f>K119/E119</f>
        <v>593.75</v>
      </c>
      <c r="Q119" s="80">
        <v>3</v>
      </c>
      <c r="R119" s="80">
        <v>2</v>
      </c>
      <c r="S119" s="80" t="s">
        <v>61</v>
      </c>
      <c r="T119" s="5">
        <v>105</v>
      </c>
      <c r="U119" s="9"/>
      <c r="W119" s="87">
        <f t="shared" si="99"/>
        <v>105.9</v>
      </c>
      <c r="X119" s="88">
        <f t="shared" si="99"/>
        <v>32</v>
      </c>
      <c r="Y119" s="93">
        <f t="shared" si="100"/>
        <v>386</v>
      </c>
      <c r="Z119" s="91">
        <f t="shared" si="100"/>
        <v>18700</v>
      </c>
      <c r="AA119" s="91">
        <f>K119</f>
        <v>19000</v>
      </c>
      <c r="AB119" s="91">
        <f t="shared" si="101"/>
        <v>-300</v>
      </c>
      <c r="AC119" s="4">
        <f t="shared" si="101"/>
        <v>1.0160427807486632</v>
      </c>
      <c r="AD119" s="92">
        <f t="shared" si="101"/>
        <v>584.375</v>
      </c>
      <c r="AE119" s="80" t="str">
        <f>S119</f>
        <v>계</v>
      </c>
      <c r="AF119" s="80" t="str">
        <f>Q119&amp;"/"&amp;R119</f>
        <v>3/2</v>
      </c>
      <c r="AH119" s="20" t="str">
        <f t="shared" si="89"/>
        <v>현대4차</v>
      </c>
      <c r="AI119" s="88">
        <f t="shared" si="88"/>
        <v>32</v>
      </c>
      <c r="AJ119" s="80" t="str">
        <f>IF(AI119="","",$AJ$2)</f>
        <v>A-</v>
      </c>
      <c r="AK119" s="80" t="s">
        <v>14</v>
      </c>
      <c r="AL119" s="80" t="s">
        <v>63</v>
      </c>
      <c r="AM119" s="80" t="s">
        <v>64</v>
      </c>
      <c r="AN119" s="80" t="str">
        <f>IF(AI119="","",$AN$2)</f>
        <v>C</v>
      </c>
      <c r="AO119" s="80" t="str">
        <f>IF(N119="","",IF(N119&gt;=$AO$1/100,"O","X"))</f>
        <v>O</v>
      </c>
      <c r="AP119" s="80" t="str">
        <f>IF(I119="","",IF(I119&lt;=$AP$1,"O","X"))</f>
        <v>O</v>
      </c>
      <c r="AQ119" s="80" t="str">
        <f>IF(O119="","",IF(O119&lt;=$AQ$1,"O","X"))</f>
        <v>O</v>
      </c>
      <c r="AR119" s="80" t="str">
        <f>IF(M119="","",IF(M119&lt;=$AR$1,"O","X"))</f>
        <v>O</v>
      </c>
      <c r="AS119" s="80" t="s">
        <v>2</v>
      </c>
      <c r="AT119" s="80" t="str">
        <f>IF(OR(F119="",AI119=""),"",IF(AND((F119&lt;=85),(AI119&gt;=15)),"O","X"))</f>
        <v>O</v>
      </c>
      <c r="AU119" s="80" t="str">
        <f>IF(C119="","",IF(C119&gt;=$AU$1,"O","X"))</f>
        <v>O</v>
      </c>
      <c r="AV119" s="80" t="str">
        <f>IF(AO119="","",IF(AND(AO119="O",AP119="O",AR119="O",AT119="O",AU119="O"),"후보","X"))</f>
        <v>후보</v>
      </c>
    </row>
    <row r="120" spans="1:48" x14ac:dyDescent="0.3">
      <c r="A120" s="9" t="s">
        <v>557</v>
      </c>
      <c r="B120" s="10" t="s">
        <v>1281</v>
      </c>
      <c r="C120" s="89">
        <v>636</v>
      </c>
      <c r="D120" s="87">
        <v>124.6</v>
      </c>
      <c r="E120" s="88">
        <v>38</v>
      </c>
      <c r="F120" s="87">
        <v>99.9</v>
      </c>
      <c r="G120" s="17">
        <v>30</v>
      </c>
      <c r="H120" s="89">
        <v>78</v>
      </c>
      <c r="I120" s="90">
        <v>23000</v>
      </c>
      <c r="J120" s="90" t="s">
        <v>68</v>
      </c>
      <c r="K120" s="90"/>
      <c r="L120" s="90"/>
      <c r="M120" s="91">
        <f>I120-K120</f>
        <v>23000</v>
      </c>
      <c r="N120" s="4">
        <f>IF(ISERROR(K120/I120),"",K120/I120)</f>
        <v>0</v>
      </c>
      <c r="O120" s="92">
        <f>I120/E120</f>
        <v>605.26315789473688</v>
      </c>
      <c r="P120" s="92">
        <f>K120/E120</f>
        <v>0</v>
      </c>
      <c r="Q120" s="80">
        <v>3</v>
      </c>
      <c r="R120" s="80">
        <v>2</v>
      </c>
      <c r="S120" s="80" t="s">
        <v>61</v>
      </c>
      <c r="T120" s="5">
        <v>124</v>
      </c>
      <c r="U120" s="9"/>
      <c r="W120" s="87">
        <f t="shared" si="99"/>
        <v>124.6</v>
      </c>
      <c r="X120" s="88">
        <f t="shared" si="99"/>
        <v>38</v>
      </c>
      <c r="Y120" s="93">
        <f t="shared" si="100"/>
        <v>78</v>
      </c>
      <c r="Z120" s="91">
        <f t="shared" si="100"/>
        <v>23000</v>
      </c>
      <c r="AA120" s="91">
        <f>K120</f>
        <v>0</v>
      </c>
      <c r="AB120" s="91">
        <f t="shared" si="101"/>
        <v>23000</v>
      </c>
      <c r="AC120" s="4">
        <f t="shared" si="101"/>
        <v>0</v>
      </c>
      <c r="AD120" s="92">
        <f t="shared" si="101"/>
        <v>605.26315789473688</v>
      </c>
      <c r="AE120" s="80" t="str">
        <f>S120</f>
        <v>계</v>
      </c>
      <c r="AF120" s="80" t="str">
        <f>Q120&amp;"/"&amp;R120</f>
        <v>3/2</v>
      </c>
      <c r="AH120" s="20" t="str">
        <f t="shared" si="89"/>
        <v>현대4차</v>
      </c>
      <c r="AI120" s="88">
        <f t="shared" si="88"/>
        <v>38</v>
      </c>
      <c r="AJ120" s="80" t="str">
        <f>IF(AI120="","",$AJ$2)</f>
        <v>A-</v>
      </c>
      <c r="AK120" s="80" t="s">
        <v>14</v>
      </c>
      <c r="AL120" s="80" t="s">
        <v>63</v>
      </c>
      <c r="AM120" s="80" t="s">
        <v>64</v>
      </c>
      <c r="AN120" s="80" t="str">
        <f>IF(AI120="","",$AN$2)</f>
        <v>C</v>
      </c>
      <c r="AO120" s="80" t="str">
        <f>IF(N120="","",IF(N120&gt;=$AO$1/100,"O","X"))</f>
        <v>X</v>
      </c>
      <c r="AP120" s="80" t="str">
        <f>IF(I120="","",IF(I120&lt;=$AP$1,"O","X"))</f>
        <v>O</v>
      </c>
      <c r="AQ120" s="80" t="str">
        <f>IF(O120="","",IF(O120&lt;=$AQ$1,"O","X"))</f>
        <v>O</v>
      </c>
      <c r="AR120" s="80" t="str">
        <f>IF(M120="","",IF(M120&lt;=$AR$1,"O","X"))</f>
        <v>X</v>
      </c>
      <c r="AS120" s="80" t="s">
        <v>2</v>
      </c>
      <c r="AT120" s="80" t="str">
        <f>IF(OR(F120="",AI120=""),"",IF(AND((F120&lt;=85),(AI120&gt;=15)),"O","X"))</f>
        <v>X</v>
      </c>
      <c r="AU120" s="80" t="str">
        <f>IF(C120="","",IF(C120&gt;=$AU$1,"O","X"))</f>
        <v>O</v>
      </c>
      <c r="AV120" s="80" t="str">
        <f>IF(AO120="","",IF(AND(AO120="O",AP120="O",AR120="O",AT120="O",AU120="O"),"후보","X"))</f>
        <v>X</v>
      </c>
    </row>
    <row r="121" spans="1:48" x14ac:dyDescent="0.3">
      <c r="A121" s="9" t="s">
        <v>557</v>
      </c>
      <c r="B121" s="10" t="s">
        <v>1281</v>
      </c>
      <c r="C121" s="89">
        <v>636</v>
      </c>
      <c r="D121" s="87">
        <v>147.30000000000001</v>
      </c>
      <c r="E121" s="88">
        <v>45</v>
      </c>
      <c r="F121" s="87">
        <v>118.2</v>
      </c>
      <c r="G121" s="17">
        <v>36</v>
      </c>
      <c r="H121" s="89">
        <v>40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4</v>
      </c>
      <c r="R121" s="80">
        <v>2</v>
      </c>
      <c r="S121" s="80" t="s">
        <v>61</v>
      </c>
      <c r="T121" s="5">
        <v>147</v>
      </c>
      <c r="U121" s="9"/>
      <c r="W121" s="87">
        <f t="shared" si="99"/>
        <v>147.30000000000001</v>
      </c>
      <c r="X121" s="88">
        <f t="shared" si="99"/>
        <v>45</v>
      </c>
      <c r="Y121" s="93">
        <f t="shared" si="100"/>
        <v>40</v>
      </c>
      <c r="Z121" s="91">
        <f t="shared" si="100"/>
        <v>0</v>
      </c>
      <c r="AA121" s="91">
        <f>K121</f>
        <v>0</v>
      </c>
      <c r="AB121" s="91">
        <f t="shared" si="101"/>
        <v>0</v>
      </c>
      <c r="AC121" s="4" t="str">
        <f t="shared" si="101"/>
        <v/>
      </c>
      <c r="AD121" s="92">
        <f t="shared" si="101"/>
        <v>0</v>
      </c>
      <c r="AE121" s="80" t="str">
        <f>S121</f>
        <v>계</v>
      </c>
      <c r="AF121" s="80" t="str">
        <f>Q121&amp;"/"&amp;R121</f>
        <v>4/2</v>
      </c>
      <c r="AH121" s="20" t="str">
        <f t="shared" si="89"/>
        <v>현대4차</v>
      </c>
      <c r="AI121" s="88">
        <f t="shared" si="88"/>
        <v>45</v>
      </c>
      <c r="AJ121" s="80" t="str">
        <f>IF(AI121="","",$AJ$2)</f>
        <v>A-</v>
      </c>
      <c r="AK121" s="80" t="s">
        <v>14</v>
      </c>
      <c r="AL121" s="80" t="s">
        <v>63</v>
      </c>
      <c r="AM121" s="80" t="s">
        <v>64</v>
      </c>
      <c r="AN121" s="80" t="str">
        <f>IF(AI121="","",$AN$2)</f>
        <v>C</v>
      </c>
      <c r="AO121" s="80" t="str">
        <f>IF(N121="","",IF(N121&gt;=$AO$1/100,"O","X"))</f>
        <v/>
      </c>
      <c r="AP121" s="80" t="str">
        <f>IF(I121="","",IF(I121&lt;=$AP$1,"O","X"))</f>
        <v/>
      </c>
      <c r="AQ121" s="80" t="str">
        <f>IF(O121="","",IF(O121&lt;=$AQ$1,"O","X"))</f>
        <v>O</v>
      </c>
      <c r="AR121" s="80" t="str">
        <f>IF(M121="","",IF(M121&lt;=$AR$1,"O","X"))</f>
        <v>O</v>
      </c>
      <c r="AS121" s="80" t="s">
        <v>2</v>
      </c>
      <c r="AT121" s="80" t="str">
        <f>IF(OR(F121="",AI121=""),"",IF(AND((F121&lt;=85),(AI121&gt;=15)),"O","X"))</f>
        <v>X</v>
      </c>
      <c r="AU121" s="80" t="str">
        <f>IF(C121="","",IF(C121&gt;=$AU$1,"O","X"))</f>
        <v>O</v>
      </c>
      <c r="AV121" s="80" t="str">
        <f>IF(AO121="","",IF(AND(AO121="O",AP121="O",AR121="O",AT121="O",AU121="O"),"후보","X"))</f>
        <v/>
      </c>
    </row>
    <row r="122" spans="1:48" x14ac:dyDescent="0.3">
      <c r="A122" s="9"/>
      <c r="B122" s="80"/>
      <c r="C122" s="6"/>
      <c r="D122" s="9"/>
      <c r="E122" s="14"/>
      <c r="F122" s="87"/>
      <c r="G122" s="9"/>
      <c r="H122" s="9"/>
      <c r="I122" s="9"/>
      <c r="J122" s="9"/>
      <c r="K122" s="9"/>
      <c r="L122" s="9"/>
      <c r="M122" s="9"/>
      <c r="N122" s="9"/>
      <c r="O122" s="92"/>
      <c r="P122" s="92"/>
      <c r="Q122" s="88"/>
      <c r="R122" s="88"/>
      <c r="S122" s="9"/>
      <c r="T122" s="47"/>
      <c r="U122" s="9"/>
      <c r="W122" s="67" t="str">
        <f>$A$4&amp;" "&amp;A123&amp;"("&amp;B123&amp;","&amp;C123&amp;"^)"</f>
        <v>나운동 삼성(401)('98.05.,670^)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89"/>
        <v/>
      </c>
      <c r="AI122" s="112" t="str">
        <f t="shared" si="88"/>
        <v/>
      </c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</row>
    <row r="123" spans="1:48" x14ac:dyDescent="0.3">
      <c r="A123" s="9" t="s">
        <v>561</v>
      </c>
      <c r="B123" s="10" t="s">
        <v>1305</v>
      </c>
      <c r="C123" s="89">
        <v>670</v>
      </c>
      <c r="D123" s="87">
        <v>95.5</v>
      </c>
      <c r="E123" s="88">
        <v>29</v>
      </c>
      <c r="F123" s="87">
        <v>73.900000000000006</v>
      </c>
      <c r="G123" s="17">
        <v>22</v>
      </c>
      <c r="H123" s="89">
        <v>128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3</v>
      </c>
      <c r="R123" s="80">
        <v>1</v>
      </c>
      <c r="S123" s="80" t="s">
        <v>61</v>
      </c>
      <c r="T123" s="5">
        <v>95</v>
      </c>
      <c r="U123" s="9"/>
      <c r="W123" s="87">
        <f t="shared" ref="W123:X126" si="102">D123</f>
        <v>95.5</v>
      </c>
      <c r="X123" s="88">
        <f t="shared" si="102"/>
        <v>29</v>
      </c>
      <c r="Y123" s="93">
        <f t="shared" ref="Y123:Z126" si="103">H123</f>
        <v>128</v>
      </c>
      <c r="Z123" s="91">
        <f t="shared" si="103"/>
        <v>0</v>
      </c>
      <c r="AA123" s="91">
        <f>K123</f>
        <v>0</v>
      </c>
      <c r="AB123" s="91">
        <f t="shared" ref="AB123:AD126" si="104">M123</f>
        <v>0</v>
      </c>
      <c r="AC123" s="4" t="str">
        <f t="shared" si="104"/>
        <v/>
      </c>
      <c r="AD123" s="92">
        <f t="shared" si="104"/>
        <v>0</v>
      </c>
      <c r="AE123" s="80" t="str">
        <f>S123</f>
        <v>계</v>
      </c>
      <c r="AF123" s="80" t="str">
        <f>Q123&amp;"/"&amp;R123</f>
        <v>3/1</v>
      </c>
      <c r="AH123" s="20" t="str">
        <f t="shared" si="89"/>
        <v>삼성(401)</v>
      </c>
      <c r="AI123" s="88">
        <f t="shared" si="88"/>
        <v>29</v>
      </c>
      <c r="AJ123" s="80" t="str">
        <f>IF(AI123="","",$AJ$2)</f>
        <v>A-</v>
      </c>
      <c r="AK123" s="80" t="s">
        <v>14</v>
      </c>
      <c r="AL123" s="80" t="s">
        <v>63</v>
      </c>
      <c r="AM123" s="80" t="s">
        <v>64</v>
      </c>
      <c r="AN123" s="80" t="str">
        <f>IF(AI123="","",$AN$2)</f>
        <v>C</v>
      </c>
      <c r="AO123" s="80" t="str">
        <f>IF(N123="","",IF(N123&gt;=$AO$1/100,"O","X"))</f>
        <v/>
      </c>
      <c r="AP123" s="80" t="str">
        <f>IF(I123="","",IF(I123&lt;=$AP$1,"O","X"))</f>
        <v/>
      </c>
      <c r="AQ123" s="80" t="str">
        <f>IF(O123="","",IF(O123&lt;=$AQ$1,"O","X"))</f>
        <v>O</v>
      </c>
      <c r="AR123" s="80" t="str">
        <f>IF(M123="","",IF(M123&lt;=$AR$1,"O","X"))</f>
        <v>O</v>
      </c>
      <c r="AS123" s="80" t="s">
        <v>2</v>
      </c>
      <c r="AT123" s="80" t="str">
        <f>IF(OR(F123="",AI123=""),"",IF(AND((F123&lt;=85),(AI123&gt;=15)),"O","X"))</f>
        <v>O</v>
      </c>
      <c r="AU123" s="80" t="str">
        <f>IF(C123="","",IF(C123&gt;=$AU$1,"O","X"))</f>
        <v>O</v>
      </c>
      <c r="AV123" s="80" t="str">
        <f>IF(AO123="","",IF(AND(AO123="O",AP123="O",AR123="O",AT123="O",AU123="O"),"후보","X"))</f>
        <v/>
      </c>
    </row>
    <row r="124" spans="1:48" x14ac:dyDescent="0.3">
      <c r="A124" s="9" t="s">
        <v>561</v>
      </c>
      <c r="B124" s="10" t="s">
        <v>1305</v>
      </c>
      <c r="C124" s="89">
        <v>670</v>
      </c>
      <c r="D124" s="87">
        <v>107.4</v>
      </c>
      <c r="E124" s="88">
        <v>32</v>
      </c>
      <c r="F124" s="87">
        <v>85</v>
      </c>
      <c r="G124" s="17">
        <v>26</v>
      </c>
      <c r="H124" s="89">
        <v>422</v>
      </c>
      <c r="I124" s="90">
        <v>17200</v>
      </c>
      <c r="J124" s="90" t="s">
        <v>81</v>
      </c>
      <c r="K124" s="90">
        <v>17000</v>
      </c>
      <c r="L124" s="90" t="s">
        <v>91</v>
      </c>
      <c r="M124" s="91">
        <f>I124-K124</f>
        <v>200</v>
      </c>
      <c r="N124" s="4">
        <f>IF(ISERROR(K124/I124),"",K124/I124)</f>
        <v>0.98837209302325579</v>
      </c>
      <c r="O124" s="92">
        <f>I124/E124</f>
        <v>537.5</v>
      </c>
      <c r="P124" s="92">
        <f>K124/E124</f>
        <v>531.25</v>
      </c>
      <c r="Q124" s="80">
        <v>3</v>
      </c>
      <c r="R124" s="80">
        <v>2</v>
      </c>
      <c r="S124" s="80" t="s">
        <v>61</v>
      </c>
      <c r="T124" s="5">
        <v>107</v>
      </c>
      <c r="U124" s="9"/>
      <c r="W124" s="87">
        <f t="shared" si="102"/>
        <v>107.4</v>
      </c>
      <c r="X124" s="88">
        <f t="shared" si="102"/>
        <v>32</v>
      </c>
      <c r="Y124" s="93">
        <f t="shared" si="103"/>
        <v>422</v>
      </c>
      <c r="Z124" s="91">
        <f t="shared" si="103"/>
        <v>17200</v>
      </c>
      <c r="AA124" s="91">
        <f>K124</f>
        <v>17000</v>
      </c>
      <c r="AB124" s="91">
        <f t="shared" si="104"/>
        <v>200</v>
      </c>
      <c r="AC124" s="4">
        <f t="shared" si="104"/>
        <v>0.98837209302325579</v>
      </c>
      <c r="AD124" s="92">
        <f t="shared" si="104"/>
        <v>537.5</v>
      </c>
      <c r="AE124" s="80" t="str">
        <f>S124</f>
        <v>계</v>
      </c>
      <c r="AF124" s="80" t="str">
        <f>Q124&amp;"/"&amp;R124</f>
        <v>3/2</v>
      </c>
      <c r="AH124" s="20" t="str">
        <f t="shared" si="89"/>
        <v>삼성(401)</v>
      </c>
      <c r="AI124" s="88">
        <f t="shared" si="88"/>
        <v>32</v>
      </c>
      <c r="AJ124" s="80" t="str">
        <f>IF(AI124="","",$AJ$2)</f>
        <v>A-</v>
      </c>
      <c r="AK124" s="80" t="s">
        <v>14</v>
      </c>
      <c r="AL124" s="80" t="s">
        <v>63</v>
      </c>
      <c r="AM124" s="80" t="s">
        <v>64</v>
      </c>
      <c r="AN124" s="80" t="str">
        <f>IF(AI124="","",$AN$2)</f>
        <v>C</v>
      </c>
      <c r="AO124" s="80" t="str">
        <f>IF(N124="","",IF(N124&gt;=$AO$1/100,"O","X"))</f>
        <v>O</v>
      </c>
      <c r="AP124" s="80" t="str">
        <f>IF(I124="","",IF(I124&lt;=$AP$1,"O","X"))</f>
        <v>O</v>
      </c>
      <c r="AQ124" s="80" t="str">
        <f>IF(O124="","",IF(O124&lt;=$AQ$1,"O","X"))</f>
        <v>O</v>
      </c>
      <c r="AR124" s="80" t="str">
        <f>IF(M124="","",IF(M124&lt;=$AR$1,"O","X"))</f>
        <v>O</v>
      </c>
      <c r="AS124" s="80" t="s">
        <v>2</v>
      </c>
      <c r="AT124" s="80" t="str">
        <f>IF(OR(F124="",AI124=""),"",IF(AND((F124&lt;=85),(AI124&gt;=15)),"O","X"))</f>
        <v>O</v>
      </c>
      <c r="AU124" s="80" t="str">
        <f>IF(C124="","",IF(C124&gt;=$AU$1,"O","X"))</f>
        <v>O</v>
      </c>
      <c r="AV124" s="80" t="str">
        <f>IF(AO124="","",IF(AND(AO124="O",AP124="O",AR124="O",AT124="O",AU124="O"),"후보","X"))</f>
        <v>후보</v>
      </c>
    </row>
    <row r="125" spans="1:48" x14ac:dyDescent="0.3">
      <c r="A125" s="9" t="s">
        <v>561</v>
      </c>
      <c r="B125" s="10" t="s">
        <v>1305</v>
      </c>
      <c r="C125" s="89">
        <v>670</v>
      </c>
      <c r="D125" s="87">
        <v>139.69999999999999</v>
      </c>
      <c r="E125" s="88">
        <v>42</v>
      </c>
      <c r="F125" s="87">
        <v>115</v>
      </c>
      <c r="G125" s="17">
        <v>35</v>
      </c>
      <c r="H125" s="89">
        <v>40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4</v>
      </c>
      <c r="R125" s="80">
        <v>2</v>
      </c>
      <c r="S125" s="80" t="s">
        <v>61</v>
      </c>
      <c r="T125" s="5">
        <v>139</v>
      </c>
      <c r="U125" s="9"/>
      <c r="W125" s="87">
        <f t="shared" si="102"/>
        <v>139.69999999999999</v>
      </c>
      <c r="X125" s="88">
        <f t="shared" si="102"/>
        <v>42</v>
      </c>
      <c r="Y125" s="93">
        <f t="shared" si="103"/>
        <v>40</v>
      </c>
      <c r="Z125" s="91">
        <f t="shared" si="103"/>
        <v>0</v>
      </c>
      <c r="AA125" s="91">
        <f>K125</f>
        <v>0</v>
      </c>
      <c r="AB125" s="91">
        <f t="shared" si="104"/>
        <v>0</v>
      </c>
      <c r="AC125" s="4" t="str">
        <f t="shared" si="104"/>
        <v/>
      </c>
      <c r="AD125" s="92">
        <f t="shared" si="104"/>
        <v>0</v>
      </c>
      <c r="AE125" s="80" t="str">
        <f>S125</f>
        <v>계</v>
      </c>
      <c r="AF125" s="80" t="str">
        <f>Q125&amp;"/"&amp;R125</f>
        <v>4/2</v>
      </c>
      <c r="AH125" s="20" t="str">
        <f t="shared" si="89"/>
        <v>삼성(401)</v>
      </c>
      <c r="AI125" s="88">
        <f t="shared" si="88"/>
        <v>42</v>
      </c>
      <c r="AJ125" s="80" t="str">
        <f>IF(AI125="","",$AJ$2)</f>
        <v>A-</v>
      </c>
      <c r="AK125" s="80" t="s">
        <v>14</v>
      </c>
      <c r="AL125" s="80" t="s">
        <v>63</v>
      </c>
      <c r="AM125" s="80" t="s">
        <v>64</v>
      </c>
      <c r="AN125" s="80" t="str">
        <f>IF(AI125="","",$AN$2)</f>
        <v>C</v>
      </c>
      <c r="AO125" s="80" t="str">
        <f>IF(N125="","",IF(N125&gt;=$AO$1/100,"O","X"))</f>
        <v/>
      </c>
      <c r="AP125" s="80" t="str">
        <f>IF(I125="","",IF(I125&lt;=$AP$1,"O","X"))</f>
        <v/>
      </c>
      <c r="AQ125" s="80" t="str">
        <f>IF(O125="","",IF(O125&lt;=$AQ$1,"O","X"))</f>
        <v>O</v>
      </c>
      <c r="AR125" s="80" t="str">
        <f>IF(M125="","",IF(M125&lt;=$AR$1,"O","X"))</f>
        <v>O</v>
      </c>
      <c r="AS125" s="80" t="s">
        <v>2</v>
      </c>
      <c r="AT125" s="80" t="str">
        <f>IF(OR(F125="",AI125=""),"",IF(AND((F125&lt;=85),(AI125&gt;=15)),"O","X"))</f>
        <v>X</v>
      </c>
      <c r="AU125" s="80" t="str">
        <f>IF(C125="","",IF(C125&gt;=$AU$1,"O","X"))</f>
        <v>O</v>
      </c>
      <c r="AV125" s="80" t="str">
        <f>IF(AO125="","",IF(AND(AO125="O",AP125="O",AR125="O",AT125="O",AU125="O"),"후보","X"))</f>
        <v/>
      </c>
    </row>
    <row r="126" spans="1:48" x14ac:dyDescent="0.3">
      <c r="A126" s="9" t="s">
        <v>561</v>
      </c>
      <c r="B126" s="10" t="s">
        <v>1305</v>
      </c>
      <c r="C126" s="89">
        <v>670</v>
      </c>
      <c r="D126" s="87">
        <v>161.19999999999999</v>
      </c>
      <c r="E126" s="88">
        <v>49</v>
      </c>
      <c r="F126" s="87">
        <v>135</v>
      </c>
      <c r="G126" s="17">
        <v>41</v>
      </c>
      <c r="H126" s="89">
        <v>80</v>
      </c>
      <c r="I126" s="90">
        <v>23500</v>
      </c>
      <c r="J126" s="90" t="s">
        <v>80</v>
      </c>
      <c r="K126" s="90"/>
      <c r="L126" s="90"/>
      <c r="M126" s="91">
        <f>I126-K126</f>
        <v>23500</v>
      </c>
      <c r="N126" s="4">
        <f>IF(ISERROR(K126/I126),"",K126/I126)</f>
        <v>0</v>
      </c>
      <c r="O126" s="92">
        <f>I126/E126</f>
        <v>479.59183673469386</v>
      </c>
      <c r="P126" s="92">
        <f>K126/E126</f>
        <v>0</v>
      </c>
      <c r="Q126" s="80">
        <v>4</v>
      </c>
      <c r="R126" s="80">
        <v>2</v>
      </c>
      <c r="S126" s="80" t="s">
        <v>61</v>
      </c>
      <c r="T126" s="5">
        <v>161</v>
      </c>
      <c r="U126" s="9"/>
      <c r="W126" s="87">
        <f t="shared" si="102"/>
        <v>161.19999999999999</v>
      </c>
      <c r="X126" s="88">
        <f t="shared" si="102"/>
        <v>49</v>
      </c>
      <c r="Y126" s="93">
        <f t="shared" si="103"/>
        <v>80</v>
      </c>
      <c r="Z126" s="91">
        <f t="shared" si="103"/>
        <v>23500</v>
      </c>
      <c r="AA126" s="91">
        <f>K126</f>
        <v>0</v>
      </c>
      <c r="AB126" s="91">
        <f t="shared" si="104"/>
        <v>23500</v>
      </c>
      <c r="AC126" s="4">
        <f t="shared" si="104"/>
        <v>0</v>
      </c>
      <c r="AD126" s="92">
        <f t="shared" si="104"/>
        <v>479.59183673469386</v>
      </c>
      <c r="AE126" s="80" t="str">
        <f>S126</f>
        <v>계</v>
      </c>
      <c r="AF126" s="80" t="str">
        <f>Q126&amp;"/"&amp;R126</f>
        <v>4/2</v>
      </c>
      <c r="AH126" s="20" t="str">
        <f t="shared" si="89"/>
        <v>삼성(401)</v>
      </c>
      <c r="AI126" s="88">
        <f t="shared" si="88"/>
        <v>49</v>
      </c>
      <c r="AJ126" s="80" t="str">
        <f>IF(AI126="","",$AJ$2)</f>
        <v>A-</v>
      </c>
      <c r="AK126" s="80" t="s">
        <v>14</v>
      </c>
      <c r="AL126" s="80" t="s">
        <v>63</v>
      </c>
      <c r="AM126" s="80" t="s">
        <v>64</v>
      </c>
      <c r="AN126" s="80" t="str">
        <f>IF(AI126="","",$AN$2)</f>
        <v>C</v>
      </c>
      <c r="AO126" s="80" t="str">
        <f>IF(N126="","",IF(N126&gt;=$AO$1/100,"O","X"))</f>
        <v>X</v>
      </c>
      <c r="AP126" s="80" t="str">
        <f>IF(I126="","",IF(I126&lt;=$AP$1,"O","X"))</f>
        <v>O</v>
      </c>
      <c r="AQ126" s="80" t="str">
        <f>IF(O126="","",IF(O126&lt;=$AQ$1,"O","X"))</f>
        <v>O</v>
      </c>
      <c r="AR126" s="80" t="str">
        <f>IF(M126="","",IF(M126&lt;=$AR$1,"O","X"))</f>
        <v>X</v>
      </c>
      <c r="AS126" s="80" t="s">
        <v>2</v>
      </c>
      <c r="AT126" s="80" t="str">
        <f>IF(OR(F126="",AI126=""),"",IF(AND((F126&lt;=85),(AI126&gt;=15)),"O","X"))</f>
        <v>X</v>
      </c>
      <c r="AU126" s="80" t="str">
        <f>IF(C126="","",IF(C126&gt;=$AU$1,"O","X"))</f>
        <v>O</v>
      </c>
      <c r="AV126" s="80" t="str">
        <f>IF(AO126="","",IF(AND(AO126="O",AP126="O",AR126="O",AT126="O",AU126="O"),"후보","X"))</f>
        <v>X</v>
      </c>
    </row>
    <row r="127" spans="1:48" x14ac:dyDescent="0.3">
      <c r="A127" s="9"/>
      <c r="B127" s="80"/>
      <c r="C127" s="6"/>
      <c r="D127" s="9"/>
      <c r="E127" s="14"/>
      <c r="F127" s="87"/>
      <c r="G127" s="9"/>
      <c r="H127" s="9"/>
      <c r="I127" s="9"/>
      <c r="J127" s="9"/>
      <c r="K127" s="9"/>
      <c r="L127" s="9"/>
      <c r="M127" s="9"/>
      <c r="N127" s="9"/>
      <c r="O127" s="92"/>
      <c r="P127" s="92"/>
      <c r="Q127" s="88"/>
      <c r="R127" s="88"/>
      <c r="S127" s="9"/>
      <c r="T127" s="47"/>
      <c r="U127" s="9"/>
      <c r="W127" s="67" t="str">
        <f>$A$4&amp;" "&amp;A128&amp;"("&amp;B128&amp;","&amp;C128&amp;"^)"</f>
        <v>나운동 롯데3차('94.06.,572^)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89"/>
        <v/>
      </c>
      <c r="AI127" s="112" t="str">
        <f t="shared" si="88"/>
        <v/>
      </c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</row>
    <row r="128" spans="1:48" x14ac:dyDescent="0.3">
      <c r="A128" s="9" t="s">
        <v>571</v>
      </c>
      <c r="B128" s="10" t="s">
        <v>1306</v>
      </c>
      <c r="C128" s="89">
        <v>572</v>
      </c>
      <c r="D128" s="87">
        <v>90.6</v>
      </c>
      <c r="E128" s="88">
        <v>27</v>
      </c>
      <c r="F128" s="87">
        <v>74</v>
      </c>
      <c r="G128" s="17">
        <v>22</v>
      </c>
      <c r="H128" s="89">
        <v>234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3</v>
      </c>
      <c r="R128" s="80">
        <v>1</v>
      </c>
      <c r="S128" s="80" t="s">
        <v>61</v>
      </c>
      <c r="T128" s="5">
        <v>90</v>
      </c>
      <c r="U128" s="9"/>
      <c r="W128" s="87">
        <f t="shared" ref="W128:X130" si="105">D128</f>
        <v>90.6</v>
      </c>
      <c r="X128" s="88">
        <f t="shared" si="105"/>
        <v>27</v>
      </c>
      <c r="Y128" s="93">
        <f t="shared" ref="Y128:Z130" si="106">H128</f>
        <v>234</v>
      </c>
      <c r="Z128" s="91">
        <f t="shared" si="106"/>
        <v>0</v>
      </c>
      <c r="AA128" s="91">
        <f>K128</f>
        <v>0</v>
      </c>
      <c r="AB128" s="91">
        <f t="shared" ref="AB128:AD130" si="107">M128</f>
        <v>0</v>
      </c>
      <c r="AC128" s="4" t="str">
        <f t="shared" si="107"/>
        <v/>
      </c>
      <c r="AD128" s="92">
        <f t="shared" si="107"/>
        <v>0</v>
      </c>
      <c r="AE128" s="80" t="str">
        <f>S128</f>
        <v>계</v>
      </c>
      <c r="AF128" s="80" t="str">
        <f>Q128&amp;"/"&amp;R128</f>
        <v>3/1</v>
      </c>
      <c r="AH128" s="20" t="str">
        <f t="shared" si="89"/>
        <v>롯데3차</v>
      </c>
      <c r="AI128" s="88">
        <f t="shared" si="88"/>
        <v>27</v>
      </c>
      <c r="AJ128" s="80" t="str">
        <f>IF(AI128="","",$AJ$2)</f>
        <v>A-</v>
      </c>
      <c r="AK128" s="80" t="s">
        <v>14</v>
      </c>
      <c r="AL128" s="80" t="s">
        <v>63</v>
      </c>
      <c r="AM128" s="80" t="s">
        <v>64</v>
      </c>
      <c r="AN128" s="80" t="str">
        <f>IF(AI128="","",$AN$2)</f>
        <v>C</v>
      </c>
      <c r="AO128" s="80" t="str">
        <f>IF(N128="","",IF(N128&gt;=$AO$1/100,"O","X"))</f>
        <v/>
      </c>
      <c r="AP128" s="80" t="str">
        <f>IF(I128="","",IF(I128&lt;=$AP$1,"O","X"))</f>
        <v/>
      </c>
      <c r="AQ128" s="80" t="str">
        <f>IF(O128="","",IF(O128&lt;=$AQ$1,"O","X"))</f>
        <v>O</v>
      </c>
      <c r="AR128" s="80" t="str">
        <f>IF(M128="","",IF(M128&lt;=$AR$1,"O","X"))</f>
        <v>O</v>
      </c>
      <c r="AS128" s="80" t="s">
        <v>2</v>
      </c>
      <c r="AT128" s="80" t="str">
        <f>IF(OR(F128="",AI128=""),"",IF(AND((F128&lt;=85),(AI128&gt;=15)),"O","X"))</f>
        <v>O</v>
      </c>
      <c r="AU128" s="80" t="str">
        <f>IF(C128="","",IF(C128&gt;=$AU$1,"O","X"))</f>
        <v>O</v>
      </c>
      <c r="AV128" s="80" t="str">
        <f>IF(AO128="","",IF(AND(AO128="O",AP128="O",AR128="O",AT128="O",AU128="O"),"후보","X"))</f>
        <v/>
      </c>
    </row>
    <row r="129" spans="1:48" x14ac:dyDescent="0.3">
      <c r="A129" s="9" t="s">
        <v>571</v>
      </c>
      <c r="B129" s="10" t="s">
        <v>1306</v>
      </c>
      <c r="C129" s="89">
        <v>572</v>
      </c>
      <c r="D129" s="87">
        <v>104.5</v>
      </c>
      <c r="E129" s="88">
        <v>32</v>
      </c>
      <c r="F129" s="87">
        <v>84.8</v>
      </c>
      <c r="G129" s="17">
        <v>26</v>
      </c>
      <c r="H129" s="89">
        <v>286</v>
      </c>
      <c r="I129" s="90">
        <v>16000</v>
      </c>
      <c r="J129" s="90" t="s">
        <v>81</v>
      </c>
      <c r="K129" s="90"/>
      <c r="L129" s="90"/>
      <c r="M129" s="91">
        <f>I129-K129</f>
        <v>16000</v>
      </c>
      <c r="N129" s="4">
        <f>IF(ISERROR(K129/I129),"",K129/I129)</f>
        <v>0</v>
      </c>
      <c r="O129" s="92">
        <f>I129/E129</f>
        <v>500</v>
      </c>
      <c r="P129" s="92">
        <f>K129/E129</f>
        <v>0</v>
      </c>
      <c r="Q129" s="80">
        <v>3</v>
      </c>
      <c r="R129" s="80">
        <v>2</v>
      </c>
      <c r="S129" s="80" t="s">
        <v>61</v>
      </c>
      <c r="T129" s="5">
        <v>104</v>
      </c>
      <c r="U129" s="9"/>
      <c r="W129" s="87">
        <f t="shared" si="105"/>
        <v>104.5</v>
      </c>
      <c r="X129" s="88">
        <f t="shared" si="105"/>
        <v>32</v>
      </c>
      <c r="Y129" s="93">
        <f t="shared" si="106"/>
        <v>286</v>
      </c>
      <c r="Z129" s="91">
        <f t="shared" si="106"/>
        <v>16000</v>
      </c>
      <c r="AA129" s="91">
        <f>K129</f>
        <v>0</v>
      </c>
      <c r="AB129" s="91">
        <f t="shared" si="107"/>
        <v>16000</v>
      </c>
      <c r="AC129" s="4">
        <f t="shared" si="107"/>
        <v>0</v>
      </c>
      <c r="AD129" s="92">
        <f t="shared" si="107"/>
        <v>500</v>
      </c>
      <c r="AE129" s="80" t="str">
        <f>S129</f>
        <v>계</v>
      </c>
      <c r="AF129" s="80" t="str">
        <f>Q129&amp;"/"&amp;R129</f>
        <v>3/2</v>
      </c>
      <c r="AH129" s="20" t="str">
        <f t="shared" si="89"/>
        <v>롯데3차</v>
      </c>
      <c r="AI129" s="88">
        <f t="shared" si="88"/>
        <v>32</v>
      </c>
      <c r="AJ129" s="80" t="str">
        <f>IF(AI129="","",$AJ$2)</f>
        <v>A-</v>
      </c>
      <c r="AK129" s="80" t="s">
        <v>14</v>
      </c>
      <c r="AL129" s="80" t="s">
        <v>63</v>
      </c>
      <c r="AM129" s="80" t="s">
        <v>64</v>
      </c>
      <c r="AN129" s="80" t="str">
        <f>IF(AI129="","",$AN$2)</f>
        <v>C</v>
      </c>
      <c r="AO129" s="80" t="str">
        <f>IF(N129="","",IF(N129&gt;=$AO$1/100,"O","X"))</f>
        <v>X</v>
      </c>
      <c r="AP129" s="80" t="str">
        <f>IF(I129="","",IF(I129&lt;=$AP$1,"O","X"))</f>
        <v>O</v>
      </c>
      <c r="AQ129" s="80" t="str">
        <f>IF(O129="","",IF(O129&lt;=$AQ$1,"O","X"))</f>
        <v>O</v>
      </c>
      <c r="AR129" s="80" t="str">
        <f>IF(M129="","",IF(M129&lt;=$AR$1,"O","X"))</f>
        <v>X</v>
      </c>
      <c r="AS129" s="80" t="s">
        <v>2</v>
      </c>
      <c r="AT129" s="80" t="str">
        <f>IF(OR(F129="",AI129=""),"",IF(AND((F129&lt;=85),(AI129&gt;=15)),"O","X"))</f>
        <v>O</v>
      </c>
      <c r="AU129" s="80" t="str">
        <f>IF(C129="","",IF(C129&gt;=$AU$1,"O","X"))</f>
        <v>O</v>
      </c>
      <c r="AV129" s="80" t="str">
        <f>IF(AO129="","",IF(AND(AO129="O",AP129="O",AR129="O",AT129="O",AU129="O"),"후보","X"))</f>
        <v>X</v>
      </c>
    </row>
    <row r="130" spans="1:48" x14ac:dyDescent="0.3">
      <c r="A130" s="9" t="s">
        <v>571</v>
      </c>
      <c r="B130" s="10" t="s">
        <v>1306</v>
      </c>
      <c r="C130" s="89">
        <v>572</v>
      </c>
      <c r="D130" s="87">
        <v>153.4</v>
      </c>
      <c r="E130" s="88">
        <v>46</v>
      </c>
      <c r="F130" s="87">
        <v>131.80000000000001</v>
      </c>
      <c r="G130" s="17">
        <v>40</v>
      </c>
      <c r="H130" s="89">
        <v>52</v>
      </c>
      <c r="I130" s="90">
        <v>24000</v>
      </c>
      <c r="J130" s="90" t="s">
        <v>70</v>
      </c>
      <c r="K130" s="90"/>
      <c r="L130" s="90"/>
      <c r="M130" s="91">
        <f>I130-K130</f>
        <v>24000</v>
      </c>
      <c r="N130" s="4">
        <f>IF(ISERROR(K130/I130),"",K130/I130)</f>
        <v>0</v>
      </c>
      <c r="O130" s="92">
        <f>I130/E130</f>
        <v>521.73913043478262</v>
      </c>
      <c r="P130" s="92">
        <f>K130/E130</f>
        <v>0</v>
      </c>
      <c r="Q130" s="80">
        <v>4</v>
      </c>
      <c r="R130" s="80">
        <v>2</v>
      </c>
      <c r="S130" s="80" t="s">
        <v>61</v>
      </c>
      <c r="T130" s="5">
        <v>153</v>
      </c>
      <c r="U130" s="9"/>
      <c r="W130" s="87">
        <f t="shared" si="105"/>
        <v>153.4</v>
      </c>
      <c r="X130" s="88">
        <f t="shared" si="105"/>
        <v>46</v>
      </c>
      <c r="Y130" s="93">
        <f t="shared" si="106"/>
        <v>52</v>
      </c>
      <c r="Z130" s="91">
        <f t="shared" si="106"/>
        <v>24000</v>
      </c>
      <c r="AA130" s="91">
        <f>K130</f>
        <v>0</v>
      </c>
      <c r="AB130" s="91">
        <f t="shared" si="107"/>
        <v>24000</v>
      </c>
      <c r="AC130" s="4">
        <f t="shared" si="107"/>
        <v>0</v>
      </c>
      <c r="AD130" s="92">
        <f t="shared" si="107"/>
        <v>521.73913043478262</v>
      </c>
      <c r="AE130" s="80" t="str">
        <f>S130</f>
        <v>계</v>
      </c>
      <c r="AF130" s="80" t="str">
        <f>Q130&amp;"/"&amp;R130</f>
        <v>4/2</v>
      </c>
      <c r="AH130" s="20" t="str">
        <f t="shared" si="89"/>
        <v>롯데3차</v>
      </c>
      <c r="AI130" s="88">
        <f t="shared" si="88"/>
        <v>46</v>
      </c>
      <c r="AJ130" s="80" t="str">
        <f>IF(AI130="","",$AJ$2)</f>
        <v>A-</v>
      </c>
      <c r="AK130" s="80" t="s">
        <v>14</v>
      </c>
      <c r="AL130" s="80" t="s">
        <v>63</v>
      </c>
      <c r="AM130" s="80" t="s">
        <v>64</v>
      </c>
      <c r="AN130" s="80" t="str">
        <f>IF(AI130="","",$AN$2)</f>
        <v>C</v>
      </c>
      <c r="AO130" s="80" t="str">
        <f>IF(N130="","",IF(N130&gt;=$AO$1/100,"O","X"))</f>
        <v>X</v>
      </c>
      <c r="AP130" s="80" t="str">
        <f>IF(I130="","",IF(I130&lt;=$AP$1,"O","X"))</f>
        <v>O</v>
      </c>
      <c r="AQ130" s="80" t="str">
        <f>IF(O130="","",IF(O130&lt;=$AQ$1,"O","X"))</f>
        <v>O</v>
      </c>
      <c r="AR130" s="80" t="str">
        <f>IF(M130="","",IF(M130&lt;=$AR$1,"O","X"))</f>
        <v>X</v>
      </c>
      <c r="AS130" s="80" t="s">
        <v>2</v>
      </c>
      <c r="AT130" s="80" t="str">
        <f>IF(OR(F130="",AI130=""),"",IF(AND((F130&lt;=85),(AI130&gt;=15)),"O","X"))</f>
        <v>X</v>
      </c>
      <c r="AU130" s="80" t="str">
        <f>IF(C130="","",IF(C130&gt;=$AU$1,"O","X"))</f>
        <v>O</v>
      </c>
      <c r="AV130" s="80" t="str">
        <f>IF(AO130="","",IF(AND(AO130="O",AP130="O",AR130="O",AT130="O",AU130="O"),"후보","X"))</f>
        <v>X</v>
      </c>
    </row>
    <row r="131" spans="1:48" x14ac:dyDescent="0.3">
      <c r="A131" s="9"/>
      <c r="B131" s="80"/>
      <c r="C131" s="6"/>
      <c r="D131" s="9"/>
      <c r="E131" s="14"/>
      <c r="F131" s="87"/>
      <c r="G131" s="9"/>
      <c r="H131" s="9"/>
      <c r="I131" s="9"/>
      <c r="J131" s="9"/>
      <c r="K131" s="9"/>
      <c r="L131" s="9"/>
      <c r="M131" s="9"/>
      <c r="N131" s="9"/>
      <c r="O131" s="92"/>
      <c r="P131" s="92"/>
      <c r="Q131" s="88"/>
      <c r="R131" s="88"/>
      <c r="S131" s="9"/>
      <c r="T131" s="47"/>
      <c r="U131" s="9"/>
      <c r="W131" s="67" t="str">
        <f>$A$4&amp;" "&amp;A132&amp;"("&amp;B132&amp;","&amp;C132&amp;"^)"</f>
        <v>나운동 우진('79.01.,390^)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89"/>
        <v/>
      </c>
      <c r="AI131" s="112" t="str">
        <f t="shared" si="88"/>
        <v/>
      </c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</row>
    <row r="132" spans="1:48" x14ac:dyDescent="0.3">
      <c r="A132" s="9" t="s">
        <v>589</v>
      </c>
      <c r="B132" s="10" t="s">
        <v>1307</v>
      </c>
      <c r="C132" s="89">
        <v>390</v>
      </c>
      <c r="D132" s="87">
        <v>60.5</v>
      </c>
      <c r="E132" s="88">
        <v>18</v>
      </c>
      <c r="F132" s="87">
        <v>55.5</v>
      </c>
      <c r="G132" s="17">
        <v>17</v>
      </c>
      <c r="H132" s="89">
        <v>100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3</v>
      </c>
      <c r="R132" s="80">
        <v>1</v>
      </c>
      <c r="S132" s="80" t="s">
        <v>61</v>
      </c>
      <c r="T132" s="5">
        <v>60</v>
      </c>
      <c r="U132" s="9"/>
      <c r="W132" s="87">
        <f t="shared" ref="W132:X134" si="108">D132</f>
        <v>60.5</v>
      </c>
      <c r="X132" s="88">
        <f t="shared" si="108"/>
        <v>18</v>
      </c>
      <c r="Y132" s="93">
        <f t="shared" ref="Y132:Z134" si="109">H132</f>
        <v>100</v>
      </c>
      <c r="Z132" s="91">
        <f t="shared" si="109"/>
        <v>0</v>
      </c>
      <c r="AA132" s="91">
        <f>K132</f>
        <v>0</v>
      </c>
      <c r="AB132" s="91">
        <f t="shared" ref="AB132:AD134" si="110">M132</f>
        <v>0</v>
      </c>
      <c r="AC132" s="4" t="str">
        <f t="shared" si="110"/>
        <v/>
      </c>
      <c r="AD132" s="92">
        <f t="shared" si="110"/>
        <v>0</v>
      </c>
      <c r="AE132" s="80" t="str">
        <f>S132</f>
        <v>계</v>
      </c>
      <c r="AF132" s="80" t="str">
        <f>Q132&amp;"/"&amp;R132</f>
        <v>3/1</v>
      </c>
      <c r="AH132" s="20" t="str">
        <f t="shared" si="89"/>
        <v>우진</v>
      </c>
      <c r="AI132" s="88">
        <f t="shared" si="88"/>
        <v>18</v>
      </c>
      <c r="AJ132" s="80" t="str">
        <f>IF(AI132="","",$AJ$2)</f>
        <v>A-</v>
      </c>
      <c r="AK132" s="80" t="s">
        <v>14</v>
      </c>
      <c r="AL132" s="80" t="s">
        <v>63</v>
      </c>
      <c r="AM132" s="80" t="s">
        <v>64</v>
      </c>
      <c r="AN132" s="80" t="str">
        <f>IF(AI132="","",$AN$2)</f>
        <v>C</v>
      </c>
      <c r="AO132" s="80" t="str">
        <f>IF(N132="","",IF(N132&gt;=$AO$1/100,"O","X"))</f>
        <v/>
      </c>
      <c r="AP132" s="80" t="str">
        <f>IF(I132="","",IF(I132&lt;=$AP$1,"O","X"))</f>
        <v/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O</v>
      </c>
      <c r="AU132" s="80" t="str">
        <f>IF(C132="","",IF(C132&gt;=$AU$1,"O","X"))</f>
        <v>O</v>
      </c>
      <c r="AV132" s="80" t="str">
        <f>IF(AO132="","",IF(AND(AO132="O",AP132="O",AR132="O",AT132="O",AU132="O"),"후보","X"))</f>
        <v/>
      </c>
    </row>
    <row r="133" spans="1:48" x14ac:dyDescent="0.3">
      <c r="A133" s="9" t="s">
        <v>589</v>
      </c>
      <c r="B133" s="10" t="s">
        <v>1307</v>
      </c>
      <c r="C133" s="89">
        <v>390</v>
      </c>
      <c r="D133" s="87">
        <v>61.2</v>
      </c>
      <c r="E133" s="88">
        <v>19</v>
      </c>
      <c r="F133" s="87">
        <v>55.4</v>
      </c>
      <c r="G133" s="17">
        <v>17</v>
      </c>
      <c r="H133" s="89">
        <v>170</v>
      </c>
      <c r="I133" s="90"/>
      <c r="J133" s="90"/>
      <c r="K133" s="90"/>
      <c r="L133" s="90"/>
      <c r="M133" s="91">
        <f>I133-K133</f>
        <v>0</v>
      </c>
      <c r="N133" s="4" t="str">
        <f>IF(ISERROR(K133/I133),"",K133/I133)</f>
        <v/>
      </c>
      <c r="O133" s="92">
        <f>I133/E133</f>
        <v>0</v>
      </c>
      <c r="P133" s="92">
        <f>K133/E133</f>
        <v>0</v>
      </c>
      <c r="Q133" s="80">
        <v>2</v>
      </c>
      <c r="R133" s="80">
        <v>1</v>
      </c>
      <c r="S133" s="80" t="s">
        <v>76</v>
      </c>
      <c r="T133" s="5">
        <v>61</v>
      </c>
      <c r="U133" s="9"/>
      <c r="W133" s="87">
        <f t="shared" si="108"/>
        <v>61.2</v>
      </c>
      <c r="X133" s="88">
        <f t="shared" si="108"/>
        <v>19</v>
      </c>
      <c r="Y133" s="93">
        <f t="shared" si="109"/>
        <v>170</v>
      </c>
      <c r="Z133" s="91">
        <f t="shared" si="109"/>
        <v>0</v>
      </c>
      <c r="AA133" s="91">
        <f>K133</f>
        <v>0</v>
      </c>
      <c r="AB133" s="91">
        <f t="shared" si="110"/>
        <v>0</v>
      </c>
      <c r="AC133" s="4" t="str">
        <f t="shared" si="110"/>
        <v/>
      </c>
      <c r="AD133" s="92">
        <f t="shared" si="110"/>
        <v>0</v>
      </c>
      <c r="AE133" s="80" t="str">
        <f>S133</f>
        <v>복</v>
      </c>
      <c r="AF133" s="80" t="str">
        <f>Q133&amp;"/"&amp;R133</f>
        <v>2/1</v>
      </c>
      <c r="AH133" s="20" t="str">
        <f t="shared" si="89"/>
        <v>우진</v>
      </c>
      <c r="AI133" s="88">
        <f t="shared" si="88"/>
        <v>19</v>
      </c>
      <c r="AJ133" s="80" t="str">
        <f>IF(AI133="","",$AJ$2)</f>
        <v>A-</v>
      </c>
      <c r="AK133" s="80" t="s">
        <v>14</v>
      </c>
      <c r="AL133" s="80" t="s">
        <v>63</v>
      </c>
      <c r="AM133" s="80" t="s">
        <v>64</v>
      </c>
      <c r="AN133" s="80" t="str">
        <f>IF(AI133="","",$AN$2)</f>
        <v>C</v>
      </c>
      <c r="AO133" s="80" t="str">
        <f>IF(N133="","",IF(N133&gt;=$AO$1/100,"O","X"))</f>
        <v/>
      </c>
      <c r="AP133" s="80" t="str">
        <f>IF(I133="","",IF(I133&lt;=$AP$1,"O","X"))</f>
        <v/>
      </c>
      <c r="AQ133" s="80" t="str">
        <f>IF(O133="","",IF(O133&lt;=$AQ$1,"O","X"))</f>
        <v>O</v>
      </c>
      <c r="AR133" s="80" t="str">
        <f>IF(M133="","",IF(M133&lt;=$AR$1,"O","X"))</f>
        <v>O</v>
      </c>
      <c r="AS133" s="80" t="s">
        <v>2</v>
      </c>
      <c r="AT133" s="80" t="str">
        <f>IF(OR(F133="",AI133=""),"",IF(AND((F133&lt;=85),(AI133&gt;=15)),"O","X"))</f>
        <v>O</v>
      </c>
      <c r="AU133" s="80" t="str">
        <f>IF(C133="","",IF(C133&gt;=$AU$1,"O","X"))</f>
        <v>O</v>
      </c>
      <c r="AV133" s="80" t="str">
        <f>IF(AO133="","",IF(AND(AO133="O",AP133="O",AR133="O",AT133="O",AU133="O"),"후보","X"))</f>
        <v/>
      </c>
    </row>
    <row r="134" spans="1:48" x14ac:dyDescent="0.3">
      <c r="A134" s="9" t="s">
        <v>589</v>
      </c>
      <c r="B134" s="10" t="s">
        <v>1307</v>
      </c>
      <c r="C134" s="89">
        <v>390</v>
      </c>
      <c r="D134" s="87">
        <v>72.7</v>
      </c>
      <c r="E134" s="88">
        <v>22</v>
      </c>
      <c r="F134" s="87">
        <v>65.8</v>
      </c>
      <c r="G134" s="17">
        <v>20</v>
      </c>
      <c r="H134" s="89">
        <v>120</v>
      </c>
      <c r="I134" s="90"/>
      <c r="J134" s="90"/>
      <c r="K134" s="90"/>
      <c r="L134" s="90"/>
      <c r="M134" s="91">
        <f>I134-K134</f>
        <v>0</v>
      </c>
      <c r="N134" s="4" t="str">
        <f>IF(ISERROR(K134/I134),"",K134/I134)</f>
        <v/>
      </c>
      <c r="O134" s="92">
        <f>I134/E134</f>
        <v>0</v>
      </c>
      <c r="P134" s="92">
        <f>K134/E134</f>
        <v>0</v>
      </c>
      <c r="Q134" s="80">
        <v>3</v>
      </c>
      <c r="R134" s="80">
        <v>1</v>
      </c>
      <c r="S134" s="80" t="s">
        <v>61</v>
      </c>
      <c r="T134" s="5">
        <v>72</v>
      </c>
      <c r="U134" s="9"/>
      <c r="W134" s="87">
        <f t="shared" si="108"/>
        <v>72.7</v>
      </c>
      <c r="X134" s="88">
        <f t="shared" si="108"/>
        <v>22</v>
      </c>
      <c r="Y134" s="93">
        <f t="shared" si="109"/>
        <v>120</v>
      </c>
      <c r="Z134" s="91">
        <f t="shared" si="109"/>
        <v>0</v>
      </c>
      <c r="AA134" s="91">
        <f>K134</f>
        <v>0</v>
      </c>
      <c r="AB134" s="91">
        <f t="shared" si="110"/>
        <v>0</v>
      </c>
      <c r="AC134" s="4" t="str">
        <f t="shared" si="110"/>
        <v/>
      </c>
      <c r="AD134" s="92">
        <f t="shared" si="110"/>
        <v>0</v>
      </c>
      <c r="AE134" s="80" t="str">
        <f>S134</f>
        <v>계</v>
      </c>
      <c r="AF134" s="80" t="str">
        <f>Q134&amp;"/"&amp;R134</f>
        <v>3/1</v>
      </c>
      <c r="AH134" s="20" t="str">
        <f t="shared" si="89"/>
        <v>우진</v>
      </c>
      <c r="AI134" s="88">
        <f t="shared" si="88"/>
        <v>22</v>
      </c>
      <c r="AJ134" s="80" t="str">
        <f>IF(AI134="","",$AJ$2)</f>
        <v>A-</v>
      </c>
      <c r="AK134" s="80" t="s">
        <v>14</v>
      </c>
      <c r="AL134" s="80" t="s">
        <v>63</v>
      </c>
      <c r="AM134" s="80" t="s">
        <v>64</v>
      </c>
      <c r="AN134" s="80" t="str">
        <f>IF(AI134="","",$AN$2)</f>
        <v>C</v>
      </c>
      <c r="AO134" s="80" t="str">
        <f>IF(N134="","",IF(N134&gt;=$AO$1/100,"O","X"))</f>
        <v/>
      </c>
      <c r="AP134" s="80" t="str">
        <f>IF(I134="","",IF(I134&lt;=$AP$1,"O","X"))</f>
        <v/>
      </c>
      <c r="AQ134" s="80" t="str">
        <f>IF(O134="","",IF(O134&lt;=$AQ$1,"O","X"))</f>
        <v>O</v>
      </c>
      <c r="AR134" s="80" t="str">
        <f>IF(M134="","",IF(M134&lt;=$AR$1,"O","X"))</f>
        <v>O</v>
      </c>
      <c r="AS134" s="80" t="s">
        <v>2</v>
      </c>
      <c r="AT134" s="80" t="str">
        <f>IF(OR(F134="",AI134=""),"",IF(AND((F134&lt;=85),(AI134&gt;=15)),"O","X"))</f>
        <v>O</v>
      </c>
      <c r="AU134" s="80" t="str">
        <f>IF(C134="","",IF(C134&gt;=$AU$1,"O","X"))</f>
        <v>O</v>
      </c>
      <c r="AV134" s="80" t="str">
        <f>IF(AO134="","",IF(AND(AO134="O",AP134="O",AR134="O",AT134="O",AU134="O"),"후보","X"))</f>
        <v/>
      </c>
    </row>
  </sheetData>
  <mergeCells count="1">
    <mergeCell ref="AJ1:AN1"/>
  </mergeCells>
  <phoneticPr fontId="2" type="noConversion"/>
  <conditionalFormatting sqref="AV4:AV6">
    <cfRule type="expression" dxfId="6921" priority="1903">
      <formula>AV4="X"</formula>
    </cfRule>
    <cfRule type="expression" dxfId="6920" priority="1904">
      <formula>AV4="후보"</formula>
    </cfRule>
  </conditionalFormatting>
  <conditionalFormatting sqref="AC1:AC2 AC4:AC6 N4:N5">
    <cfRule type="cellIs" dxfId="6919" priority="1901" operator="greaterThan">
      <formula>0.9</formula>
    </cfRule>
    <cfRule type="cellIs" dxfId="6918" priority="1902" operator="greaterThan">
      <formula>0.85</formula>
    </cfRule>
  </conditionalFormatting>
  <conditionalFormatting sqref="N1:N2">
    <cfRule type="cellIs" dxfId="6917" priority="1899" operator="greaterThan">
      <formula>0.9</formula>
    </cfRule>
    <cfRule type="cellIs" dxfId="6916" priority="1900" operator="greaterThan">
      <formula>0.85</formula>
    </cfRule>
  </conditionalFormatting>
  <conditionalFormatting sqref="N6">
    <cfRule type="cellIs" dxfId="6915" priority="1897" operator="greaterThan">
      <formula>0.9</formula>
    </cfRule>
    <cfRule type="cellIs" dxfId="6914" priority="1898" operator="greaterThan">
      <formula>0.85</formula>
    </cfRule>
  </conditionalFormatting>
  <conditionalFormatting sqref="E6">
    <cfRule type="expression" dxfId="6913" priority="1893">
      <formula>AND(IF(OR($Q6=1,$Q6=2),1,0),IF($X6&lt;=20,1,0))</formula>
    </cfRule>
    <cfRule type="expression" dxfId="6912" priority="1894">
      <formula>AND(IF($Q6=2,1,0),IF($X6&lt;30,1,0))</formula>
    </cfRule>
    <cfRule type="expression" dxfId="6911" priority="1895">
      <formula>AND(IF($Q6=3,1,0),IF($X6&lt;30,1,0))</formula>
    </cfRule>
    <cfRule type="expression" dxfId="6910" priority="1896">
      <formula>AND(IF($Q6=3,1,IF($Q6=4,1,0)),IF($F6&lt;=85,1,0))</formula>
    </cfRule>
  </conditionalFormatting>
  <conditionalFormatting sqref="X6">
    <cfRule type="expression" dxfId="6909" priority="1889">
      <formula>AND(IF(OR($Q6=1,$Q6=2),1,0),IF($X6&lt;=20,1,0))</formula>
    </cfRule>
    <cfRule type="expression" dxfId="6908" priority="1890">
      <formula>AND(IF($Q6=2,1,0),IF($X6&lt;30,1,0))</formula>
    </cfRule>
    <cfRule type="expression" dxfId="6907" priority="1891">
      <formula>AND(IF($Q6=3,1,0),IF($X6&lt;30,1,0))</formula>
    </cfRule>
    <cfRule type="expression" dxfId="6906" priority="1892">
      <formula>AND(IF($Q6=3,1,IF($Q6=4,1,0)),IF($F6&lt;=85,1,0))</formula>
    </cfRule>
  </conditionalFormatting>
  <conditionalFormatting sqref="AI6">
    <cfRule type="expression" dxfId="6905" priority="1885">
      <formula>AND(IF(OR($Q6=1,$Q6=2),1,0),IF($X6&lt;=20,1,0))</formula>
    </cfRule>
    <cfRule type="expression" dxfId="6904" priority="1886">
      <formula>AND(IF($Q6=2,1,0),IF($X6&lt;30,1,0))</formula>
    </cfRule>
    <cfRule type="expression" dxfId="6903" priority="1887">
      <formula>AND(IF($Q6=3,1,0),IF($X6&lt;30,1,0))</formula>
    </cfRule>
    <cfRule type="expression" dxfId="6902" priority="1888">
      <formula>AND(IF($Q6=3,1,IF($Q6=4,1,0)),IF($F6&lt;=85,1,0))</formula>
    </cfRule>
  </conditionalFormatting>
  <conditionalFormatting sqref="AV7">
    <cfRule type="expression" dxfId="6901" priority="1883">
      <formula>AV7="X"</formula>
    </cfRule>
    <cfRule type="expression" dxfId="6900" priority="1884">
      <formula>AV7="후보"</formula>
    </cfRule>
  </conditionalFormatting>
  <conditionalFormatting sqref="AC7">
    <cfRule type="cellIs" dxfId="6899" priority="1881" operator="greaterThan">
      <formula>0.9</formula>
    </cfRule>
    <cfRule type="cellIs" dxfId="6898" priority="1882" operator="greaterThan">
      <formula>0.85</formula>
    </cfRule>
  </conditionalFormatting>
  <conditionalFormatting sqref="N7">
    <cfRule type="cellIs" dxfId="6897" priority="1879" operator="greaterThan">
      <formula>0.9</formula>
    </cfRule>
    <cfRule type="cellIs" dxfId="6896" priority="1880" operator="greaterThan">
      <formula>0.85</formula>
    </cfRule>
  </conditionalFormatting>
  <conditionalFormatting sqref="E7">
    <cfRule type="expression" dxfId="6895" priority="1875">
      <formula>AND(IF(OR($Q7=1,$Q7=2),1,0),IF($X7&lt;=20,1,0))</formula>
    </cfRule>
    <cfRule type="expression" dxfId="6894" priority="1876">
      <formula>AND(IF($Q7=2,1,0),IF($X7&lt;30,1,0))</formula>
    </cfRule>
    <cfRule type="expression" dxfId="6893" priority="1877">
      <formula>AND(IF($Q7=3,1,0),IF($X7&lt;30,1,0))</formula>
    </cfRule>
    <cfRule type="expression" dxfId="6892" priority="1878">
      <formula>AND(IF($Q7=3,1,IF($Q7=4,1,0)),IF($F7&lt;=85,1,0))</formula>
    </cfRule>
  </conditionalFormatting>
  <conditionalFormatting sqref="X7">
    <cfRule type="expression" dxfId="6891" priority="1871">
      <formula>AND(IF(OR($Q7=1,$Q7=2),1,0),IF($X7&lt;=20,1,0))</formula>
    </cfRule>
    <cfRule type="expression" dxfId="6890" priority="1872">
      <formula>AND(IF($Q7=2,1,0),IF($X7&lt;30,1,0))</formula>
    </cfRule>
    <cfRule type="expression" dxfId="6889" priority="1873">
      <formula>AND(IF($Q7=3,1,0),IF($X7&lt;30,1,0))</formula>
    </cfRule>
    <cfRule type="expression" dxfId="6888" priority="1874">
      <formula>AND(IF($Q7=3,1,IF($Q7=4,1,0)),IF($F7&lt;=85,1,0))</formula>
    </cfRule>
  </conditionalFormatting>
  <conditionalFormatting sqref="AI7">
    <cfRule type="expression" dxfId="6887" priority="1867">
      <formula>AND(IF(OR($Q7=1,$Q7=2),1,0),IF($X7&lt;=20,1,0))</formula>
    </cfRule>
    <cfRule type="expression" dxfId="6886" priority="1868">
      <formula>AND(IF($Q7=2,1,0),IF($X7&lt;30,1,0))</formula>
    </cfRule>
    <cfRule type="expression" dxfId="6885" priority="1869">
      <formula>AND(IF($Q7=3,1,0),IF($X7&lt;30,1,0))</formula>
    </cfRule>
    <cfRule type="expression" dxfId="6884" priority="1870">
      <formula>AND(IF($Q7=3,1,IF($Q7=4,1,0)),IF($F7&lt;=85,1,0))</formula>
    </cfRule>
  </conditionalFormatting>
  <conditionalFormatting sqref="AV8">
    <cfRule type="expression" dxfId="6883" priority="1865">
      <formula>AV8="X"</formula>
    </cfRule>
    <cfRule type="expression" dxfId="6882" priority="1866">
      <formula>AV8="후보"</formula>
    </cfRule>
  </conditionalFormatting>
  <conditionalFormatting sqref="AC8">
    <cfRule type="cellIs" dxfId="6881" priority="1863" operator="greaterThan">
      <formula>0.9</formula>
    </cfRule>
    <cfRule type="cellIs" dxfId="6880" priority="1864" operator="greaterThan">
      <formula>0.85</formula>
    </cfRule>
  </conditionalFormatting>
  <conditionalFormatting sqref="N8">
    <cfRule type="cellIs" dxfId="6879" priority="1861" operator="greaterThan">
      <formula>0.9</formula>
    </cfRule>
    <cfRule type="cellIs" dxfId="6878" priority="1862" operator="greaterThan">
      <formula>0.85</formula>
    </cfRule>
  </conditionalFormatting>
  <conditionalFormatting sqref="E8">
    <cfRule type="expression" dxfId="6877" priority="1857">
      <formula>AND(IF(OR($Q8=1,$Q8=2),1,0),IF($X8&lt;=20,1,0))</formula>
    </cfRule>
    <cfRule type="expression" dxfId="6876" priority="1858">
      <formula>AND(IF($Q8=2,1,0),IF($X8&lt;30,1,0))</formula>
    </cfRule>
    <cfRule type="expression" dxfId="6875" priority="1859">
      <formula>AND(IF($Q8=3,1,0),IF($X8&lt;30,1,0))</formula>
    </cfRule>
    <cfRule type="expression" dxfId="6874" priority="1860">
      <formula>AND(IF($Q8=3,1,IF($Q8=4,1,0)),IF($F8&lt;=85,1,0))</formula>
    </cfRule>
  </conditionalFormatting>
  <conditionalFormatting sqref="X8">
    <cfRule type="expression" dxfId="6873" priority="1853">
      <formula>AND(IF(OR($Q8=1,$Q8=2),1,0),IF($X8&lt;=20,1,0))</formula>
    </cfRule>
    <cfRule type="expression" dxfId="6872" priority="1854">
      <formula>AND(IF($Q8=2,1,0),IF($X8&lt;30,1,0))</formula>
    </cfRule>
    <cfRule type="expression" dxfId="6871" priority="1855">
      <formula>AND(IF($Q8=3,1,0),IF($X8&lt;30,1,0))</formula>
    </cfRule>
    <cfRule type="expression" dxfId="6870" priority="1856">
      <formula>AND(IF($Q8=3,1,IF($Q8=4,1,0)),IF($F8&lt;=85,1,0))</formula>
    </cfRule>
  </conditionalFormatting>
  <conditionalFormatting sqref="AI8">
    <cfRule type="expression" dxfId="6869" priority="1849">
      <formula>AND(IF(OR($Q8=1,$Q8=2),1,0),IF($X8&lt;=20,1,0))</formula>
    </cfRule>
    <cfRule type="expression" dxfId="6868" priority="1850">
      <formula>AND(IF($Q8=2,1,0),IF($X8&lt;30,1,0))</formula>
    </cfRule>
    <cfRule type="expression" dxfId="6867" priority="1851">
      <formula>AND(IF($Q8=3,1,0),IF($X8&lt;30,1,0))</formula>
    </cfRule>
    <cfRule type="expression" dxfId="6866" priority="1852">
      <formula>AND(IF($Q8=3,1,IF($Q8=4,1,0)),IF($F8&lt;=85,1,0))</formula>
    </cfRule>
  </conditionalFormatting>
  <conditionalFormatting sqref="AV9">
    <cfRule type="expression" dxfId="6865" priority="1847">
      <formula>AV9="X"</formula>
    </cfRule>
    <cfRule type="expression" dxfId="6864" priority="1848">
      <formula>AV9="후보"</formula>
    </cfRule>
  </conditionalFormatting>
  <conditionalFormatting sqref="AC9">
    <cfRule type="cellIs" dxfId="6863" priority="1845" operator="greaterThan">
      <formula>0.9</formula>
    </cfRule>
    <cfRule type="cellIs" dxfId="6862" priority="1846" operator="greaterThan">
      <formula>0.85</formula>
    </cfRule>
  </conditionalFormatting>
  <conditionalFormatting sqref="N9">
    <cfRule type="cellIs" dxfId="6861" priority="1843" operator="greaterThan">
      <formula>0.9</formula>
    </cfRule>
    <cfRule type="cellIs" dxfId="6860" priority="1844" operator="greaterThan">
      <formula>0.85</formula>
    </cfRule>
  </conditionalFormatting>
  <conditionalFormatting sqref="E9">
    <cfRule type="expression" dxfId="6859" priority="1839">
      <formula>AND(IF(OR($Q9=1,$Q9=2),1,0),IF($X9&lt;=20,1,0))</formula>
    </cfRule>
    <cfRule type="expression" dxfId="6858" priority="1840">
      <formula>AND(IF($Q9=2,1,0),IF($X9&lt;30,1,0))</formula>
    </cfRule>
    <cfRule type="expression" dxfId="6857" priority="1841">
      <formula>AND(IF($Q9=3,1,0),IF($X9&lt;30,1,0))</formula>
    </cfRule>
    <cfRule type="expression" dxfId="6856" priority="1842">
      <formula>AND(IF($Q9=3,1,IF($Q9=4,1,0)),IF($F9&lt;=85,1,0))</formula>
    </cfRule>
  </conditionalFormatting>
  <conditionalFormatting sqref="X9">
    <cfRule type="expression" dxfId="6855" priority="1835">
      <formula>AND(IF(OR($Q9=1,$Q9=2),1,0),IF($X9&lt;=20,1,0))</formula>
    </cfRule>
    <cfRule type="expression" dxfId="6854" priority="1836">
      <formula>AND(IF($Q9=2,1,0),IF($X9&lt;30,1,0))</formula>
    </cfRule>
    <cfRule type="expression" dxfId="6853" priority="1837">
      <formula>AND(IF($Q9=3,1,0),IF($X9&lt;30,1,0))</formula>
    </cfRule>
    <cfRule type="expression" dxfId="6852" priority="1838">
      <formula>AND(IF($Q9=3,1,IF($Q9=4,1,0)),IF($F9&lt;=85,1,0))</formula>
    </cfRule>
  </conditionalFormatting>
  <conditionalFormatting sqref="AI9">
    <cfRule type="expression" dxfId="6851" priority="1831">
      <formula>AND(IF(OR($Q9=1,$Q9=2),1,0),IF($X9&lt;=20,1,0))</formula>
    </cfRule>
    <cfRule type="expression" dxfId="6850" priority="1832">
      <formula>AND(IF($Q9=2,1,0),IF($X9&lt;30,1,0))</formula>
    </cfRule>
    <cfRule type="expression" dxfId="6849" priority="1833">
      <formula>AND(IF($Q9=3,1,0),IF($X9&lt;30,1,0))</formula>
    </cfRule>
    <cfRule type="expression" dxfId="6848" priority="1834">
      <formula>AND(IF($Q9=3,1,IF($Q9=4,1,0)),IF($F9&lt;=85,1,0))</formula>
    </cfRule>
  </conditionalFormatting>
  <conditionalFormatting sqref="AV10">
    <cfRule type="expression" dxfId="6847" priority="1829">
      <formula>AV10="X"</formula>
    </cfRule>
    <cfRule type="expression" dxfId="6846" priority="1830">
      <formula>AV10="후보"</formula>
    </cfRule>
  </conditionalFormatting>
  <conditionalFormatting sqref="AC10">
    <cfRule type="cellIs" dxfId="6845" priority="1827" operator="greaterThan">
      <formula>0.9</formula>
    </cfRule>
    <cfRule type="cellIs" dxfId="6844" priority="1828" operator="greaterThan">
      <formula>0.85</formula>
    </cfRule>
  </conditionalFormatting>
  <conditionalFormatting sqref="N10">
    <cfRule type="cellIs" dxfId="6843" priority="1825" operator="greaterThan">
      <formula>0.9</formula>
    </cfRule>
    <cfRule type="cellIs" dxfId="6842" priority="1826" operator="greaterThan">
      <formula>0.85</formula>
    </cfRule>
  </conditionalFormatting>
  <conditionalFormatting sqref="E10">
    <cfRule type="expression" dxfId="6841" priority="1821">
      <formula>AND(IF(OR($Q10=1,$Q10=2),1,0),IF($X10&lt;=20,1,0))</formula>
    </cfRule>
    <cfRule type="expression" dxfId="6840" priority="1822">
      <formula>AND(IF($Q10=2,1,0),IF($X10&lt;30,1,0))</formula>
    </cfRule>
    <cfRule type="expression" dxfId="6839" priority="1823">
      <formula>AND(IF($Q10=3,1,0),IF($X10&lt;30,1,0))</formula>
    </cfRule>
    <cfRule type="expression" dxfId="6838" priority="1824">
      <formula>AND(IF($Q10=3,1,IF($Q10=4,1,0)),IF($F10&lt;=85,1,0))</formula>
    </cfRule>
  </conditionalFormatting>
  <conditionalFormatting sqref="X10">
    <cfRule type="expression" dxfId="6837" priority="1817">
      <formula>AND(IF(OR($Q10=1,$Q10=2),1,0),IF($X10&lt;=20,1,0))</formula>
    </cfRule>
    <cfRule type="expression" dxfId="6836" priority="1818">
      <formula>AND(IF($Q10=2,1,0),IF($X10&lt;30,1,0))</formula>
    </cfRule>
    <cfRule type="expression" dxfId="6835" priority="1819">
      <formula>AND(IF($Q10=3,1,0),IF($X10&lt;30,1,0))</formula>
    </cfRule>
    <cfRule type="expression" dxfId="6834" priority="1820">
      <formula>AND(IF($Q10=3,1,IF($Q10=4,1,0)),IF($F10&lt;=85,1,0))</formula>
    </cfRule>
  </conditionalFormatting>
  <conditionalFormatting sqref="AI10">
    <cfRule type="expression" dxfId="6833" priority="1813">
      <formula>AND(IF(OR($Q10=1,$Q10=2),1,0),IF($X10&lt;=20,1,0))</formula>
    </cfRule>
    <cfRule type="expression" dxfId="6832" priority="1814">
      <formula>AND(IF($Q10=2,1,0),IF($X10&lt;30,1,0))</formula>
    </cfRule>
    <cfRule type="expression" dxfId="6831" priority="1815">
      <formula>AND(IF($Q10=3,1,0),IF($X10&lt;30,1,0))</formula>
    </cfRule>
    <cfRule type="expression" dxfId="6830" priority="1816">
      <formula>AND(IF($Q10=3,1,IF($Q10=4,1,0)),IF($F10&lt;=85,1,0))</formula>
    </cfRule>
  </conditionalFormatting>
  <conditionalFormatting sqref="AV11">
    <cfRule type="expression" dxfId="6829" priority="1811">
      <formula>AV11="X"</formula>
    </cfRule>
    <cfRule type="expression" dxfId="6828" priority="1812">
      <formula>AV11="후보"</formula>
    </cfRule>
  </conditionalFormatting>
  <conditionalFormatting sqref="AC11">
    <cfRule type="cellIs" dxfId="6827" priority="1809" operator="greaterThan">
      <formula>0.9</formula>
    </cfRule>
    <cfRule type="cellIs" dxfId="6826" priority="1810" operator="greaterThan">
      <formula>0.85</formula>
    </cfRule>
  </conditionalFormatting>
  <conditionalFormatting sqref="N11">
    <cfRule type="cellIs" dxfId="6825" priority="1807" operator="greaterThan">
      <formula>0.9</formula>
    </cfRule>
    <cfRule type="cellIs" dxfId="6824" priority="1808" operator="greaterThan">
      <formula>0.85</formula>
    </cfRule>
  </conditionalFormatting>
  <conditionalFormatting sqref="E11">
    <cfRule type="expression" dxfId="6823" priority="1803">
      <formula>AND(IF(OR($Q11=1,$Q11=2),1,0),IF($X11&lt;=20,1,0))</formula>
    </cfRule>
    <cfRule type="expression" dxfId="6822" priority="1804">
      <formula>AND(IF($Q11=2,1,0),IF($X11&lt;30,1,0))</formula>
    </cfRule>
    <cfRule type="expression" dxfId="6821" priority="1805">
      <formula>AND(IF($Q11=3,1,0),IF($X11&lt;30,1,0))</formula>
    </cfRule>
    <cfRule type="expression" dxfId="6820" priority="1806">
      <formula>AND(IF($Q11=3,1,IF($Q11=4,1,0)),IF($F11&lt;=85,1,0))</formula>
    </cfRule>
  </conditionalFormatting>
  <conditionalFormatting sqref="X11">
    <cfRule type="expression" dxfId="6819" priority="1799">
      <formula>AND(IF(OR($Q11=1,$Q11=2),1,0),IF($X11&lt;=20,1,0))</formula>
    </cfRule>
    <cfRule type="expression" dxfId="6818" priority="1800">
      <formula>AND(IF($Q11=2,1,0),IF($X11&lt;30,1,0))</formula>
    </cfRule>
    <cfRule type="expression" dxfId="6817" priority="1801">
      <formula>AND(IF($Q11=3,1,0),IF($X11&lt;30,1,0))</formula>
    </cfRule>
    <cfRule type="expression" dxfId="6816" priority="1802">
      <formula>AND(IF($Q11=3,1,IF($Q11=4,1,0)),IF($F11&lt;=85,1,0))</formula>
    </cfRule>
  </conditionalFormatting>
  <conditionalFormatting sqref="AI11">
    <cfRule type="expression" dxfId="6815" priority="1795">
      <formula>AND(IF(OR($Q11=1,$Q11=2),1,0),IF($X11&lt;=20,1,0))</formula>
    </cfRule>
    <cfRule type="expression" dxfId="6814" priority="1796">
      <formula>AND(IF($Q11=2,1,0),IF($X11&lt;30,1,0))</formula>
    </cfRule>
    <cfRule type="expression" dxfId="6813" priority="1797">
      <formula>AND(IF($Q11=3,1,0),IF($X11&lt;30,1,0))</formula>
    </cfRule>
    <cfRule type="expression" dxfId="6812" priority="1798">
      <formula>AND(IF($Q11=3,1,IF($Q11=4,1,0)),IF($F11&lt;=85,1,0))</formula>
    </cfRule>
  </conditionalFormatting>
  <conditionalFormatting sqref="AV12">
    <cfRule type="expression" dxfId="6811" priority="1793">
      <formula>AV12="X"</formula>
    </cfRule>
    <cfRule type="expression" dxfId="6810" priority="1794">
      <formula>AV12="후보"</formula>
    </cfRule>
  </conditionalFormatting>
  <conditionalFormatting sqref="AC12 N12">
    <cfRule type="cellIs" dxfId="6809" priority="1791" operator="greaterThan">
      <formula>0.9</formula>
    </cfRule>
    <cfRule type="cellIs" dxfId="6808" priority="1792" operator="greaterThan">
      <formula>0.85</formula>
    </cfRule>
  </conditionalFormatting>
  <conditionalFormatting sqref="AV13">
    <cfRule type="expression" dxfId="6807" priority="1789">
      <formula>AV13="X"</formula>
    </cfRule>
    <cfRule type="expression" dxfId="6806" priority="1790">
      <formula>AV13="후보"</formula>
    </cfRule>
  </conditionalFormatting>
  <conditionalFormatting sqref="AC13">
    <cfRule type="cellIs" dxfId="6805" priority="1787" operator="greaterThan">
      <formula>0.9</formula>
    </cfRule>
    <cfRule type="cellIs" dxfId="6804" priority="1788" operator="greaterThan">
      <formula>0.85</formula>
    </cfRule>
  </conditionalFormatting>
  <conditionalFormatting sqref="N13">
    <cfRule type="cellIs" dxfId="6803" priority="1785" operator="greaterThan">
      <formula>0.9</formula>
    </cfRule>
    <cfRule type="cellIs" dxfId="6802" priority="1786" operator="greaterThan">
      <formula>0.85</formula>
    </cfRule>
  </conditionalFormatting>
  <conditionalFormatting sqref="E13">
    <cfRule type="expression" dxfId="6801" priority="1781">
      <formula>AND(IF(OR($Q13=1,$Q13=2),1,0),IF($X13&lt;=20,1,0))</formula>
    </cfRule>
    <cfRule type="expression" dxfId="6800" priority="1782">
      <formula>AND(IF($Q13=2,1,0),IF($X13&lt;30,1,0))</formula>
    </cfRule>
    <cfRule type="expression" dxfId="6799" priority="1783">
      <formula>AND(IF($Q13=3,1,0),IF($X13&lt;30,1,0))</formula>
    </cfRule>
    <cfRule type="expression" dxfId="6798" priority="1784">
      <formula>AND(IF($Q13=3,1,IF($Q13=4,1,0)),IF($F13&lt;=85,1,0))</formula>
    </cfRule>
  </conditionalFormatting>
  <conditionalFormatting sqref="X13">
    <cfRule type="expression" dxfId="6797" priority="1777">
      <formula>AND(IF(OR($Q13=1,$Q13=2),1,0),IF($X13&lt;=20,1,0))</formula>
    </cfRule>
    <cfRule type="expression" dxfId="6796" priority="1778">
      <formula>AND(IF($Q13=2,1,0),IF($X13&lt;30,1,0))</formula>
    </cfRule>
    <cfRule type="expression" dxfId="6795" priority="1779">
      <formula>AND(IF($Q13=3,1,0),IF($X13&lt;30,1,0))</formula>
    </cfRule>
    <cfRule type="expression" dxfId="6794" priority="1780">
      <formula>AND(IF($Q13=3,1,IF($Q13=4,1,0)),IF($F13&lt;=85,1,0))</formula>
    </cfRule>
  </conditionalFormatting>
  <conditionalFormatting sqref="AI13">
    <cfRule type="expression" dxfId="6793" priority="1773">
      <formula>AND(IF(OR($Q13=1,$Q13=2),1,0),IF($X13&lt;=20,1,0))</formula>
    </cfRule>
    <cfRule type="expression" dxfId="6792" priority="1774">
      <formula>AND(IF($Q13=2,1,0),IF($X13&lt;30,1,0))</formula>
    </cfRule>
    <cfRule type="expression" dxfId="6791" priority="1775">
      <formula>AND(IF($Q13=3,1,0),IF($X13&lt;30,1,0))</formula>
    </cfRule>
    <cfRule type="expression" dxfId="6790" priority="1776">
      <formula>AND(IF($Q13=3,1,IF($Q13=4,1,0)),IF($F13&lt;=85,1,0))</formula>
    </cfRule>
  </conditionalFormatting>
  <conditionalFormatting sqref="AV14">
    <cfRule type="expression" dxfId="6789" priority="1771">
      <formula>AV14="X"</formula>
    </cfRule>
    <cfRule type="expression" dxfId="6788" priority="1772">
      <formula>AV14="후보"</formula>
    </cfRule>
  </conditionalFormatting>
  <conditionalFormatting sqref="AC14">
    <cfRule type="cellIs" dxfId="6787" priority="1769" operator="greaterThan">
      <formula>0.9</formula>
    </cfRule>
    <cfRule type="cellIs" dxfId="6786" priority="1770" operator="greaterThan">
      <formula>0.85</formula>
    </cfRule>
  </conditionalFormatting>
  <conditionalFormatting sqref="N14">
    <cfRule type="cellIs" dxfId="6785" priority="1767" operator="greaterThan">
      <formula>0.9</formula>
    </cfRule>
    <cfRule type="cellIs" dxfId="6784" priority="1768" operator="greaterThan">
      <formula>0.85</formula>
    </cfRule>
  </conditionalFormatting>
  <conditionalFormatting sqref="E14">
    <cfRule type="expression" dxfId="6783" priority="1763">
      <formula>AND(IF(OR($Q14=1,$Q14=2),1,0),IF($X14&lt;=20,1,0))</formula>
    </cfRule>
    <cfRule type="expression" dxfId="6782" priority="1764">
      <formula>AND(IF($Q14=2,1,0),IF($X14&lt;30,1,0))</formula>
    </cfRule>
    <cfRule type="expression" dxfId="6781" priority="1765">
      <formula>AND(IF($Q14=3,1,0),IF($X14&lt;30,1,0))</formula>
    </cfRule>
    <cfRule type="expression" dxfId="6780" priority="1766">
      <formula>AND(IF($Q14=3,1,IF($Q14=4,1,0)),IF($F14&lt;=85,1,0))</formula>
    </cfRule>
  </conditionalFormatting>
  <conditionalFormatting sqref="X14">
    <cfRule type="expression" dxfId="6779" priority="1759">
      <formula>AND(IF(OR($Q14=1,$Q14=2),1,0),IF($X14&lt;=20,1,0))</formula>
    </cfRule>
    <cfRule type="expression" dxfId="6778" priority="1760">
      <formula>AND(IF($Q14=2,1,0),IF($X14&lt;30,1,0))</formula>
    </cfRule>
    <cfRule type="expression" dxfId="6777" priority="1761">
      <formula>AND(IF($Q14=3,1,0),IF($X14&lt;30,1,0))</formula>
    </cfRule>
    <cfRule type="expression" dxfId="6776" priority="1762">
      <formula>AND(IF($Q14=3,1,IF($Q14=4,1,0)),IF($F14&lt;=85,1,0))</formula>
    </cfRule>
  </conditionalFormatting>
  <conditionalFormatting sqref="AI14">
    <cfRule type="expression" dxfId="6775" priority="1755">
      <formula>AND(IF(OR($Q14=1,$Q14=2),1,0),IF($X14&lt;=20,1,0))</formula>
    </cfRule>
    <cfRule type="expression" dxfId="6774" priority="1756">
      <formula>AND(IF($Q14=2,1,0),IF($X14&lt;30,1,0))</formula>
    </cfRule>
    <cfRule type="expression" dxfId="6773" priority="1757">
      <formula>AND(IF($Q14=3,1,0),IF($X14&lt;30,1,0))</formula>
    </cfRule>
    <cfRule type="expression" dxfId="6772" priority="1758">
      <formula>AND(IF($Q14=3,1,IF($Q14=4,1,0)),IF($F14&lt;=85,1,0))</formula>
    </cfRule>
  </conditionalFormatting>
  <conditionalFormatting sqref="AV15">
    <cfRule type="expression" dxfId="6771" priority="1753">
      <formula>AV15="X"</formula>
    </cfRule>
    <cfRule type="expression" dxfId="6770" priority="1754">
      <formula>AV15="후보"</formula>
    </cfRule>
  </conditionalFormatting>
  <conditionalFormatting sqref="AC15 N15">
    <cfRule type="cellIs" dxfId="6769" priority="1751" operator="greaterThan">
      <formula>0.9</formula>
    </cfRule>
    <cfRule type="cellIs" dxfId="6768" priority="1752" operator="greaterThan">
      <formula>0.85</formula>
    </cfRule>
  </conditionalFormatting>
  <conditionalFormatting sqref="AV16">
    <cfRule type="expression" dxfId="6767" priority="1749">
      <formula>AV16="X"</formula>
    </cfRule>
    <cfRule type="expression" dxfId="6766" priority="1750">
      <formula>AV16="후보"</formula>
    </cfRule>
  </conditionalFormatting>
  <conditionalFormatting sqref="AC16">
    <cfRule type="cellIs" dxfId="6765" priority="1747" operator="greaterThan">
      <formula>0.9</formula>
    </cfRule>
    <cfRule type="cellIs" dxfId="6764" priority="1748" operator="greaterThan">
      <formula>0.85</formula>
    </cfRule>
  </conditionalFormatting>
  <conditionalFormatting sqref="N16">
    <cfRule type="cellIs" dxfId="6763" priority="1745" operator="greaterThan">
      <formula>0.9</formula>
    </cfRule>
    <cfRule type="cellIs" dxfId="6762" priority="1746" operator="greaterThan">
      <formula>0.85</formula>
    </cfRule>
  </conditionalFormatting>
  <conditionalFormatting sqref="E16">
    <cfRule type="expression" dxfId="6761" priority="1741">
      <formula>AND(IF(OR($Q16=1,$Q16=2),1,0),IF($X16&lt;=20,1,0))</formula>
    </cfRule>
    <cfRule type="expression" dxfId="6760" priority="1742">
      <formula>AND(IF($Q16=2,1,0),IF($X16&lt;30,1,0))</formula>
    </cfRule>
    <cfRule type="expression" dxfId="6759" priority="1743">
      <formula>AND(IF($Q16=3,1,0),IF($X16&lt;30,1,0))</formula>
    </cfRule>
    <cfRule type="expression" dxfId="6758" priority="1744">
      <formula>AND(IF($Q16=3,1,IF($Q16=4,1,0)),IF($F16&lt;=85,1,0))</formula>
    </cfRule>
  </conditionalFormatting>
  <conditionalFormatting sqref="X16">
    <cfRule type="expression" dxfId="6757" priority="1737">
      <formula>AND(IF(OR($Q16=1,$Q16=2),1,0),IF($X16&lt;=20,1,0))</formula>
    </cfRule>
    <cfRule type="expression" dxfId="6756" priority="1738">
      <formula>AND(IF($Q16=2,1,0),IF($X16&lt;30,1,0))</formula>
    </cfRule>
    <cfRule type="expression" dxfId="6755" priority="1739">
      <formula>AND(IF($Q16=3,1,0),IF($X16&lt;30,1,0))</formula>
    </cfRule>
    <cfRule type="expression" dxfId="6754" priority="1740">
      <formula>AND(IF($Q16=3,1,IF($Q16=4,1,0)),IF($F16&lt;=85,1,0))</formula>
    </cfRule>
  </conditionalFormatting>
  <conditionalFormatting sqref="AI16">
    <cfRule type="expression" dxfId="6753" priority="1733">
      <formula>AND(IF(OR($Q16=1,$Q16=2),1,0),IF($X16&lt;=20,1,0))</formula>
    </cfRule>
    <cfRule type="expression" dxfId="6752" priority="1734">
      <formula>AND(IF($Q16=2,1,0),IF($X16&lt;30,1,0))</formula>
    </cfRule>
    <cfRule type="expression" dxfId="6751" priority="1735">
      <formula>AND(IF($Q16=3,1,0),IF($X16&lt;30,1,0))</formula>
    </cfRule>
    <cfRule type="expression" dxfId="6750" priority="1736">
      <formula>AND(IF($Q16=3,1,IF($Q16=4,1,0)),IF($F16&lt;=85,1,0))</formula>
    </cfRule>
  </conditionalFormatting>
  <conditionalFormatting sqref="AV17">
    <cfRule type="expression" dxfId="6749" priority="1731">
      <formula>AV17="X"</formula>
    </cfRule>
    <cfRule type="expression" dxfId="6748" priority="1732">
      <formula>AV17="후보"</formula>
    </cfRule>
  </conditionalFormatting>
  <conditionalFormatting sqref="AC17 N17">
    <cfRule type="cellIs" dxfId="6747" priority="1729" operator="greaterThan">
      <formula>0.9</formula>
    </cfRule>
    <cfRule type="cellIs" dxfId="6746" priority="1730" operator="greaterThan">
      <formula>0.85</formula>
    </cfRule>
  </conditionalFormatting>
  <conditionalFormatting sqref="AV18">
    <cfRule type="expression" dxfId="6745" priority="1727">
      <formula>AV18="X"</formula>
    </cfRule>
    <cfRule type="expression" dxfId="6744" priority="1728">
      <formula>AV18="후보"</formula>
    </cfRule>
  </conditionalFormatting>
  <conditionalFormatting sqref="AC18">
    <cfRule type="cellIs" dxfId="6743" priority="1725" operator="greaterThan">
      <formula>0.9</formula>
    </cfRule>
    <cfRule type="cellIs" dxfId="6742" priority="1726" operator="greaterThan">
      <formula>0.85</formula>
    </cfRule>
  </conditionalFormatting>
  <conditionalFormatting sqref="N18">
    <cfRule type="cellIs" dxfId="6741" priority="1723" operator="greaterThan">
      <formula>0.9</formula>
    </cfRule>
    <cfRule type="cellIs" dxfId="6740" priority="1724" operator="greaterThan">
      <formula>0.85</formula>
    </cfRule>
  </conditionalFormatting>
  <conditionalFormatting sqref="E18">
    <cfRule type="expression" dxfId="6739" priority="1719">
      <formula>AND(IF(OR($Q18=1,$Q18=2),1,0),IF($X18&lt;=20,1,0))</formula>
    </cfRule>
    <cfRule type="expression" dxfId="6738" priority="1720">
      <formula>AND(IF($Q18=2,1,0),IF($X18&lt;30,1,0))</formula>
    </cfRule>
    <cfRule type="expression" dxfId="6737" priority="1721">
      <formula>AND(IF($Q18=3,1,0),IF($X18&lt;30,1,0))</formula>
    </cfRule>
    <cfRule type="expression" dxfId="6736" priority="1722">
      <formula>AND(IF($Q18=3,1,IF($Q18=4,1,0)),IF($F18&lt;=85,1,0))</formula>
    </cfRule>
  </conditionalFormatting>
  <conditionalFormatting sqref="X18">
    <cfRule type="expression" dxfId="6735" priority="1715">
      <formula>AND(IF(OR($Q18=1,$Q18=2),1,0),IF($X18&lt;=20,1,0))</formula>
    </cfRule>
    <cfRule type="expression" dxfId="6734" priority="1716">
      <formula>AND(IF($Q18=2,1,0),IF($X18&lt;30,1,0))</formula>
    </cfRule>
    <cfRule type="expression" dxfId="6733" priority="1717">
      <formula>AND(IF($Q18=3,1,0),IF($X18&lt;30,1,0))</formula>
    </cfRule>
    <cfRule type="expression" dxfId="6732" priority="1718">
      <formula>AND(IF($Q18=3,1,IF($Q18=4,1,0)),IF($F18&lt;=85,1,0))</formula>
    </cfRule>
  </conditionalFormatting>
  <conditionalFormatting sqref="AI18">
    <cfRule type="expression" dxfId="6731" priority="1711">
      <formula>AND(IF(OR($Q18=1,$Q18=2),1,0),IF($X18&lt;=20,1,0))</formula>
    </cfRule>
    <cfRule type="expression" dxfId="6730" priority="1712">
      <formula>AND(IF($Q18=2,1,0),IF($X18&lt;30,1,0))</formula>
    </cfRule>
    <cfRule type="expression" dxfId="6729" priority="1713">
      <formula>AND(IF($Q18=3,1,0),IF($X18&lt;30,1,0))</formula>
    </cfRule>
    <cfRule type="expression" dxfId="6728" priority="1714">
      <formula>AND(IF($Q18=3,1,IF($Q18=4,1,0)),IF($F18&lt;=85,1,0))</formula>
    </cfRule>
  </conditionalFormatting>
  <conditionalFormatting sqref="AV19">
    <cfRule type="expression" dxfId="6727" priority="1709">
      <formula>AV19="X"</formula>
    </cfRule>
    <cfRule type="expression" dxfId="6726" priority="1710">
      <formula>AV19="후보"</formula>
    </cfRule>
  </conditionalFormatting>
  <conditionalFormatting sqref="AC19">
    <cfRule type="cellIs" dxfId="6725" priority="1707" operator="greaterThan">
      <formula>0.9</formula>
    </cfRule>
    <cfRule type="cellIs" dxfId="6724" priority="1708" operator="greaterThan">
      <formula>0.85</formula>
    </cfRule>
  </conditionalFormatting>
  <conditionalFormatting sqref="N19">
    <cfRule type="cellIs" dxfId="6723" priority="1705" operator="greaterThan">
      <formula>0.9</formula>
    </cfRule>
    <cfRule type="cellIs" dxfId="6722" priority="1706" operator="greaterThan">
      <formula>0.85</formula>
    </cfRule>
  </conditionalFormatting>
  <conditionalFormatting sqref="E19">
    <cfRule type="expression" dxfId="6721" priority="1701">
      <formula>AND(IF(OR($Q19=1,$Q19=2),1,0),IF($X19&lt;=20,1,0))</formula>
    </cfRule>
    <cfRule type="expression" dxfId="6720" priority="1702">
      <formula>AND(IF($Q19=2,1,0),IF($X19&lt;30,1,0))</formula>
    </cfRule>
    <cfRule type="expression" dxfId="6719" priority="1703">
      <formula>AND(IF($Q19=3,1,0),IF($X19&lt;30,1,0))</formula>
    </cfRule>
    <cfRule type="expression" dxfId="6718" priority="1704">
      <formula>AND(IF($Q19=3,1,IF($Q19=4,1,0)),IF($F19&lt;=85,1,0))</formula>
    </cfRule>
  </conditionalFormatting>
  <conditionalFormatting sqref="X19">
    <cfRule type="expression" dxfId="6717" priority="1697">
      <formula>AND(IF(OR($Q19=1,$Q19=2),1,0),IF($X19&lt;=20,1,0))</formula>
    </cfRule>
    <cfRule type="expression" dxfId="6716" priority="1698">
      <formula>AND(IF($Q19=2,1,0),IF($X19&lt;30,1,0))</formula>
    </cfRule>
    <cfRule type="expression" dxfId="6715" priority="1699">
      <formula>AND(IF($Q19=3,1,0),IF($X19&lt;30,1,0))</formula>
    </cfRule>
    <cfRule type="expression" dxfId="6714" priority="1700">
      <formula>AND(IF($Q19=3,1,IF($Q19=4,1,0)),IF($F19&lt;=85,1,0))</formula>
    </cfRule>
  </conditionalFormatting>
  <conditionalFormatting sqref="AI19">
    <cfRule type="expression" dxfId="6713" priority="1693">
      <formula>AND(IF(OR($Q19=1,$Q19=2),1,0),IF($X19&lt;=20,1,0))</formula>
    </cfRule>
    <cfRule type="expression" dxfId="6712" priority="1694">
      <formula>AND(IF($Q19=2,1,0),IF($X19&lt;30,1,0))</formula>
    </cfRule>
    <cfRule type="expression" dxfId="6711" priority="1695">
      <formula>AND(IF($Q19=3,1,0),IF($X19&lt;30,1,0))</formula>
    </cfRule>
    <cfRule type="expression" dxfId="6710" priority="1696">
      <formula>AND(IF($Q19=3,1,IF($Q19=4,1,0)),IF($F19&lt;=85,1,0))</formula>
    </cfRule>
  </conditionalFormatting>
  <conditionalFormatting sqref="AV20">
    <cfRule type="expression" dxfId="6709" priority="1691">
      <formula>AV20="X"</formula>
    </cfRule>
    <cfRule type="expression" dxfId="6708" priority="1692">
      <formula>AV20="후보"</formula>
    </cfRule>
  </conditionalFormatting>
  <conditionalFormatting sqref="AC20">
    <cfRule type="cellIs" dxfId="6707" priority="1689" operator="greaterThan">
      <formula>0.9</formula>
    </cfRule>
    <cfRule type="cellIs" dxfId="6706" priority="1690" operator="greaterThan">
      <formula>0.85</formula>
    </cfRule>
  </conditionalFormatting>
  <conditionalFormatting sqref="N20">
    <cfRule type="cellIs" dxfId="6705" priority="1687" operator="greaterThan">
      <formula>0.9</formula>
    </cfRule>
    <cfRule type="cellIs" dxfId="6704" priority="1688" operator="greaterThan">
      <formula>0.85</formula>
    </cfRule>
  </conditionalFormatting>
  <conditionalFormatting sqref="E20">
    <cfRule type="expression" dxfId="6703" priority="1683">
      <formula>AND(IF(OR($Q20=1,$Q20=2),1,0),IF($X20&lt;=20,1,0))</formula>
    </cfRule>
    <cfRule type="expression" dxfId="6702" priority="1684">
      <formula>AND(IF($Q20=2,1,0),IF($X20&lt;30,1,0))</formula>
    </cfRule>
    <cfRule type="expression" dxfId="6701" priority="1685">
      <formula>AND(IF($Q20=3,1,0),IF($X20&lt;30,1,0))</formula>
    </cfRule>
    <cfRule type="expression" dxfId="6700" priority="1686">
      <formula>AND(IF($Q20=3,1,IF($Q20=4,1,0)),IF($F20&lt;=85,1,0))</formula>
    </cfRule>
  </conditionalFormatting>
  <conditionalFormatting sqref="X20">
    <cfRule type="expression" dxfId="6699" priority="1679">
      <formula>AND(IF(OR($Q20=1,$Q20=2),1,0),IF($X20&lt;=20,1,0))</formula>
    </cfRule>
    <cfRule type="expression" dxfId="6698" priority="1680">
      <formula>AND(IF($Q20=2,1,0),IF($X20&lt;30,1,0))</formula>
    </cfRule>
    <cfRule type="expression" dxfId="6697" priority="1681">
      <formula>AND(IF($Q20=3,1,0),IF($X20&lt;30,1,0))</formula>
    </cfRule>
    <cfRule type="expression" dxfId="6696" priority="1682">
      <formula>AND(IF($Q20=3,1,IF($Q20=4,1,0)),IF($F20&lt;=85,1,0))</formula>
    </cfRule>
  </conditionalFormatting>
  <conditionalFormatting sqref="AI20">
    <cfRule type="expression" dxfId="6695" priority="1675">
      <formula>AND(IF(OR($Q20=1,$Q20=2),1,0),IF($X20&lt;=20,1,0))</formula>
    </cfRule>
    <cfRule type="expression" dxfId="6694" priority="1676">
      <formula>AND(IF($Q20=2,1,0),IF($X20&lt;30,1,0))</formula>
    </cfRule>
    <cfRule type="expression" dxfId="6693" priority="1677">
      <formula>AND(IF($Q20=3,1,0),IF($X20&lt;30,1,0))</formula>
    </cfRule>
    <cfRule type="expression" dxfId="6692" priority="1678">
      <formula>AND(IF($Q20=3,1,IF($Q20=4,1,0)),IF($F20&lt;=85,1,0))</formula>
    </cfRule>
  </conditionalFormatting>
  <conditionalFormatting sqref="AV21">
    <cfRule type="expression" dxfId="6691" priority="1673">
      <formula>AV21="X"</formula>
    </cfRule>
    <cfRule type="expression" dxfId="6690" priority="1674">
      <formula>AV21="후보"</formula>
    </cfRule>
  </conditionalFormatting>
  <conditionalFormatting sqref="AC21 N21">
    <cfRule type="cellIs" dxfId="6689" priority="1671" operator="greaterThan">
      <formula>0.9</formula>
    </cfRule>
    <cfRule type="cellIs" dxfId="6688" priority="1672" operator="greaterThan">
      <formula>0.85</formula>
    </cfRule>
  </conditionalFormatting>
  <conditionalFormatting sqref="AV22">
    <cfRule type="expression" dxfId="6687" priority="1669">
      <formula>AV22="X"</formula>
    </cfRule>
    <cfRule type="expression" dxfId="6686" priority="1670">
      <formula>AV22="후보"</formula>
    </cfRule>
  </conditionalFormatting>
  <conditionalFormatting sqref="AC22">
    <cfRule type="cellIs" dxfId="6685" priority="1667" operator="greaterThan">
      <formula>0.9</formula>
    </cfRule>
    <cfRule type="cellIs" dxfId="6684" priority="1668" operator="greaterThan">
      <formula>0.85</formula>
    </cfRule>
  </conditionalFormatting>
  <conditionalFormatting sqref="N22">
    <cfRule type="cellIs" dxfId="6683" priority="1665" operator="greaterThan">
      <formula>0.9</formula>
    </cfRule>
    <cfRule type="cellIs" dxfId="6682" priority="1666" operator="greaterThan">
      <formula>0.85</formula>
    </cfRule>
  </conditionalFormatting>
  <conditionalFormatting sqref="E22">
    <cfRule type="expression" dxfId="6681" priority="1661">
      <formula>AND(IF(OR($Q22=1,$Q22=2),1,0),IF($X22&lt;=20,1,0))</formula>
    </cfRule>
    <cfRule type="expression" dxfId="6680" priority="1662">
      <formula>AND(IF($Q22=2,1,0),IF($X22&lt;30,1,0))</formula>
    </cfRule>
    <cfRule type="expression" dxfId="6679" priority="1663">
      <formula>AND(IF($Q22=3,1,0),IF($X22&lt;30,1,0))</formula>
    </cfRule>
    <cfRule type="expression" dxfId="6678" priority="1664">
      <formula>AND(IF($Q22=3,1,IF($Q22=4,1,0)),IF($F22&lt;=85,1,0))</formula>
    </cfRule>
  </conditionalFormatting>
  <conditionalFormatting sqref="X22">
    <cfRule type="expression" dxfId="6677" priority="1657">
      <formula>AND(IF(OR($Q22=1,$Q22=2),1,0),IF($X22&lt;=20,1,0))</formula>
    </cfRule>
    <cfRule type="expression" dxfId="6676" priority="1658">
      <formula>AND(IF($Q22=2,1,0),IF($X22&lt;30,1,0))</formula>
    </cfRule>
    <cfRule type="expression" dxfId="6675" priority="1659">
      <formula>AND(IF($Q22=3,1,0),IF($X22&lt;30,1,0))</formula>
    </cfRule>
    <cfRule type="expression" dxfId="6674" priority="1660">
      <formula>AND(IF($Q22=3,1,IF($Q22=4,1,0)),IF($F22&lt;=85,1,0))</formula>
    </cfRule>
  </conditionalFormatting>
  <conditionalFormatting sqref="AI22">
    <cfRule type="expression" dxfId="6673" priority="1653">
      <formula>AND(IF(OR($Q22=1,$Q22=2),1,0),IF($X22&lt;=20,1,0))</formula>
    </cfRule>
    <cfRule type="expression" dxfId="6672" priority="1654">
      <formula>AND(IF($Q22=2,1,0),IF($X22&lt;30,1,0))</formula>
    </cfRule>
    <cfRule type="expression" dxfId="6671" priority="1655">
      <formula>AND(IF($Q22=3,1,0),IF($X22&lt;30,1,0))</formula>
    </cfRule>
    <cfRule type="expression" dxfId="6670" priority="1656">
      <formula>AND(IF($Q22=3,1,IF($Q22=4,1,0)),IF($F22&lt;=85,1,0))</formula>
    </cfRule>
  </conditionalFormatting>
  <conditionalFormatting sqref="AV23">
    <cfRule type="expression" dxfId="6669" priority="1651">
      <formula>AV23="X"</formula>
    </cfRule>
    <cfRule type="expression" dxfId="6668" priority="1652">
      <formula>AV23="후보"</formula>
    </cfRule>
  </conditionalFormatting>
  <conditionalFormatting sqref="AC23">
    <cfRule type="cellIs" dxfId="6667" priority="1649" operator="greaterThan">
      <formula>0.9</formula>
    </cfRule>
    <cfRule type="cellIs" dxfId="6666" priority="1650" operator="greaterThan">
      <formula>0.85</formula>
    </cfRule>
  </conditionalFormatting>
  <conditionalFormatting sqref="N23">
    <cfRule type="cellIs" dxfId="6665" priority="1647" operator="greaterThan">
      <formula>0.9</formula>
    </cfRule>
    <cfRule type="cellIs" dxfId="6664" priority="1648" operator="greaterThan">
      <formula>0.85</formula>
    </cfRule>
  </conditionalFormatting>
  <conditionalFormatting sqref="E23">
    <cfRule type="expression" dxfId="6663" priority="1643">
      <formula>AND(IF(OR($Q23=1,$Q23=2),1,0),IF($X23&lt;=20,1,0))</formula>
    </cfRule>
    <cfRule type="expression" dxfId="6662" priority="1644">
      <formula>AND(IF($Q23=2,1,0),IF($X23&lt;30,1,0))</formula>
    </cfRule>
    <cfRule type="expression" dxfId="6661" priority="1645">
      <formula>AND(IF($Q23=3,1,0),IF($X23&lt;30,1,0))</formula>
    </cfRule>
    <cfRule type="expression" dxfId="6660" priority="1646">
      <formula>AND(IF($Q23=3,1,IF($Q23=4,1,0)),IF($F23&lt;=85,1,0))</formula>
    </cfRule>
  </conditionalFormatting>
  <conditionalFormatting sqref="X23">
    <cfRule type="expression" dxfId="6659" priority="1639">
      <formula>AND(IF(OR($Q23=1,$Q23=2),1,0),IF($X23&lt;=20,1,0))</formula>
    </cfRule>
    <cfRule type="expression" dxfId="6658" priority="1640">
      <formula>AND(IF($Q23=2,1,0),IF($X23&lt;30,1,0))</formula>
    </cfRule>
    <cfRule type="expression" dxfId="6657" priority="1641">
      <formula>AND(IF($Q23=3,1,0),IF($X23&lt;30,1,0))</formula>
    </cfRule>
    <cfRule type="expression" dxfId="6656" priority="1642">
      <formula>AND(IF($Q23=3,1,IF($Q23=4,1,0)),IF($F23&lt;=85,1,0))</formula>
    </cfRule>
  </conditionalFormatting>
  <conditionalFormatting sqref="AI23">
    <cfRule type="expression" dxfId="6655" priority="1635">
      <formula>AND(IF(OR($Q23=1,$Q23=2),1,0),IF($X23&lt;=20,1,0))</formula>
    </cfRule>
    <cfRule type="expression" dxfId="6654" priority="1636">
      <formula>AND(IF($Q23=2,1,0),IF($X23&lt;30,1,0))</formula>
    </cfRule>
    <cfRule type="expression" dxfId="6653" priority="1637">
      <formula>AND(IF($Q23=3,1,0),IF($X23&lt;30,1,0))</formula>
    </cfRule>
    <cfRule type="expression" dxfId="6652" priority="1638">
      <formula>AND(IF($Q23=3,1,IF($Q23=4,1,0)),IF($F23&lt;=85,1,0))</formula>
    </cfRule>
  </conditionalFormatting>
  <conditionalFormatting sqref="AV24">
    <cfRule type="expression" dxfId="6651" priority="1633">
      <formula>AV24="X"</formula>
    </cfRule>
    <cfRule type="expression" dxfId="6650" priority="1634">
      <formula>AV24="후보"</formula>
    </cfRule>
  </conditionalFormatting>
  <conditionalFormatting sqref="AC24">
    <cfRule type="cellIs" dxfId="6649" priority="1631" operator="greaterThan">
      <formula>0.9</formula>
    </cfRule>
    <cfRule type="cellIs" dxfId="6648" priority="1632" operator="greaterThan">
      <formula>0.85</formula>
    </cfRule>
  </conditionalFormatting>
  <conditionalFormatting sqref="N24">
    <cfRule type="cellIs" dxfId="6647" priority="1629" operator="greaterThan">
      <formula>0.9</formula>
    </cfRule>
    <cfRule type="cellIs" dxfId="6646" priority="1630" operator="greaterThan">
      <formula>0.85</formula>
    </cfRule>
  </conditionalFormatting>
  <conditionalFormatting sqref="E24">
    <cfRule type="expression" dxfId="6645" priority="1625">
      <formula>AND(IF(OR($Q24=1,$Q24=2),1,0),IF($X24&lt;=20,1,0))</formula>
    </cfRule>
    <cfRule type="expression" dxfId="6644" priority="1626">
      <formula>AND(IF($Q24=2,1,0),IF($X24&lt;30,1,0))</formula>
    </cfRule>
    <cfRule type="expression" dxfId="6643" priority="1627">
      <formula>AND(IF($Q24=3,1,0),IF($X24&lt;30,1,0))</formula>
    </cfRule>
    <cfRule type="expression" dxfId="6642" priority="1628">
      <formula>AND(IF($Q24=3,1,IF($Q24=4,1,0)),IF($F24&lt;=85,1,0))</formula>
    </cfRule>
  </conditionalFormatting>
  <conditionalFormatting sqref="X24">
    <cfRule type="expression" dxfId="6641" priority="1621">
      <formula>AND(IF(OR($Q24=1,$Q24=2),1,0),IF($X24&lt;=20,1,0))</formula>
    </cfRule>
    <cfRule type="expression" dxfId="6640" priority="1622">
      <formula>AND(IF($Q24=2,1,0),IF($X24&lt;30,1,0))</formula>
    </cfRule>
    <cfRule type="expression" dxfId="6639" priority="1623">
      <formula>AND(IF($Q24=3,1,0),IF($X24&lt;30,1,0))</formula>
    </cfRule>
    <cfRule type="expression" dxfId="6638" priority="1624">
      <formula>AND(IF($Q24=3,1,IF($Q24=4,1,0)),IF($F24&lt;=85,1,0))</formula>
    </cfRule>
  </conditionalFormatting>
  <conditionalFormatting sqref="AI24">
    <cfRule type="expression" dxfId="6637" priority="1617">
      <formula>AND(IF(OR($Q24=1,$Q24=2),1,0),IF($X24&lt;=20,1,0))</formula>
    </cfRule>
    <cfRule type="expression" dxfId="6636" priority="1618">
      <formula>AND(IF($Q24=2,1,0),IF($X24&lt;30,1,0))</formula>
    </cfRule>
    <cfRule type="expression" dxfId="6635" priority="1619">
      <formula>AND(IF($Q24=3,1,0),IF($X24&lt;30,1,0))</formula>
    </cfRule>
    <cfRule type="expression" dxfId="6634" priority="1620">
      <formula>AND(IF($Q24=3,1,IF($Q24=4,1,0)),IF($F24&lt;=85,1,0))</formula>
    </cfRule>
  </conditionalFormatting>
  <conditionalFormatting sqref="AV25">
    <cfRule type="expression" dxfId="6633" priority="1615">
      <formula>AV25="X"</formula>
    </cfRule>
    <cfRule type="expression" dxfId="6632" priority="1616">
      <formula>AV25="후보"</formula>
    </cfRule>
  </conditionalFormatting>
  <conditionalFormatting sqref="AC25">
    <cfRule type="cellIs" dxfId="6631" priority="1613" operator="greaterThan">
      <formula>0.9</formula>
    </cfRule>
    <cfRule type="cellIs" dxfId="6630" priority="1614" operator="greaterThan">
      <formula>0.85</formula>
    </cfRule>
  </conditionalFormatting>
  <conditionalFormatting sqref="N25">
    <cfRule type="cellIs" dxfId="6629" priority="1611" operator="greaterThan">
      <formula>0.9</formula>
    </cfRule>
    <cfRule type="cellIs" dxfId="6628" priority="1612" operator="greaterThan">
      <formula>0.85</formula>
    </cfRule>
  </conditionalFormatting>
  <conditionalFormatting sqref="E25">
    <cfRule type="expression" dxfId="6627" priority="1607">
      <formula>AND(IF(OR($Q25=1,$Q25=2),1,0),IF($X25&lt;=20,1,0))</formula>
    </cfRule>
    <cfRule type="expression" dxfId="6626" priority="1608">
      <formula>AND(IF($Q25=2,1,0),IF($X25&lt;30,1,0))</formula>
    </cfRule>
    <cfRule type="expression" dxfId="6625" priority="1609">
      <formula>AND(IF($Q25=3,1,0),IF($X25&lt;30,1,0))</formula>
    </cfRule>
    <cfRule type="expression" dxfId="6624" priority="1610">
      <formula>AND(IF($Q25=3,1,IF($Q25=4,1,0)),IF($F25&lt;=85,1,0))</formula>
    </cfRule>
  </conditionalFormatting>
  <conditionalFormatting sqref="X25">
    <cfRule type="expression" dxfId="6623" priority="1603">
      <formula>AND(IF(OR($Q25=1,$Q25=2),1,0),IF($X25&lt;=20,1,0))</formula>
    </cfRule>
    <cfRule type="expression" dxfId="6622" priority="1604">
      <formula>AND(IF($Q25=2,1,0),IF($X25&lt;30,1,0))</formula>
    </cfRule>
    <cfRule type="expression" dxfId="6621" priority="1605">
      <formula>AND(IF($Q25=3,1,0),IF($X25&lt;30,1,0))</formula>
    </cfRule>
    <cfRule type="expression" dxfId="6620" priority="1606">
      <formula>AND(IF($Q25=3,1,IF($Q25=4,1,0)),IF($F25&lt;=85,1,0))</formula>
    </cfRule>
  </conditionalFormatting>
  <conditionalFormatting sqref="AI25">
    <cfRule type="expression" dxfId="6619" priority="1599">
      <formula>AND(IF(OR($Q25=1,$Q25=2),1,0),IF($X25&lt;=20,1,0))</formula>
    </cfRule>
    <cfRule type="expression" dxfId="6618" priority="1600">
      <formula>AND(IF($Q25=2,1,0),IF($X25&lt;30,1,0))</formula>
    </cfRule>
    <cfRule type="expression" dxfId="6617" priority="1601">
      <formula>AND(IF($Q25=3,1,0),IF($X25&lt;30,1,0))</formula>
    </cfRule>
    <cfRule type="expression" dxfId="6616" priority="1602">
      <formula>AND(IF($Q25=3,1,IF($Q25=4,1,0)),IF($F25&lt;=85,1,0))</formula>
    </cfRule>
  </conditionalFormatting>
  <conditionalFormatting sqref="AV26">
    <cfRule type="expression" dxfId="6615" priority="1597">
      <formula>AV26="X"</formula>
    </cfRule>
    <cfRule type="expression" dxfId="6614" priority="1598">
      <formula>AV26="후보"</formula>
    </cfRule>
  </conditionalFormatting>
  <conditionalFormatting sqref="AC26 N26">
    <cfRule type="cellIs" dxfId="6613" priority="1595" operator="greaterThan">
      <formula>0.9</formula>
    </cfRule>
    <cfRule type="cellIs" dxfId="6612" priority="1596" operator="greaterThan">
      <formula>0.85</formula>
    </cfRule>
  </conditionalFormatting>
  <conditionalFormatting sqref="AV27">
    <cfRule type="expression" dxfId="6611" priority="1593">
      <formula>AV27="X"</formula>
    </cfRule>
    <cfRule type="expression" dxfId="6610" priority="1594">
      <formula>AV27="후보"</formula>
    </cfRule>
  </conditionalFormatting>
  <conditionalFormatting sqref="AC27">
    <cfRule type="cellIs" dxfId="6609" priority="1591" operator="greaterThan">
      <formula>0.9</formula>
    </cfRule>
    <cfRule type="cellIs" dxfId="6608" priority="1592" operator="greaterThan">
      <formula>0.85</formula>
    </cfRule>
  </conditionalFormatting>
  <conditionalFormatting sqref="N27">
    <cfRule type="cellIs" dxfId="6607" priority="1589" operator="greaterThan">
      <formula>0.9</formula>
    </cfRule>
    <cfRule type="cellIs" dxfId="6606" priority="1590" operator="greaterThan">
      <formula>0.85</formula>
    </cfRule>
  </conditionalFormatting>
  <conditionalFormatting sqref="E27">
    <cfRule type="expression" dxfId="6605" priority="1585">
      <formula>AND(IF(OR($Q27=1,$Q27=2),1,0),IF($X27&lt;=20,1,0))</formula>
    </cfRule>
    <cfRule type="expression" dxfId="6604" priority="1586">
      <formula>AND(IF($Q27=2,1,0),IF($X27&lt;30,1,0))</formula>
    </cfRule>
    <cfRule type="expression" dxfId="6603" priority="1587">
      <formula>AND(IF($Q27=3,1,0),IF($X27&lt;30,1,0))</formula>
    </cfRule>
    <cfRule type="expression" dxfId="6602" priority="1588">
      <formula>AND(IF($Q27=3,1,IF($Q27=4,1,0)),IF($F27&lt;=85,1,0))</formula>
    </cfRule>
  </conditionalFormatting>
  <conditionalFormatting sqref="X27">
    <cfRule type="expression" dxfId="6601" priority="1581">
      <formula>AND(IF(OR($Q27=1,$Q27=2),1,0),IF($X27&lt;=20,1,0))</formula>
    </cfRule>
    <cfRule type="expression" dxfId="6600" priority="1582">
      <formula>AND(IF($Q27=2,1,0),IF($X27&lt;30,1,0))</formula>
    </cfRule>
    <cfRule type="expression" dxfId="6599" priority="1583">
      <formula>AND(IF($Q27=3,1,0),IF($X27&lt;30,1,0))</formula>
    </cfRule>
    <cfRule type="expression" dxfId="6598" priority="1584">
      <formula>AND(IF($Q27=3,1,IF($Q27=4,1,0)),IF($F27&lt;=85,1,0))</formula>
    </cfRule>
  </conditionalFormatting>
  <conditionalFormatting sqref="AI27">
    <cfRule type="expression" dxfId="6597" priority="1577">
      <formula>AND(IF(OR($Q27=1,$Q27=2),1,0),IF($X27&lt;=20,1,0))</formula>
    </cfRule>
    <cfRule type="expression" dxfId="6596" priority="1578">
      <formula>AND(IF($Q27=2,1,0),IF($X27&lt;30,1,0))</formula>
    </cfRule>
    <cfRule type="expression" dxfId="6595" priority="1579">
      <formula>AND(IF($Q27=3,1,0),IF($X27&lt;30,1,0))</formula>
    </cfRule>
    <cfRule type="expression" dxfId="6594" priority="1580">
      <formula>AND(IF($Q27=3,1,IF($Q27=4,1,0)),IF($F27&lt;=85,1,0))</formula>
    </cfRule>
  </conditionalFormatting>
  <conditionalFormatting sqref="AV28">
    <cfRule type="expression" dxfId="6593" priority="1575">
      <formula>AV28="X"</formula>
    </cfRule>
    <cfRule type="expression" dxfId="6592" priority="1576">
      <formula>AV28="후보"</formula>
    </cfRule>
  </conditionalFormatting>
  <conditionalFormatting sqref="AC28">
    <cfRule type="cellIs" dxfId="6591" priority="1573" operator="greaterThan">
      <formula>0.9</formula>
    </cfRule>
    <cfRule type="cellIs" dxfId="6590" priority="1574" operator="greaterThan">
      <formula>0.85</formula>
    </cfRule>
  </conditionalFormatting>
  <conditionalFormatting sqref="N28">
    <cfRule type="cellIs" dxfId="6589" priority="1571" operator="greaterThan">
      <formula>0.9</formula>
    </cfRule>
    <cfRule type="cellIs" dxfId="6588" priority="1572" operator="greaterThan">
      <formula>0.85</formula>
    </cfRule>
  </conditionalFormatting>
  <conditionalFormatting sqref="E28">
    <cfRule type="expression" dxfId="6587" priority="1567">
      <formula>AND(IF(OR($Q28=1,$Q28=2),1,0),IF($X28&lt;=20,1,0))</formula>
    </cfRule>
    <cfRule type="expression" dxfId="6586" priority="1568">
      <formula>AND(IF($Q28=2,1,0),IF($X28&lt;30,1,0))</formula>
    </cfRule>
    <cfRule type="expression" dxfId="6585" priority="1569">
      <formula>AND(IF($Q28=3,1,0),IF($X28&lt;30,1,0))</formula>
    </cfRule>
    <cfRule type="expression" dxfId="6584" priority="1570">
      <formula>AND(IF($Q28=3,1,IF($Q28=4,1,0)),IF($F28&lt;=85,1,0))</formula>
    </cfRule>
  </conditionalFormatting>
  <conditionalFormatting sqref="X28">
    <cfRule type="expression" dxfId="6583" priority="1563">
      <formula>AND(IF(OR($Q28=1,$Q28=2),1,0),IF($X28&lt;=20,1,0))</formula>
    </cfRule>
    <cfRule type="expression" dxfId="6582" priority="1564">
      <formula>AND(IF($Q28=2,1,0),IF($X28&lt;30,1,0))</formula>
    </cfRule>
    <cfRule type="expression" dxfId="6581" priority="1565">
      <formula>AND(IF($Q28=3,1,0),IF($X28&lt;30,1,0))</formula>
    </cfRule>
    <cfRule type="expression" dxfId="6580" priority="1566">
      <formula>AND(IF($Q28=3,1,IF($Q28=4,1,0)),IF($F28&lt;=85,1,0))</formula>
    </cfRule>
  </conditionalFormatting>
  <conditionalFormatting sqref="AI28">
    <cfRule type="expression" dxfId="6579" priority="1559">
      <formula>AND(IF(OR($Q28=1,$Q28=2),1,0),IF($X28&lt;=20,1,0))</formula>
    </cfRule>
    <cfRule type="expression" dxfId="6578" priority="1560">
      <formula>AND(IF($Q28=2,1,0),IF($X28&lt;30,1,0))</formula>
    </cfRule>
    <cfRule type="expression" dxfId="6577" priority="1561">
      <formula>AND(IF($Q28=3,1,0),IF($X28&lt;30,1,0))</formula>
    </cfRule>
    <cfRule type="expression" dxfId="6576" priority="1562">
      <formula>AND(IF($Q28=3,1,IF($Q28=4,1,0)),IF($F28&lt;=85,1,0))</formula>
    </cfRule>
  </conditionalFormatting>
  <conditionalFormatting sqref="AV29">
    <cfRule type="expression" dxfId="6575" priority="1557">
      <formula>AV29="X"</formula>
    </cfRule>
    <cfRule type="expression" dxfId="6574" priority="1558">
      <formula>AV29="후보"</formula>
    </cfRule>
  </conditionalFormatting>
  <conditionalFormatting sqref="AC29">
    <cfRule type="cellIs" dxfId="6573" priority="1555" operator="greaterThan">
      <formula>0.9</formula>
    </cfRule>
    <cfRule type="cellIs" dxfId="6572" priority="1556" operator="greaterThan">
      <formula>0.85</formula>
    </cfRule>
  </conditionalFormatting>
  <conditionalFormatting sqref="N29">
    <cfRule type="cellIs" dxfId="6571" priority="1553" operator="greaterThan">
      <formula>0.9</formula>
    </cfRule>
    <cfRule type="cellIs" dxfId="6570" priority="1554" operator="greaterThan">
      <formula>0.85</formula>
    </cfRule>
  </conditionalFormatting>
  <conditionalFormatting sqref="E29">
    <cfRule type="expression" dxfId="6569" priority="1549">
      <formula>AND(IF(OR($Q29=1,$Q29=2),1,0),IF($X29&lt;=20,1,0))</formula>
    </cfRule>
    <cfRule type="expression" dxfId="6568" priority="1550">
      <formula>AND(IF($Q29=2,1,0),IF($X29&lt;30,1,0))</formula>
    </cfRule>
    <cfRule type="expression" dxfId="6567" priority="1551">
      <formula>AND(IF($Q29=3,1,0),IF($X29&lt;30,1,0))</formula>
    </cfRule>
    <cfRule type="expression" dxfId="6566" priority="1552">
      <formula>AND(IF($Q29=3,1,IF($Q29=4,1,0)),IF($F29&lt;=85,1,0))</formula>
    </cfRule>
  </conditionalFormatting>
  <conditionalFormatting sqref="X29">
    <cfRule type="expression" dxfId="6565" priority="1545">
      <formula>AND(IF(OR($Q29=1,$Q29=2),1,0),IF($X29&lt;=20,1,0))</formula>
    </cfRule>
    <cfRule type="expression" dxfId="6564" priority="1546">
      <formula>AND(IF($Q29=2,1,0),IF($X29&lt;30,1,0))</formula>
    </cfRule>
    <cfRule type="expression" dxfId="6563" priority="1547">
      <formula>AND(IF($Q29=3,1,0),IF($X29&lt;30,1,0))</formula>
    </cfRule>
    <cfRule type="expression" dxfId="6562" priority="1548">
      <formula>AND(IF($Q29=3,1,IF($Q29=4,1,0)),IF($F29&lt;=85,1,0))</formula>
    </cfRule>
  </conditionalFormatting>
  <conditionalFormatting sqref="AI29">
    <cfRule type="expression" dxfId="6561" priority="1541">
      <formula>AND(IF(OR($Q29=1,$Q29=2),1,0),IF($X29&lt;=20,1,0))</formula>
    </cfRule>
    <cfRule type="expression" dxfId="6560" priority="1542">
      <formula>AND(IF($Q29=2,1,0),IF($X29&lt;30,1,0))</formula>
    </cfRule>
    <cfRule type="expression" dxfId="6559" priority="1543">
      <formula>AND(IF($Q29=3,1,0),IF($X29&lt;30,1,0))</formula>
    </cfRule>
    <cfRule type="expression" dxfId="6558" priority="1544">
      <formula>AND(IF($Q29=3,1,IF($Q29=4,1,0)),IF($F29&lt;=85,1,0))</formula>
    </cfRule>
  </conditionalFormatting>
  <conditionalFormatting sqref="AV30">
    <cfRule type="expression" dxfId="6557" priority="1539">
      <formula>AV30="X"</formula>
    </cfRule>
    <cfRule type="expression" dxfId="6556" priority="1540">
      <formula>AV30="후보"</formula>
    </cfRule>
  </conditionalFormatting>
  <conditionalFormatting sqref="AC30 N30">
    <cfRule type="cellIs" dxfId="6555" priority="1537" operator="greaterThan">
      <formula>0.9</formula>
    </cfRule>
    <cfRule type="cellIs" dxfId="6554" priority="1538" operator="greaterThan">
      <formula>0.85</formula>
    </cfRule>
  </conditionalFormatting>
  <conditionalFormatting sqref="AV31">
    <cfRule type="expression" dxfId="6553" priority="1535">
      <formula>AV31="X"</formula>
    </cfRule>
    <cfRule type="expression" dxfId="6552" priority="1536">
      <formula>AV31="후보"</formula>
    </cfRule>
  </conditionalFormatting>
  <conditionalFormatting sqref="AC31">
    <cfRule type="cellIs" dxfId="6551" priority="1533" operator="greaterThan">
      <formula>0.9</formula>
    </cfRule>
    <cfRule type="cellIs" dxfId="6550" priority="1534" operator="greaterThan">
      <formula>0.85</formula>
    </cfRule>
  </conditionalFormatting>
  <conditionalFormatting sqref="N31">
    <cfRule type="cellIs" dxfId="6549" priority="1531" operator="greaterThan">
      <formula>0.9</formula>
    </cfRule>
    <cfRule type="cellIs" dxfId="6548" priority="1532" operator="greaterThan">
      <formula>0.85</formula>
    </cfRule>
  </conditionalFormatting>
  <conditionalFormatting sqref="E31">
    <cfRule type="expression" dxfId="6547" priority="1527">
      <formula>AND(IF(OR($Q31=1,$Q31=2),1,0),IF($X31&lt;=20,1,0))</formula>
    </cfRule>
    <cfRule type="expression" dxfId="6546" priority="1528">
      <formula>AND(IF($Q31=2,1,0),IF($X31&lt;30,1,0))</formula>
    </cfRule>
    <cfRule type="expression" dxfId="6545" priority="1529">
      <formula>AND(IF($Q31=3,1,0),IF($X31&lt;30,1,0))</formula>
    </cfRule>
    <cfRule type="expression" dxfId="6544" priority="1530">
      <formula>AND(IF($Q31=3,1,IF($Q31=4,1,0)),IF($F31&lt;=85,1,0))</formula>
    </cfRule>
  </conditionalFormatting>
  <conditionalFormatting sqref="X31">
    <cfRule type="expression" dxfId="6543" priority="1523">
      <formula>AND(IF(OR($Q31=1,$Q31=2),1,0),IF($X31&lt;=20,1,0))</formula>
    </cfRule>
    <cfRule type="expression" dxfId="6542" priority="1524">
      <formula>AND(IF($Q31=2,1,0),IF($X31&lt;30,1,0))</formula>
    </cfRule>
    <cfRule type="expression" dxfId="6541" priority="1525">
      <formula>AND(IF($Q31=3,1,0),IF($X31&lt;30,1,0))</formula>
    </cfRule>
    <cfRule type="expression" dxfId="6540" priority="1526">
      <formula>AND(IF($Q31=3,1,IF($Q31=4,1,0)),IF($F31&lt;=85,1,0))</formula>
    </cfRule>
  </conditionalFormatting>
  <conditionalFormatting sqref="AI31">
    <cfRule type="expression" dxfId="6539" priority="1519">
      <formula>AND(IF(OR($Q31=1,$Q31=2),1,0),IF($X31&lt;=20,1,0))</formula>
    </cfRule>
    <cfRule type="expression" dxfId="6538" priority="1520">
      <formula>AND(IF($Q31=2,1,0),IF($X31&lt;30,1,0))</formula>
    </cfRule>
    <cfRule type="expression" dxfId="6537" priority="1521">
      <formula>AND(IF($Q31=3,1,0),IF($X31&lt;30,1,0))</formula>
    </cfRule>
    <cfRule type="expression" dxfId="6536" priority="1522">
      <formula>AND(IF($Q31=3,1,IF($Q31=4,1,0)),IF($F31&lt;=85,1,0))</formula>
    </cfRule>
  </conditionalFormatting>
  <conditionalFormatting sqref="AV32">
    <cfRule type="expression" dxfId="6535" priority="1517">
      <formula>AV32="X"</formula>
    </cfRule>
    <cfRule type="expression" dxfId="6534" priority="1518">
      <formula>AV32="후보"</formula>
    </cfRule>
  </conditionalFormatting>
  <conditionalFormatting sqref="AC32 N32">
    <cfRule type="cellIs" dxfId="6533" priority="1515" operator="greaterThan">
      <formula>0.9</formula>
    </cfRule>
    <cfRule type="cellIs" dxfId="6532" priority="1516" operator="greaterThan">
      <formula>0.85</formula>
    </cfRule>
  </conditionalFormatting>
  <conditionalFormatting sqref="AV33">
    <cfRule type="expression" dxfId="6531" priority="1513">
      <formula>AV33="X"</formula>
    </cfRule>
    <cfRule type="expression" dxfId="6530" priority="1514">
      <formula>AV33="후보"</formula>
    </cfRule>
  </conditionalFormatting>
  <conditionalFormatting sqref="AC33">
    <cfRule type="cellIs" dxfId="6529" priority="1511" operator="greaterThan">
      <formula>0.9</formula>
    </cfRule>
    <cfRule type="cellIs" dxfId="6528" priority="1512" operator="greaterThan">
      <formula>0.85</formula>
    </cfRule>
  </conditionalFormatting>
  <conditionalFormatting sqref="N33">
    <cfRule type="cellIs" dxfId="6527" priority="1509" operator="greaterThan">
      <formula>0.9</formula>
    </cfRule>
    <cfRule type="cellIs" dxfId="6526" priority="1510" operator="greaterThan">
      <formula>0.85</formula>
    </cfRule>
  </conditionalFormatting>
  <conditionalFormatting sqref="E33">
    <cfRule type="expression" dxfId="6525" priority="1505">
      <formula>AND(IF(OR($Q33=1,$Q33=2),1,0),IF($X33&lt;=20,1,0))</formula>
    </cfRule>
    <cfRule type="expression" dxfId="6524" priority="1506">
      <formula>AND(IF($Q33=2,1,0),IF($X33&lt;30,1,0))</formula>
    </cfRule>
    <cfRule type="expression" dxfId="6523" priority="1507">
      <formula>AND(IF($Q33=3,1,0),IF($X33&lt;30,1,0))</formula>
    </cfRule>
    <cfRule type="expression" dxfId="6522" priority="1508">
      <formula>AND(IF($Q33=3,1,IF($Q33=4,1,0)),IF($F33&lt;=85,1,0))</formula>
    </cfRule>
  </conditionalFormatting>
  <conditionalFormatting sqref="X33">
    <cfRule type="expression" dxfId="6521" priority="1501">
      <formula>AND(IF(OR($Q33=1,$Q33=2),1,0),IF($X33&lt;=20,1,0))</formula>
    </cfRule>
    <cfRule type="expression" dxfId="6520" priority="1502">
      <formula>AND(IF($Q33=2,1,0),IF($X33&lt;30,1,0))</formula>
    </cfRule>
    <cfRule type="expression" dxfId="6519" priority="1503">
      <formula>AND(IF($Q33=3,1,0),IF($X33&lt;30,1,0))</formula>
    </cfRule>
    <cfRule type="expression" dxfId="6518" priority="1504">
      <formula>AND(IF($Q33=3,1,IF($Q33=4,1,0)),IF($F33&lt;=85,1,0))</formula>
    </cfRule>
  </conditionalFormatting>
  <conditionalFormatting sqref="AI33">
    <cfRule type="expression" dxfId="6517" priority="1497">
      <formula>AND(IF(OR($Q33=1,$Q33=2),1,0),IF($X33&lt;=20,1,0))</formula>
    </cfRule>
    <cfRule type="expression" dxfId="6516" priority="1498">
      <formula>AND(IF($Q33=2,1,0),IF($X33&lt;30,1,0))</formula>
    </cfRule>
    <cfRule type="expression" dxfId="6515" priority="1499">
      <formula>AND(IF($Q33=3,1,0),IF($X33&lt;30,1,0))</formula>
    </cfRule>
    <cfRule type="expression" dxfId="6514" priority="1500">
      <formula>AND(IF($Q33=3,1,IF($Q33=4,1,0)),IF($F33&lt;=85,1,0))</formula>
    </cfRule>
  </conditionalFormatting>
  <conditionalFormatting sqref="AV34">
    <cfRule type="expression" dxfId="6513" priority="1495">
      <formula>AV34="X"</formula>
    </cfRule>
    <cfRule type="expression" dxfId="6512" priority="1496">
      <formula>AV34="후보"</formula>
    </cfRule>
  </conditionalFormatting>
  <conditionalFormatting sqref="AC34 N34">
    <cfRule type="cellIs" dxfId="6511" priority="1493" operator="greaterThan">
      <formula>0.9</formula>
    </cfRule>
    <cfRule type="cellIs" dxfId="6510" priority="1494" operator="greaterThan">
      <formula>0.85</formula>
    </cfRule>
  </conditionalFormatting>
  <conditionalFormatting sqref="AV35">
    <cfRule type="expression" dxfId="6509" priority="1491">
      <formula>AV35="X"</formula>
    </cfRule>
    <cfRule type="expression" dxfId="6508" priority="1492">
      <formula>AV35="후보"</formula>
    </cfRule>
  </conditionalFormatting>
  <conditionalFormatting sqref="AC35">
    <cfRule type="cellIs" dxfId="6507" priority="1489" operator="greaterThan">
      <formula>0.9</formula>
    </cfRule>
    <cfRule type="cellIs" dxfId="6506" priority="1490" operator="greaterThan">
      <formula>0.85</formula>
    </cfRule>
  </conditionalFormatting>
  <conditionalFormatting sqref="N35">
    <cfRule type="cellIs" dxfId="6505" priority="1487" operator="greaterThan">
      <formula>0.9</formula>
    </cfRule>
    <cfRule type="cellIs" dxfId="6504" priority="1488" operator="greaterThan">
      <formula>0.85</formula>
    </cfRule>
  </conditionalFormatting>
  <conditionalFormatting sqref="E35">
    <cfRule type="expression" dxfId="6503" priority="1483">
      <formula>AND(IF(OR($Q35=1,$Q35=2),1,0),IF($X35&lt;=20,1,0))</formula>
    </cfRule>
    <cfRule type="expression" dxfId="6502" priority="1484">
      <formula>AND(IF($Q35=2,1,0),IF($X35&lt;30,1,0))</formula>
    </cfRule>
    <cfRule type="expression" dxfId="6501" priority="1485">
      <formula>AND(IF($Q35=3,1,0),IF($X35&lt;30,1,0))</formula>
    </cfRule>
    <cfRule type="expression" dxfId="6500" priority="1486">
      <formula>AND(IF($Q35=3,1,IF($Q35=4,1,0)),IF($F35&lt;=85,1,0))</formula>
    </cfRule>
  </conditionalFormatting>
  <conditionalFormatting sqref="X35">
    <cfRule type="expression" dxfId="6499" priority="1479">
      <formula>AND(IF(OR($Q35=1,$Q35=2),1,0),IF($X35&lt;=20,1,0))</formula>
    </cfRule>
    <cfRule type="expression" dxfId="6498" priority="1480">
      <formula>AND(IF($Q35=2,1,0),IF($X35&lt;30,1,0))</formula>
    </cfRule>
    <cfRule type="expression" dxfId="6497" priority="1481">
      <formula>AND(IF($Q35=3,1,0),IF($X35&lt;30,1,0))</formula>
    </cfRule>
    <cfRule type="expression" dxfId="6496" priority="1482">
      <formula>AND(IF($Q35=3,1,IF($Q35=4,1,0)),IF($F35&lt;=85,1,0))</formula>
    </cfRule>
  </conditionalFormatting>
  <conditionalFormatting sqref="AI35">
    <cfRule type="expression" dxfId="6495" priority="1475">
      <formula>AND(IF(OR($Q35=1,$Q35=2),1,0),IF($X35&lt;=20,1,0))</formula>
    </cfRule>
    <cfRule type="expression" dxfId="6494" priority="1476">
      <formula>AND(IF($Q35=2,1,0),IF($X35&lt;30,1,0))</formula>
    </cfRule>
    <cfRule type="expression" dxfId="6493" priority="1477">
      <formula>AND(IF($Q35=3,1,0),IF($X35&lt;30,1,0))</formula>
    </cfRule>
    <cfRule type="expression" dxfId="6492" priority="1478">
      <formula>AND(IF($Q35=3,1,IF($Q35=4,1,0)),IF($F35&lt;=85,1,0))</formula>
    </cfRule>
  </conditionalFormatting>
  <conditionalFormatting sqref="AV36">
    <cfRule type="expression" dxfId="6491" priority="1473">
      <formula>AV36="X"</formula>
    </cfRule>
    <cfRule type="expression" dxfId="6490" priority="1474">
      <formula>AV36="후보"</formula>
    </cfRule>
  </conditionalFormatting>
  <conditionalFormatting sqref="AC36">
    <cfRule type="cellIs" dxfId="6489" priority="1471" operator="greaterThan">
      <formula>0.9</formula>
    </cfRule>
    <cfRule type="cellIs" dxfId="6488" priority="1472" operator="greaterThan">
      <formula>0.85</formula>
    </cfRule>
  </conditionalFormatting>
  <conditionalFormatting sqref="N36">
    <cfRule type="cellIs" dxfId="6487" priority="1469" operator="greaterThan">
      <formula>0.9</formula>
    </cfRule>
    <cfRule type="cellIs" dxfId="6486" priority="1470" operator="greaterThan">
      <formula>0.85</formula>
    </cfRule>
  </conditionalFormatting>
  <conditionalFormatting sqref="E36">
    <cfRule type="expression" dxfId="6485" priority="1465">
      <formula>AND(IF(OR($Q36=1,$Q36=2),1,0),IF($X36&lt;=20,1,0))</formula>
    </cfRule>
    <cfRule type="expression" dxfId="6484" priority="1466">
      <formula>AND(IF($Q36=2,1,0),IF($X36&lt;30,1,0))</formula>
    </cfRule>
    <cfRule type="expression" dxfId="6483" priority="1467">
      <formula>AND(IF($Q36=3,1,0),IF($X36&lt;30,1,0))</formula>
    </cfRule>
    <cfRule type="expression" dxfId="6482" priority="1468">
      <formula>AND(IF($Q36=3,1,IF($Q36=4,1,0)),IF($F36&lt;=85,1,0))</formula>
    </cfRule>
  </conditionalFormatting>
  <conditionalFormatting sqref="X36">
    <cfRule type="expression" dxfId="6481" priority="1461">
      <formula>AND(IF(OR($Q36=1,$Q36=2),1,0),IF($X36&lt;=20,1,0))</formula>
    </cfRule>
    <cfRule type="expression" dxfId="6480" priority="1462">
      <formula>AND(IF($Q36=2,1,0),IF($X36&lt;30,1,0))</formula>
    </cfRule>
    <cfRule type="expression" dxfId="6479" priority="1463">
      <formula>AND(IF($Q36=3,1,0),IF($X36&lt;30,1,0))</formula>
    </cfRule>
    <cfRule type="expression" dxfId="6478" priority="1464">
      <formula>AND(IF($Q36=3,1,IF($Q36=4,1,0)),IF($F36&lt;=85,1,0))</formula>
    </cfRule>
  </conditionalFormatting>
  <conditionalFormatting sqref="AI36">
    <cfRule type="expression" dxfId="6477" priority="1457">
      <formula>AND(IF(OR($Q36=1,$Q36=2),1,0),IF($X36&lt;=20,1,0))</formula>
    </cfRule>
    <cfRule type="expression" dxfId="6476" priority="1458">
      <formula>AND(IF($Q36=2,1,0),IF($X36&lt;30,1,0))</formula>
    </cfRule>
    <cfRule type="expression" dxfId="6475" priority="1459">
      <formula>AND(IF($Q36=3,1,0),IF($X36&lt;30,1,0))</formula>
    </cfRule>
    <cfRule type="expression" dxfId="6474" priority="1460">
      <formula>AND(IF($Q36=3,1,IF($Q36=4,1,0)),IF($F36&lt;=85,1,0))</formula>
    </cfRule>
  </conditionalFormatting>
  <conditionalFormatting sqref="AV37">
    <cfRule type="expression" dxfId="6473" priority="1455">
      <formula>AV37="X"</formula>
    </cfRule>
    <cfRule type="expression" dxfId="6472" priority="1456">
      <formula>AV37="후보"</formula>
    </cfRule>
  </conditionalFormatting>
  <conditionalFormatting sqref="AC37">
    <cfRule type="cellIs" dxfId="6471" priority="1453" operator="greaterThan">
      <formula>0.9</formula>
    </cfRule>
    <cfRule type="cellIs" dxfId="6470" priority="1454" operator="greaterThan">
      <formula>0.85</formula>
    </cfRule>
  </conditionalFormatting>
  <conditionalFormatting sqref="N37">
    <cfRule type="cellIs" dxfId="6469" priority="1451" operator="greaterThan">
      <formula>0.9</formula>
    </cfRule>
    <cfRule type="cellIs" dxfId="6468" priority="1452" operator="greaterThan">
      <formula>0.85</formula>
    </cfRule>
  </conditionalFormatting>
  <conditionalFormatting sqref="E37">
    <cfRule type="expression" dxfId="6467" priority="1447">
      <formula>AND(IF(OR($Q37=1,$Q37=2),1,0),IF($X37&lt;=20,1,0))</formula>
    </cfRule>
    <cfRule type="expression" dxfId="6466" priority="1448">
      <formula>AND(IF($Q37=2,1,0),IF($X37&lt;30,1,0))</formula>
    </cfRule>
    <cfRule type="expression" dxfId="6465" priority="1449">
      <formula>AND(IF($Q37=3,1,0),IF($X37&lt;30,1,0))</formula>
    </cfRule>
    <cfRule type="expression" dxfId="6464" priority="1450">
      <formula>AND(IF($Q37=3,1,IF($Q37=4,1,0)),IF($F37&lt;=85,1,0))</formula>
    </cfRule>
  </conditionalFormatting>
  <conditionalFormatting sqref="X37">
    <cfRule type="expression" dxfId="6463" priority="1443">
      <formula>AND(IF(OR($Q37=1,$Q37=2),1,0),IF($X37&lt;=20,1,0))</formula>
    </cfRule>
    <cfRule type="expression" dxfId="6462" priority="1444">
      <formula>AND(IF($Q37=2,1,0),IF($X37&lt;30,1,0))</formula>
    </cfRule>
    <cfRule type="expression" dxfId="6461" priority="1445">
      <formula>AND(IF($Q37=3,1,0),IF($X37&lt;30,1,0))</formula>
    </cfRule>
    <cfRule type="expression" dxfId="6460" priority="1446">
      <formula>AND(IF($Q37=3,1,IF($Q37=4,1,0)),IF($F37&lt;=85,1,0))</formula>
    </cfRule>
  </conditionalFormatting>
  <conditionalFormatting sqref="AI37">
    <cfRule type="expression" dxfId="6459" priority="1439">
      <formula>AND(IF(OR($Q37=1,$Q37=2),1,0),IF($X37&lt;=20,1,0))</formula>
    </cfRule>
    <cfRule type="expression" dxfId="6458" priority="1440">
      <formula>AND(IF($Q37=2,1,0),IF($X37&lt;30,1,0))</formula>
    </cfRule>
    <cfRule type="expression" dxfId="6457" priority="1441">
      <formula>AND(IF($Q37=3,1,0),IF($X37&lt;30,1,0))</formula>
    </cfRule>
    <cfRule type="expression" dxfId="6456" priority="1442">
      <formula>AND(IF($Q37=3,1,IF($Q37=4,1,0)),IF($F37&lt;=85,1,0))</formula>
    </cfRule>
  </conditionalFormatting>
  <conditionalFormatting sqref="AV38">
    <cfRule type="expression" dxfId="6455" priority="1437">
      <formula>AV38="X"</formula>
    </cfRule>
    <cfRule type="expression" dxfId="6454" priority="1438">
      <formula>AV38="후보"</formula>
    </cfRule>
  </conditionalFormatting>
  <conditionalFormatting sqref="AC38 N38">
    <cfRule type="cellIs" dxfId="6453" priority="1435" operator="greaterThan">
      <formula>0.9</formula>
    </cfRule>
    <cfRule type="cellIs" dxfId="6452" priority="1436" operator="greaterThan">
      <formula>0.85</formula>
    </cfRule>
  </conditionalFormatting>
  <conditionalFormatting sqref="AV39">
    <cfRule type="expression" dxfId="6451" priority="1433">
      <formula>AV39="X"</formula>
    </cfRule>
    <cfRule type="expression" dxfId="6450" priority="1434">
      <formula>AV39="후보"</formula>
    </cfRule>
  </conditionalFormatting>
  <conditionalFormatting sqref="AC39">
    <cfRule type="cellIs" dxfId="6449" priority="1431" operator="greaterThan">
      <formula>0.9</formula>
    </cfRule>
    <cfRule type="cellIs" dxfId="6448" priority="1432" operator="greaterThan">
      <formula>0.85</formula>
    </cfRule>
  </conditionalFormatting>
  <conditionalFormatting sqref="N39">
    <cfRule type="cellIs" dxfId="6447" priority="1429" operator="greaterThan">
      <formula>0.9</formula>
    </cfRule>
    <cfRule type="cellIs" dxfId="6446" priority="1430" operator="greaterThan">
      <formula>0.85</formula>
    </cfRule>
  </conditionalFormatting>
  <conditionalFormatting sqref="E39">
    <cfRule type="expression" dxfId="6445" priority="1425">
      <formula>AND(IF(OR($Q39=1,$Q39=2),1,0),IF($X39&lt;=20,1,0))</formula>
    </cfRule>
    <cfRule type="expression" dxfId="6444" priority="1426">
      <formula>AND(IF($Q39=2,1,0),IF($X39&lt;30,1,0))</formula>
    </cfRule>
    <cfRule type="expression" dxfId="6443" priority="1427">
      <formula>AND(IF($Q39=3,1,0),IF($X39&lt;30,1,0))</formula>
    </cfRule>
    <cfRule type="expression" dxfId="6442" priority="1428">
      <formula>AND(IF($Q39=3,1,IF($Q39=4,1,0)),IF($F39&lt;=85,1,0))</formula>
    </cfRule>
  </conditionalFormatting>
  <conditionalFormatting sqref="X39">
    <cfRule type="expression" dxfId="6441" priority="1421">
      <formula>AND(IF(OR($Q39=1,$Q39=2),1,0),IF($X39&lt;=20,1,0))</formula>
    </cfRule>
    <cfRule type="expression" dxfId="6440" priority="1422">
      <formula>AND(IF($Q39=2,1,0),IF($X39&lt;30,1,0))</formula>
    </cfRule>
    <cfRule type="expression" dxfId="6439" priority="1423">
      <formula>AND(IF($Q39=3,1,0),IF($X39&lt;30,1,0))</formula>
    </cfRule>
    <cfRule type="expression" dxfId="6438" priority="1424">
      <formula>AND(IF($Q39=3,1,IF($Q39=4,1,0)),IF($F39&lt;=85,1,0))</formula>
    </cfRule>
  </conditionalFormatting>
  <conditionalFormatting sqref="AI39">
    <cfRule type="expression" dxfId="6437" priority="1417">
      <formula>AND(IF(OR($Q39=1,$Q39=2),1,0),IF($X39&lt;=20,1,0))</formula>
    </cfRule>
    <cfRule type="expression" dxfId="6436" priority="1418">
      <formula>AND(IF($Q39=2,1,0),IF($X39&lt;30,1,0))</formula>
    </cfRule>
    <cfRule type="expression" dxfId="6435" priority="1419">
      <formula>AND(IF($Q39=3,1,0),IF($X39&lt;30,1,0))</formula>
    </cfRule>
    <cfRule type="expression" dxfId="6434" priority="1420">
      <formula>AND(IF($Q39=3,1,IF($Q39=4,1,0)),IF($F39&lt;=85,1,0))</formula>
    </cfRule>
  </conditionalFormatting>
  <conditionalFormatting sqref="AV40">
    <cfRule type="expression" dxfId="6433" priority="1415">
      <formula>AV40="X"</formula>
    </cfRule>
    <cfRule type="expression" dxfId="6432" priority="1416">
      <formula>AV40="후보"</formula>
    </cfRule>
  </conditionalFormatting>
  <conditionalFormatting sqref="AC40">
    <cfRule type="cellIs" dxfId="6431" priority="1413" operator="greaterThan">
      <formula>0.9</formula>
    </cfRule>
    <cfRule type="cellIs" dxfId="6430" priority="1414" operator="greaterThan">
      <formula>0.85</formula>
    </cfRule>
  </conditionalFormatting>
  <conditionalFormatting sqref="N40">
    <cfRule type="cellIs" dxfId="6429" priority="1411" operator="greaterThan">
      <formula>0.9</formula>
    </cfRule>
    <cfRule type="cellIs" dxfId="6428" priority="1412" operator="greaterThan">
      <formula>0.85</formula>
    </cfRule>
  </conditionalFormatting>
  <conditionalFormatting sqref="E40">
    <cfRule type="expression" dxfId="6427" priority="1407">
      <formula>AND(IF(OR($Q40=1,$Q40=2),1,0),IF($X40&lt;=20,1,0))</formula>
    </cfRule>
    <cfRule type="expression" dxfId="6426" priority="1408">
      <formula>AND(IF($Q40=2,1,0),IF($X40&lt;30,1,0))</formula>
    </cfRule>
    <cfRule type="expression" dxfId="6425" priority="1409">
      <formula>AND(IF($Q40=3,1,0),IF($X40&lt;30,1,0))</formula>
    </cfRule>
    <cfRule type="expression" dxfId="6424" priority="1410">
      <formula>AND(IF($Q40=3,1,IF($Q40=4,1,0)),IF($F40&lt;=85,1,0))</formula>
    </cfRule>
  </conditionalFormatting>
  <conditionalFormatting sqref="X40">
    <cfRule type="expression" dxfId="6423" priority="1403">
      <formula>AND(IF(OR($Q40=1,$Q40=2),1,0),IF($X40&lt;=20,1,0))</formula>
    </cfRule>
    <cfRule type="expression" dxfId="6422" priority="1404">
      <formula>AND(IF($Q40=2,1,0),IF($X40&lt;30,1,0))</formula>
    </cfRule>
    <cfRule type="expression" dxfId="6421" priority="1405">
      <formula>AND(IF($Q40=3,1,0),IF($X40&lt;30,1,0))</formula>
    </cfRule>
    <cfRule type="expression" dxfId="6420" priority="1406">
      <formula>AND(IF($Q40=3,1,IF($Q40=4,1,0)),IF($F40&lt;=85,1,0))</formula>
    </cfRule>
  </conditionalFormatting>
  <conditionalFormatting sqref="AI40">
    <cfRule type="expression" dxfId="6419" priority="1399">
      <formula>AND(IF(OR($Q40=1,$Q40=2),1,0),IF($X40&lt;=20,1,0))</formula>
    </cfRule>
    <cfRule type="expression" dxfId="6418" priority="1400">
      <formula>AND(IF($Q40=2,1,0),IF($X40&lt;30,1,0))</formula>
    </cfRule>
    <cfRule type="expression" dxfId="6417" priority="1401">
      <formula>AND(IF($Q40=3,1,0),IF($X40&lt;30,1,0))</formula>
    </cfRule>
    <cfRule type="expression" dxfId="6416" priority="1402">
      <formula>AND(IF($Q40=3,1,IF($Q40=4,1,0)),IF($F40&lt;=85,1,0))</formula>
    </cfRule>
  </conditionalFormatting>
  <conditionalFormatting sqref="AV41">
    <cfRule type="expression" dxfId="6415" priority="1397">
      <formula>AV41="X"</formula>
    </cfRule>
    <cfRule type="expression" dxfId="6414" priority="1398">
      <formula>AV41="후보"</formula>
    </cfRule>
  </conditionalFormatting>
  <conditionalFormatting sqref="AC41">
    <cfRule type="cellIs" dxfId="6413" priority="1395" operator="greaterThan">
      <formula>0.9</formula>
    </cfRule>
    <cfRule type="cellIs" dxfId="6412" priority="1396" operator="greaterThan">
      <formula>0.85</formula>
    </cfRule>
  </conditionalFormatting>
  <conditionalFormatting sqref="N41">
    <cfRule type="cellIs" dxfId="6411" priority="1393" operator="greaterThan">
      <formula>0.9</formula>
    </cfRule>
    <cfRule type="cellIs" dxfId="6410" priority="1394" operator="greaterThan">
      <formula>0.85</formula>
    </cfRule>
  </conditionalFormatting>
  <conditionalFormatting sqref="E41">
    <cfRule type="expression" dxfId="6409" priority="1389">
      <formula>AND(IF(OR($Q41=1,$Q41=2),1,0),IF($X41&lt;=20,1,0))</formula>
    </cfRule>
    <cfRule type="expression" dxfId="6408" priority="1390">
      <formula>AND(IF($Q41=2,1,0),IF($X41&lt;30,1,0))</formula>
    </cfRule>
    <cfRule type="expression" dxfId="6407" priority="1391">
      <formula>AND(IF($Q41=3,1,0),IF($X41&lt;30,1,0))</formula>
    </cfRule>
    <cfRule type="expression" dxfId="6406" priority="1392">
      <formula>AND(IF($Q41=3,1,IF($Q41=4,1,0)),IF($F41&lt;=85,1,0))</formula>
    </cfRule>
  </conditionalFormatting>
  <conditionalFormatting sqref="X41">
    <cfRule type="expression" dxfId="6405" priority="1385">
      <formula>AND(IF(OR($Q41=1,$Q41=2),1,0),IF($X41&lt;=20,1,0))</formula>
    </cfRule>
    <cfRule type="expression" dxfId="6404" priority="1386">
      <formula>AND(IF($Q41=2,1,0),IF($X41&lt;30,1,0))</formula>
    </cfRule>
    <cfRule type="expression" dxfId="6403" priority="1387">
      <formula>AND(IF($Q41=3,1,0),IF($X41&lt;30,1,0))</formula>
    </cfRule>
    <cfRule type="expression" dxfId="6402" priority="1388">
      <formula>AND(IF($Q41=3,1,IF($Q41=4,1,0)),IF($F41&lt;=85,1,0))</formula>
    </cfRule>
  </conditionalFormatting>
  <conditionalFormatting sqref="AI41">
    <cfRule type="expression" dxfId="6401" priority="1381">
      <formula>AND(IF(OR($Q41=1,$Q41=2),1,0),IF($X41&lt;=20,1,0))</formula>
    </cfRule>
    <cfRule type="expression" dxfId="6400" priority="1382">
      <formula>AND(IF($Q41=2,1,0),IF($X41&lt;30,1,0))</formula>
    </cfRule>
    <cfRule type="expression" dxfId="6399" priority="1383">
      <formula>AND(IF($Q41=3,1,0),IF($X41&lt;30,1,0))</formula>
    </cfRule>
    <cfRule type="expression" dxfId="6398" priority="1384">
      <formula>AND(IF($Q41=3,1,IF($Q41=4,1,0)),IF($F41&lt;=85,1,0))</formula>
    </cfRule>
  </conditionalFormatting>
  <conditionalFormatting sqref="AV42">
    <cfRule type="expression" dxfId="6397" priority="1379">
      <formula>AV42="X"</formula>
    </cfRule>
    <cfRule type="expression" dxfId="6396" priority="1380">
      <formula>AV42="후보"</formula>
    </cfRule>
  </conditionalFormatting>
  <conditionalFormatting sqref="AC42 N42">
    <cfRule type="cellIs" dxfId="6395" priority="1377" operator="greaterThan">
      <formula>0.9</formula>
    </cfRule>
    <cfRule type="cellIs" dxfId="6394" priority="1378" operator="greaterThan">
      <formula>0.85</formula>
    </cfRule>
  </conditionalFormatting>
  <conditionalFormatting sqref="AV43">
    <cfRule type="expression" dxfId="6393" priority="1375">
      <formula>AV43="X"</formula>
    </cfRule>
    <cfRule type="expression" dxfId="6392" priority="1376">
      <formula>AV43="후보"</formula>
    </cfRule>
  </conditionalFormatting>
  <conditionalFormatting sqref="AC43">
    <cfRule type="cellIs" dxfId="6391" priority="1373" operator="greaterThan">
      <formula>0.9</formula>
    </cfRule>
    <cfRule type="cellIs" dxfId="6390" priority="1374" operator="greaterThan">
      <formula>0.85</formula>
    </cfRule>
  </conditionalFormatting>
  <conditionalFormatting sqref="N43">
    <cfRule type="cellIs" dxfId="6389" priority="1371" operator="greaterThan">
      <formula>0.9</formula>
    </cfRule>
    <cfRule type="cellIs" dxfId="6388" priority="1372" operator="greaterThan">
      <formula>0.85</formula>
    </cfRule>
  </conditionalFormatting>
  <conditionalFormatting sqref="E43">
    <cfRule type="expression" dxfId="6387" priority="1367">
      <formula>AND(IF(OR($Q43=1,$Q43=2),1,0),IF($X43&lt;=20,1,0))</formula>
    </cfRule>
    <cfRule type="expression" dxfId="6386" priority="1368">
      <formula>AND(IF($Q43=2,1,0),IF($X43&lt;30,1,0))</formula>
    </cfRule>
    <cfRule type="expression" dxfId="6385" priority="1369">
      <formula>AND(IF($Q43=3,1,0),IF($X43&lt;30,1,0))</formula>
    </cfRule>
    <cfRule type="expression" dxfId="6384" priority="1370">
      <formula>AND(IF($Q43=3,1,IF($Q43=4,1,0)),IF($F43&lt;=85,1,0))</formula>
    </cfRule>
  </conditionalFormatting>
  <conditionalFormatting sqref="X43">
    <cfRule type="expression" dxfId="6383" priority="1363">
      <formula>AND(IF(OR($Q43=1,$Q43=2),1,0),IF($X43&lt;=20,1,0))</formula>
    </cfRule>
    <cfRule type="expression" dxfId="6382" priority="1364">
      <formula>AND(IF($Q43=2,1,0),IF($X43&lt;30,1,0))</formula>
    </cfRule>
    <cfRule type="expression" dxfId="6381" priority="1365">
      <formula>AND(IF($Q43=3,1,0),IF($X43&lt;30,1,0))</formula>
    </cfRule>
    <cfRule type="expression" dxfId="6380" priority="1366">
      <formula>AND(IF($Q43=3,1,IF($Q43=4,1,0)),IF($F43&lt;=85,1,0))</formula>
    </cfRule>
  </conditionalFormatting>
  <conditionalFormatting sqref="AI43">
    <cfRule type="expression" dxfId="6379" priority="1359">
      <formula>AND(IF(OR($Q43=1,$Q43=2),1,0),IF($X43&lt;=20,1,0))</formula>
    </cfRule>
    <cfRule type="expression" dxfId="6378" priority="1360">
      <formula>AND(IF($Q43=2,1,0),IF($X43&lt;30,1,0))</formula>
    </cfRule>
    <cfRule type="expression" dxfId="6377" priority="1361">
      <formula>AND(IF($Q43=3,1,0),IF($X43&lt;30,1,0))</formula>
    </cfRule>
    <cfRule type="expression" dxfId="6376" priority="1362">
      <formula>AND(IF($Q43=3,1,IF($Q43=4,1,0)),IF($F43&lt;=85,1,0))</formula>
    </cfRule>
  </conditionalFormatting>
  <conditionalFormatting sqref="AV44">
    <cfRule type="expression" dxfId="6375" priority="1357">
      <formula>AV44="X"</formula>
    </cfRule>
    <cfRule type="expression" dxfId="6374" priority="1358">
      <formula>AV44="후보"</formula>
    </cfRule>
  </conditionalFormatting>
  <conditionalFormatting sqref="AC44">
    <cfRule type="cellIs" dxfId="6373" priority="1355" operator="greaterThan">
      <formula>0.9</formula>
    </cfRule>
    <cfRule type="cellIs" dxfId="6372" priority="1356" operator="greaterThan">
      <formula>0.85</formula>
    </cfRule>
  </conditionalFormatting>
  <conditionalFormatting sqref="N44">
    <cfRule type="cellIs" dxfId="6371" priority="1353" operator="greaterThan">
      <formula>0.9</formula>
    </cfRule>
    <cfRule type="cellIs" dxfId="6370" priority="1354" operator="greaterThan">
      <formula>0.85</formula>
    </cfRule>
  </conditionalFormatting>
  <conditionalFormatting sqref="E44">
    <cfRule type="expression" dxfId="6369" priority="1349">
      <formula>AND(IF(OR($Q44=1,$Q44=2),1,0),IF($X44&lt;=20,1,0))</formula>
    </cfRule>
    <cfRule type="expression" dxfId="6368" priority="1350">
      <formula>AND(IF($Q44=2,1,0),IF($X44&lt;30,1,0))</formula>
    </cfRule>
    <cfRule type="expression" dxfId="6367" priority="1351">
      <formula>AND(IF($Q44=3,1,0),IF($X44&lt;30,1,0))</formula>
    </cfRule>
    <cfRule type="expression" dxfId="6366" priority="1352">
      <formula>AND(IF($Q44=3,1,IF($Q44=4,1,0)),IF($F44&lt;=85,1,0))</formula>
    </cfRule>
  </conditionalFormatting>
  <conditionalFormatting sqref="X44">
    <cfRule type="expression" dxfId="6365" priority="1345">
      <formula>AND(IF(OR($Q44=1,$Q44=2),1,0),IF($X44&lt;=20,1,0))</formula>
    </cfRule>
    <cfRule type="expression" dxfId="6364" priority="1346">
      <formula>AND(IF($Q44=2,1,0),IF($X44&lt;30,1,0))</formula>
    </cfRule>
    <cfRule type="expression" dxfId="6363" priority="1347">
      <formula>AND(IF($Q44=3,1,0),IF($X44&lt;30,1,0))</formula>
    </cfRule>
    <cfRule type="expression" dxfId="6362" priority="1348">
      <formula>AND(IF($Q44=3,1,IF($Q44=4,1,0)),IF($F44&lt;=85,1,0))</formula>
    </cfRule>
  </conditionalFormatting>
  <conditionalFormatting sqref="AI44">
    <cfRule type="expression" dxfId="6361" priority="1341">
      <formula>AND(IF(OR($Q44=1,$Q44=2),1,0),IF($X44&lt;=20,1,0))</formula>
    </cfRule>
    <cfRule type="expression" dxfId="6360" priority="1342">
      <formula>AND(IF($Q44=2,1,0),IF($X44&lt;30,1,0))</formula>
    </cfRule>
    <cfRule type="expression" dxfId="6359" priority="1343">
      <formula>AND(IF($Q44=3,1,0),IF($X44&lt;30,1,0))</formula>
    </cfRule>
    <cfRule type="expression" dxfId="6358" priority="1344">
      <formula>AND(IF($Q44=3,1,IF($Q44=4,1,0)),IF($F44&lt;=85,1,0))</formula>
    </cfRule>
  </conditionalFormatting>
  <conditionalFormatting sqref="AV45">
    <cfRule type="expression" dxfId="6357" priority="1339">
      <formula>AV45="X"</formula>
    </cfRule>
    <cfRule type="expression" dxfId="6356" priority="1340">
      <formula>AV45="후보"</formula>
    </cfRule>
  </conditionalFormatting>
  <conditionalFormatting sqref="AC45 N45">
    <cfRule type="cellIs" dxfId="6355" priority="1337" operator="greaterThan">
      <formula>0.9</formula>
    </cfRule>
    <cfRule type="cellIs" dxfId="6354" priority="1338" operator="greaterThan">
      <formula>0.85</formula>
    </cfRule>
  </conditionalFormatting>
  <conditionalFormatting sqref="AV46">
    <cfRule type="expression" dxfId="6353" priority="1335">
      <formula>AV46="X"</formula>
    </cfRule>
    <cfRule type="expression" dxfId="6352" priority="1336">
      <formula>AV46="후보"</formula>
    </cfRule>
  </conditionalFormatting>
  <conditionalFormatting sqref="AC46">
    <cfRule type="cellIs" dxfId="6351" priority="1333" operator="greaterThan">
      <formula>0.9</formula>
    </cfRule>
    <cfRule type="cellIs" dxfId="6350" priority="1334" operator="greaterThan">
      <formula>0.85</formula>
    </cfRule>
  </conditionalFormatting>
  <conditionalFormatting sqref="N46">
    <cfRule type="cellIs" dxfId="6349" priority="1331" operator="greaterThan">
      <formula>0.9</formula>
    </cfRule>
    <cfRule type="cellIs" dxfId="6348" priority="1332" operator="greaterThan">
      <formula>0.85</formula>
    </cfRule>
  </conditionalFormatting>
  <conditionalFormatting sqref="E46">
    <cfRule type="expression" dxfId="6347" priority="1327">
      <formula>AND(IF(OR($Q46=1,$Q46=2),1,0),IF($X46&lt;=20,1,0))</formula>
    </cfRule>
    <cfRule type="expression" dxfId="6346" priority="1328">
      <formula>AND(IF($Q46=2,1,0),IF($X46&lt;30,1,0))</formula>
    </cfRule>
    <cfRule type="expression" dxfId="6345" priority="1329">
      <formula>AND(IF($Q46=3,1,0),IF($X46&lt;30,1,0))</formula>
    </cfRule>
    <cfRule type="expression" dxfId="6344" priority="1330">
      <formula>AND(IF($Q46=3,1,IF($Q46=4,1,0)),IF($F46&lt;=85,1,0))</formula>
    </cfRule>
  </conditionalFormatting>
  <conditionalFormatting sqref="X46">
    <cfRule type="expression" dxfId="6343" priority="1323">
      <formula>AND(IF(OR($Q46=1,$Q46=2),1,0),IF($X46&lt;=20,1,0))</formula>
    </cfRule>
    <cfRule type="expression" dxfId="6342" priority="1324">
      <formula>AND(IF($Q46=2,1,0),IF($X46&lt;30,1,0))</formula>
    </cfRule>
    <cfRule type="expression" dxfId="6341" priority="1325">
      <formula>AND(IF($Q46=3,1,0),IF($X46&lt;30,1,0))</formula>
    </cfRule>
    <cfRule type="expression" dxfId="6340" priority="1326">
      <formula>AND(IF($Q46=3,1,IF($Q46=4,1,0)),IF($F46&lt;=85,1,0))</formula>
    </cfRule>
  </conditionalFormatting>
  <conditionalFormatting sqref="AI46">
    <cfRule type="expression" dxfId="6339" priority="1319">
      <formula>AND(IF(OR($Q46=1,$Q46=2),1,0),IF($X46&lt;=20,1,0))</formula>
    </cfRule>
    <cfRule type="expression" dxfId="6338" priority="1320">
      <formula>AND(IF($Q46=2,1,0),IF($X46&lt;30,1,0))</formula>
    </cfRule>
    <cfRule type="expression" dxfId="6337" priority="1321">
      <formula>AND(IF($Q46=3,1,0),IF($X46&lt;30,1,0))</formula>
    </cfRule>
    <cfRule type="expression" dxfId="6336" priority="1322">
      <formula>AND(IF($Q46=3,1,IF($Q46=4,1,0)),IF($F46&lt;=85,1,0))</formula>
    </cfRule>
  </conditionalFormatting>
  <conditionalFormatting sqref="AV47">
    <cfRule type="expression" dxfId="6335" priority="1317">
      <formula>AV47="X"</formula>
    </cfRule>
    <cfRule type="expression" dxfId="6334" priority="1318">
      <formula>AV47="후보"</formula>
    </cfRule>
  </conditionalFormatting>
  <conditionalFormatting sqref="AC47">
    <cfRule type="cellIs" dxfId="6333" priority="1315" operator="greaterThan">
      <formula>0.9</formula>
    </cfRule>
    <cfRule type="cellIs" dxfId="6332" priority="1316" operator="greaterThan">
      <formula>0.85</formula>
    </cfRule>
  </conditionalFormatting>
  <conditionalFormatting sqref="N47">
    <cfRule type="cellIs" dxfId="6331" priority="1313" operator="greaterThan">
      <formula>0.9</formula>
    </cfRule>
    <cfRule type="cellIs" dxfId="6330" priority="1314" operator="greaterThan">
      <formula>0.85</formula>
    </cfRule>
  </conditionalFormatting>
  <conditionalFormatting sqref="E47">
    <cfRule type="expression" dxfId="6329" priority="1309">
      <formula>AND(IF(OR($Q47=1,$Q47=2),1,0),IF($X47&lt;=20,1,0))</formula>
    </cfRule>
    <cfRule type="expression" dxfId="6328" priority="1310">
      <formula>AND(IF($Q47=2,1,0),IF($X47&lt;30,1,0))</formula>
    </cfRule>
    <cfRule type="expression" dxfId="6327" priority="1311">
      <formula>AND(IF($Q47=3,1,0),IF($X47&lt;30,1,0))</formula>
    </cfRule>
    <cfRule type="expression" dxfId="6326" priority="1312">
      <formula>AND(IF($Q47=3,1,IF($Q47=4,1,0)),IF($F47&lt;=85,1,0))</formula>
    </cfRule>
  </conditionalFormatting>
  <conditionalFormatting sqref="X47">
    <cfRule type="expression" dxfId="6325" priority="1305">
      <formula>AND(IF(OR($Q47=1,$Q47=2),1,0),IF($X47&lt;=20,1,0))</formula>
    </cfRule>
    <cfRule type="expression" dxfId="6324" priority="1306">
      <formula>AND(IF($Q47=2,1,0),IF($X47&lt;30,1,0))</formula>
    </cfRule>
    <cfRule type="expression" dxfId="6323" priority="1307">
      <formula>AND(IF($Q47=3,1,0),IF($X47&lt;30,1,0))</formula>
    </cfRule>
    <cfRule type="expression" dxfId="6322" priority="1308">
      <formula>AND(IF($Q47=3,1,IF($Q47=4,1,0)),IF($F47&lt;=85,1,0))</formula>
    </cfRule>
  </conditionalFormatting>
  <conditionalFormatting sqref="AI47">
    <cfRule type="expression" dxfId="6321" priority="1301">
      <formula>AND(IF(OR($Q47=1,$Q47=2),1,0),IF($X47&lt;=20,1,0))</formula>
    </cfRule>
    <cfRule type="expression" dxfId="6320" priority="1302">
      <formula>AND(IF($Q47=2,1,0),IF($X47&lt;30,1,0))</formula>
    </cfRule>
    <cfRule type="expression" dxfId="6319" priority="1303">
      <formula>AND(IF($Q47=3,1,0),IF($X47&lt;30,1,0))</formula>
    </cfRule>
    <cfRule type="expression" dxfId="6318" priority="1304">
      <formula>AND(IF($Q47=3,1,IF($Q47=4,1,0)),IF($F47&lt;=85,1,0))</formula>
    </cfRule>
  </conditionalFormatting>
  <conditionalFormatting sqref="AV48">
    <cfRule type="expression" dxfId="6317" priority="1299">
      <formula>AV48="X"</formula>
    </cfRule>
    <cfRule type="expression" dxfId="6316" priority="1300">
      <formula>AV48="후보"</formula>
    </cfRule>
  </conditionalFormatting>
  <conditionalFormatting sqref="AC48 N48">
    <cfRule type="cellIs" dxfId="6315" priority="1297" operator="greaterThan">
      <formula>0.9</formula>
    </cfRule>
    <cfRule type="cellIs" dxfId="6314" priority="1298" operator="greaterThan">
      <formula>0.85</formula>
    </cfRule>
  </conditionalFormatting>
  <conditionalFormatting sqref="AV49">
    <cfRule type="expression" dxfId="6313" priority="1295">
      <formula>AV49="X"</formula>
    </cfRule>
    <cfRule type="expression" dxfId="6312" priority="1296">
      <formula>AV49="후보"</formula>
    </cfRule>
  </conditionalFormatting>
  <conditionalFormatting sqref="AC49">
    <cfRule type="cellIs" dxfId="6311" priority="1293" operator="greaterThan">
      <formula>0.9</formula>
    </cfRule>
    <cfRule type="cellIs" dxfId="6310" priority="1294" operator="greaterThan">
      <formula>0.85</formula>
    </cfRule>
  </conditionalFormatting>
  <conditionalFormatting sqref="N49">
    <cfRule type="cellIs" dxfId="6309" priority="1291" operator="greaterThan">
      <formula>0.9</formula>
    </cfRule>
    <cfRule type="cellIs" dxfId="6308" priority="1292" operator="greaterThan">
      <formula>0.85</formula>
    </cfRule>
  </conditionalFormatting>
  <conditionalFormatting sqref="E49">
    <cfRule type="expression" dxfId="6307" priority="1287">
      <formula>AND(IF(OR($Q49=1,$Q49=2),1,0),IF($X49&lt;=20,1,0))</formula>
    </cfRule>
    <cfRule type="expression" dxfId="6306" priority="1288">
      <formula>AND(IF($Q49=2,1,0),IF($X49&lt;30,1,0))</formula>
    </cfRule>
    <cfRule type="expression" dxfId="6305" priority="1289">
      <formula>AND(IF($Q49=3,1,0),IF($X49&lt;30,1,0))</formula>
    </cfRule>
    <cfRule type="expression" dxfId="6304" priority="1290">
      <formula>AND(IF($Q49=3,1,IF($Q49=4,1,0)),IF($F49&lt;=85,1,0))</formula>
    </cfRule>
  </conditionalFormatting>
  <conditionalFormatting sqref="X49">
    <cfRule type="expression" dxfId="6303" priority="1283">
      <formula>AND(IF(OR($Q49=1,$Q49=2),1,0),IF($X49&lt;=20,1,0))</formula>
    </cfRule>
    <cfRule type="expression" dxfId="6302" priority="1284">
      <formula>AND(IF($Q49=2,1,0),IF($X49&lt;30,1,0))</formula>
    </cfRule>
    <cfRule type="expression" dxfId="6301" priority="1285">
      <formula>AND(IF($Q49=3,1,0),IF($X49&lt;30,1,0))</formula>
    </cfRule>
    <cfRule type="expression" dxfId="6300" priority="1286">
      <formula>AND(IF($Q49=3,1,IF($Q49=4,1,0)),IF($F49&lt;=85,1,0))</formula>
    </cfRule>
  </conditionalFormatting>
  <conditionalFormatting sqref="AI49">
    <cfRule type="expression" dxfId="6299" priority="1279">
      <formula>AND(IF(OR($Q49=1,$Q49=2),1,0),IF($X49&lt;=20,1,0))</formula>
    </cfRule>
    <cfRule type="expression" dxfId="6298" priority="1280">
      <formula>AND(IF($Q49=2,1,0),IF($X49&lt;30,1,0))</formula>
    </cfRule>
    <cfRule type="expression" dxfId="6297" priority="1281">
      <formula>AND(IF($Q49=3,1,0),IF($X49&lt;30,1,0))</formula>
    </cfRule>
    <cfRule type="expression" dxfId="6296" priority="1282">
      <formula>AND(IF($Q49=3,1,IF($Q49=4,1,0)),IF($F49&lt;=85,1,0))</formula>
    </cfRule>
  </conditionalFormatting>
  <conditionalFormatting sqref="AV50">
    <cfRule type="expression" dxfId="6295" priority="1277">
      <formula>AV50="X"</formula>
    </cfRule>
    <cfRule type="expression" dxfId="6294" priority="1278">
      <formula>AV50="후보"</formula>
    </cfRule>
  </conditionalFormatting>
  <conditionalFormatting sqref="AC50">
    <cfRule type="cellIs" dxfId="6293" priority="1275" operator="greaterThan">
      <formula>0.9</formula>
    </cfRule>
    <cfRule type="cellIs" dxfId="6292" priority="1276" operator="greaterThan">
      <formula>0.85</formula>
    </cfRule>
  </conditionalFormatting>
  <conditionalFormatting sqref="N50">
    <cfRule type="cellIs" dxfId="6291" priority="1273" operator="greaterThan">
      <formula>0.9</formula>
    </cfRule>
    <cfRule type="cellIs" dxfId="6290" priority="1274" operator="greaterThan">
      <formula>0.85</formula>
    </cfRule>
  </conditionalFormatting>
  <conditionalFormatting sqref="E50">
    <cfRule type="expression" dxfId="6289" priority="1269">
      <formula>AND(IF(OR($Q50=1,$Q50=2),1,0),IF($X50&lt;=20,1,0))</formula>
    </cfRule>
    <cfRule type="expression" dxfId="6288" priority="1270">
      <formula>AND(IF($Q50=2,1,0),IF($X50&lt;30,1,0))</formula>
    </cfRule>
    <cfRule type="expression" dxfId="6287" priority="1271">
      <formula>AND(IF($Q50=3,1,0),IF($X50&lt;30,1,0))</formula>
    </cfRule>
    <cfRule type="expression" dxfId="6286" priority="1272">
      <formula>AND(IF($Q50=3,1,IF($Q50=4,1,0)),IF($F50&lt;=85,1,0))</formula>
    </cfRule>
  </conditionalFormatting>
  <conditionalFormatting sqref="X50">
    <cfRule type="expression" dxfId="6285" priority="1265">
      <formula>AND(IF(OR($Q50=1,$Q50=2),1,0),IF($X50&lt;=20,1,0))</formula>
    </cfRule>
    <cfRule type="expression" dxfId="6284" priority="1266">
      <formula>AND(IF($Q50=2,1,0),IF($X50&lt;30,1,0))</formula>
    </cfRule>
    <cfRule type="expression" dxfId="6283" priority="1267">
      <formula>AND(IF($Q50=3,1,0),IF($X50&lt;30,1,0))</formula>
    </cfRule>
    <cfRule type="expression" dxfId="6282" priority="1268">
      <formula>AND(IF($Q50=3,1,IF($Q50=4,1,0)),IF($F50&lt;=85,1,0))</formula>
    </cfRule>
  </conditionalFormatting>
  <conditionalFormatting sqref="AI50">
    <cfRule type="expression" dxfId="6281" priority="1261">
      <formula>AND(IF(OR($Q50=1,$Q50=2),1,0),IF($X50&lt;=20,1,0))</formula>
    </cfRule>
    <cfRule type="expression" dxfId="6280" priority="1262">
      <formula>AND(IF($Q50=2,1,0),IF($X50&lt;30,1,0))</formula>
    </cfRule>
    <cfRule type="expression" dxfId="6279" priority="1263">
      <formula>AND(IF($Q50=3,1,0),IF($X50&lt;30,1,0))</formula>
    </cfRule>
    <cfRule type="expression" dxfId="6278" priority="1264">
      <formula>AND(IF($Q50=3,1,IF($Q50=4,1,0)),IF($F50&lt;=85,1,0))</formula>
    </cfRule>
  </conditionalFormatting>
  <conditionalFormatting sqref="AV51">
    <cfRule type="expression" dxfId="6277" priority="1259">
      <formula>AV51="X"</formula>
    </cfRule>
    <cfRule type="expression" dxfId="6276" priority="1260">
      <formula>AV51="후보"</formula>
    </cfRule>
  </conditionalFormatting>
  <conditionalFormatting sqref="AC51 N51">
    <cfRule type="cellIs" dxfId="6275" priority="1257" operator="greaterThan">
      <formula>0.9</formula>
    </cfRule>
    <cfRule type="cellIs" dxfId="6274" priority="1258" operator="greaterThan">
      <formula>0.85</formula>
    </cfRule>
  </conditionalFormatting>
  <conditionalFormatting sqref="AV52">
    <cfRule type="expression" dxfId="6273" priority="1255">
      <formula>AV52="X"</formula>
    </cfRule>
    <cfRule type="expression" dxfId="6272" priority="1256">
      <formula>AV52="후보"</formula>
    </cfRule>
  </conditionalFormatting>
  <conditionalFormatting sqref="AC52">
    <cfRule type="cellIs" dxfId="6271" priority="1253" operator="greaterThan">
      <formula>0.9</formula>
    </cfRule>
    <cfRule type="cellIs" dxfId="6270" priority="1254" operator="greaterThan">
      <formula>0.85</formula>
    </cfRule>
  </conditionalFormatting>
  <conditionalFormatting sqref="N52">
    <cfRule type="cellIs" dxfId="6269" priority="1251" operator="greaterThan">
      <formula>0.9</formula>
    </cfRule>
    <cfRule type="cellIs" dxfId="6268" priority="1252" operator="greaterThan">
      <formula>0.85</formula>
    </cfRule>
  </conditionalFormatting>
  <conditionalFormatting sqref="E52">
    <cfRule type="expression" dxfId="6267" priority="1247">
      <formula>AND(IF(OR($Q52=1,$Q52=2),1,0),IF($X52&lt;=20,1,0))</formula>
    </cfRule>
    <cfRule type="expression" dxfId="6266" priority="1248">
      <formula>AND(IF($Q52=2,1,0),IF($X52&lt;30,1,0))</formula>
    </cfRule>
    <cfRule type="expression" dxfId="6265" priority="1249">
      <formula>AND(IF($Q52=3,1,0),IF($X52&lt;30,1,0))</formula>
    </cfRule>
    <cfRule type="expression" dxfId="6264" priority="1250">
      <formula>AND(IF($Q52=3,1,IF($Q52=4,1,0)),IF($F52&lt;=85,1,0))</formula>
    </cfRule>
  </conditionalFormatting>
  <conditionalFormatting sqref="X52">
    <cfRule type="expression" dxfId="6263" priority="1243">
      <formula>AND(IF(OR($Q52=1,$Q52=2),1,0),IF($X52&lt;=20,1,0))</formula>
    </cfRule>
    <cfRule type="expression" dxfId="6262" priority="1244">
      <formula>AND(IF($Q52=2,1,0),IF($X52&lt;30,1,0))</formula>
    </cfRule>
    <cfRule type="expression" dxfId="6261" priority="1245">
      <formula>AND(IF($Q52=3,1,0),IF($X52&lt;30,1,0))</formula>
    </cfRule>
    <cfRule type="expression" dxfId="6260" priority="1246">
      <formula>AND(IF($Q52=3,1,IF($Q52=4,1,0)),IF($F52&lt;=85,1,0))</formula>
    </cfRule>
  </conditionalFormatting>
  <conditionalFormatting sqref="AI52">
    <cfRule type="expression" dxfId="6259" priority="1239">
      <formula>AND(IF(OR($Q52=1,$Q52=2),1,0),IF($X52&lt;=20,1,0))</formula>
    </cfRule>
    <cfRule type="expression" dxfId="6258" priority="1240">
      <formula>AND(IF($Q52=2,1,0),IF($X52&lt;30,1,0))</formula>
    </cfRule>
    <cfRule type="expression" dxfId="6257" priority="1241">
      <formula>AND(IF($Q52=3,1,0),IF($X52&lt;30,1,0))</formula>
    </cfRule>
    <cfRule type="expression" dxfId="6256" priority="1242">
      <formula>AND(IF($Q52=3,1,IF($Q52=4,1,0)),IF($F52&lt;=85,1,0))</formula>
    </cfRule>
  </conditionalFormatting>
  <conditionalFormatting sqref="AV53">
    <cfRule type="expression" dxfId="6255" priority="1237">
      <formula>AV53="X"</formula>
    </cfRule>
    <cfRule type="expression" dxfId="6254" priority="1238">
      <formula>AV53="후보"</formula>
    </cfRule>
  </conditionalFormatting>
  <conditionalFormatting sqref="AC53">
    <cfRule type="cellIs" dxfId="6253" priority="1235" operator="greaterThan">
      <formula>0.9</formula>
    </cfRule>
    <cfRule type="cellIs" dxfId="6252" priority="1236" operator="greaterThan">
      <formula>0.85</formula>
    </cfRule>
  </conditionalFormatting>
  <conditionalFormatting sqref="N53">
    <cfRule type="cellIs" dxfId="6251" priority="1233" operator="greaterThan">
      <formula>0.9</formula>
    </cfRule>
    <cfRule type="cellIs" dxfId="6250" priority="1234" operator="greaterThan">
      <formula>0.85</formula>
    </cfRule>
  </conditionalFormatting>
  <conditionalFormatting sqref="E53">
    <cfRule type="expression" dxfId="6249" priority="1229">
      <formula>AND(IF(OR($Q53=1,$Q53=2),1,0),IF($X53&lt;=20,1,0))</formula>
    </cfRule>
    <cfRule type="expression" dxfId="6248" priority="1230">
      <formula>AND(IF($Q53=2,1,0),IF($X53&lt;30,1,0))</formula>
    </cfRule>
    <cfRule type="expression" dxfId="6247" priority="1231">
      <formula>AND(IF($Q53=3,1,0),IF($X53&lt;30,1,0))</formula>
    </cfRule>
    <cfRule type="expression" dxfId="6246" priority="1232">
      <formula>AND(IF($Q53=3,1,IF($Q53=4,1,0)),IF($F53&lt;=85,1,0))</formula>
    </cfRule>
  </conditionalFormatting>
  <conditionalFormatting sqref="X53">
    <cfRule type="expression" dxfId="6245" priority="1225">
      <formula>AND(IF(OR($Q53=1,$Q53=2),1,0),IF($X53&lt;=20,1,0))</formula>
    </cfRule>
    <cfRule type="expression" dxfId="6244" priority="1226">
      <formula>AND(IF($Q53=2,1,0),IF($X53&lt;30,1,0))</formula>
    </cfRule>
    <cfRule type="expression" dxfId="6243" priority="1227">
      <formula>AND(IF($Q53=3,1,0),IF($X53&lt;30,1,0))</formula>
    </cfRule>
    <cfRule type="expression" dxfId="6242" priority="1228">
      <formula>AND(IF($Q53=3,1,IF($Q53=4,1,0)),IF($F53&lt;=85,1,0))</formula>
    </cfRule>
  </conditionalFormatting>
  <conditionalFormatting sqref="AI53">
    <cfRule type="expression" dxfId="6241" priority="1221">
      <formula>AND(IF(OR($Q53=1,$Q53=2),1,0),IF($X53&lt;=20,1,0))</formula>
    </cfRule>
    <cfRule type="expression" dxfId="6240" priority="1222">
      <formula>AND(IF($Q53=2,1,0),IF($X53&lt;30,1,0))</formula>
    </cfRule>
    <cfRule type="expression" dxfId="6239" priority="1223">
      <formula>AND(IF($Q53=3,1,0),IF($X53&lt;30,1,0))</formula>
    </cfRule>
    <cfRule type="expression" dxfId="6238" priority="1224">
      <formula>AND(IF($Q53=3,1,IF($Q53=4,1,0)),IF($F53&lt;=85,1,0))</formula>
    </cfRule>
  </conditionalFormatting>
  <conditionalFormatting sqref="AV54">
    <cfRule type="expression" dxfId="6237" priority="1219">
      <formula>AV54="X"</formula>
    </cfRule>
    <cfRule type="expression" dxfId="6236" priority="1220">
      <formula>AV54="후보"</formula>
    </cfRule>
  </conditionalFormatting>
  <conditionalFormatting sqref="AC54">
    <cfRule type="cellIs" dxfId="6235" priority="1217" operator="greaterThan">
      <formula>0.9</formula>
    </cfRule>
    <cfRule type="cellIs" dxfId="6234" priority="1218" operator="greaterThan">
      <formula>0.85</formula>
    </cfRule>
  </conditionalFormatting>
  <conditionalFormatting sqref="N54">
    <cfRule type="cellIs" dxfId="6233" priority="1215" operator="greaterThan">
      <formula>0.9</formula>
    </cfRule>
    <cfRule type="cellIs" dxfId="6232" priority="1216" operator="greaterThan">
      <formula>0.85</formula>
    </cfRule>
  </conditionalFormatting>
  <conditionalFormatting sqref="E54">
    <cfRule type="expression" dxfId="6231" priority="1211">
      <formula>AND(IF(OR($Q54=1,$Q54=2),1,0),IF($X54&lt;=20,1,0))</formula>
    </cfRule>
    <cfRule type="expression" dxfId="6230" priority="1212">
      <formula>AND(IF($Q54=2,1,0),IF($X54&lt;30,1,0))</formula>
    </cfRule>
    <cfRule type="expression" dxfId="6229" priority="1213">
      <formula>AND(IF($Q54=3,1,0),IF($X54&lt;30,1,0))</formula>
    </cfRule>
    <cfRule type="expression" dxfId="6228" priority="1214">
      <formula>AND(IF($Q54=3,1,IF($Q54=4,1,0)),IF($F54&lt;=85,1,0))</formula>
    </cfRule>
  </conditionalFormatting>
  <conditionalFormatting sqref="X54">
    <cfRule type="expression" dxfId="6227" priority="1207">
      <formula>AND(IF(OR($Q54=1,$Q54=2),1,0),IF($X54&lt;=20,1,0))</formula>
    </cfRule>
    <cfRule type="expression" dxfId="6226" priority="1208">
      <formula>AND(IF($Q54=2,1,0),IF($X54&lt;30,1,0))</formula>
    </cfRule>
    <cfRule type="expression" dxfId="6225" priority="1209">
      <formula>AND(IF($Q54=3,1,0),IF($X54&lt;30,1,0))</formula>
    </cfRule>
    <cfRule type="expression" dxfId="6224" priority="1210">
      <formula>AND(IF($Q54=3,1,IF($Q54=4,1,0)),IF($F54&lt;=85,1,0))</formula>
    </cfRule>
  </conditionalFormatting>
  <conditionalFormatting sqref="AI54">
    <cfRule type="expression" dxfId="6223" priority="1203">
      <formula>AND(IF(OR($Q54=1,$Q54=2),1,0),IF($X54&lt;=20,1,0))</formula>
    </cfRule>
    <cfRule type="expression" dxfId="6222" priority="1204">
      <formula>AND(IF($Q54=2,1,0),IF($X54&lt;30,1,0))</formula>
    </cfRule>
    <cfRule type="expression" dxfId="6221" priority="1205">
      <formula>AND(IF($Q54=3,1,0),IF($X54&lt;30,1,0))</formula>
    </cfRule>
    <cfRule type="expression" dxfId="6220" priority="1206">
      <formula>AND(IF($Q54=3,1,IF($Q54=4,1,0)),IF($F54&lt;=85,1,0))</formula>
    </cfRule>
  </conditionalFormatting>
  <conditionalFormatting sqref="AV55">
    <cfRule type="expression" dxfId="6219" priority="1201">
      <formula>AV55="X"</formula>
    </cfRule>
    <cfRule type="expression" dxfId="6218" priority="1202">
      <formula>AV55="후보"</formula>
    </cfRule>
  </conditionalFormatting>
  <conditionalFormatting sqref="AC55">
    <cfRule type="cellIs" dxfId="6217" priority="1199" operator="greaterThan">
      <formula>0.9</formula>
    </cfRule>
    <cfRule type="cellIs" dxfId="6216" priority="1200" operator="greaterThan">
      <formula>0.85</formula>
    </cfRule>
  </conditionalFormatting>
  <conditionalFormatting sqref="N55">
    <cfRule type="cellIs" dxfId="6215" priority="1197" operator="greaterThan">
      <formula>0.9</formula>
    </cfRule>
    <cfRule type="cellIs" dxfId="6214" priority="1198" operator="greaterThan">
      <formula>0.85</formula>
    </cfRule>
  </conditionalFormatting>
  <conditionalFormatting sqref="E55">
    <cfRule type="expression" dxfId="6213" priority="1193">
      <formula>AND(IF(OR($Q55=1,$Q55=2),1,0),IF($X55&lt;=20,1,0))</formula>
    </cfRule>
    <cfRule type="expression" dxfId="6212" priority="1194">
      <formula>AND(IF($Q55=2,1,0),IF($X55&lt;30,1,0))</formula>
    </cfRule>
    <cfRule type="expression" dxfId="6211" priority="1195">
      <formula>AND(IF($Q55=3,1,0),IF($X55&lt;30,1,0))</formula>
    </cfRule>
    <cfRule type="expression" dxfId="6210" priority="1196">
      <formula>AND(IF($Q55=3,1,IF($Q55=4,1,0)),IF($F55&lt;=85,1,0))</formula>
    </cfRule>
  </conditionalFormatting>
  <conditionalFormatting sqref="X55">
    <cfRule type="expression" dxfId="6209" priority="1189">
      <formula>AND(IF(OR($Q55=1,$Q55=2),1,0),IF($X55&lt;=20,1,0))</formula>
    </cfRule>
    <cfRule type="expression" dxfId="6208" priority="1190">
      <formula>AND(IF($Q55=2,1,0),IF($X55&lt;30,1,0))</formula>
    </cfRule>
    <cfRule type="expression" dxfId="6207" priority="1191">
      <formula>AND(IF($Q55=3,1,0),IF($X55&lt;30,1,0))</formula>
    </cfRule>
    <cfRule type="expression" dxfId="6206" priority="1192">
      <formula>AND(IF($Q55=3,1,IF($Q55=4,1,0)),IF($F55&lt;=85,1,0))</formula>
    </cfRule>
  </conditionalFormatting>
  <conditionalFormatting sqref="AI55">
    <cfRule type="expression" dxfId="6205" priority="1185">
      <formula>AND(IF(OR($Q55=1,$Q55=2),1,0),IF($X55&lt;=20,1,0))</formula>
    </cfRule>
    <cfRule type="expression" dxfId="6204" priority="1186">
      <formula>AND(IF($Q55=2,1,0),IF($X55&lt;30,1,0))</formula>
    </cfRule>
    <cfRule type="expression" dxfId="6203" priority="1187">
      <formula>AND(IF($Q55=3,1,0),IF($X55&lt;30,1,0))</formula>
    </cfRule>
    <cfRule type="expression" dxfId="6202" priority="1188">
      <formula>AND(IF($Q55=3,1,IF($Q55=4,1,0)),IF($F55&lt;=85,1,0))</formula>
    </cfRule>
  </conditionalFormatting>
  <conditionalFormatting sqref="AV56">
    <cfRule type="expression" dxfId="6201" priority="1183">
      <formula>AV56="X"</formula>
    </cfRule>
    <cfRule type="expression" dxfId="6200" priority="1184">
      <formula>AV56="후보"</formula>
    </cfRule>
  </conditionalFormatting>
  <conditionalFormatting sqref="AC56">
    <cfRule type="cellIs" dxfId="6199" priority="1181" operator="greaterThan">
      <formula>0.9</formula>
    </cfRule>
    <cfRule type="cellIs" dxfId="6198" priority="1182" operator="greaterThan">
      <formula>0.85</formula>
    </cfRule>
  </conditionalFormatting>
  <conditionalFormatting sqref="N56">
    <cfRule type="cellIs" dxfId="6197" priority="1179" operator="greaterThan">
      <formula>0.9</formula>
    </cfRule>
    <cfRule type="cellIs" dxfId="6196" priority="1180" operator="greaterThan">
      <formula>0.85</formula>
    </cfRule>
  </conditionalFormatting>
  <conditionalFormatting sqref="E56">
    <cfRule type="expression" dxfId="6195" priority="1175">
      <formula>AND(IF(OR($Q56=1,$Q56=2),1,0),IF($X56&lt;=20,1,0))</formula>
    </cfRule>
    <cfRule type="expression" dxfId="6194" priority="1176">
      <formula>AND(IF($Q56=2,1,0),IF($X56&lt;30,1,0))</formula>
    </cfRule>
    <cfRule type="expression" dxfId="6193" priority="1177">
      <formula>AND(IF($Q56=3,1,0),IF($X56&lt;30,1,0))</formula>
    </cfRule>
    <cfRule type="expression" dxfId="6192" priority="1178">
      <formula>AND(IF($Q56=3,1,IF($Q56=4,1,0)),IF($F56&lt;=85,1,0))</formula>
    </cfRule>
  </conditionalFormatting>
  <conditionalFormatting sqref="X56">
    <cfRule type="expression" dxfId="6191" priority="1171">
      <formula>AND(IF(OR($Q56=1,$Q56=2),1,0),IF($X56&lt;=20,1,0))</formula>
    </cfRule>
    <cfRule type="expression" dxfId="6190" priority="1172">
      <formula>AND(IF($Q56=2,1,0),IF($X56&lt;30,1,0))</formula>
    </cfRule>
    <cfRule type="expression" dxfId="6189" priority="1173">
      <formula>AND(IF($Q56=3,1,0),IF($X56&lt;30,1,0))</formula>
    </cfRule>
    <cfRule type="expression" dxfId="6188" priority="1174">
      <formula>AND(IF($Q56=3,1,IF($Q56=4,1,0)),IF($F56&lt;=85,1,0))</formula>
    </cfRule>
  </conditionalFormatting>
  <conditionalFormatting sqref="AI56">
    <cfRule type="expression" dxfId="6187" priority="1167">
      <formula>AND(IF(OR($Q56=1,$Q56=2),1,0),IF($X56&lt;=20,1,0))</formula>
    </cfRule>
    <cfRule type="expression" dxfId="6186" priority="1168">
      <formula>AND(IF($Q56=2,1,0),IF($X56&lt;30,1,0))</formula>
    </cfRule>
    <cfRule type="expression" dxfId="6185" priority="1169">
      <formula>AND(IF($Q56=3,1,0),IF($X56&lt;30,1,0))</formula>
    </cfRule>
    <cfRule type="expression" dxfId="6184" priority="1170">
      <formula>AND(IF($Q56=3,1,IF($Q56=4,1,0)),IF($F56&lt;=85,1,0))</formula>
    </cfRule>
  </conditionalFormatting>
  <conditionalFormatting sqref="AV57">
    <cfRule type="expression" dxfId="6183" priority="1165">
      <formula>AV57="X"</formula>
    </cfRule>
    <cfRule type="expression" dxfId="6182" priority="1166">
      <formula>AV57="후보"</formula>
    </cfRule>
  </conditionalFormatting>
  <conditionalFormatting sqref="AC57">
    <cfRule type="cellIs" dxfId="6181" priority="1163" operator="greaterThan">
      <formula>0.9</formula>
    </cfRule>
    <cfRule type="cellIs" dxfId="6180" priority="1164" operator="greaterThan">
      <formula>0.85</formula>
    </cfRule>
  </conditionalFormatting>
  <conditionalFormatting sqref="N57">
    <cfRule type="cellIs" dxfId="6179" priority="1161" operator="greaterThan">
      <formula>0.9</formula>
    </cfRule>
    <cfRule type="cellIs" dxfId="6178" priority="1162" operator="greaterThan">
      <formula>0.85</formula>
    </cfRule>
  </conditionalFormatting>
  <conditionalFormatting sqref="E57">
    <cfRule type="expression" dxfId="6177" priority="1157">
      <formula>AND(IF(OR($Q57=1,$Q57=2),1,0),IF($X57&lt;=20,1,0))</formula>
    </cfRule>
    <cfRule type="expression" dxfId="6176" priority="1158">
      <formula>AND(IF($Q57=2,1,0),IF($X57&lt;30,1,0))</formula>
    </cfRule>
    <cfRule type="expression" dxfId="6175" priority="1159">
      <formula>AND(IF($Q57=3,1,0),IF($X57&lt;30,1,0))</formula>
    </cfRule>
    <cfRule type="expression" dxfId="6174" priority="1160">
      <formula>AND(IF($Q57=3,1,IF($Q57=4,1,0)),IF($F57&lt;=85,1,0))</formula>
    </cfRule>
  </conditionalFormatting>
  <conditionalFormatting sqref="X57">
    <cfRule type="expression" dxfId="6173" priority="1153">
      <formula>AND(IF(OR($Q57=1,$Q57=2),1,0),IF($X57&lt;=20,1,0))</formula>
    </cfRule>
    <cfRule type="expression" dxfId="6172" priority="1154">
      <formula>AND(IF($Q57=2,1,0),IF($X57&lt;30,1,0))</formula>
    </cfRule>
    <cfRule type="expression" dxfId="6171" priority="1155">
      <formula>AND(IF($Q57=3,1,0),IF($X57&lt;30,1,0))</formula>
    </cfRule>
    <cfRule type="expression" dxfId="6170" priority="1156">
      <formula>AND(IF($Q57=3,1,IF($Q57=4,1,0)),IF($F57&lt;=85,1,0))</formula>
    </cfRule>
  </conditionalFormatting>
  <conditionalFormatting sqref="AI57">
    <cfRule type="expression" dxfId="6169" priority="1149">
      <formula>AND(IF(OR($Q57=1,$Q57=2),1,0),IF($X57&lt;=20,1,0))</formula>
    </cfRule>
    <cfRule type="expression" dxfId="6168" priority="1150">
      <formula>AND(IF($Q57=2,1,0),IF($X57&lt;30,1,0))</formula>
    </cfRule>
    <cfRule type="expression" dxfId="6167" priority="1151">
      <formula>AND(IF($Q57=3,1,0),IF($X57&lt;30,1,0))</formula>
    </cfRule>
    <cfRule type="expression" dxfId="6166" priority="1152">
      <formula>AND(IF($Q57=3,1,IF($Q57=4,1,0)),IF($F57&lt;=85,1,0))</formula>
    </cfRule>
  </conditionalFormatting>
  <conditionalFormatting sqref="AV58">
    <cfRule type="expression" dxfId="6165" priority="1147">
      <formula>AV58="X"</formula>
    </cfRule>
    <cfRule type="expression" dxfId="6164" priority="1148">
      <formula>AV58="후보"</formula>
    </cfRule>
  </conditionalFormatting>
  <conditionalFormatting sqref="AC58">
    <cfRule type="cellIs" dxfId="6163" priority="1145" operator="greaterThan">
      <formula>0.9</formula>
    </cfRule>
    <cfRule type="cellIs" dxfId="6162" priority="1146" operator="greaterThan">
      <formula>0.85</formula>
    </cfRule>
  </conditionalFormatting>
  <conditionalFormatting sqref="N58">
    <cfRule type="cellIs" dxfId="6161" priority="1143" operator="greaterThan">
      <formula>0.9</formula>
    </cfRule>
    <cfRule type="cellIs" dxfId="6160" priority="1144" operator="greaterThan">
      <formula>0.85</formula>
    </cfRule>
  </conditionalFormatting>
  <conditionalFormatting sqref="E58">
    <cfRule type="expression" dxfId="6159" priority="1139">
      <formula>AND(IF(OR($Q58=1,$Q58=2),1,0),IF($X58&lt;=20,1,0))</formula>
    </cfRule>
    <cfRule type="expression" dxfId="6158" priority="1140">
      <formula>AND(IF($Q58=2,1,0),IF($X58&lt;30,1,0))</formula>
    </cfRule>
    <cfRule type="expression" dxfId="6157" priority="1141">
      <formula>AND(IF($Q58=3,1,0),IF($X58&lt;30,1,0))</formula>
    </cfRule>
    <cfRule type="expression" dxfId="6156" priority="1142">
      <formula>AND(IF($Q58=3,1,IF($Q58=4,1,0)),IF($F58&lt;=85,1,0))</formula>
    </cfRule>
  </conditionalFormatting>
  <conditionalFormatting sqref="X58">
    <cfRule type="expression" dxfId="6155" priority="1135">
      <formula>AND(IF(OR($Q58=1,$Q58=2),1,0),IF($X58&lt;=20,1,0))</formula>
    </cfRule>
    <cfRule type="expression" dxfId="6154" priority="1136">
      <formula>AND(IF($Q58=2,1,0),IF($X58&lt;30,1,0))</formula>
    </cfRule>
    <cfRule type="expression" dxfId="6153" priority="1137">
      <formula>AND(IF($Q58=3,1,0),IF($X58&lt;30,1,0))</formula>
    </cfRule>
    <cfRule type="expression" dxfId="6152" priority="1138">
      <formula>AND(IF($Q58=3,1,IF($Q58=4,1,0)),IF($F58&lt;=85,1,0))</formula>
    </cfRule>
  </conditionalFormatting>
  <conditionalFormatting sqref="AI58">
    <cfRule type="expression" dxfId="6151" priority="1131">
      <formula>AND(IF(OR($Q58=1,$Q58=2),1,0),IF($X58&lt;=20,1,0))</formula>
    </cfRule>
    <cfRule type="expression" dxfId="6150" priority="1132">
      <formula>AND(IF($Q58=2,1,0),IF($X58&lt;30,1,0))</formula>
    </cfRule>
    <cfRule type="expression" dxfId="6149" priority="1133">
      <formula>AND(IF($Q58=3,1,0),IF($X58&lt;30,1,0))</formula>
    </cfRule>
    <cfRule type="expression" dxfId="6148" priority="1134">
      <formula>AND(IF($Q58=3,1,IF($Q58=4,1,0)),IF($F58&lt;=85,1,0))</formula>
    </cfRule>
  </conditionalFormatting>
  <conditionalFormatting sqref="AV59">
    <cfRule type="expression" dxfId="6147" priority="1129">
      <formula>AV59="X"</formula>
    </cfRule>
    <cfRule type="expression" dxfId="6146" priority="1130">
      <formula>AV59="후보"</formula>
    </cfRule>
  </conditionalFormatting>
  <conditionalFormatting sqref="AC59">
    <cfRule type="cellIs" dxfId="6145" priority="1127" operator="greaterThan">
      <formula>0.9</formula>
    </cfRule>
    <cfRule type="cellIs" dxfId="6144" priority="1128" operator="greaterThan">
      <formula>0.85</formula>
    </cfRule>
  </conditionalFormatting>
  <conditionalFormatting sqref="N59">
    <cfRule type="cellIs" dxfId="6143" priority="1125" operator="greaterThan">
      <formula>0.9</formula>
    </cfRule>
    <cfRule type="cellIs" dxfId="6142" priority="1126" operator="greaterThan">
      <formula>0.85</formula>
    </cfRule>
  </conditionalFormatting>
  <conditionalFormatting sqref="E59">
    <cfRule type="expression" dxfId="6141" priority="1121">
      <formula>AND(IF(OR($Q59=1,$Q59=2),1,0),IF($X59&lt;=20,1,0))</formula>
    </cfRule>
    <cfRule type="expression" dxfId="6140" priority="1122">
      <formula>AND(IF($Q59=2,1,0),IF($X59&lt;30,1,0))</formula>
    </cfRule>
    <cfRule type="expression" dxfId="6139" priority="1123">
      <formula>AND(IF($Q59=3,1,0),IF($X59&lt;30,1,0))</formula>
    </cfRule>
    <cfRule type="expression" dxfId="6138" priority="1124">
      <formula>AND(IF($Q59=3,1,IF($Q59=4,1,0)),IF($F59&lt;=85,1,0))</formula>
    </cfRule>
  </conditionalFormatting>
  <conditionalFormatting sqref="X59">
    <cfRule type="expression" dxfId="6137" priority="1117">
      <formula>AND(IF(OR($Q59=1,$Q59=2),1,0),IF($X59&lt;=20,1,0))</formula>
    </cfRule>
    <cfRule type="expression" dxfId="6136" priority="1118">
      <formula>AND(IF($Q59=2,1,0),IF($X59&lt;30,1,0))</formula>
    </cfRule>
    <cfRule type="expression" dxfId="6135" priority="1119">
      <formula>AND(IF($Q59=3,1,0),IF($X59&lt;30,1,0))</formula>
    </cfRule>
    <cfRule type="expression" dxfId="6134" priority="1120">
      <formula>AND(IF($Q59=3,1,IF($Q59=4,1,0)),IF($F59&lt;=85,1,0))</formula>
    </cfRule>
  </conditionalFormatting>
  <conditionalFormatting sqref="AI59">
    <cfRule type="expression" dxfId="6133" priority="1113">
      <formula>AND(IF(OR($Q59=1,$Q59=2),1,0),IF($X59&lt;=20,1,0))</formula>
    </cfRule>
    <cfRule type="expression" dxfId="6132" priority="1114">
      <formula>AND(IF($Q59=2,1,0),IF($X59&lt;30,1,0))</formula>
    </cfRule>
    <cfRule type="expression" dxfId="6131" priority="1115">
      <formula>AND(IF($Q59=3,1,0),IF($X59&lt;30,1,0))</formula>
    </cfRule>
    <cfRule type="expression" dxfId="6130" priority="1116">
      <formula>AND(IF($Q59=3,1,IF($Q59=4,1,0)),IF($F59&lt;=85,1,0))</formula>
    </cfRule>
  </conditionalFormatting>
  <conditionalFormatting sqref="AV60">
    <cfRule type="expression" dxfId="6129" priority="1111">
      <formula>AV60="X"</formula>
    </cfRule>
    <cfRule type="expression" dxfId="6128" priority="1112">
      <formula>AV60="후보"</formula>
    </cfRule>
  </conditionalFormatting>
  <conditionalFormatting sqref="AC60">
    <cfRule type="cellIs" dxfId="6127" priority="1109" operator="greaterThan">
      <formula>0.9</formula>
    </cfRule>
    <cfRule type="cellIs" dxfId="6126" priority="1110" operator="greaterThan">
      <formula>0.85</formula>
    </cfRule>
  </conditionalFormatting>
  <conditionalFormatting sqref="N60">
    <cfRule type="cellIs" dxfId="6125" priority="1107" operator="greaterThan">
      <formula>0.9</formula>
    </cfRule>
    <cfRule type="cellIs" dxfId="6124" priority="1108" operator="greaterThan">
      <formula>0.85</formula>
    </cfRule>
  </conditionalFormatting>
  <conditionalFormatting sqref="E60">
    <cfRule type="expression" dxfId="6123" priority="1103">
      <formula>AND(IF(OR($Q60=1,$Q60=2),1,0),IF($X60&lt;=20,1,0))</formula>
    </cfRule>
    <cfRule type="expression" dxfId="6122" priority="1104">
      <formula>AND(IF($Q60=2,1,0),IF($X60&lt;30,1,0))</formula>
    </cfRule>
    <cfRule type="expression" dxfId="6121" priority="1105">
      <formula>AND(IF($Q60=3,1,0),IF($X60&lt;30,1,0))</formula>
    </cfRule>
    <cfRule type="expression" dxfId="6120" priority="1106">
      <formula>AND(IF($Q60=3,1,IF($Q60=4,1,0)),IF($F60&lt;=85,1,0))</formula>
    </cfRule>
  </conditionalFormatting>
  <conditionalFormatting sqref="X60">
    <cfRule type="expression" dxfId="6119" priority="1099">
      <formula>AND(IF(OR($Q60=1,$Q60=2),1,0),IF($X60&lt;=20,1,0))</formula>
    </cfRule>
    <cfRule type="expression" dxfId="6118" priority="1100">
      <formula>AND(IF($Q60=2,1,0),IF($X60&lt;30,1,0))</formula>
    </cfRule>
    <cfRule type="expression" dxfId="6117" priority="1101">
      <formula>AND(IF($Q60=3,1,0),IF($X60&lt;30,1,0))</formula>
    </cfRule>
    <cfRule type="expression" dxfId="6116" priority="1102">
      <formula>AND(IF($Q60=3,1,IF($Q60=4,1,0)),IF($F60&lt;=85,1,0))</formula>
    </cfRule>
  </conditionalFormatting>
  <conditionalFormatting sqref="AI60">
    <cfRule type="expression" dxfId="6115" priority="1095">
      <formula>AND(IF(OR($Q60=1,$Q60=2),1,0),IF($X60&lt;=20,1,0))</formula>
    </cfRule>
    <cfRule type="expression" dxfId="6114" priority="1096">
      <formula>AND(IF($Q60=2,1,0),IF($X60&lt;30,1,0))</formula>
    </cfRule>
    <cfRule type="expression" dxfId="6113" priority="1097">
      <formula>AND(IF($Q60=3,1,0),IF($X60&lt;30,1,0))</formula>
    </cfRule>
    <cfRule type="expression" dxfId="6112" priority="1098">
      <formula>AND(IF($Q60=3,1,IF($Q60=4,1,0)),IF($F60&lt;=85,1,0))</formula>
    </cfRule>
  </conditionalFormatting>
  <conditionalFormatting sqref="AV61">
    <cfRule type="expression" dxfId="6111" priority="1093">
      <formula>AV61="X"</formula>
    </cfRule>
    <cfRule type="expression" dxfId="6110" priority="1094">
      <formula>AV61="후보"</formula>
    </cfRule>
  </conditionalFormatting>
  <conditionalFormatting sqref="AC61">
    <cfRule type="cellIs" dxfId="6109" priority="1091" operator="greaterThan">
      <formula>0.9</formula>
    </cfRule>
    <cfRule type="cellIs" dxfId="6108" priority="1092" operator="greaterThan">
      <formula>0.85</formula>
    </cfRule>
  </conditionalFormatting>
  <conditionalFormatting sqref="N61">
    <cfRule type="cellIs" dxfId="6107" priority="1089" operator="greaterThan">
      <formula>0.9</formula>
    </cfRule>
    <cfRule type="cellIs" dxfId="6106" priority="1090" operator="greaterThan">
      <formula>0.85</formula>
    </cfRule>
  </conditionalFormatting>
  <conditionalFormatting sqref="E61">
    <cfRule type="expression" dxfId="6105" priority="1085">
      <formula>AND(IF(OR($Q61=1,$Q61=2),1,0),IF($X61&lt;=20,1,0))</formula>
    </cfRule>
    <cfRule type="expression" dxfId="6104" priority="1086">
      <formula>AND(IF($Q61=2,1,0),IF($X61&lt;30,1,0))</formula>
    </cfRule>
    <cfRule type="expression" dxfId="6103" priority="1087">
      <formula>AND(IF($Q61=3,1,0),IF($X61&lt;30,1,0))</formula>
    </cfRule>
    <cfRule type="expression" dxfId="6102" priority="1088">
      <formula>AND(IF($Q61=3,1,IF($Q61=4,1,0)),IF($F61&lt;=85,1,0))</formula>
    </cfRule>
  </conditionalFormatting>
  <conditionalFormatting sqref="X61">
    <cfRule type="expression" dxfId="6101" priority="1081">
      <formula>AND(IF(OR($Q61=1,$Q61=2),1,0),IF($X61&lt;=20,1,0))</formula>
    </cfRule>
    <cfRule type="expression" dxfId="6100" priority="1082">
      <formula>AND(IF($Q61=2,1,0),IF($X61&lt;30,1,0))</formula>
    </cfRule>
    <cfRule type="expression" dxfId="6099" priority="1083">
      <formula>AND(IF($Q61=3,1,0),IF($X61&lt;30,1,0))</formula>
    </cfRule>
    <cfRule type="expression" dxfId="6098" priority="1084">
      <formula>AND(IF($Q61=3,1,IF($Q61=4,1,0)),IF($F61&lt;=85,1,0))</formula>
    </cfRule>
  </conditionalFormatting>
  <conditionalFormatting sqref="AI61">
    <cfRule type="expression" dxfId="6097" priority="1077">
      <formula>AND(IF(OR($Q61=1,$Q61=2),1,0),IF($X61&lt;=20,1,0))</formula>
    </cfRule>
    <cfRule type="expression" dxfId="6096" priority="1078">
      <formula>AND(IF($Q61=2,1,0),IF($X61&lt;30,1,0))</formula>
    </cfRule>
    <cfRule type="expression" dxfId="6095" priority="1079">
      <formula>AND(IF($Q61=3,1,0),IF($X61&lt;30,1,0))</formula>
    </cfRule>
    <cfRule type="expression" dxfId="6094" priority="1080">
      <formula>AND(IF($Q61=3,1,IF($Q61=4,1,0)),IF($F61&lt;=85,1,0))</formula>
    </cfRule>
  </conditionalFormatting>
  <conditionalFormatting sqref="AV62">
    <cfRule type="expression" dxfId="6093" priority="1075">
      <formula>AV62="X"</formula>
    </cfRule>
    <cfRule type="expression" dxfId="6092" priority="1076">
      <formula>AV62="후보"</formula>
    </cfRule>
  </conditionalFormatting>
  <conditionalFormatting sqref="AC62 N62">
    <cfRule type="cellIs" dxfId="6091" priority="1073" operator="greaterThan">
      <formula>0.9</formula>
    </cfRule>
    <cfRule type="cellIs" dxfId="6090" priority="1074" operator="greaterThan">
      <formula>0.85</formula>
    </cfRule>
  </conditionalFormatting>
  <conditionalFormatting sqref="AV63">
    <cfRule type="expression" dxfId="6089" priority="1071">
      <formula>AV63="X"</formula>
    </cfRule>
    <cfRule type="expression" dxfId="6088" priority="1072">
      <formula>AV63="후보"</formula>
    </cfRule>
  </conditionalFormatting>
  <conditionalFormatting sqref="AC63">
    <cfRule type="cellIs" dxfId="6087" priority="1069" operator="greaterThan">
      <formula>0.9</formula>
    </cfRule>
    <cfRule type="cellIs" dxfId="6086" priority="1070" operator="greaterThan">
      <formula>0.85</formula>
    </cfRule>
  </conditionalFormatting>
  <conditionalFormatting sqref="N63">
    <cfRule type="cellIs" dxfId="6085" priority="1067" operator="greaterThan">
      <formula>0.9</formula>
    </cfRule>
    <cfRule type="cellIs" dxfId="6084" priority="1068" operator="greaterThan">
      <formula>0.85</formula>
    </cfRule>
  </conditionalFormatting>
  <conditionalFormatting sqref="E63">
    <cfRule type="expression" dxfId="6083" priority="1063">
      <formula>AND(IF(OR($Q63=1,$Q63=2),1,0),IF($X63&lt;=20,1,0))</formula>
    </cfRule>
    <cfRule type="expression" dxfId="6082" priority="1064">
      <formula>AND(IF($Q63=2,1,0),IF($X63&lt;30,1,0))</formula>
    </cfRule>
    <cfRule type="expression" dxfId="6081" priority="1065">
      <formula>AND(IF($Q63=3,1,0),IF($X63&lt;30,1,0))</formula>
    </cfRule>
    <cfRule type="expression" dxfId="6080" priority="1066">
      <formula>AND(IF($Q63=3,1,IF($Q63=4,1,0)),IF($F63&lt;=85,1,0))</formula>
    </cfRule>
  </conditionalFormatting>
  <conditionalFormatting sqref="X63">
    <cfRule type="expression" dxfId="6079" priority="1059">
      <formula>AND(IF(OR($Q63=1,$Q63=2),1,0),IF($X63&lt;=20,1,0))</formula>
    </cfRule>
    <cfRule type="expression" dxfId="6078" priority="1060">
      <formula>AND(IF($Q63=2,1,0),IF($X63&lt;30,1,0))</formula>
    </cfRule>
    <cfRule type="expression" dxfId="6077" priority="1061">
      <formula>AND(IF($Q63=3,1,0),IF($X63&lt;30,1,0))</formula>
    </cfRule>
    <cfRule type="expression" dxfId="6076" priority="1062">
      <formula>AND(IF($Q63=3,1,IF($Q63=4,1,0)),IF($F63&lt;=85,1,0))</formula>
    </cfRule>
  </conditionalFormatting>
  <conditionalFormatting sqref="AI63">
    <cfRule type="expression" dxfId="6075" priority="1055">
      <formula>AND(IF(OR($Q63=1,$Q63=2),1,0),IF($X63&lt;=20,1,0))</formula>
    </cfRule>
    <cfRule type="expression" dxfId="6074" priority="1056">
      <formula>AND(IF($Q63=2,1,0),IF($X63&lt;30,1,0))</formula>
    </cfRule>
    <cfRule type="expression" dxfId="6073" priority="1057">
      <formula>AND(IF($Q63=3,1,0),IF($X63&lt;30,1,0))</formula>
    </cfRule>
    <cfRule type="expression" dxfId="6072" priority="1058">
      <formula>AND(IF($Q63=3,1,IF($Q63=4,1,0)),IF($F63&lt;=85,1,0))</formula>
    </cfRule>
  </conditionalFormatting>
  <conditionalFormatting sqref="AV64">
    <cfRule type="expression" dxfId="6071" priority="1053">
      <formula>AV64="X"</formula>
    </cfRule>
    <cfRule type="expression" dxfId="6070" priority="1054">
      <formula>AV64="후보"</formula>
    </cfRule>
  </conditionalFormatting>
  <conditionalFormatting sqref="AC64">
    <cfRule type="cellIs" dxfId="6069" priority="1051" operator="greaterThan">
      <formula>0.9</formula>
    </cfRule>
    <cfRule type="cellIs" dxfId="6068" priority="1052" operator="greaterThan">
      <formula>0.85</formula>
    </cfRule>
  </conditionalFormatting>
  <conditionalFormatting sqref="N64">
    <cfRule type="cellIs" dxfId="6067" priority="1049" operator="greaterThan">
      <formula>0.9</formula>
    </cfRule>
    <cfRule type="cellIs" dxfId="6066" priority="1050" operator="greaterThan">
      <formula>0.85</formula>
    </cfRule>
  </conditionalFormatting>
  <conditionalFormatting sqref="E64">
    <cfRule type="expression" dxfId="6065" priority="1045">
      <formula>AND(IF(OR($Q64=1,$Q64=2),1,0),IF($X64&lt;=20,1,0))</formula>
    </cfRule>
    <cfRule type="expression" dxfId="6064" priority="1046">
      <formula>AND(IF($Q64=2,1,0),IF($X64&lt;30,1,0))</formula>
    </cfRule>
    <cfRule type="expression" dxfId="6063" priority="1047">
      <formula>AND(IF($Q64=3,1,0),IF($X64&lt;30,1,0))</formula>
    </cfRule>
    <cfRule type="expression" dxfId="6062" priority="1048">
      <formula>AND(IF($Q64=3,1,IF($Q64=4,1,0)),IF($F64&lt;=85,1,0))</formula>
    </cfRule>
  </conditionalFormatting>
  <conditionalFormatting sqref="X64">
    <cfRule type="expression" dxfId="6061" priority="1041">
      <formula>AND(IF(OR($Q64=1,$Q64=2),1,0),IF($X64&lt;=20,1,0))</formula>
    </cfRule>
    <cfRule type="expression" dxfId="6060" priority="1042">
      <formula>AND(IF($Q64=2,1,0),IF($X64&lt;30,1,0))</formula>
    </cfRule>
    <cfRule type="expression" dxfId="6059" priority="1043">
      <formula>AND(IF($Q64=3,1,0),IF($X64&lt;30,1,0))</formula>
    </cfRule>
    <cfRule type="expression" dxfId="6058" priority="1044">
      <formula>AND(IF($Q64=3,1,IF($Q64=4,1,0)),IF($F64&lt;=85,1,0))</formula>
    </cfRule>
  </conditionalFormatting>
  <conditionalFormatting sqref="AI64">
    <cfRule type="expression" dxfId="6057" priority="1037">
      <formula>AND(IF(OR($Q64=1,$Q64=2),1,0),IF($X64&lt;=20,1,0))</formula>
    </cfRule>
    <cfRule type="expression" dxfId="6056" priority="1038">
      <formula>AND(IF($Q64=2,1,0),IF($X64&lt;30,1,0))</formula>
    </cfRule>
    <cfRule type="expression" dxfId="6055" priority="1039">
      <formula>AND(IF($Q64=3,1,0),IF($X64&lt;30,1,0))</formula>
    </cfRule>
    <cfRule type="expression" dxfId="6054" priority="1040">
      <formula>AND(IF($Q64=3,1,IF($Q64=4,1,0)),IF($F64&lt;=85,1,0))</formula>
    </cfRule>
  </conditionalFormatting>
  <conditionalFormatting sqref="AV65">
    <cfRule type="expression" dxfId="6053" priority="1035">
      <formula>AV65="X"</formula>
    </cfRule>
    <cfRule type="expression" dxfId="6052" priority="1036">
      <formula>AV65="후보"</formula>
    </cfRule>
  </conditionalFormatting>
  <conditionalFormatting sqref="AC65">
    <cfRule type="cellIs" dxfId="6051" priority="1033" operator="greaterThan">
      <formula>0.9</formula>
    </cfRule>
    <cfRule type="cellIs" dxfId="6050" priority="1034" operator="greaterThan">
      <formula>0.85</formula>
    </cfRule>
  </conditionalFormatting>
  <conditionalFormatting sqref="N65">
    <cfRule type="cellIs" dxfId="6049" priority="1031" operator="greaterThan">
      <formula>0.9</formula>
    </cfRule>
    <cfRule type="cellIs" dxfId="6048" priority="1032" operator="greaterThan">
      <formula>0.85</formula>
    </cfRule>
  </conditionalFormatting>
  <conditionalFormatting sqref="E65">
    <cfRule type="expression" dxfId="6047" priority="1027">
      <formula>AND(IF(OR($Q65=1,$Q65=2),1,0),IF($X65&lt;=20,1,0))</formula>
    </cfRule>
    <cfRule type="expression" dxfId="6046" priority="1028">
      <formula>AND(IF($Q65=2,1,0),IF($X65&lt;30,1,0))</formula>
    </cfRule>
    <cfRule type="expression" dxfId="6045" priority="1029">
      <formula>AND(IF($Q65=3,1,0),IF($X65&lt;30,1,0))</formula>
    </cfRule>
    <cfRule type="expression" dxfId="6044" priority="1030">
      <formula>AND(IF($Q65=3,1,IF($Q65=4,1,0)),IF($F65&lt;=85,1,0))</formula>
    </cfRule>
  </conditionalFormatting>
  <conditionalFormatting sqref="X65">
    <cfRule type="expression" dxfId="6043" priority="1023">
      <formula>AND(IF(OR($Q65=1,$Q65=2),1,0),IF($X65&lt;=20,1,0))</formula>
    </cfRule>
    <cfRule type="expression" dxfId="6042" priority="1024">
      <formula>AND(IF($Q65=2,1,0),IF($X65&lt;30,1,0))</formula>
    </cfRule>
    <cfRule type="expression" dxfId="6041" priority="1025">
      <formula>AND(IF($Q65=3,1,0),IF($X65&lt;30,1,0))</formula>
    </cfRule>
    <cfRule type="expression" dxfId="6040" priority="1026">
      <formula>AND(IF($Q65=3,1,IF($Q65=4,1,0)),IF($F65&lt;=85,1,0))</formula>
    </cfRule>
  </conditionalFormatting>
  <conditionalFormatting sqref="AI65">
    <cfRule type="expression" dxfId="6039" priority="1019">
      <formula>AND(IF(OR($Q65=1,$Q65=2),1,0),IF($X65&lt;=20,1,0))</formula>
    </cfRule>
    <cfRule type="expression" dxfId="6038" priority="1020">
      <formula>AND(IF($Q65=2,1,0),IF($X65&lt;30,1,0))</formula>
    </cfRule>
    <cfRule type="expression" dxfId="6037" priority="1021">
      <formula>AND(IF($Q65=3,1,0),IF($X65&lt;30,1,0))</formula>
    </cfRule>
    <cfRule type="expression" dxfId="6036" priority="1022">
      <formula>AND(IF($Q65=3,1,IF($Q65=4,1,0)),IF($F65&lt;=85,1,0))</formula>
    </cfRule>
  </conditionalFormatting>
  <conditionalFormatting sqref="AV66">
    <cfRule type="expression" dxfId="6035" priority="1017">
      <formula>AV66="X"</formula>
    </cfRule>
    <cfRule type="expression" dxfId="6034" priority="1018">
      <formula>AV66="후보"</formula>
    </cfRule>
  </conditionalFormatting>
  <conditionalFormatting sqref="AC66">
    <cfRule type="cellIs" dxfId="6033" priority="1015" operator="greaterThan">
      <formula>0.9</formula>
    </cfRule>
    <cfRule type="cellIs" dxfId="6032" priority="1016" operator="greaterThan">
      <formula>0.85</formula>
    </cfRule>
  </conditionalFormatting>
  <conditionalFormatting sqref="N66">
    <cfRule type="cellIs" dxfId="6031" priority="1013" operator="greaterThan">
      <formula>0.9</formula>
    </cfRule>
    <cfRule type="cellIs" dxfId="6030" priority="1014" operator="greaterThan">
      <formula>0.85</formula>
    </cfRule>
  </conditionalFormatting>
  <conditionalFormatting sqref="E66">
    <cfRule type="expression" dxfId="6029" priority="1009">
      <formula>AND(IF(OR($Q66=1,$Q66=2),1,0),IF($X66&lt;=20,1,0))</formula>
    </cfRule>
    <cfRule type="expression" dxfId="6028" priority="1010">
      <formula>AND(IF($Q66=2,1,0),IF($X66&lt;30,1,0))</formula>
    </cfRule>
    <cfRule type="expression" dxfId="6027" priority="1011">
      <formula>AND(IF($Q66=3,1,0),IF($X66&lt;30,1,0))</formula>
    </cfRule>
    <cfRule type="expression" dxfId="6026" priority="1012">
      <formula>AND(IF($Q66=3,1,IF($Q66=4,1,0)),IF($F66&lt;=85,1,0))</formula>
    </cfRule>
  </conditionalFormatting>
  <conditionalFormatting sqref="X66">
    <cfRule type="expression" dxfId="6025" priority="1005">
      <formula>AND(IF(OR($Q66=1,$Q66=2),1,0),IF($X66&lt;=20,1,0))</formula>
    </cfRule>
    <cfRule type="expression" dxfId="6024" priority="1006">
      <formula>AND(IF($Q66=2,1,0),IF($X66&lt;30,1,0))</formula>
    </cfRule>
    <cfRule type="expression" dxfId="6023" priority="1007">
      <formula>AND(IF($Q66=3,1,0),IF($X66&lt;30,1,0))</formula>
    </cfRule>
    <cfRule type="expression" dxfId="6022" priority="1008">
      <formula>AND(IF($Q66=3,1,IF($Q66=4,1,0)),IF($F66&lt;=85,1,0))</formula>
    </cfRule>
  </conditionalFormatting>
  <conditionalFormatting sqref="AI66">
    <cfRule type="expression" dxfId="6021" priority="1001">
      <formula>AND(IF(OR($Q66=1,$Q66=2),1,0),IF($X66&lt;=20,1,0))</formula>
    </cfRule>
    <cfRule type="expression" dxfId="6020" priority="1002">
      <formula>AND(IF($Q66=2,1,0),IF($X66&lt;30,1,0))</formula>
    </cfRule>
    <cfRule type="expression" dxfId="6019" priority="1003">
      <formula>AND(IF($Q66=3,1,0),IF($X66&lt;30,1,0))</formula>
    </cfRule>
    <cfRule type="expression" dxfId="6018" priority="1004">
      <formula>AND(IF($Q66=3,1,IF($Q66=4,1,0)),IF($F66&lt;=85,1,0))</formula>
    </cfRule>
  </conditionalFormatting>
  <conditionalFormatting sqref="AV67">
    <cfRule type="expression" dxfId="6017" priority="999">
      <formula>AV67="X"</formula>
    </cfRule>
    <cfRule type="expression" dxfId="6016" priority="1000">
      <formula>AV67="후보"</formula>
    </cfRule>
  </conditionalFormatting>
  <conditionalFormatting sqref="AC67">
    <cfRule type="cellIs" dxfId="6015" priority="997" operator="greaterThan">
      <formula>0.9</formula>
    </cfRule>
    <cfRule type="cellIs" dxfId="6014" priority="998" operator="greaterThan">
      <formula>0.85</formula>
    </cfRule>
  </conditionalFormatting>
  <conditionalFormatting sqref="N67">
    <cfRule type="cellIs" dxfId="6013" priority="995" operator="greaterThan">
      <formula>0.9</formula>
    </cfRule>
    <cfRule type="cellIs" dxfId="6012" priority="996" operator="greaterThan">
      <formula>0.85</formula>
    </cfRule>
  </conditionalFormatting>
  <conditionalFormatting sqref="E67">
    <cfRule type="expression" dxfId="6011" priority="991">
      <formula>AND(IF(OR($Q67=1,$Q67=2),1,0),IF($X67&lt;=20,1,0))</formula>
    </cfRule>
    <cfRule type="expression" dxfId="6010" priority="992">
      <formula>AND(IF($Q67=2,1,0),IF($X67&lt;30,1,0))</formula>
    </cfRule>
    <cfRule type="expression" dxfId="6009" priority="993">
      <formula>AND(IF($Q67=3,1,0),IF($X67&lt;30,1,0))</formula>
    </cfRule>
    <cfRule type="expression" dxfId="6008" priority="994">
      <formula>AND(IF($Q67=3,1,IF($Q67=4,1,0)),IF($F67&lt;=85,1,0))</formula>
    </cfRule>
  </conditionalFormatting>
  <conditionalFormatting sqref="X67">
    <cfRule type="expression" dxfId="6007" priority="987">
      <formula>AND(IF(OR($Q67=1,$Q67=2),1,0),IF($X67&lt;=20,1,0))</formula>
    </cfRule>
    <cfRule type="expression" dxfId="6006" priority="988">
      <formula>AND(IF($Q67=2,1,0),IF($X67&lt;30,1,0))</formula>
    </cfRule>
    <cfRule type="expression" dxfId="6005" priority="989">
      <formula>AND(IF($Q67=3,1,0),IF($X67&lt;30,1,0))</formula>
    </cfRule>
    <cfRule type="expression" dxfId="6004" priority="990">
      <formula>AND(IF($Q67=3,1,IF($Q67=4,1,0)),IF($F67&lt;=85,1,0))</formula>
    </cfRule>
  </conditionalFormatting>
  <conditionalFormatting sqref="AI67">
    <cfRule type="expression" dxfId="6003" priority="983">
      <formula>AND(IF(OR($Q67=1,$Q67=2),1,0),IF($X67&lt;=20,1,0))</formula>
    </cfRule>
    <cfRule type="expression" dxfId="6002" priority="984">
      <formula>AND(IF($Q67=2,1,0),IF($X67&lt;30,1,0))</formula>
    </cfRule>
    <cfRule type="expression" dxfId="6001" priority="985">
      <formula>AND(IF($Q67=3,1,0),IF($X67&lt;30,1,0))</formula>
    </cfRule>
    <cfRule type="expression" dxfId="6000" priority="986">
      <formula>AND(IF($Q67=3,1,IF($Q67=4,1,0)),IF($F67&lt;=85,1,0))</formula>
    </cfRule>
  </conditionalFormatting>
  <conditionalFormatting sqref="AV68">
    <cfRule type="expression" dxfId="5999" priority="981">
      <formula>AV68="X"</formula>
    </cfRule>
    <cfRule type="expression" dxfId="5998" priority="982">
      <formula>AV68="후보"</formula>
    </cfRule>
  </conditionalFormatting>
  <conditionalFormatting sqref="AC68 N68">
    <cfRule type="cellIs" dxfId="5997" priority="979" operator="greaterThan">
      <formula>0.9</formula>
    </cfRule>
    <cfRule type="cellIs" dxfId="5996" priority="980" operator="greaterThan">
      <formula>0.85</formula>
    </cfRule>
  </conditionalFormatting>
  <conditionalFormatting sqref="AV69">
    <cfRule type="expression" dxfId="5995" priority="977">
      <formula>AV69="X"</formula>
    </cfRule>
    <cfRule type="expression" dxfId="5994" priority="978">
      <formula>AV69="후보"</formula>
    </cfRule>
  </conditionalFormatting>
  <conditionalFormatting sqref="AC69">
    <cfRule type="cellIs" dxfId="5993" priority="975" operator="greaterThan">
      <formula>0.9</formula>
    </cfRule>
    <cfRule type="cellIs" dxfId="5992" priority="976" operator="greaterThan">
      <formula>0.85</formula>
    </cfRule>
  </conditionalFormatting>
  <conditionalFormatting sqref="N69">
    <cfRule type="cellIs" dxfId="5991" priority="973" operator="greaterThan">
      <formula>0.9</formula>
    </cfRule>
    <cfRule type="cellIs" dxfId="5990" priority="974" operator="greaterThan">
      <formula>0.85</formula>
    </cfRule>
  </conditionalFormatting>
  <conditionalFormatting sqref="E69">
    <cfRule type="expression" dxfId="5989" priority="969">
      <formula>AND(IF(OR($Q69=1,$Q69=2),1,0),IF($X69&lt;=20,1,0))</formula>
    </cfRule>
    <cfRule type="expression" dxfId="5988" priority="970">
      <formula>AND(IF($Q69=2,1,0),IF($X69&lt;30,1,0))</formula>
    </cfRule>
    <cfRule type="expression" dxfId="5987" priority="971">
      <formula>AND(IF($Q69=3,1,0),IF($X69&lt;30,1,0))</formula>
    </cfRule>
    <cfRule type="expression" dxfId="5986" priority="972">
      <formula>AND(IF($Q69=3,1,IF($Q69=4,1,0)),IF($F69&lt;=85,1,0))</formula>
    </cfRule>
  </conditionalFormatting>
  <conditionalFormatting sqref="X69">
    <cfRule type="expression" dxfId="5985" priority="965">
      <formula>AND(IF(OR($Q69=1,$Q69=2),1,0),IF($X69&lt;=20,1,0))</formula>
    </cfRule>
    <cfRule type="expression" dxfId="5984" priority="966">
      <formula>AND(IF($Q69=2,1,0),IF($X69&lt;30,1,0))</formula>
    </cfRule>
    <cfRule type="expression" dxfId="5983" priority="967">
      <formula>AND(IF($Q69=3,1,0),IF($X69&lt;30,1,0))</formula>
    </cfRule>
    <cfRule type="expression" dxfId="5982" priority="968">
      <formula>AND(IF($Q69=3,1,IF($Q69=4,1,0)),IF($F69&lt;=85,1,0))</formula>
    </cfRule>
  </conditionalFormatting>
  <conditionalFormatting sqref="AI69">
    <cfRule type="expression" dxfId="5981" priority="961">
      <formula>AND(IF(OR($Q69=1,$Q69=2),1,0),IF($X69&lt;=20,1,0))</formula>
    </cfRule>
    <cfRule type="expression" dxfId="5980" priority="962">
      <formula>AND(IF($Q69=2,1,0),IF($X69&lt;30,1,0))</formula>
    </cfRule>
    <cfRule type="expression" dxfId="5979" priority="963">
      <formula>AND(IF($Q69=3,1,0),IF($X69&lt;30,1,0))</formula>
    </cfRule>
    <cfRule type="expression" dxfId="5978" priority="964">
      <formula>AND(IF($Q69=3,1,IF($Q69=4,1,0)),IF($F69&lt;=85,1,0))</formula>
    </cfRule>
  </conditionalFormatting>
  <conditionalFormatting sqref="AV70">
    <cfRule type="expression" dxfId="5977" priority="959">
      <formula>AV70="X"</formula>
    </cfRule>
    <cfRule type="expression" dxfId="5976" priority="960">
      <formula>AV70="후보"</formula>
    </cfRule>
  </conditionalFormatting>
  <conditionalFormatting sqref="AC70">
    <cfRule type="cellIs" dxfId="5975" priority="957" operator="greaterThan">
      <formula>0.9</formula>
    </cfRule>
    <cfRule type="cellIs" dxfId="5974" priority="958" operator="greaterThan">
      <formula>0.85</formula>
    </cfRule>
  </conditionalFormatting>
  <conditionalFormatting sqref="N70">
    <cfRule type="cellIs" dxfId="5973" priority="955" operator="greaterThan">
      <formula>0.9</formula>
    </cfRule>
    <cfRule type="cellIs" dxfId="5972" priority="956" operator="greaterThan">
      <formula>0.85</formula>
    </cfRule>
  </conditionalFormatting>
  <conditionalFormatting sqref="E70">
    <cfRule type="expression" dxfId="5971" priority="951">
      <formula>AND(IF(OR($Q70=1,$Q70=2),1,0),IF($X70&lt;=20,1,0))</formula>
    </cfRule>
    <cfRule type="expression" dxfId="5970" priority="952">
      <formula>AND(IF($Q70=2,1,0),IF($X70&lt;30,1,0))</formula>
    </cfRule>
    <cfRule type="expression" dxfId="5969" priority="953">
      <formula>AND(IF($Q70=3,1,0),IF($X70&lt;30,1,0))</formula>
    </cfRule>
    <cfRule type="expression" dxfId="5968" priority="954">
      <formula>AND(IF($Q70=3,1,IF($Q70=4,1,0)),IF($F70&lt;=85,1,0))</formula>
    </cfRule>
  </conditionalFormatting>
  <conditionalFormatting sqref="X70">
    <cfRule type="expression" dxfId="5967" priority="947">
      <formula>AND(IF(OR($Q70=1,$Q70=2),1,0),IF($X70&lt;=20,1,0))</formula>
    </cfRule>
    <cfRule type="expression" dxfId="5966" priority="948">
      <formula>AND(IF($Q70=2,1,0),IF($X70&lt;30,1,0))</formula>
    </cfRule>
    <cfRule type="expression" dxfId="5965" priority="949">
      <formula>AND(IF($Q70=3,1,0),IF($X70&lt;30,1,0))</formula>
    </cfRule>
    <cfRule type="expression" dxfId="5964" priority="950">
      <formula>AND(IF($Q70=3,1,IF($Q70=4,1,0)),IF($F70&lt;=85,1,0))</formula>
    </cfRule>
  </conditionalFormatting>
  <conditionalFormatting sqref="AI70">
    <cfRule type="expression" dxfId="5963" priority="943">
      <formula>AND(IF(OR($Q70=1,$Q70=2),1,0),IF($X70&lt;=20,1,0))</formula>
    </cfRule>
    <cfRule type="expression" dxfId="5962" priority="944">
      <formula>AND(IF($Q70=2,1,0),IF($X70&lt;30,1,0))</formula>
    </cfRule>
    <cfRule type="expression" dxfId="5961" priority="945">
      <formula>AND(IF($Q70=3,1,0),IF($X70&lt;30,1,0))</formula>
    </cfRule>
    <cfRule type="expression" dxfId="5960" priority="946">
      <formula>AND(IF($Q70=3,1,IF($Q70=4,1,0)),IF($F70&lt;=85,1,0))</formula>
    </cfRule>
  </conditionalFormatting>
  <conditionalFormatting sqref="AV71">
    <cfRule type="expression" dxfId="5959" priority="941">
      <formula>AV71="X"</formula>
    </cfRule>
    <cfRule type="expression" dxfId="5958" priority="942">
      <formula>AV71="후보"</formula>
    </cfRule>
  </conditionalFormatting>
  <conditionalFormatting sqref="AC71 N71">
    <cfRule type="cellIs" dxfId="5957" priority="939" operator="greaterThan">
      <formula>0.9</formula>
    </cfRule>
    <cfRule type="cellIs" dxfId="5956" priority="940" operator="greaterThan">
      <formula>0.85</formula>
    </cfRule>
  </conditionalFormatting>
  <conditionalFormatting sqref="AV72">
    <cfRule type="expression" dxfId="5955" priority="937">
      <formula>AV72="X"</formula>
    </cfRule>
    <cfRule type="expression" dxfId="5954" priority="938">
      <formula>AV72="후보"</formula>
    </cfRule>
  </conditionalFormatting>
  <conditionalFormatting sqref="AC72">
    <cfRule type="cellIs" dxfId="5953" priority="935" operator="greaterThan">
      <formula>0.9</formula>
    </cfRule>
    <cfRule type="cellIs" dxfId="5952" priority="936" operator="greaterThan">
      <formula>0.85</formula>
    </cfRule>
  </conditionalFormatting>
  <conditionalFormatting sqref="N72">
    <cfRule type="cellIs" dxfId="5951" priority="933" operator="greaterThan">
      <formula>0.9</formula>
    </cfRule>
    <cfRule type="cellIs" dxfId="5950" priority="934" operator="greaterThan">
      <formula>0.85</formula>
    </cfRule>
  </conditionalFormatting>
  <conditionalFormatting sqref="E72">
    <cfRule type="expression" dxfId="5949" priority="929">
      <formula>AND(IF(OR($Q72=1,$Q72=2),1,0),IF($X72&lt;=20,1,0))</formula>
    </cfRule>
    <cfRule type="expression" dxfId="5948" priority="930">
      <formula>AND(IF($Q72=2,1,0),IF($X72&lt;30,1,0))</formula>
    </cfRule>
    <cfRule type="expression" dxfId="5947" priority="931">
      <formula>AND(IF($Q72=3,1,0),IF($X72&lt;30,1,0))</formula>
    </cfRule>
    <cfRule type="expression" dxfId="5946" priority="932">
      <formula>AND(IF($Q72=3,1,IF($Q72=4,1,0)),IF($F72&lt;=85,1,0))</formula>
    </cfRule>
  </conditionalFormatting>
  <conditionalFormatting sqref="X72">
    <cfRule type="expression" dxfId="5945" priority="925">
      <formula>AND(IF(OR($Q72=1,$Q72=2),1,0),IF($X72&lt;=20,1,0))</formula>
    </cfRule>
    <cfRule type="expression" dxfId="5944" priority="926">
      <formula>AND(IF($Q72=2,1,0),IF($X72&lt;30,1,0))</formula>
    </cfRule>
    <cfRule type="expression" dxfId="5943" priority="927">
      <formula>AND(IF($Q72=3,1,0),IF($X72&lt;30,1,0))</formula>
    </cfRule>
    <cfRule type="expression" dxfId="5942" priority="928">
      <formula>AND(IF($Q72=3,1,IF($Q72=4,1,0)),IF($F72&lt;=85,1,0))</formula>
    </cfRule>
  </conditionalFormatting>
  <conditionalFormatting sqref="AI72">
    <cfRule type="expression" dxfId="5941" priority="921">
      <formula>AND(IF(OR($Q72=1,$Q72=2),1,0),IF($X72&lt;=20,1,0))</formula>
    </cfRule>
    <cfRule type="expression" dxfId="5940" priority="922">
      <formula>AND(IF($Q72=2,1,0),IF($X72&lt;30,1,0))</formula>
    </cfRule>
    <cfRule type="expression" dxfId="5939" priority="923">
      <formula>AND(IF($Q72=3,1,0),IF($X72&lt;30,1,0))</formula>
    </cfRule>
    <cfRule type="expression" dxfId="5938" priority="924">
      <formula>AND(IF($Q72=3,1,IF($Q72=4,1,0)),IF($F72&lt;=85,1,0))</formula>
    </cfRule>
  </conditionalFormatting>
  <conditionalFormatting sqref="AV73">
    <cfRule type="expression" dxfId="5937" priority="919">
      <formula>AV73="X"</formula>
    </cfRule>
    <cfRule type="expression" dxfId="5936" priority="920">
      <formula>AV73="후보"</formula>
    </cfRule>
  </conditionalFormatting>
  <conditionalFormatting sqref="AC73">
    <cfRule type="cellIs" dxfId="5935" priority="917" operator="greaterThan">
      <formula>0.9</formula>
    </cfRule>
    <cfRule type="cellIs" dxfId="5934" priority="918" operator="greaterThan">
      <formula>0.85</formula>
    </cfRule>
  </conditionalFormatting>
  <conditionalFormatting sqref="N73">
    <cfRule type="cellIs" dxfId="5933" priority="915" operator="greaterThan">
      <formula>0.9</formula>
    </cfRule>
    <cfRule type="cellIs" dxfId="5932" priority="916" operator="greaterThan">
      <formula>0.85</formula>
    </cfRule>
  </conditionalFormatting>
  <conditionalFormatting sqref="E73">
    <cfRule type="expression" dxfId="5931" priority="911">
      <formula>AND(IF(OR($Q73=1,$Q73=2),1,0),IF($X73&lt;=20,1,0))</formula>
    </cfRule>
    <cfRule type="expression" dxfId="5930" priority="912">
      <formula>AND(IF($Q73=2,1,0),IF($X73&lt;30,1,0))</formula>
    </cfRule>
    <cfRule type="expression" dxfId="5929" priority="913">
      <formula>AND(IF($Q73=3,1,0),IF($X73&lt;30,1,0))</formula>
    </cfRule>
    <cfRule type="expression" dxfId="5928" priority="914">
      <formula>AND(IF($Q73=3,1,IF($Q73=4,1,0)),IF($F73&lt;=85,1,0))</formula>
    </cfRule>
  </conditionalFormatting>
  <conditionalFormatting sqref="X73">
    <cfRule type="expression" dxfId="5927" priority="907">
      <formula>AND(IF(OR($Q73=1,$Q73=2),1,0),IF($X73&lt;=20,1,0))</formula>
    </cfRule>
    <cfRule type="expression" dxfId="5926" priority="908">
      <formula>AND(IF($Q73=2,1,0),IF($X73&lt;30,1,0))</formula>
    </cfRule>
    <cfRule type="expression" dxfId="5925" priority="909">
      <formula>AND(IF($Q73=3,1,0),IF($X73&lt;30,1,0))</formula>
    </cfRule>
    <cfRule type="expression" dxfId="5924" priority="910">
      <formula>AND(IF($Q73=3,1,IF($Q73=4,1,0)),IF($F73&lt;=85,1,0))</formula>
    </cfRule>
  </conditionalFormatting>
  <conditionalFormatting sqref="AI73">
    <cfRule type="expression" dxfId="5923" priority="903">
      <formula>AND(IF(OR($Q73=1,$Q73=2),1,0),IF($X73&lt;=20,1,0))</formula>
    </cfRule>
    <cfRule type="expression" dxfId="5922" priority="904">
      <formula>AND(IF($Q73=2,1,0),IF($X73&lt;30,1,0))</formula>
    </cfRule>
    <cfRule type="expression" dxfId="5921" priority="905">
      <formula>AND(IF($Q73=3,1,0),IF($X73&lt;30,1,0))</formula>
    </cfRule>
    <cfRule type="expression" dxfId="5920" priority="906">
      <formula>AND(IF($Q73=3,1,IF($Q73=4,1,0)),IF($F73&lt;=85,1,0))</formula>
    </cfRule>
  </conditionalFormatting>
  <conditionalFormatting sqref="AV74">
    <cfRule type="expression" dxfId="5919" priority="901">
      <formula>AV74="X"</formula>
    </cfRule>
    <cfRule type="expression" dxfId="5918" priority="902">
      <formula>AV74="후보"</formula>
    </cfRule>
  </conditionalFormatting>
  <conditionalFormatting sqref="AC74 N74">
    <cfRule type="cellIs" dxfId="5917" priority="899" operator="greaterThan">
      <formula>0.9</formula>
    </cfRule>
    <cfRule type="cellIs" dxfId="5916" priority="900" operator="greaterThan">
      <formula>0.85</formula>
    </cfRule>
  </conditionalFormatting>
  <conditionalFormatting sqref="AV75">
    <cfRule type="expression" dxfId="5915" priority="897">
      <formula>AV75="X"</formula>
    </cfRule>
    <cfRule type="expression" dxfId="5914" priority="898">
      <formula>AV75="후보"</formula>
    </cfRule>
  </conditionalFormatting>
  <conditionalFormatting sqref="AC75">
    <cfRule type="cellIs" dxfId="5913" priority="895" operator="greaterThan">
      <formula>0.9</formula>
    </cfRule>
    <cfRule type="cellIs" dxfId="5912" priority="896" operator="greaterThan">
      <formula>0.85</formula>
    </cfRule>
  </conditionalFormatting>
  <conditionalFormatting sqref="N75">
    <cfRule type="cellIs" dxfId="5911" priority="893" operator="greaterThan">
      <formula>0.9</formula>
    </cfRule>
    <cfRule type="cellIs" dxfId="5910" priority="894" operator="greaterThan">
      <formula>0.85</formula>
    </cfRule>
  </conditionalFormatting>
  <conditionalFormatting sqref="E75">
    <cfRule type="expression" dxfId="5909" priority="889">
      <formula>AND(IF(OR($Q75=1,$Q75=2),1,0),IF($X75&lt;=20,1,0))</formula>
    </cfRule>
    <cfRule type="expression" dxfId="5908" priority="890">
      <formula>AND(IF($Q75=2,1,0),IF($X75&lt;30,1,0))</formula>
    </cfRule>
    <cfRule type="expression" dxfId="5907" priority="891">
      <formula>AND(IF($Q75=3,1,0),IF($X75&lt;30,1,0))</formula>
    </cfRule>
    <cfRule type="expression" dxfId="5906" priority="892">
      <formula>AND(IF($Q75=3,1,IF($Q75=4,1,0)),IF($F75&lt;=85,1,0))</formula>
    </cfRule>
  </conditionalFormatting>
  <conditionalFormatting sqref="X75">
    <cfRule type="expression" dxfId="5905" priority="885">
      <formula>AND(IF(OR($Q75=1,$Q75=2),1,0),IF($X75&lt;=20,1,0))</formula>
    </cfRule>
    <cfRule type="expression" dxfId="5904" priority="886">
      <formula>AND(IF($Q75=2,1,0),IF($X75&lt;30,1,0))</formula>
    </cfRule>
    <cfRule type="expression" dxfId="5903" priority="887">
      <formula>AND(IF($Q75=3,1,0),IF($X75&lt;30,1,0))</formula>
    </cfRule>
    <cfRule type="expression" dxfId="5902" priority="888">
      <formula>AND(IF($Q75=3,1,IF($Q75=4,1,0)),IF($F75&lt;=85,1,0))</formula>
    </cfRule>
  </conditionalFormatting>
  <conditionalFormatting sqref="AI75">
    <cfRule type="expression" dxfId="5901" priority="881">
      <formula>AND(IF(OR($Q75=1,$Q75=2),1,0),IF($X75&lt;=20,1,0))</formula>
    </cfRule>
    <cfRule type="expression" dxfId="5900" priority="882">
      <formula>AND(IF($Q75=2,1,0),IF($X75&lt;30,1,0))</formula>
    </cfRule>
    <cfRule type="expression" dxfId="5899" priority="883">
      <formula>AND(IF($Q75=3,1,0),IF($X75&lt;30,1,0))</formula>
    </cfRule>
    <cfRule type="expression" dxfId="5898" priority="884">
      <formula>AND(IF($Q75=3,1,IF($Q75=4,1,0)),IF($F75&lt;=85,1,0))</formula>
    </cfRule>
  </conditionalFormatting>
  <conditionalFormatting sqref="AV76">
    <cfRule type="expression" dxfId="5897" priority="879">
      <formula>AV76="X"</formula>
    </cfRule>
    <cfRule type="expression" dxfId="5896" priority="880">
      <formula>AV76="후보"</formula>
    </cfRule>
  </conditionalFormatting>
  <conditionalFormatting sqref="AC76">
    <cfRule type="cellIs" dxfId="5895" priority="877" operator="greaterThan">
      <formula>0.9</formula>
    </cfRule>
    <cfRule type="cellIs" dxfId="5894" priority="878" operator="greaterThan">
      <formula>0.85</formula>
    </cfRule>
  </conditionalFormatting>
  <conditionalFormatting sqref="N76">
    <cfRule type="cellIs" dxfId="5893" priority="875" operator="greaterThan">
      <formula>0.9</formula>
    </cfRule>
    <cfRule type="cellIs" dxfId="5892" priority="876" operator="greaterThan">
      <formula>0.85</formula>
    </cfRule>
  </conditionalFormatting>
  <conditionalFormatting sqref="E76">
    <cfRule type="expression" dxfId="5891" priority="871">
      <formula>AND(IF(OR($Q76=1,$Q76=2),1,0),IF($X76&lt;=20,1,0))</formula>
    </cfRule>
    <cfRule type="expression" dxfId="5890" priority="872">
      <formula>AND(IF($Q76=2,1,0),IF($X76&lt;30,1,0))</formula>
    </cfRule>
    <cfRule type="expression" dxfId="5889" priority="873">
      <formula>AND(IF($Q76=3,1,0),IF($X76&lt;30,1,0))</formula>
    </cfRule>
    <cfRule type="expression" dxfId="5888" priority="874">
      <formula>AND(IF($Q76=3,1,IF($Q76=4,1,0)),IF($F76&lt;=85,1,0))</formula>
    </cfRule>
  </conditionalFormatting>
  <conditionalFormatting sqref="X76">
    <cfRule type="expression" dxfId="5887" priority="867">
      <formula>AND(IF(OR($Q76=1,$Q76=2),1,0),IF($X76&lt;=20,1,0))</formula>
    </cfRule>
    <cfRule type="expression" dxfId="5886" priority="868">
      <formula>AND(IF($Q76=2,1,0),IF($X76&lt;30,1,0))</formula>
    </cfRule>
    <cfRule type="expression" dxfId="5885" priority="869">
      <formula>AND(IF($Q76=3,1,0),IF($X76&lt;30,1,0))</formula>
    </cfRule>
    <cfRule type="expression" dxfId="5884" priority="870">
      <formula>AND(IF($Q76=3,1,IF($Q76=4,1,0)),IF($F76&lt;=85,1,0))</formula>
    </cfRule>
  </conditionalFormatting>
  <conditionalFormatting sqref="AI76">
    <cfRule type="expression" dxfId="5883" priority="863">
      <formula>AND(IF(OR($Q76=1,$Q76=2),1,0),IF($X76&lt;=20,1,0))</formula>
    </cfRule>
    <cfRule type="expression" dxfId="5882" priority="864">
      <formula>AND(IF($Q76=2,1,0),IF($X76&lt;30,1,0))</formula>
    </cfRule>
    <cfRule type="expression" dxfId="5881" priority="865">
      <formula>AND(IF($Q76=3,1,0),IF($X76&lt;30,1,0))</formula>
    </cfRule>
    <cfRule type="expression" dxfId="5880" priority="866">
      <formula>AND(IF($Q76=3,1,IF($Q76=4,1,0)),IF($F76&lt;=85,1,0))</formula>
    </cfRule>
  </conditionalFormatting>
  <conditionalFormatting sqref="AV77">
    <cfRule type="expression" dxfId="5879" priority="861">
      <formula>AV77="X"</formula>
    </cfRule>
    <cfRule type="expression" dxfId="5878" priority="862">
      <formula>AV77="후보"</formula>
    </cfRule>
  </conditionalFormatting>
  <conditionalFormatting sqref="AC77">
    <cfRule type="cellIs" dxfId="5877" priority="859" operator="greaterThan">
      <formula>0.9</formula>
    </cfRule>
    <cfRule type="cellIs" dxfId="5876" priority="860" operator="greaterThan">
      <formula>0.85</formula>
    </cfRule>
  </conditionalFormatting>
  <conditionalFormatting sqref="N77">
    <cfRule type="cellIs" dxfId="5875" priority="857" operator="greaterThan">
      <formula>0.9</formula>
    </cfRule>
    <cfRule type="cellIs" dxfId="5874" priority="858" operator="greaterThan">
      <formula>0.85</formula>
    </cfRule>
  </conditionalFormatting>
  <conditionalFormatting sqref="E77">
    <cfRule type="expression" dxfId="5873" priority="853">
      <formula>AND(IF(OR($Q77=1,$Q77=2),1,0),IF($X77&lt;=20,1,0))</formula>
    </cfRule>
    <cfRule type="expression" dxfId="5872" priority="854">
      <formula>AND(IF($Q77=2,1,0),IF($X77&lt;30,1,0))</formula>
    </cfRule>
    <cfRule type="expression" dxfId="5871" priority="855">
      <formula>AND(IF($Q77=3,1,0),IF($X77&lt;30,1,0))</formula>
    </cfRule>
    <cfRule type="expression" dxfId="5870" priority="856">
      <formula>AND(IF($Q77=3,1,IF($Q77=4,1,0)),IF($F77&lt;=85,1,0))</formula>
    </cfRule>
  </conditionalFormatting>
  <conditionalFormatting sqref="X77">
    <cfRule type="expression" dxfId="5869" priority="849">
      <formula>AND(IF(OR($Q77=1,$Q77=2),1,0),IF($X77&lt;=20,1,0))</formula>
    </cfRule>
    <cfRule type="expression" dxfId="5868" priority="850">
      <formula>AND(IF($Q77=2,1,0),IF($X77&lt;30,1,0))</formula>
    </cfRule>
    <cfRule type="expression" dxfId="5867" priority="851">
      <formula>AND(IF($Q77=3,1,0),IF($X77&lt;30,1,0))</formula>
    </cfRule>
    <cfRule type="expression" dxfId="5866" priority="852">
      <formula>AND(IF($Q77=3,1,IF($Q77=4,1,0)),IF($F77&lt;=85,1,0))</formula>
    </cfRule>
  </conditionalFormatting>
  <conditionalFormatting sqref="AI77">
    <cfRule type="expression" dxfId="5865" priority="845">
      <formula>AND(IF(OR($Q77=1,$Q77=2),1,0),IF($X77&lt;=20,1,0))</formula>
    </cfRule>
    <cfRule type="expression" dxfId="5864" priority="846">
      <formula>AND(IF($Q77=2,1,0),IF($X77&lt;30,1,0))</formula>
    </cfRule>
    <cfRule type="expression" dxfId="5863" priority="847">
      <formula>AND(IF($Q77=3,1,0),IF($X77&lt;30,1,0))</formula>
    </cfRule>
    <cfRule type="expression" dxfId="5862" priority="848">
      <formula>AND(IF($Q77=3,1,IF($Q77=4,1,0)),IF($F77&lt;=85,1,0))</formula>
    </cfRule>
  </conditionalFormatting>
  <conditionalFormatting sqref="AV78">
    <cfRule type="expression" dxfId="5861" priority="843">
      <formula>AV78="X"</formula>
    </cfRule>
    <cfRule type="expression" dxfId="5860" priority="844">
      <formula>AV78="후보"</formula>
    </cfRule>
  </conditionalFormatting>
  <conditionalFormatting sqref="AC78">
    <cfRule type="cellIs" dxfId="5859" priority="841" operator="greaterThan">
      <formula>0.9</formula>
    </cfRule>
    <cfRule type="cellIs" dxfId="5858" priority="842" operator="greaterThan">
      <formula>0.85</formula>
    </cfRule>
  </conditionalFormatting>
  <conditionalFormatting sqref="N78">
    <cfRule type="cellIs" dxfId="5857" priority="839" operator="greaterThan">
      <formula>0.9</formula>
    </cfRule>
    <cfRule type="cellIs" dxfId="5856" priority="840" operator="greaterThan">
      <formula>0.85</formula>
    </cfRule>
  </conditionalFormatting>
  <conditionalFormatting sqref="E78">
    <cfRule type="expression" dxfId="5855" priority="835">
      <formula>AND(IF(OR($Q78=1,$Q78=2),1,0),IF($X78&lt;=20,1,0))</formula>
    </cfRule>
    <cfRule type="expression" dxfId="5854" priority="836">
      <formula>AND(IF($Q78=2,1,0),IF($X78&lt;30,1,0))</formula>
    </cfRule>
    <cfRule type="expression" dxfId="5853" priority="837">
      <formula>AND(IF($Q78=3,1,0),IF($X78&lt;30,1,0))</formula>
    </cfRule>
    <cfRule type="expression" dxfId="5852" priority="838">
      <formula>AND(IF($Q78=3,1,IF($Q78=4,1,0)),IF($F78&lt;=85,1,0))</formula>
    </cfRule>
  </conditionalFormatting>
  <conditionalFormatting sqref="X78">
    <cfRule type="expression" dxfId="5851" priority="831">
      <formula>AND(IF(OR($Q78=1,$Q78=2),1,0),IF($X78&lt;=20,1,0))</formula>
    </cfRule>
    <cfRule type="expression" dxfId="5850" priority="832">
      <formula>AND(IF($Q78=2,1,0),IF($X78&lt;30,1,0))</formula>
    </cfRule>
    <cfRule type="expression" dxfId="5849" priority="833">
      <formula>AND(IF($Q78=3,1,0),IF($X78&lt;30,1,0))</formula>
    </cfRule>
    <cfRule type="expression" dxfId="5848" priority="834">
      <formula>AND(IF($Q78=3,1,IF($Q78=4,1,0)),IF($F78&lt;=85,1,0))</formula>
    </cfRule>
  </conditionalFormatting>
  <conditionalFormatting sqref="AI78">
    <cfRule type="expression" dxfId="5847" priority="827">
      <formula>AND(IF(OR($Q78=1,$Q78=2),1,0),IF($X78&lt;=20,1,0))</formula>
    </cfRule>
    <cfRule type="expression" dxfId="5846" priority="828">
      <formula>AND(IF($Q78=2,1,0),IF($X78&lt;30,1,0))</formula>
    </cfRule>
    <cfRule type="expression" dxfId="5845" priority="829">
      <formula>AND(IF($Q78=3,1,0),IF($X78&lt;30,1,0))</formula>
    </cfRule>
    <cfRule type="expression" dxfId="5844" priority="830">
      <formula>AND(IF($Q78=3,1,IF($Q78=4,1,0)),IF($F78&lt;=85,1,0))</formula>
    </cfRule>
  </conditionalFormatting>
  <conditionalFormatting sqref="AV79">
    <cfRule type="expression" dxfId="5843" priority="825">
      <formula>AV79="X"</formula>
    </cfRule>
    <cfRule type="expression" dxfId="5842" priority="826">
      <formula>AV79="후보"</formula>
    </cfRule>
  </conditionalFormatting>
  <conditionalFormatting sqref="AC79 N79">
    <cfRule type="cellIs" dxfId="5841" priority="823" operator="greaterThan">
      <formula>0.9</formula>
    </cfRule>
    <cfRule type="cellIs" dxfId="5840" priority="824" operator="greaterThan">
      <formula>0.85</formula>
    </cfRule>
  </conditionalFormatting>
  <conditionalFormatting sqref="AV80">
    <cfRule type="expression" dxfId="5839" priority="821">
      <formula>AV80="X"</formula>
    </cfRule>
    <cfRule type="expression" dxfId="5838" priority="822">
      <formula>AV80="후보"</formula>
    </cfRule>
  </conditionalFormatting>
  <conditionalFormatting sqref="AC80">
    <cfRule type="cellIs" dxfId="5837" priority="819" operator="greaterThan">
      <formula>0.9</formula>
    </cfRule>
    <cfRule type="cellIs" dxfId="5836" priority="820" operator="greaterThan">
      <formula>0.85</formula>
    </cfRule>
  </conditionalFormatting>
  <conditionalFormatting sqref="N80">
    <cfRule type="cellIs" dxfId="5835" priority="817" operator="greaterThan">
      <formula>0.9</formula>
    </cfRule>
    <cfRule type="cellIs" dxfId="5834" priority="818" operator="greaterThan">
      <formula>0.85</formula>
    </cfRule>
  </conditionalFormatting>
  <conditionalFormatting sqref="E80">
    <cfRule type="expression" dxfId="5833" priority="813">
      <formula>AND(IF(OR($Q80=1,$Q80=2),1,0),IF($X80&lt;=20,1,0))</formula>
    </cfRule>
    <cfRule type="expression" dxfId="5832" priority="814">
      <formula>AND(IF($Q80=2,1,0),IF($X80&lt;30,1,0))</formula>
    </cfRule>
    <cfRule type="expression" dxfId="5831" priority="815">
      <formula>AND(IF($Q80=3,1,0),IF($X80&lt;30,1,0))</formula>
    </cfRule>
    <cfRule type="expression" dxfId="5830" priority="816">
      <formula>AND(IF($Q80=3,1,IF($Q80=4,1,0)),IF($F80&lt;=85,1,0))</formula>
    </cfRule>
  </conditionalFormatting>
  <conditionalFormatting sqref="X80">
    <cfRule type="expression" dxfId="5829" priority="809">
      <formula>AND(IF(OR($Q80=1,$Q80=2),1,0),IF($X80&lt;=20,1,0))</formula>
    </cfRule>
    <cfRule type="expression" dxfId="5828" priority="810">
      <formula>AND(IF($Q80=2,1,0),IF($X80&lt;30,1,0))</formula>
    </cfRule>
    <cfRule type="expression" dxfId="5827" priority="811">
      <formula>AND(IF($Q80=3,1,0),IF($X80&lt;30,1,0))</formula>
    </cfRule>
    <cfRule type="expression" dxfId="5826" priority="812">
      <formula>AND(IF($Q80=3,1,IF($Q80=4,1,0)),IF($F80&lt;=85,1,0))</formula>
    </cfRule>
  </conditionalFormatting>
  <conditionalFormatting sqref="AI80">
    <cfRule type="expression" dxfId="5825" priority="805">
      <formula>AND(IF(OR($Q80=1,$Q80=2),1,0),IF($X80&lt;=20,1,0))</formula>
    </cfRule>
    <cfRule type="expression" dxfId="5824" priority="806">
      <formula>AND(IF($Q80=2,1,0),IF($X80&lt;30,1,0))</formula>
    </cfRule>
    <cfRule type="expression" dxfId="5823" priority="807">
      <formula>AND(IF($Q80=3,1,0),IF($X80&lt;30,1,0))</formula>
    </cfRule>
    <cfRule type="expression" dxfId="5822" priority="808">
      <formula>AND(IF($Q80=3,1,IF($Q80=4,1,0)),IF($F80&lt;=85,1,0))</formula>
    </cfRule>
  </conditionalFormatting>
  <conditionalFormatting sqref="AV81">
    <cfRule type="expression" dxfId="5821" priority="803">
      <formula>AV81="X"</formula>
    </cfRule>
    <cfRule type="expression" dxfId="5820" priority="804">
      <formula>AV81="후보"</formula>
    </cfRule>
  </conditionalFormatting>
  <conditionalFormatting sqref="AC81">
    <cfRule type="cellIs" dxfId="5819" priority="801" operator="greaterThan">
      <formula>0.9</formula>
    </cfRule>
    <cfRule type="cellIs" dxfId="5818" priority="802" operator="greaterThan">
      <formula>0.85</formula>
    </cfRule>
  </conditionalFormatting>
  <conditionalFormatting sqref="N81">
    <cfRule type="cellIs" dxfId="5817" priority="799" operator="greaterThan">
      <formula>0.9</formula>
    </cfRule>
    <cfRule type="cellIs" dxfId="5816" priority="800" operator="greaterThan">
      <formula>0.85</formula>
    </cfRule>
  </conditionalFormatting>
  <conditionalFormatting sqref="E81">
    <cfRule type="expression" dxfId="5815" priority="795">
      <formula>AND(IF(OR($Q81=1,$Q81=2),1,0),IF($X81&lt;=20,1,0))</formula>
    </cfRule>
    <cfRule type="expression" dxfId="5814" priority="796">
      <formula>AND(IF($Q81=2,1,0),IF($X81&lt;30,1,0))</formula>
    </cfRule>
    <cfRule type="expression" dxfId="5813" priority="797">
      <formula>AND(IF($Q81=3,1,0),IF($X81&lt;30,1,0))</formula>
    </cfRule>
    <cfRule type="expression" dxfId="5812" priority="798">
      <formula>AND(IF($Q81=3,1,IF($Q81=4,1,0)),IF($F81&lt;=85,1,0))</formula>
    </cfRule>
  </conditionalFormatting>
  <conditionalFormatting sqref="X81">
    <cfRule type="expression" dxfId="5811" priority="791">
      <formula>AND(IF(OR($Q81=1,$Q81=2),1,0),IF($X81&lt;=20,1,0))</formula>
    </cfRule>
    <cfRule type="expression" dxfId="5810" priority="792">
      <formula>AND(IF($Q81=2,1,0),IF($X81&lt;30,1,0))</formula>
    </cfRule>
    <cfRule type="expression" dxfId="5809" priority="793">
      <formula>AND(IF($Q81=3,1,0),IF($X81&lt;30,1,0))</formula>
    </cfRule>
    <cfRule type="expression" dxfId="5808" priority="794">
      <formula>AND(IF($Q81=3,1,IF($Q81=4,1,0)),IF($F81&lt;=85,1,0))</formula>
    </cfRule>
  </conditionalFormatting>
  <conditionalFormatting sqref="AI81">
    <cfRule type="expression" dxfId="5807" priority="787">
      <formula>AND(IF(OR($Q81=1,$Q81=2),1,0),IF($X81&lt;=20,1,0))</formula>
    </cfRule>
    <cfRule type="expression" dxfId="5806" priority="788">
      <formula>AND(IF($Q81=2,1,0),IF($X81&lt;30,1,0))</formula>
    </cfRule>
    <cfRule type="expression" dxfId="5805" priority="789">
      <formula>AND(IF($Q81=3,1,0),IF($X81&lt;30,1,0))</formula>
    </cfRule>
    <cfRule type="expression" dxfId="5804" priority="790">
      <formula>AND(IF($Q81=3,1,IF($Q81=4,1,0)),IF($F81&lt;=85,1,0))</formula>
    </cfRule>
  </conditionalFormatting>
  <conditionalFormatting sqref="AV82">
    <cfRule type="expression" dxfId="5803" priority="785">
      <formula>AV82="X"</formula>
    </cfRule>
    <cfRule type="expression" dxfId="5802" priority="786">
      <formula>AV82="후보"</formula>
    </cfRule>
  </conditionalFormatting>
  <conditionalFormatting sqref="AC82 N82">
    <cfRule type="cellIs" dxfId="5801" priority="783" operator="greaterThan">
      <formula>0.9</formula>
    </cfRule>
    <cfRule type="cellIs" dxfId="5800" priority="784" operator="greaterThan">
      <formula>0.85</formula>
    </cfRule>
  </conditionalFormatting>
  <conditionalFormatting sqref="AV83">
    <cfRule type="expression" dxfId="5799" priority="781">
      <formula>AV83="X"</formula>
    </cfRule>
    <cfRule type="expression" dxfId="5798" priority="782">
      <formula>AV83="후보"</formula>
    </cfRule>
  </conditionalFormatting>
  <conditionalFormatting sqref="AC83">
    <cfRule type="cellIs" dxfId="5797" priority="779" operator="greaterThan">
      <formula>0.9</formula>
    </cfRule>
    <cfRule type="cellIs" dxfId="5796" priority="780" operator="greaterThan">
      <formula>0.85</formula>
    </cfRule>
  </conditionalFormatting>
  <conditionalFormatting sqref="N83">
    <cfRule type="cellIs" dxfId="5795" priority="777" operator="greaterThan">
      <formula>0.9</formula>
    </cfRule>
    <cfRule type="cellIs" dxfId="5794" priority="778" operator="greaterThan">
      <formula>0.85</formula>
    </cfRule>
  </conditionalFormatting>
  <conditionalFormatting sqref="E83">
    <cfRule type="expression" dxfId="5793" priority="773">
      <formula>AND(IF(OR($Q83=1,$Q83=2),1,0),IF($X83&lt;=20,1,0))</formula>
    </cfRule>
    <cfRule type="expression" dxfId="5792" priority="774">
      <formula>AND(IF($Q83=2,1,0),IF($X83&lt;30,1,0))</formula>
    </cfRule>
    <cfRule type="expression" dxfId="5791" priority="775">
      <formula>AND(IF($Q83=3,1,0),IF($X83&lt;30,1,0))</formula>
    </cfRule>
    <cfRule type="expression" dxfId="5790" priority="776">
      <formula>AND(IF($Q83=3,1,IF($Q83=4,1,0)),IF($F83&lt;=85,1,0))</formula>
    </cfRule>
  </conditionalFormatting>
  <conditionalFormatting sqref="X83">
    <cfRule type="expression" dxfId="5789" priority="769">
      <formula>AND(IF(OR($Q83=1,$Q83=2),1,0),IF($X83&lt;=20,1,0))</formula>
    </cfRule>
    <cfRule type="expression" dxfId="5788" priority="770">
      <formula>AND(IF($Q83=2,1,0),IF($X83&lt;30,1,0))</formula>
    </cfRule>
    <cfRule type="expression" dxfId="5787" priority="771">
      <formula>AND(IF($Q83=3,1,0),IF($X83&lt;30,1,0))</formula>
    </cfRule>
    <cfRule type="expression" dxfId="5786" priority="772">
      <formula>AND(IF($Q83=3,1,IF($Q83=4,1,0)),IF($F83&lt;=85,1,0))</formula>
    </cfRule>
  </conditionalFormatting>
  <conditionalFormatting sqref="AI83">
    <cfRule type="expression" dxfId="5785" priority="765">
      <formula>AND(IF(OR($Q83=1,$Q83=2),1,0),IF($X83&lt;=20,1,0))</formula>
    </cfRule>
    <cfRule type="expression" dxfId="5784" priority="766">
      <formula>AND(IF($Q83=2,1,0),IF($X83&lt;30,1,0))</formula>
    </cfRule>
    <cfRule type="expression" dxfId="5783" priority="767">
      <formula>AND(IF($Q83=3,1,0),IF($X83&lt;30,1,0))</formula>
    </cfRule>
    <cfRule type="expression" dxfId="5782" priority="768">
      <formula>AND(IF($Q83=3,1,IF($Q83=4,1,0)),IF($F83&lt;=85,1,0))</formula>
    </cfRule>
  </conditionalFormatting>
  <conditionalFormatting sqref="AV84">
    <cfRule type="expression" dxfId="5781" priority="763">
      <formula>AV84="X"</formula>
    </cfRule>
    <cfRule type="expression" dxfId="5780" priority="764">
      <formula>AV84="후보"</formula>
    </cfRule>
  </conditionalFormatting>
  <conditionalFormatting sqref="AC84">
    <cfRule type="cellIs" dxfId="5779" priority="761" operator="greaterThan">
      <formula>0.9</formula>
    </cfRule>
    <cfRule type="cellIs" dxfId="5778" priority="762" operator="greaterThan">
      <formula>0.85</formula>
    </cfRule>
  </conditionalFormatting>
  <conditionalFormatting sqref="N84">
    <cfRule type="cellIs" dxfId="5777" priority="759" operator="greaterThan">
      <formula>0.9</formula>
    </cfRule>
    <cfRule type="cellIs" dxfId="5776" priority="760" operator="greaterThan">
      <formula>0.85</formula>
    </cfRule>
  </conditionalFormatting>
  <conditionalFormatting sqref="E84">
    <cfRule type="expression" dxfId="5775" priority="755">
      <formula>AND(IF(OR($Q84=1,$Q84=2),1,0),IF($X84&lt;=20,1,0))</formula>
    </cfRule>
    <cfRule type="expression" dxfId="5774" priority="756">
      <formula>AND(IF($Q84=2,1,0),IF($X84&lt;30,1,0))</formula>
    </cfRule>
    <cfRule type="expression" dxfId="5773" priority="757">
      <formula>AND(IF($Q84=3,1,0),IF($X84&lt;30,1,0))</formula>
    </cfRule>
    <cfRule type="expression" dxfId="5772" priority="758">
      <formula>AND(IF($Q84=3,1,IF($Q84=4,1,0)),IF($F84&lt;=85,1,0))</formula>
    </cfRule>
  </conditionalFormatting>
  <conditionalFormatting sqref="X84">
    <cfRule type="expression" dxfId="5771" priority="751">
      <formula>AND(IF(OR($Q84=1,$Q84=2),1,0),IF($X84&lt;=20,1,0))</formula>
    </cfRule>
    <cfRule type="expression" dxfId="5770" priority="752">
      <formula>AND(IF($Q84=2,1,0),IF($X84&lt;30,1,0))</formula>
    </cfRule>
    <cfRule type="expression" dxfId="5769" priority="753">
      <formula>AND(IF($Q84=3,1,0),IF($X84&lt;30,1,0))</formula>
    </cfRule>
    <cfRule type="expression" dxfId="5768" priority="754">
      <formula>AND(IF($Q84=3,1,IF($Q84=4,1,0)),IF($F84&lt;=85,1,0))</formula>
    </cfRule>
  </conditionalFormatting>
  <conditionalFormatting sqref="AI84">
    <cfRule type="expression" dxfId="5767" priority="747">
      <formula>AND(IF(OR($Q84=1,$Q84=2),1,0),IF($X84&lt;=20,1,0))</formula>
    </cfRule>
    <cfRule type="expression" dxfId="5766" priority="748">
      <formula>AND(IF($Q84=2,1,0),IF($X84&lt;30,1,0))</formula>
    </cfRule>
    <cfRule type="expression" dxfId="5765" priority="749">
      <formula>AND(IF($Q84=3,1,0),IF($X84&lt;30,1,0))</formula>
    </cfRule>
    <cfRule type="expression" dxfId="5764" priority="750">
      <formula>AND(IF($Q84=3,1,IF($Q84=4,1,0)),IF($F84&lt;=85,1,0))</formula>
    </cfRule>
  </conditionalFormatting>
  <conditionalFormatting sqref="AV85">
    <cfRule type="expression" dxfId="5763" priority="745">
      <formula>AV85="X"</formula>
    </cfRule>
    <cfRule type="expression" dxfId="5762" priority="746">
      <formula>AV85="후보"</formula>
    </cfRule>
  </conditionalFormatting>
  <conditionalFormatting sqref="AC85">
    <cfRule type="cellIs" dxfId="5761" priority="743" operator="greaterThan">
      <formula>0.9</formula>
    </cfRule>
    <cfRule type="cellIs" dxfId="5760" priority="744" operator="greaterThan">
      <formula>0.85</formula>
    </cfRule>
  </conditionalFormatting>
  <conditionalFormatting sqref="N85">
    <cfRule type="cellIs" dxfId="5759" priority="741" operator="greaterThan">
      <formula>0.9</formula>
    </cfRule>
    <cfRule type="cellIs" dxfId="5758" priority="742" operator="greaterThan">
      <formula>0.85</formula>
    </cfRule>
  </conditionalFormatting>
  <conditionalFormatting sqref="E85">
    <cfRule type="expression" dxfId="5757" priority="737">
      <formula>AND(IF(OR($Q85=1,$Q85=2),1,0),IF($X85&lt;=20,1,0))</formula>
    </cfRule>
    <cfRule type="expression" dxfId="5756" priority="738">
      <formula>AND(IF($Q85=2,1,0),IF($X85&lt;30,1,0))</formula>
    </cfRule>
    <cfRule type="expression" dxfId="5755" priority="739">
      <formula>AND(IF($Q85=3,1,0),IF($X85&lt;30,1,0))</formula>
    </cfRule>
    <cfRule type="expression" dxfId="5754" priority="740">
      <formula>AND(IF($Q85=3,1,IF($Q85=4,1,0)),IF($F85&lt;=85,1,0))</formula>
    </cfRule>
  </conditionalFormatting>
  <conditionalFormatting sqref="X85">
    <cfRule type="expression" dxfId="5753" priority="733">
      <formula>AND(IF(OR($Q85=1,$Q85=2),1,0),IF($X85&lt;=20,1,0))</formula>
    </cfRule>
    <cfRule type="expression" dxfId="5752" priority="734">
      <formula>AND(IF($Q85=2,1,0),IF($X85&lt;30,1,0))</formula>
    </cfRule>
    <cfRule type="expression" dxfId="5751" priority="735">
      <formula>AND(IF($Q85=3,1,0),IF($X85&lt;30,1,0))</formula>
    </cfRule>
    <cfRule type="expression" dxfId="5750" priority="736">
      <formula>AND(IF($Q85=3,1,IF($Q85=4,1,0)),IF($F85&lt;=85,1,0))</formula>
    </cfRule>
  </conditionalFormatting>
  <conditionalFormatting sqref="AI85">
    <cfRule type="expression" dxfId="5749" priority="729">
      <formula>AND(IF(OR($Q85=1,$Q85=2),1,0),IF($X85&lt;=20,1,0))</formula>
    </cfRule>
    <cfRule type="expression" dxfId="5748" priority="730">
      <formula>AND(IF($Q85=2,1,0),IF($X85&lt;30,1,0))</formula>
    </cfRule>
    <cfRule type="expression" dxfId="5747" priority="731">
      <formula>AND(IF($Q85=3,1,0),IF($X85&lt;30,1,0))</formula>
    </cfRule>
    <cfRule type="expression" dxfId="5746" priority="732">
      <formula>AND(IF($Q85=3,1,IF($Q85=4,1,0)),IF($F85&lt;=85,1,0))</formula>
    </cfRule>
  </conditionalFormatting>
  <conditionalFormatting sqref="AV86">
    <cfRule type="expression" dxfId="5745" priority="727">
      <formula>AV86="X"</formula>
    </cfRule>
    <cfRule type="expression" dxfId="5744" priority="728">
      <formula>AV86="후보"</formula>
    </cfRule>
  </conditionalFormatting>
  <conditionalFormatting sqref="AC86">
    <cfRule type="cellIs" dxfId="5743" priority="725" operator="greaterThan">
      <formula>0.9</formula>
    </cfRule>
    <cfRule type="cellIs" dxfId="5742" priority="726" operator="greaterThan">
      <formula>0.85</formula>
    </cfRule>
  </conditionalFormatting>
  <conditionalFormatting sqref="N86">
    <cfRule type="cellIs" dxfId="5741" priority="723" operator="greaterThan">
      <formula>0.9</formula>
    </cfRule>
    <cfRule type="cellIs" dxfId="5740" priority="724" operator="greaterThan">
      <formula>0.85</formula>
    </cfRule>
  </conditionalFormatting>
  <conditionalFormatting sqref="E86">
    <cfRule type="expression" dxfId="5739" priority="719">
      <formula>AND(IF(OR($Q86=1,$Q86=2),1,0),IF($X86&lt;=20,1,0))</formula>
    </cfRule>
    <cfRule type="expression" dxfId="5738" priority="720">
      <formula>AND(IF($Q86=2,1,0),IF($X86&lt;30,1,0))</formula>
    </cfRule>
    <cfRule type="expression" dxfId="5737" priority="721">
      <formula>AND(IF($Q86=3,1,0),IF($X86&lt;30,1,0))</formula>
    </cfRule>
    <cfRule type="expression" dxfId="5736" priority="722">
      <formula>AND(IF($Q86=3,1,IF($Q86=4,1,0)),IF($F86&lt;=85,1,0))</formula>
    </cfRule>
  </conditionalFormatting>
  <conditionalFormatting sqref="X86">
    <cfRule type="expression" dxfId="5735" priority="715">
      <formula>AND(IF(OR($Q86=1,$Q86=2),1,0),IF($X86&lt;=20,1,0))</formula>
    </cfRule>
    <cfRule type="expression" dxfId="5734" priority="716">
      <formula>AND(IF($Q86=2,1,0),IF($X86&lt;30,1,0))</formula>
    </cfRule>
    <cfRule type="expression" dxfId="5733" priority="717">
      <formula>AND(IF($Q86=3,1,0),IF($X86&lt;30,1,0))</formula>
    </cfRule>
    <cfRule type="expression" dxfId="5732" priority="718">
      <formula>AND(IF($Q86=3,1,IF($Q86=4,1,0)),IF($F86&lt;=85,1,0))</formula>
    </cfRule>
  </conditionalFormatting>
  <conditionalFormatting sqref="AI86">
    <cfRule type="expression" dxfId="5731" priority="711">
      <formula>AND(IF(OR($Q86=1,$Q86=2),1,0),IF($X86&lt;=20,1,0))</formula>
    </cfRule>
    <cfRule type="expression" dxfId="5730" priority="712">
      <formula>AND(IF($Q86=2,1,0),IF($X86&lt;30,1,0))</formula>
    </cfRule>
    <cfRule type="expression" dxfId="5729" priority="713">
      <formula>AND(IF($Q86=3,1,0),IF($X86&lt;30,1,0))</formula>
    </cfRule>
    <cfRule type="expression" dxfId="5728" priority="714">
      <formula>AND(IF($Q86=3,1,IF($Q86=4,1,0)),IF($F86&lt;=85,1,0))</formula>
    </cfRule>
  </conditionalFormatting>
  <conditionalFormatting sqref="AV87">
    <cfRule type="expression" dxfId="5727" priority="709">
      <formula>AV87="X"</formula>
    </cfRule>
    <cfRule type="expression" dxfId="5726" priority="710">
      <formula>AV87="후보"</formula>
    </cfRule>
  </conditionalFormatting>
  <conditionalFormatting sqref="AC87 N87">
    <cfRule type="cellIs" dxfId="5725" priority="707" operator="greaterThan">
      <formula>0.9</formula>
    </cfRule>
    <cfRule type="cellIs" dxfId="5724" priority="708" operator="greaterThan">
      <formula>0.85</formula>
    </cfRule>
  </conditionalFormatting>
  <conditionalFormatting sqref="AV88">
    <cfRule type="expression" dxfId="5723" priority="705">
      <formula>AV88="X"</formula>
    </cfRule>
    <cfRule type="expression" dxfId="5722" priority="706">
      <formula>AV88="후보"</formula>
    </cfRule>
  </conditionalFormatting>
  <conditionalFormatting sqref="AC88">
    <cfRule type="cellIs" dxfId="5721" priority="703" operator="greaterThan">
      <formula>0.9</formula>
    </cfRule>
    <cfRule type="cellIs" dxfId="5720" priority="704" operator="greaterThan">
      <formula>0.85</formula>
    </cfRule>
  </conditionalFormatting>
  <conditionalFormatting sqref="N88">
    <cfRule type="cellIs" dxfId="5719" priority="701" operator="greaterThan">
      <formula>0.9</formula>
    </cfRule>
    <cfRule type="cellIs" dxfId="5718" priority="702" operator="greaterThan">
      <formula>0.85</formula>
    </cfRule>
  </conditionalFormatting>
  <conditionalFormatting sqref="E88">
    <cfRule type="expression" dxfId="5717" priority="697">
      <formula>AND(IF(OR($Q88=1,$Q88=2),1,0),IF($X88&lt;=20,1,0))</formula>
    </cfRule>
    <cfRule type="expression" dxfId="5716" priority="698">
      <formula>AND(IF($Q88=2,1,0),IF($X88&lt;30,1,0))</formula>
    </cfRule>
    <cfRule type="expression" dxfId="5715" priority="699">
      <formula>AND(IF($Q88=3,1,0),IF($X88&lt;30,1,0))</formula>
    </cfRule>
    <cfRule type="expression" dxfId="5714" priority="700">
      <formula>AND(IF($Q88=3,1,IF($Q88=4,1,0)),IF($F88&lt;=85,1,0))</formula>
    </cfRule>
  </conditionalFormatting>
  <conditionalFormatting sqref="X88">
    <cfRule type="expression" dxfId="5713" priority="693">
      <formula>AND(IF(OR($Q88=1,$Q88=2),1,0),IF($X88&lt;=20,1,0))</formula>
    </cfRule>
    <cfRule type="expression" dxfId="5712" priority="694">
      <formula>AND(IF($Q88=2,1,0),IF($X88&lt;30,1,0))</formula>
    </cfRule>
    <cfRule type="expression" dxfId="5711" priority="695">
      <formula>AND(IF($Q88=3,1,0),IF($X88&lt;30,1,0))</formula>
    </cfRule>
    <cfRule type="expression" dxfId="5710" priority="696">
      <formula>AND(IF($Q88=3,1,IF($Q88=4,1,0)),IF($F88&lt;=85,1,0))</formula>
    </cfRule>
  </conditionalFormatting>
  <conditionalFormatting sqref="AI88">
    <cfRule type="expression" dxfId="5709" priority="689">
      <formula>AND(IF(OR($Q88=1,$Q88=2),1,0),IF($X88&lt;=20,1,0))</formula>
    </cfRule>
    <cfRule type="expression" dxfId="5708" priority="690">
      <formula>AND(IF($Q88=2,1,0),IF($X88&lt;30,1,0))</formula>
    </cfRule>
    <cfRule type="expression" dxfId="5707" priority="691">
      <formula>AND(IF($Q88=3,1,0),IF($X88&lt;30,1,0))</formula>
    </cfRule>
    <cfRule type="expression" dxfId="5706" priority="692">
      <formula>AND(IF($Q88=3,1,IF($Q88=4,1,0)),IF($F88&lt;=85,1,0))</formula>
    </cfRule>
  </conditionalFormatting>
  <conditionalFormatting sqref="AV89">
    <cfRule type="expression" dxfId="5705" priority="687">
      <formula>AV89="X"</formula>
    </cfRule>
    <cfRule type="expression" dxfId="5704" priority="688">
      <formula>AV89="후보"</formula>
    </cfRule>
  </conditionalFormatting>
  <conditionalFormatting sqref="AC89">
    <cfRule type="cellIs" dxfId="5703" priority="685" operator="greaterThan">
      <formula>0.9</formula>
    </cfRule>
    <cfRule type="cellIs" dxfId="5702" priority="686" operator="greaterThan">
      <formula>0.85</formula>
    </cfRule>
  </conditionalFormatting>
  <conditionalFormatting sqref="N89">
    <cfRule type="cellIs" dxfId="5701" priority="683" operator="greaterThan">
      <formula>0.9</formula>
    </cfRule>
    <cfRule type="cellIs" dxfId="5700" priority="684" operator="greaterThan">
      <formula>0.85</formula>
    </cfRule>
  </conditionalFormatting>
  <conditionalFormatting sqref="E89">
    <cfRule type="expression" dxfId="5699" priority="679">
      <formula>AND(IF(OR($Q89=1,$Q89=2),1,0),IF($X89&lt;=20,1,0))</formula>
    </cfRule>
    <cfRule type="expression" dxfId="5698" priority="680">
      <formula>AND(IF($Q89=2,1,0),IF($X89&lt;30,1,0))</formula>
    </cfRule>
    <cfRule type="expression" dxfId="5697" priority="681">
      <formula>AND(IF($Q89=3,1,0),IF($X89&lt;30,1,0))</formula>
    </cfRule>
    <cfRule type="expression" dxfId="5696" priority="682">
      <formula>AND(IF($Q89=3,1,IF($Q89=4,1,0)),IF($F89&lt;=85,1,0))</formula>
    </cfRule>
  </conditionalFormatting>
  <conditionalFormatting sqref="X89">
    <cfRule type="expression" dxfId="5695" priority="675">
      <formula>AND(IF(OR($Q89=1,$Q89=2),1,0),IF($X89&lt;=20,1,0))</formula>
    </cfRule>
    <cfRule type="expression" dxfId="5694" priority="676">
      <formula>AND(IF($Q89=2,1,0),IF($X89&lt;30,1,0))</formula>
    </cfRule>
    <cfRule type="expression" dxfId="5693" priority="677">
      <formula>AND(IF($Q89=3,1,0),IF($X89&lt;30,1,0))</formula>
    </cfRule>
    <cfRule type="expression" dxfId="5692" priority="678">
      <formula>AND(IF($Q89=3,1,IF($Q89=4,1,0)),IF($F89&lt;=85,1,0))</formula>
    </cfRule>
  </conditionalFormatting>
  <conditionalFormatting sqref="AI89">
    <cfRule type="expression" dxfId="5691" priority="671">
      <formula>AND(IF(OR($Q89=1,$Q89=2),1,0),IF($X89&lt;=20,1,0))</formula>
    </cfRule>
    <cfRule type="expression" dxfId="5690" priority="672">
      <formula>AND(IF($Q89=2,1,0),IF($X89&lt;30,1,0))</formula>
    </cfRule>
    <cfRule type="expression" dxfId="5689" priority="673">
      <formula>AND(IF($Q89=3,1,0),IF($X89&lt;30,1,0))</formula>
    </cfRule>
    <cfRule type="expression" dxfId="5688" priority="674">
      <formula>AND(IF($Q89=3,1,IF($Q89=4,1,0)),IF($F89&lt;=85,1,0))</formula>
    </cfRule>
  </conditionalFormatting>
  <conditionalFormatting sqref="AV90">
    <cfRule type="expression" dxfId="5687" priority="669">
      <formula>AV90="X"</formula>
    </cfRule>
    <cfRule type="expression" dxfId="5686" priority="670">
      <formula>AV90="후보"</formula>
    </cfRule>
  </conditionalFormatting>
  <conditionalFormatting sqref="AC90">
    <cfRule type="cellIs" dxfId="5685" priority="667" operator="greaterThan">
      <formula>0.9</formula>
    </cfRule>
    <cfRule type="cellIs" dxfId="5684" priority="668" operator="greaterThan">
      <formula>0.85</formula>
    </cfRule>
  </conditionalFormatting>
  <conditionalFormatting sqref="N90">
    <cfRule type="cellIs" dxfId="5683" priority="665" operator="greaterThan">
      <formula>0.9</formula>
    </cfRule>
    <cfRule type="cellIs" dxfId="5682" priority="666" operator="greaterThan">
      <formula>0.85</formula>
    </cfRule>
  </conditionalFormatting>
  <conditionalFormatting sqref="E90">
    <cfRule type="expression" dxfId="5681" priority="661">
      <formula>AND(IF(OR($Q90=1,$Q90=2),1,0),IF($X90&lt;=20,1,0))</formula>
    </cfRule>
    <cfRule type="expression" dxfId="5680" priority="662">
      <formula>AND(IF($Q90=2,1,0),IF($X90&lt;30,1,0))</formula>
    </cfRule>
    <cfRule type="expression" dxfId="5679" priority="663">
      <formula>AND(IF($Q90=3,1,0),IF($X90&lt;30,1,0))</formula>
    </cfRule>
    <cfRule type="expression" dxfId="5678" priority="664">
      <formula>AND(IF($Q90=3,1,IF($Q90=4,1,0)),IF($F90&lt;=85,1,0))</formula>
    </cfRule>
  </conditionalFormatting>
  <conditionalFormatting sqref="X90">
    <cfRule type="expression" dxfId="5677" priority="657">
      <formula>AND(IF(OR($Q90=1,$Q90=2),1,0),IF($X90&lt;=20,1,0))</formula>
    </cfRule>
    <cfRule type="expression" dxfId="5676" priority="658">
      <formula>AND(IF($Q90=2,1,0),IF($X90&lt;30,1,0))</formula>
    </cfRule>
    <cfRule type="expression" dxfId="5675" priority="659">
      <formula>AND(IF($Q90=3,1,0),IF($X90&lt;30,1,0))</formula>
    </cfRule>
    <cfRule type="expression" dxfId="5674" priority="660">
      <formula>AND(IF($Q90=3,1,IF($Q90=4,1,0)),IF($F90&lt;=85,1,0))</formula>
    </cfRule>
  </conditionalFormatting>
  <conditionalFormatting sqref="AI90">
    <cfRule type="expression" dxfId="5673" priority="653">
      <formula>AND(IF(OR($Q90=1,$Q90=2),1,0),IF($X90&lt;=20,1,0))</formula>
    </cfRule>
    <cfRule type="expression" dxfId="5672" priority="654">
      <formula>AND(IF($Q90=2,1,0),IF($X90&lt;30,1,0))</formula>
    </cfRule>
    <cfRule type="expression" dxfId="5671" priority="655">
      <formula>AND(IF($Q90=3,1,0),IF($X90&lt;30,1,0))</formula>
    </cfRule>
    <cfRule type="expression" dxfId="5670" priority="656">
      <formula>AND(IF($Q90=3,1,IF($Q90=4,1,0)),IF($F90&lt;=85,1,0))</formula>
    </cfRule>
  </conditionalFormatting>
  <conditionalFormatting sqref="AV91">
    <cfRule type="expression" dxfId="5669" priority="651">
      <formula>AV91="X"</formula>
    </cfRule>
    <cfRule type="expression" dxfId="5668" priority="652">
      <formula>AV91="후보"</formula>
    </cfRule>
  </conditionalFormatting>
  <conditionalFormatting sqref="AC91 N91">
    <cfRule type="cellIs" dxfId="5667" priority="649" operator="greaterThan">
      <formula>0.9</formula>
    </cfRule>
    <cfRule type="cellIs" dxfId="5666" priority="650" operator="greaterThan">
      <formula>0.85</formula>
    </cfRule>
  </conditionalFormatting>
  <conditionalFormatting sqref="AV92">
    <cfRule type="expression" dxfId="5665" priority="647">
      <formula>AV92="X"</formula>
    </cfRule>
    <cfRule type="expression" dxfId="5664" priority="648">
      <formula>AV92="후보"</formula>
    </cfRule>
  </conditionalFormatting>
  <conditionalFormatting sqref="AC92">
    <cfRule type="cellIs" dxfId="5663" priority="645" operator="greaterThan">
      <formula>0.9</formula>
    </cfRule>
    <cfRule type="cellIs" dxfId="5662" priority="646" operator="greaterThan">
      <formula>0.85</formula>
    </cfRule>
  </conditionalFormatting>
  <conditionalFormatting sqref="N92">
    <cfRule type="cellIs" dxfId="5661" priority="643" operator="greaterThan">
      <formula>0.9</formula>
    </cfRule>
    <cfRule type="cellIs" dxfId="5660" priority="644" operator="greaterThan">
      <formula>0.85</formula>
    </cfRule>
  </conditionalFormatting>
  <conditionalFormatting sqref="E92">
    <cfRule type="expression" dxfId="5659" priority="639">
      <formula>AND(IF(OR($Q92=1,$Q92=2),1,0),IF($X92&lt;=20,1,0))</formula>
    </cfRule>
    <cfRule type="expression" dxfId="5658" priority="640">
      <formula>AND(IF($Q92=2,1,0),IF($X92&lt;30,1,0))</formula>
    </cfRule>
    <cfRule type="expression" dxfId="5657" priority="641">
      <formula>AND(IF($Q92=3,1,0),IF($X92&lt;30,1,0))</formula>
    </cfRule>
    <cfRule type="expression" dxfId="5656" priority="642">
      <formula>AND(IF($Q92=3,1,IF($Q92=4,1,0)),IF($F92&lt;=85,1,0))</formula>
    </cfRule>
  </conditionalFormatting>
  <conditionalFormatting sqref="X92">
    <cfRule type="expression" dxfId="5655" priority="635">
      <formula>AND(IF(OR($Q92=1,$Q92=2),1,0),IF($X92&lt;=20,1,0))</formula>
    </cfRule>
    <cfRule type="expression" dxfId="5654" priority="636">
      <formula>AND(IF($Q92=2,1,0),IF($X92&lt;30,1,0))</formula>
    </cfRule>
    <cfRule type="expression" dxfId="5653" priority="637">
      <formula>AND(IF($Q92=3,1,0),IF($X92&lt;30,1,0))</formula>
    </cfRule>
    <cfRule type="expression" dxfId="5652" priority="638">
      <formula>AND(IF($Q92=3,1,IF($Q92=4,1,0)),IF($F92&lt;=85,1,0))</formula>
    </cfRule>
  </conditionalFormatting>
  <conditionalFormatting sqref="AI92">
    <cfRule type="expression" dxfId="5651" priority="631">
      <formula>AND(IF(OR($Q92=1,$Q92=2),1,0),IF($X92&lt;=20,1,0))</formula>
    </cfRule>
    <cfRule type="expression" dxfId="5650" priority="632">
      <formula>AND(IF($Q92=2,1,0),IF($X92&lt;30,1,0))</formula>
    </cfRule>
    <cfRule type="expression" dxfId="5649" priority="633">
      <formula>AND(IF($Q92=3,1,0),IF($X92&lt;30,1,0))</formula>
    </cfRule>
    <cfRule type="expression" dxfId="5648" priority="634">
      <formula>AND(IF($Q92=3,1,IF($Q92=4,1,0)),IF($F92&lt;=85,1,0))</formula>
    </cfRule>
  </conditionalFormatting>
  <conditionalFormatting sqref="AV93">
    <cfRule type="expression" dxfId="5647" priority="629">
      <formula>AV93="X"</formula>
    </cfRule>
    <cfRule type="expression" dxfId="5646" priority="630">
      <formula>AV93="후보"</formula>
    </cfRule>
  </conditionalFormatting>
  <conditionalFormatting sqref="AC93">
    <cfRule type="cellIs" dxfId="5645" priority="627" operator="greaterThan">
      <formula>0.9</formula>
    </cfRule>
    <cfRule type="cellIs" dxfId="5644" priority="628" operator="greaterThan">
      <formula>0.85</formula>
    </cfRule>
  </conditionalFormatting>
  <conditionalFormatting sqref="N93">
    <cfRule type="cellIs" dxfId="5643" priority="625" operator="greaterThan">
      <formula>0.9</formula>
    </cfRule>
    <cfRule type="cellIs" dxfId="5642" priority="626" operator="greaterThan">
      <formula>0.85</formula>
    </cfRule>
  </conditionalFormatting>
  <conditionalFormatting sqref="E93">
    <cfRule type="expression" dxfId="5641" priority="621">
      <formula>AND(IF(OR($Q93=1,$Q93=2),1,0),IF($X93&lt;=20,1,0))</formula>
    </cfRule>
    <cfRule type="expression" dxfId="5640" priority="622">
      <formula>AND(IF($Q93=2,1,0),IF($X93&lt;30,1,0))</formula>
    </cfRule>
    <cfRule type="expression" dxfId="5639" priority="623">
      <formula>AND(IF($Q93=3,1,0),IF($X93&lt;30,1,0))</formula>
    </cfRule>
    <cfRule type="expression" dxfId="5638" priority="624">
      <formula>AND(IF($Q93=3,1,IF($Q93=4,1,0)),IF($F93&lt;=85,1,0))</formula>
    </cfRule>
  </conditionalFormatting>
  <conditionalFormatting sqref="X93">
    <cfRule type="expression" dxfId="5637" priority="617">
      <formula>AND(IF(OR($Q93=1,$Q93=2),1,0),IF($X93&lt;=20,1,0))</formula>
    </cfRule>
    <cfRule type="expression" dxfId="5636" priority="618">
      <formula>AND(IF($Q93=2,1,0),IF($X93&lt;30,1,0))</formula>
    </cfRule>
    <cfRule type="expression" dxfId="5635" priority="619">
      <formula>AND(IF($Q93=3,1,0),IF($X93&lt;30,1,0))</formula>
    </cfRule>
    <cfRule type="expression" dxfId="5634" priority="620">
      <formula>AND(IF($Q93=3,1,IF($Q93=4,1,0)),IF($F93&lt;=85,1,0))</formula>
    </cfRule>
  </conditionalFormatting>
  <conditionalFormatting sqref="AI93">
    <cfRule type="expression" dxfId="5633" priority="613">
      <formula>AND(IF(OR($Q93=1,$Q93=2),1,0),IF($X93&lt;=20,1,0))</formula>
    </cfRule>
    <cfRule type="expression" dxfId="5632" priority="614">
      <formula>AND(IF($Q93=2,1,0),IF($X93&lt;30,1,0))</formula>
    </cfRule>
    <cfRule type="expression" dxfId="5631" priority="615">
      <formula>AND(IF($Q93=3,1,0),IF($X93&lt;30,1,0))</formula>
    </cfRule>
    <cfRule type="expression" dxfId="5630" priority="616">
      <formula>AND(IF($Q93=3,1,IF($Q93=4,1,0)),IF($F93&lt;=85,1,0))</formula>
    </cfRule>
  </conditionalFormatting>
  <conditionalFormatting sqref="AV94">
    <cfRule type="expression" dxfId="5629" priority="611">
      <formula>AV94="X"</formula>
    </cfRule>
    <cfRule type="expression" dxfId="5628" priority="612">
      <formula>AV94="후보"</formula>
    </cfRule>
  </conditionalFormatting>
  <conditionalFormatting sqref="AC94">
    <cfRule type="cellIs" dxfId="5627" priority="609" operator="greaterThan">
      <formula>0.9</formula>
    </cfRule>
    <cfRule type="cellIs" dxfId="5626" priority="610" operator="greaterThan">
      <formula>0.85</formula>
    </cfRule>
  </conditionalFormatting>
  <conditionalFormatting sqref="N94">
    <cfRule type="cellIs" dxfId="5625" priority="607" operator="greaterThan">
      <formula>0.9</formula>
    </cfRule>
    <cfRule type="cellIs" dxfId="5624" priority="608" operator="greaterThan">
      <formula>0.85</formula>
    </cfRule>
  </conditionalFormatting>
  <conditionalFormatting sqref="E94">
    <cfRule type="expression" dxfId="5623" priority="603">
      <formula>AND(IF(OR($Q94=1,$Q94=2),1,0),IF($X94&lt;=20,1,0))</formula>
    </cfRule>
    <cfRule type="expression" dxfId="5622" priority="604">
      <formula>AND(IF($Q94=2,1,0),IF($X94&lt;30,1,0))</formula>
    </cfRule>
    <cfRule type="expression" dxfId="5621" priority="605">
      <formula>AND(IF($Q94=3,1,0),IF($X94&lt;30,1,0))</formula>
    </cfRule>
    <cfRule type="expression" dxfId="5620" priority="606">
      <formula>AND(IF($Q94=3,1,IF($Q94=4,1,0)),IF($F94&lt;=85,1,0))</formula>
    </cfRule>
  </conditionalFormatting>
  <conditionalFormatting sqref="X94">
    <cfRule type="expression" dxfId="5619" priority="599">
      <formula>AND(IF(OR($Q94=1,$Q94=2),1,0),IF($X94&lt;=20,1,0))</formula>
    </cfRule>
    <cfRule type="expression" dxfId="5618" priority="600">
      <formula>AND(IF($Q94=2,1,0),IF($X94&lt;30,1,0))</formula>
    </cfRule>
    <cfRule type="expression" dxfId="5617" priority="601">
      <formula>AND(IF($Q94=3,1,0),IF($X94&lt;30,1,0))</formula>
    </cfRule>
    <cfRule type="expression" dxfId="5616" priority="602">
      <formula>AND(IF($Q94=3,1,IF($Q94=4,1,0)),IF($F94&lt;=85,1,0))</formula>
    </cfRule>
  </conditionalFormatting>
  <conditionalFormatting sqref="AI94">
    <cfRule type="expression" dxfId="5615" priority="595">
      <formula>AND(IF(OR($Q94=1,$Q94=2),1,0),IF($X94&lt;=20,1,0))</formula>
    </cfRule>
    <cfRule type="expression" dxfId="5614" priority="596">
      <formula>AND(IF($Q94=2,1,0),IF($X94&lt;30,1,0))</formula>
    </cfRule>
    <cfRule type="expression" dxfId="5613" priority="597">
      <formula>AND(IF($Q94=3,1,0),IF($X94&lt;30,1,0))</formula>
    </cfRule>
    <cfRule type="expression" dxfId="5612" priority="598">
      <formula>AND(IF($Q94=3,1,IF($Q94=4,1,0)),IF($F94&lt;=85,1,0))</formula>
    </cfRule>
  </conditionalFormatting>
  <conditionalFormatting sqref="AV95">
    <cfRule type="expression" dxfId="5611" priority="593">
      <formula>AV95="X"</formula>
    </cfRule>
    <cfRule type="expression" dxfId="5610" priority="594">
      <formula>AV95="후보"</formula>
    </cfRule>
  </conditionalFormatting>
  <conditionalFormatting sqref="AC95">
    <cfRule type="cellIs" dxfId="5609" priority="591" operator="greaterThan">
      <formula>0.9</formula>
    </cfRule>
    <cfRule type="cellIs" dxfId="5608" priority="592" operator="greaterThan">
      <formula>0.85</formula>
    </cfRule>
  </conditionalFormatting>
  <conditionalFormatting sqref="N95">
    <cfRule type="cellIs" dxfId="5607" priority="589" operator="greaterThan">
      <formula>0.9</formula>
    </cfRule>
    <cfRule type="cellIs" dxfId="5606" priority="590" operator="greaterThan">
      <formula>0.85</formula>
    </cfRule>
  </conditionalFormatting>
  <conditionalFormatting sqref="E95">
    <cfRule type="expression" dxfId="5605" priority="585">
      <formula>AND(IF(OR($Q95=1,$Q95=2),1,0),IF($X95&lt;=20,1,0))</formula>
    </cfRule>
    <cfRule type="expression" dxfId="5604" priority="586">
      <formula>AND(IF($Q95=2,1,0),IF($X95&lt;30,1,0))</formula>
    </cfRule>
    <cfRule type="expression" dxfId="5603" priority="587">
      <formula>AND(IF($Q95=3,1,0),IF($X95&lt;30,1,0))</formula>
    </cfRule>
    <cfRule type="expression" dxfId="5602" priority="588">
      <formula>AND(IF($Q95=3,1,IF($Q95=4,1,0)),IF($F95&lt;=85,1,0))</formula>
    </cfRule>
  </conditionalFormatting>
  <conditionalFormatting sqref="X95">
    <cfRule type="expression" dxfId="5601" priority="581">
      <formula>AND(IF(OR($Q95=1,$Q95=2),1,0),IF($X95&lt;=20,1,0))</formula>
    </cfRule>
    <cfRule type="expression" dxfId="5600" priority="582">
      <formula>AND(IF($Q95=2,1,0),IF($X95&lt;30,1,0))</formula>
    </cfRule>
    <cfRule type="expression" dxfId="5599" priority="583">
      <formula>AND(IF($Q95=3,1,0),IF($X95&lt;30,1,0))</formula>
    </cfRule>
    <cfRule type="expression" dxfId="5598" priority="584">
      <formula>AND(IF($Q95=3,1,IF($Q95=4,1,0)),IF($F95&lt;=85,1,0))</formula>
    </cfRule>
  </conditionalFormatting>
  <conditionalFormatting sqref="AI95">
    <cfRule type="expression" dxfId="5597" priority="577">
      <formula>AND(IF(OR($Q95=1,$Q95=2),1,0),IF($X95&lt;=20,1,0))</formula>
    </cfRule>
    <cfRule type="expression" dxfId="5596" priority="578">
      <formula>AND(IF($Q95=2,1,0),IF($X95&lt;30,1,0))</formula>
    </cfRule>
    <cfRule type="expression" dxfId="5595" priority="579">
      <formula>AND(IF($Q95=3,1,0),IF($X95&lt;30,1,0))</formula>
    </cfRule>
    <cfRule type="expression" dxfId="5594" priority="580">
      <formula>AND(IF($Q95=3,1,IF($Q95=4,1,0)),IF($F95&lt;=85,1,0))</formula>
    </cfRule>
  </conditionalFormatting>
  <conditionalFormatting sqref="AV96">
    <cfRule type="expression" dxfId="5593" priority="575">
      <formula>AV96="X"</formula>
    </cfRule>
    <cfRule type="expression" dxfId="5592" priority="576">
      <formula>AV96="후보"</formula>
    </cfRule>
  </conditionalFormatting>
  <conditionalFormatting sqref="AC96 N96">
    <cfRule type="cellIs" dxfId="5591" priority="573" operator="greaterThan">
      <formula>0.9</formula>
    </cfRule>
    <cfRule type="cellIs" dxfId="5590" priority="574" operator="greaterThan">
      <formula>0.85</formula>
    </cfRule>
  </conditionalFormatting>
  <conditionalFormatting sqref="AV97">
    <cfRule type="expression" dxfId="5589" priority="571">
      <formula>AV97="X"</formula>
    </cfRule>
    <cfRule type="expression" dxfId="5588" priority="572">
      <formula>AV97="후보"</formula>
    </cfRule>
  </conditionalFormatting>
  <conditionalFormatting sqref="AC97">
    <cfRule type="cellIs" dxfId="5587" priority="569" operator="greaterThan">
      <formula>0.9</formula>
    </cfRule>
    <cfRule type="cellIs" dxfId="5586" priority="570" operator="greaterThan">
      <formula>0.85</formula>
    </cfRule>
  </conditionalFormatting>
  <conditionalFormatting sqref="N97">
    <cfRule type="cellIs" dxfId="5585" priority="567" operator="greaterThan">
      <formula>0.9</formula>
    </cfRule>
    <cfRule type="cellIs" dxfId="5584" priority="568" operator="greaterThan">
      <formula>0.85</formula>
    </cfRule>
  </conditionalFormatting>
  <conditionalFormatting sqref="E97">
    <cfRule type="expression" dxfId="5583" priority="563">
      <formula>AND(IF(OR($Q97=1,$Q97=2),1,0),IF($X97&lt;=20,1,0))</formula>
    </cfRule>
    <cfRule type="expression" dxfId="5582" priority="564">
      <formula>AND(IF($Q97=2,1,0),IF($X97&lt;30,1,0))</formula>
    </cfRule>
    <cfRule type="expression" dxfId="5581" priority="565">
      <formula>AND(IF($Q97=3,1,0),IF($X97&lt;30,1,0))</formula>
    </cfRule>
    <cfRule type="expression" dxfId="5580" priority="566">
      <formula>AND(IF($Q97=3,1,IF($Q97=4,1,0)),IF($F97&lt;=85,1,0))</formula>
    </cfRule>
  </conditionalFormatting>
  <conditionalFormatting sqref="X97">
    <cfRule type="expression" dxfId="5579" priority="559">
      <formula>AND(IF(OR($Q97=1,$Q97=2),1,0),IF($X97&lt;=20,1,0))</formula>
    </cfRule>
    <cfRule type="expression" dxfId="5578" priority="560">
      <formula>AND(IF($Q97=2,1,0),IF($X97&lt;30,1,0))</formula>
    </cfRule>
    <cfRule type="expression" dxfId="5577" priority="561">
      <formula>AND(IF($Q97=3,1,0),IF($X97&lt;30,1,0))</formula>
    </cfRule>
    <cfRule type="expression" dxfId="5576" priority="562">
      <formula>AND(IF($Q97=3,1,IF($Q97=4,1,0)),IF($F97&lt;=85,1,0))</formula>
    </cfRule>
  </conditionalFormatting>
  <conditionalFormatting sqref="AI97">
    <cfRule type="expression" dxfId="5575" priority="555">
      <formula>AND(IF(OR($Q97=1,$Q97=2),1,0),IF($X97&lt;=20,1,0))</formula>
    </cfRule>
    <cfRule type="expression" dxfId="5574" priority="556">
      <formula>AND(IF($Q97=2,1,0),IF($X97&lt;30,1,0))</formula>
    </cfRule>
    <cfRule type="expression" dxfId="5573" priority="557">
      <formula>AND(IF($Q97=3,1,0),IF($X97&lt;30,1,0))</formula>
    </cfRule>
    <cfRule type="expression" dxfId="5572" priority="558">
      <formula>AND(IF($Q97=3,1,IF($Q97=4,1,0)),IF($F97&lt;=85,1,0))</formula>
    </cfRule>
  </conditionalFormatting>
  <conditionalFormatting sqref="AV98">
    <cfRule type="expression" dxfId="5571" priority="553">
      <formula>AV98="X"</formula>
    </cfRule>
    <cfRule type="expression" dxfId="5570" priority="554">
      <formula>AV98="후보"</formula>
    </cfRule>
  </conditionalFormatting>
  <conditionalFormatting sqref="AC98">
    <cfRule type="cellIs" dxfId="5569" priority="551" operator="greaterThan">
      <formula>0.9</formula>
    </cfRule>
    <cfRule type="cellIs" dxfId="5568" priority="552" operator="greaterThan">
      <formula>0.85</formula>
    </cfRule>
  </conditionalFormatting>
  <conditionalFormatting sqref="N98">
    <cfRule type="cellIs" dxfId="5567" priority="549" operator="greaterThan">
      <formula>0.9</formula>
    </cfRule>
    <cfRule type="cellIs" dxfId="5566" priority="550" operator="greaterThan">
      <formula>0.85</formula>
    </cfRule>
  </conditionalFormatting>
  <conditionalFormatting sqref="E98">
    <cfRule type="expression" dxfId="5565" priority="545">
      <formula>AND(IF(OR($Q98=1,$Q98=2),1,0),IF($X98&lt;=20,1,0))</formula>
    </cfRule>
    <cfRule type="expression" dxfId="5564" priority="546">
      <formula>AND(IF($Q98=2,1,0),IF($X98&lt;30,1,0))</formula>
    </cfRule>
    <cfRule type="expression" dxfId="5563" priority="547">
      <formula>AND(IF($Q98=3,1,0),IF($X98&lt;30,1,0))</formula>
    </cfRule>
    <cfRule type="expression" dxfId="5562" priority="548">
      <formula>AND(IF($Q98=3,1,IF($Q98=4,1,0)),IF($F98&lt;=85,1,0))</formula>
    </cfRule>
  </conditionalFormatting>
  <conditionalFormatting sqref="X98">
    <cfRule type="expression" dxfId="5561" priority="541">
      <formula>AND(IF(OR($Q98=1,$Q98=2),1,0),IF($X98&lt;=20,1,0))</formula>
    </cfRule>
    <cfRule type="expression" dxfId="5560" priority="542">
      <formula>AND(IF($Q98=2,1,0),IF($X98&lt;30,1,0))</formula>
    </cfRule>
    <cfRule type="expression" dxfId="5559" priority="543">
      <formula>AND(IF($Q98=3,1,0),IF($X98&lt;30,1,0))</formula>
    </cfRule>
    <cfRule type="expression" dxfId="5558" priority="544">
      <formula>AND(IF($Q98=3,1,IF($Q98=4,1,0)),IF($F98&lt;=85,1,0))</formula>
    </cfRule>
  </conditionalFormatting>
  <conditionalFormatting sqref="AI98">
    <cfRule type="expression" dxfId="5557" priority="537">
      <formula>AND(IF(OR($Q98=1,$Q98=2),1,0),IF($X98&lt;=20,1,0))</formula>
    </cfRule>
    <cfRule type="expression" dxfId="5556" priority="538">
      <formula>AND(IF($Q98=2,1,0),IF($X98&lt;30,1,0))</formula>
    </cfRule>
    <cfRule type="expression" dxfId="5555" priority="539">
      <formula>AND(IF($Q98=3,1,0),IF($X98&lt;30,1,0))</formula>
    </cfRule>
    <cfRule type="expression" dxfId="5554" priority="540">
      <formula>AND(IF($Q98=3,1,IF($Q98=4,1,0)),IF($F98&lt;=85,1,0))</formula>
    </cfRule>
  </conditionalFormatting>
  <conditionalFormatting sqref="AV99">
    <cfRule type="expression" dxfId="5553" priority="535">
      <formula>AV99="X"</formula>
    </cfRule>
    <cfRule type="expression" dxfId="5552" priority="536">
      <formula>AV99="후보"</formula>
    </cfRule>
  </conditionalFormatting>
  <conditionalFormatting sqref="AC99">
    <cfRule type="cellIs" dxfId="5551" priority="533" operator="greaterThan">
      <formula>0.9</formula>
    </cfRule>
    <cfRule type="cellIs" dxfId="5550" priority="534" operator="greaterThan">
      <formula>0.85</formula>
    </cfRule>
  </conditionalFormatting>
  <conditionalFormatting sqref="N99">
    <cfRule type="cellIs" dxfId="5549" priority="531" operator="greaterThan">
      <formula>0.9</formula>
    </cfRule>
    <cfRule type="cellIs" dxfId="5548" priority="532" operator="greaterThan">
      <formula>0.85</formula>
    </cfRule>
  </conditionalFormatting>
  <conditionalFormatting sqref="E99">
    <cfRule type="expression" dxfId="5547" priority="527">
      <formula>AND(IF(OR($Q99=1,$Q99=2),1,0),IF($X99&lt;=20,1,0))</formula>
    </cfRule>
    <cfRule type="expression" dxfId="5546" priority="528">
      <formula>AND(IF($Q99=2,1,0),IF($X99&lt;30,1,0))</formula>
    </cfRule>
    <cfRule type="expression" dxfId="5545" priority="529">
      <formula>AND(IF($Q99=3,1,0),IF($X99&lt;30,1,0))</formula>
    </cfRule>
    <cfRule type="expression" dxfId="5544" priority="530">
      <formula>AND(IF($Q99=3,1,IF($Q99=4,1,0)),IF($F99&lt;=85,1,0))</formula>
    </cfRule>
  </conditionalFormatting>
  <conditionalFormatting sqref="X99">
    <cfRule type="expression" dxfId="5543" priority="523">
      <formula>AND(IF(OR($Q99=1,$Q99=2),1,0),IF($X99&lt;=20,1,0))</formula>
    </cfRule>
    <cfRule type="expression" dxfId="5542" priority="524">
      <formula>AND(IF($Q99=2,1,0),IF($X99&lt;30,1,0))</formula>
    </cfRule>
    <cfRule type="expression" dxfId="5541" priority="525">
      <formula>AND(IF($Q99=3,1,0),IF($X99&lt;30,1,0))</formula>
    </cfRule>
    <cfRule type="expression" dxfId="5540" priority="526">
      <formula>AND(IF($Q99=3,1,IF($Q99=4,1,0)),IF($F99&lt;=85,1,0))</formula>
    </cfRule>
  </conditionalFormatting>
  <conditionalFormatting sqref="AI99">
    <cfRule type="expression" dxfId="5539" priority="519">
      <formula>AND(IF(OR($Q99=1,$Q99=2),1,0),IF($X99&lt;=20,1,0))</formula>
    </cfRule>
    <cfRule type="expression" dxfId="5538" priority="520">
      <formula>AND(IF($Q99=2,1,0),IF($X99&lt;30,1,0))</formula>
    </cfRule>
    <cfRule type="expression" dxfId="5537" priority="521">
      <formula>AND(IF($Q99=3,1,0),IF($X99&lt;30,1,0))</formula>
    </cfRule>
    <cfRule type="expression" dxfId="5536" priority="522">
      <formula>AND(IF($Q99=3,1,IF($Q99=4,1,0)),IF($F99&lt;=85,1,0))</formula>
    </cfRule>
  </conditionalFormatting>
  <conditionalFormatting sqref="AV100">
    <cfRule type="expression" dxfId="5535" priority="517">
      <formula>AV100="X"</formula>
    </cfRule>
    <cfRule type="expression" dxfId="5534" priority="518">
      <formula>AV100="후보"</formula>
    </cfRule>
  </conditionalFormatting>
  <conditionalFormatting sqref="AC100">
    <cfRule type="cellIs" dxfId="5533" priority="515" operator="greaterThan">
      <formula>0.9</formula>
    </cfRule>
    <cfRule type="cellIs" dxfId="5532" priority="516" operator="greaterThan">
      <formula>0.85</formula>
    </cfRule>
  </conditionalFormatting>
  <conditionalFormatting sqref="N100">
    <cfRule type="cellIs" dxfId="5531" priority="513" operator="greaterThan">
      <formula>0.9</formula>
    </cfRule>
    <cfRule type="cellIs" dxfId="5530" priority="514" operator="greaterThan">
      <formula>0.85</formula>
    </cfRule>
  </conditionalFormatting>
  <conditionalFormatting sqref="E100">
    <cfRule type="expression" dxfId="5529" priority="509">
      <formula>AND(IF(OR($Q100=1,$Q100=2),1,0),IF($X100&lt;=20,1,0))</formula>
    </cfRule>
    <cfRule type="expression" dxfId="5528" priority="510">
      <formula>AND(IF($Q100=2,1,0),IF($X100&lt;30,1,0))</formula>
    </cfRule>
    <cfRule type="expression" dxfId="5527" priority="511">
      <formula>AND(IF($Q100=3,1,0),IF($X100&lt;30,1,0))</formula>
    </cfRule>
    <cfRule type="expression" dxfId="5526" priority="512">
      <formula>AND(IF($Q100=3,1,IF($Q100=4,1,0)),IF($F100&lt;=85,1,0))</formula>
    </cfRule>
  </conditionalFormatting>
  <conditionalFormatting sqref="X100">
    <cfRule type="expression" dxfId="5525" priority="505">
      <formula>AND(IF(OR($Q100=1,$Q100=2),1,0),IF($X100&lt;=20,1,0))</formula>
    </cfRule>
    <cfRule type="expression" dxfId="5524" priority="506">
      <formula>AND(IF($Q100=2,1,0),IF($X100&lt;30,1,0))</formula>
    </cfRule>
    <cfRule type="expression" dxfId="5523" priority="507">
      <formula>AND(IF($Q100=3,1,0),IF($X100&lt;30,1,0))</formula>
    </cfRule>
    <cfRule type="expression" dxfId="5522" priority="508">
      <formula>AND(IF($Q100=3,1,IF($Q100=4,1,0)),IF($F100&lt;=85,1,0))</formula>
    </cfRule>
  </conditionalFormatting>
  <conditionalFormatting sqref="AI100">
    <cfRule type="expression" dxfId="5521" priority="501">
      <formula>AND(IF(OR($Q100=1,$Q100=2),1,0),IF($X100&lt;=20,1,0))</formula>
    </cfRule>
    <cfRule type="expression" dxfId="5520" priority="502">
      <formula>AND(IF($Q100=2,1,0),IF($X100&lt;30,1,0))</formula>
    </cfRule>
    <cfRule type="expression" dxfId="5519" priority="503">
      <formula>AND(IF($Q100=3,1,0),IF($X100&lt;30,1,0))</formula>
    </cfRule>
    <cfRule type="expression" dxfId="5518" priority="504">
      <formula>AND(IF($Q100=3,1,IF($Q100=4,1,0)),IF($F100&lt;=85,1,0))</formula>
    </cfRule>
  </conditionalFormatting>
  <conditionalFormatting sqref="AV101">
    <cfRule type="expression" dxfId="5517" priority="499">
      <formula>AV101="X"</formula>
    </cfRule>
    <cfRule type="expression" dxfId="5516" priority="500">
      <formula>AV101="후보"</formula>
    </cfRule>
  </conditionalFormatting>
  <conditionalFormatting sqref="AC101 N101">
    <cfRule type="cellIs" dxfId="5515" priority="497" operator="greaterThan">
      <formula>0.9</formula>
    </cfRule>
    <cfRule type="cellIs" dxfId="5514" priority="498" operator="greaterThan">
      <formula>0.85</formula>
    </cfRule>
  </conditionalFormatting>
  <conditionalFormatting sqref="AV102">
    <cfRule type="expression" dxfId="5513" priority="495">
      <formula>AV102="X"</formula>
    </cfRule>
    <cfRule type="expression" dxfId="5512" priority="496">
      <formula>AV102="후보"</formula>
    </cfRule>
  </conditionalFormatting>
  <conditionalFormatting sqref="AC102">
    <cfRule type="cellIs" dxfId="5511" priority="493" operator="greaterThan">
      <formula>0.9</formula>
    </cfRule>
    <cfRule type="cellIs" dxfId="5510" priority="494" operator="greaterThan">
      <formula>0.85</formula>
    </cfRule>
  </conditionalFormatting>
  <conditionalFormatting sqref="N102">
    <cfRule type="cellIs" dxfId="5509" priority="491" operator="greaterThan">
      <formula>0.9</formula>
    </cfRule>
    <cfRule type="cellIs" dxfId="5508" priority="492" operator="greaterThan">
      <formula>0.85</formula>
    </cfRule>
  </conditionalFormatting>
  <conditionalFormatting sqref="E102">
    <cfRule type="expression" dxfId="5507" priority="487">
      <formula>AND(IF(OR($Q102=1,$Q102=2),1,0),IF($X102&lt;=20,1,0))</formula>
    </cfRule>
    <cfRule type="expression" dxfId="5506" priority="488">
      <formula>AND(IF($Q102=2,1,0),IF($X102&lt;30,1,0))</formula>
    </cfRule>
    <cfRule type="expression" dxfId="5505" priority="489">
      <formula>AND(IF($Q102=3,1,0),IF($X102&lt;30,1,0))</formula>
    </cfRule>
    <cfRule type="expression" dxfId="5504" priority="490">
      <formula>AND(IF($Q102=3,1,IF($Q102=4,1,0)),IF($F102&lt;=85,1,0))</formula>
    </cfRule>
  </conditionalFormatting>
  <conditionalFormatting sqref="X102">
    <cfRule type="expression" dxfId="5503" priority="483">
      <formula>AND(IF(OR($Q102=1,$Q102=2),1,0),IF($X102&lt;=20,1,0))</formula>
    </cfRule>
    <cfRule type="expression" dxfId="5502" priority="484">
      <formula>AND(IF($Q102=2,1,0),IF($X102&lt;30,1,0))</formula>
    </cfRule>
    <cfRule type="expression" dxfId="5501" priority="485">
      <formula>AND(IF($Q102=3,1,0),IF($X102&lt;30,1,0))</formula>
    </cfRule>
    <cfRule type="expression" dxfId="5500" priority="486">
      <formula>AND(IF($Q102=3,1,IF($Q102=4,1,0)),IF($F102&lt;=85,1,0))</formula>
    </cfRule>
  </conditionalFormatting>
  <conditionalFormatting sqref="AI102">
    <cfRule type="expression" dxfId="5499" priority="479">
      <formula>AND(IF(OR($Q102=1,$Q102=2),1,0),IF($X102&lt;=20,1,0))</formula>
    </cfRule>
    <cfRule type="expression" dxfId="5498" priority="480">
      <formula>AND(IF($Q102=2,1,0),IF($X102&lt;30,1,0))</formula>
    </cfRule>
    <cfRule type="expression" dxfId="5497" priority="481">
      <formula>AND(IF($Q102=3,1,0),IF($X102&lt;30,1,0))</formula>
    </cfRule>
    <cfRule type="expression" dxfId="5496" priority="482">
      <formula>AND(IF($Q102=3,1,IF($Q102=4,1,0)),IF($F102&lt;=85,1,0))</formula>
    </cfRule>
  </conditionalFormatting>
  <conditionalFormatting sqref="AV103">
    <cfRule type="expression" dxfId="5495" priority="477">
      <formula>AV103="X"</formula>
    </cfRule>
    <cfRule type="expression" dxfId="5494" priority="478">
      <formula>AV103="후보"</formula>
    </cfRule>
  </conditionalFormatting>
  <conditionalFormatting sqref="AC103">
    <cfRule type="cellIs" dxfId="5493" priority="475" operator="greaterThan">
      <formula>0.9</formula>
    </cfRule>
    <cfRule type="cellIs" dxfId="5492" priority="476" operator="greaterThan">
      <formula>0.85</formula>
    </cfRule>
  </conditionalFormatting>
  <conditionalFormatting sqref="N103">
    <cfRule type="cellIs" dxfId="5491" priority="473" operator="greaterThan">
      <formula>0.9</formula>
    </cfRule>
    <cfRule type="cellIs" dxfId="5490" priority="474" operator="greaterThan">
      <formula>0.85</formula>
    </cfRule>
  </conditionalFormatting>
  <conditionalFormatting sqref="E103">
    <cfRule type="expression" dxfId="5489" priority="469">
      <formula>AND(IF(OR($Q103=1,$Q103=2),1,0),IF($X103&lt;=20,1,0))</formula>
    </cfRule>
    <cfRule type="expression" dxfId="5488" priority="470">
      <formula>AND(IF($Q103=2,1,0),IF($X103&lt;30,1,0))</formula>
    </cfRule>
    <cfRule type="expression" dxfId="5487" priority="471">
      <formula>AND(IF($Q103=3,1,0),IF($X103&lt;30,1,0))</formula>
    </cfRule>
    <cfRule type="expression" dxfId="5486" priority="472">
      <formula>AND(IF($Q103=3,1,IF($Q103=4,1,0)),IF($F103&lt;=85,1,0))</formula>
    </cfRule>
  </conditionalFormatting>
  <conditionalFormatting sqref="X103">
    <cfRule type="expression" dxfId="5485" priority="465">
      <formula>AND(IF(OR($Q103=1,$Q103=2),1,0),IF($X103&lt;=20,1,0))</formula>
    </cfRule>
    <cfRule type="expression" dxfId="5484" priority="466">
      <formula>AND(IF($Q103=2,1,0),IF($X103&lt;30,1,0))</formula>
    </cfRule>
    <cfRule type="expression" dxfId="5483" priority="467">
      <formula>AND(IF($Q103=3,1,0),IF($X103&lt;30,1,0))</formula>
    </cfRule>
    <cfRule type="expression" dxfId="5482" priority="468">
      <formula>AND(IF($Q103=3,1,IF($Q103=4,1,0)),IF($F103&lt;=85,1,0))</formula>
    </cfRule>
  </conditionalFormatting>
  <conditionalFormatting sqref="AI103">
    <cfRule type="expression" dxfId="5481" priority="461">
      <formula>AND(IF(OR($Q103=1,$Q103=2),1,0),IF($X103&lt;=20,1,0))</formula>
    </cfRule>
    <cfRule type="expression" dxfId="5480" priority="462">
      <formula>AND(IF($Q103=2,1,0),IF($X103&lt;30,1,0))</formula>
    </cfRule>
    <cfRule type="expression" dxfId="5479" priority="463">
      <formula>AND(IF($Q103=3,1,0),IF($X103&lt;30,1,0))</formula>
    </cfRule>
    <cfRule type="expression" dxfId="5478" priority="464">
      <formula>AND(IF($Q103=3,1,IF($Q103=4,1,0)),IF($F103&lt;=85,1,0))</formula>
    </cfRule>
  </conditionalFormatting>
  <conditionalFormatting sqref="AV104">
    <cfRule type="expression" dxfId="5477" priority="459">
      <formula>AV104="X"</formula>
    </cfRule>
    <cfRule type="expression" dxfId="5476" priority="460">
      <formula>AV104="후보"</formula>
    </cfRule>
  </conditionalFormatting>
  <conditionalFormatting sqref="AC104">
    <cfRule type="cellIs" dxfId="5475" priority="457" operator="greaterThan">
      <formula>0.9</formula>
    </cfRule>
    <cfRule type="cellIs" dxfId="5474" priority="458" operator="greaterThan">
      <formula>0.85</formula>
    </cfRule>
  </conditionalFormatting>
  <conditionalFormatting sqref="N104">
    <cfRule type="cellIs" dxfId="5473" priority="455" operator="greaterThan">
      <formula>0.9</formula>
    </cfRule>
    <cfRule type="cellIs" dxfId="5472" priority="456" operator="greaterThan">
      <formula>0.85</formula>
    </cfRule>
  </conditionalFormatting>
  <conditionalFormatting sqref="E104">
    <cfRule type="expression" dxfId="5471" priority="451">
      <formula>AND(IF(OR($Q104=1,$Q104=2),1,0),IF($X104&lt;=20,1,0))</formula>
    </cfRule>
    <cfRule type="expression" dxfId="5470" priority="452">
      <formula>AND(IF($Q104=2,1,0),IF($X104&lt;30,1,0))</formula>
    </cfRule>
    <cfRule type="expression" dxfId="5469" priority="453">
      <formula>AND(IF($Q104=3,1,0),IF($X104&lt;30,1,0))</formula>
    </cfRule>
    <cfRule type="expression" dxfId="5468" priority="454">
      <formula>AND(IF($Q104=3,1,IF($Q104=4,1,0)),IF($F104&lt;=85,1,0))</formula>
    </cfRule>
  </conditionalFormatting>
  <conditionalFormatting sqref="X104">
    <cfRule type="expression" dxfId="5467" priority="447">
      <formula>AND(IF(OR($Q104=1,$Q104=2),1,0),IF($X104&lt;=20,1,0))</formula>
    </cfRule>
    <cfRule type="expression" dxfId="5466" priority="448">
      <formula>AND(IF($Q104=2,1,0),IF($X104&lt;30,1,0))</formula>
    </cfRule>
    <cfRule type="expression" dxfId="5465" priority="449">
      <formula>AND(IF($Q104=3,1,0),IF($X104&lt;30,1,0))</formula>
    </cfRule>
    <cfRule type="expression" dxfId="5464" priority="450">
      <formula>AND(IF($Q104=3,1,IF($Q104=4,1,0)),IF($F104&lt;=85,1,0))</formula>
    </cfRule>
  </conditionalFormatting>
  <conditionalFormatting sqref="AI104">
    <cfRule type="expression" dxfId="5463" priority="443">
      <formula>AND(IF(OR($Q104=1,$Q104=2),1,0),IF($X104&lt;=20,1,0))</formula>
    </cfRule>
    <cfRule type="expression" dxfId="5462" priority="444">
      <formula>AND(IF($Q104=2,1,0),IF($X104&lt;30,1,0))</formula>
    </cfRule>
    <cfRule type="expression" dxfId="5461" priority="445">
      <formula>AND(IF($Q104=3,1,0),IF($X104&lt;30,1,0))</formula>
    </cfRule>
    <cfRule type="expression" dxfId="5460" priority="446">
      <formula>AND(IF($Q104=3,1,IF($Q104=4,1,0)),IF($F104&lt;=85,1,0))</formula>
    </cfRule>
  </conditionalFormatting>
  <conditionalFormatting sqref="AV105">
    <cfRule type="expression" dxfId="5459" priority="441">
      <formula>AV105="X"</formula>
    </cfRule>
    <cfRule type="expression" dxfId="5458" priority="442">
      <formula>AV105="후보"</formula>
    </cfRule>
  </conditionalFormatting>
  <conditionalFormatting sqref="AC105">
    <cfRule type="cellIs" dxfId="5457" priority="439" operator="greaterThan">
      <formula>0.9</formula>
    </cfRule>
    <cfRule type="cellIs" dxfId="5456" priority="440" operator="greaterThan">
      <formula>0.85</formula>
    </cfRule>
  </conditionalFormatting>
  <conditionalFormatting sqref="N105">
    <cfRule type="cellIs" dxfId="5455" priority="437" operator="greaterThan">
      <formula>0.9</formula>
    </cfRule>
    <cfRule type="cellIs" dxfId="5454" priority="438" operator="greaterThan">
      <formula>0.85</formula>
    </cfRule>
  </conditionalFormatting>
  <conditionalFormatting sqref="E105">
    <cfRule type="expression" dxfId="5453" priority="433">
      <formula>AND(IF(OR($Q105=1,$Q105=2),1,0),IF($X105&lt;=20,1,0))</formula>
    </cfRule>
    <cfRule type="expression" dxfId="5452" priority="434">
      <formula>AND(IF($Q105=2,1,0),IF($X105&lt;30,1,0))</formula>
    </cfRule>
    <cfRule type="expression" dxfId="5451" priority="435">
      <formula>AND(IF($Q105=3,1,0),IF($X105&lt;30,1,0))</formula>
    </cfRule>
    <cfRule type="expression" dxfId="5450" priority="436">
      <formula>AND(IF($Q105=3,1,IF($Q105=4,1,0)),IF($F105&lt;=85,1,0))</formula>
    </cfRule>
  </conditionalFormatting>
  <conditionalFormatting sqref="X105">
    <cfRule type="expression" dxfId="5449" priority="429">
      <formula>AND(IF(OR($Q105=1,$Q105=2),1,0),IF($X105&lt;=20,1,0))</formula>
    </cfRule>
    <cfRule type="expression" dxfId="5448" priority="430">
      <formula>AND(IF($Q105=2,1,0),IF($X105&lt;30,1,0))</formula>
    </cfRule>
    <cfRule type="expression" dxfId="5447" priority="431">
      <formula>AND(IF($Q105=3,1,0),IF($X105&lt;30,1,0))</formula>
    </cfRule>
    <cfRule type="expression" dxfId="5446" priority="432">
      <formula>AND(IF($Q105=3,1,IF($Q105=4,1,0)),IF($F105&lt;=85,1,0))</formula>
    </cfRule>
  </conditionalFormatting>
  <conditionalFormatting sqref="AI105">
    <cfRule type="expression" dxfId="5445" priority="425">
      <formula>AND(IF(OR($Q105=1,$Q105=2),1,0),IF($X105&lt;=20,1,0))</formula>
    </cfRule>
    <cfRule type="expression" dxfId="5444" priority="426">
      <formula>AND(IF($Q105=2,1,0),IF($X105&lt;30,1,0))</formula>
    </cfRule>
    <cfRule type="expression" dxfId="5443" priority="427">
      <formula>AND(IF($Q105=3,1,0),IF($X105&lt;30,1,0))</formula>
    </cfRule>
    <cfRule type="expression" dxfId="5442" priority="428">
      <formula>AND(IF($Q105=3,1,IF($Q105=4,1,0)),IF($F105&lt;=85,1,0))</formula>
    </cfRule>
  </conditionalFormatting>
  <conditionalFormatting sqref="AV106">
    <cfRule type="expression" dxfId="5441" priority="423">
      <formula>AV106="X"</formula>
    </cfRule>
    <cfRule type="expression" dxfId="5440" priority="424">
      <formula>AV106="후보"</formula>
    </cfRule>
  </conditionalFormatting>
  <conditionalFormatting sqref="AC106 N106">
    <cfRule type="cellIs" dxfId="5439" priority="421" operator="greaterThan">
      <formula>0.9</formula>
    </cfRule>
    <cfRule type="cellIs" dxfId="5438" priority="422" operator="greaterThan">
      <formula>0.85</formula>
    </cfRule>
  </conditionalFormatting>
  <conditionalFormatting sqref="AV107">
    <cfRule type="expression" dxfId="5437" priority="419">
      <formula>AV107="X"</formula>
    </cfRule>
    <cfRule type="expression" dxfId="5436" priority="420">
      <formula>AV107="후보"</formula>
    </cfRule>
  </conditionalFormatting>
  <conditionalFormatting sqref="AC107">
    <cfRule type="cellIs" dxfId="5435" priority="417" operator="greaterThan">
      <formula>0.9</formula>
    </cfRule>
    <cfRule type="cellIs" dxfId="5434" priority="418" operator="greaterThan">
      <formula>0.85</formula>
    </cfRule>
  </conditionalFormatting>
  <conditionalFormatting sqref="N107">
    <cfRule type="cellIs" dxfId="5433" priority="415" operator="greaterThan">
      <formula>0.9</formula>
    </cfRule>
    <cfRule type="cellIs" dxfId="5432" priority="416" operator="greaterThan">
      <formula>0.85</formula>
    </cfRule>
  </conditionalFormatting>
  <conditionalFormatting sqref="E107">
    <cfRule type="expression" dxfId="5431" priority="411">
      <formula>AND(IF(OR($Q107=1,$Q107=2),1,0),IF($X107&lt;=20,1,0))</formula>
    </cfRule>
    <cfRule type="expression" dxfId="5430" priority="412">
      <formula>AND(IF($Q107=2,1,0),IF($X107&lt;30,1,0))</formula>
    </cfRule>
    <cfRule type="expression" dxfId="5429" priority="413">
      <formula>AND(IF($Q107=3,1,0),IF($X107&lt;30,1,0))</formula>
    </cfRule>
    <cfRule type="expression" dxfId="5428" priority="414">
      <formula>AND(IF($Q107=3,1,IF($Q107=4,1,0)),IF($F107&lt;=85,1,0))</formula>
    </cfRule>
  </conditionalFormatting>
  <conditionalFormatting sqref="X107">
    <cfRule type="expression" dxfId="5427" priority="407">
      <formula>AND(IF(OR($Q107=1,$Q107=2),1,0),IF($X107&lt;=20,1,0))</formula>
    </cfRule>
    <cfRule type="expression" dxfId="5426" priority="408">
      <formula>AND(IF($Q107=2,1,0),IF($X107&lt;30,1,0))</formula>
    </cfRule>
    <cfRule type="expression" dxfId="5425" priority="409">
      <formula>AND(IF($Q107=3,1,0),IF($X107&lt;30,1,0))</formula>
    </cfRule>
    <cfRule type="expression" dxfId="5424" priority="410">
      <formula>AND(IF($Q107=3,1,IF($Q107=4,1,0)),IF($F107&lt;=85,1,0))</formula>
    </cfRule>
  </conditionalFormatting>
  <conditionalFormatting sqref="AI107">
    <cfRule type="expression" dxfId="5423" priority="403">
      <formula>AND(IF(OR($Q107=1,$Q107=2),1,0),IF($X107&lt;=20,1,0))</formula>
    </cfRule>
    <cfRule type="expression" dxfId="5422" priority="404">
      <formula>AND(IF($Q107=2,1,0),IF($X107&lt;30,1,0))</formula>
    </cfRule>
    <cfRule type="expression" dxfId="5421" priority="405">
      <formula>AND(IF($Q107=3,1,0),IF($X107&lt;30,1,0))</formula>
    </cfRule>
    <cfRule type="expression" dxfId="5420" priority="406">
      <formula>AND(IF($Q107=3,1,IF($Q107=4,1,0)),IF($F107&lt;=85,1,0))</formula>
    </cfRule>
  </conditionalFormatting>
  <conditionalFormatting sqref="AV108">
    <cfRule type="expression" dxfId="5419" priority="401">
      <formula>AV108="X"</formula>
    </cfRule>
    <cfRule type="expression" dxfId="5418" priority="402">
      <formula>AV108="후보"</formula>
    </cfRule>
  </conditionalFormatting>
  <conditionalFormatting sqref="AC108 N108">
    <cfRule type="cellIs" dxfId="5417" priority="399" operator="greaterThan">
      <formula>0.9</formula>
    </cfRule>
    <cfRule type="cellIs" dxfId="5416" priority="400" operator="greaterThan">
      <formula>0.85</formula>
    </cfRule>
  </conditionalFormatting>
  <conditionalFormatting sqref="AV109">
    <cfRule type="expression" dxfId="5415" priority="397">
      <formula>AV109="X"</formula>
    </cfRule>
    <cfRule type="expression" dxfId="5414" priority="398">
      <formula>AV109="후보"</formula>
    </cfRule>
  </conditionalFormatting>
  <conditionalFormatting sqref="AC109">
    <cfRule type="cellIs" dxfId="5413" priority="395" operator="greaterThan">
      <formula>0.9</formula>
    </cfRule>
    <cfRule type="cellIs" dxfId="5412" priority="396" operator="greaterThan">
      <formula>0.85</formula>
    </cfRule>
  </conditionalFormatting>
  <conditionalFormatting sqref="N109">
    <cfRule type="cellIs" dxfId="5411" priority="393" operator="greaterThan">
      <formula>0.9</formula>
    </cfRule>
    <cfRule type="cellIs" dxfId="5410" priority="394" operator="greaterThan">
      <formula>0.85</formula>
    </cfRule>
  </conditionalFormatting>
  <conditionalFormatting sqref="E109">
    <cfRule type="expression" dxfId="5409" priority="389">
      <formula>AND(IF(OR($Q109=1,$Q109=2),1,0),IF($X109&lt;=20,1,0))</formula>
    </cfRule>
    <cfRule type="expression" dxfId="5408" priority="390">
      <formula>AND(IF($Q109=2,1,0),IF($X109&lt;30,1,0))</formula>
    </cfRule>
    <cfRule type="expression" dxfId="5407" priority="391">
      <formula>AND(IF($Q109=3,1,0),IF($X109&lt;30,1,0))</formula>
    </cfRule>
    <cfRule type="expression" dxfId="5406" priority="392">
      <formula>AND(IF($Q109=3,1,IF($Q109=4,1,0)),IF($F109&lt;=85,1,0))</formula>
    </cfRule>
  </conditionalFormatting>
  <conditionalFormatting sqref="X109">
    <cfRule type="expression" dxfId="5405" priority="385">
      <formula>AND(IF(OR($Q109=1,$Q109=2),1,0),IF($X109&lt;=20,1,0))</formula>
    </cfRule>
    <cfRule type="expression" dxfId="5404" priority="386">
      <formula>AND(IF($Q109=2,1,0),IF($X109&lt;30,1,0))</formula>
    </cfRule>
    <cfRule type="expression" dxfId="5403" priority="387">
      <formula>AND(IF($Q109=3,1,0),IF($X109&lt;30,1,0))</formula>
    </cfRule>
    <cfRule type="expression" dxfId="5402" priority="388">
      <formula>AND(IF($Q109=3,1,IF($Q109=4,1,0)),IF($F109&lt;=85,1,0))</formula>
    </cfRule>
  </conditionalFormatting>
  <conditionalFormatting sqref="AI109">
    <cfRule type="expression" dxfId="5401" priority="381">
      <formula>AND(IF(OR($Q109=1,$Q109=2),1,0),IF($X109&lt;=20,1,0))</formula>
    </cfRule>
    <cfRule type="expression" dxfId="5400" priority="382">
      <formula>AND(IF($Q109=2,1,0),IF($X109&lt;30,1,0))</formula>
    </cfRule>
    <cfRule type="expression" dxfId="5399" priority="383">
      <formula>AND(IF($Q109=3,1,0),IF($X109&lt;30,1,0))</formula>
    </cfRule>
    <cfRule type="expression" dxfId="5398" priority="384">
      <formula>AND(IF($Q109=3,1,IF($Q109=4,1,0)),IF($F109&lt;=85,1,0))</formula>
    </cfRule>
  </conditionalFormatting>
  <conditionalFormatting sqref="AV110">
    <cfRule type="expression" dxfId="5397" priority="379">
      <formula>AV110="X"</formula>
    </cfRule>
    <cfRule type="expression" dxfId="5396" priority="380">
      <formula>AV110="후보"</formula>
    </cfRule>
  </conditionalFormatting>
  <conditionalFormatting sqref="AC110">
    <cfRule type="cellIs" dxfId="5395" priority="377" operator="greaterThan">
      <formula>0.9</formula>
    </cfRule>
    <cfRule type="cellIs" dxfId="5394" priority="378" operator="greaterThan">
      <formula>0.85</formula>
    </cfRule>
  </conditionalFormatting>
  <conditionalFormatting sqref="N110">
    <cfRule type="cellIs" dxfId="5393" priority="375" operator="greaterThan">
      <formula>0.9</formula>
    </cfRule>
    <cfRule type="cellIs" dxfId="5392" priority="376" operator="greaterThan">
      <formula>0.85</formula>
    </cfRule>
  </conditionalFormatting>
  <conditionalFormatting sqref="E110">
    <cfRule type="expression" dxfId="5391" priority="371">
      <formula>AND(IF(OR($Q110=1,$Q110=2),1,0),IF($X110&lt;=20,1,0))</formula>
    </cfRule>
    <cfRule type="expression" dxfId="5390" priority="372">
      <formula>AND(IF($Q110=2,1,0),IF($X110&lt;30,1,0))</formula>
    </cfRule>
    <cfRule type="expression" dxfId="5389" priority="373">
      <formula>AND(IF($Q110=3,1,0),IF($X110&lt;30,1,0))</formula>
    </cfRule>
    <cfRule type="expression" dxfId="5388" priority="374">
      <formula>AND(IF($Q110=3,1,IF($Q110=4,1,0)),IF($F110&lt;=85,1,0))</formula>
    </cfRule>
  </conditionalFormatting>
  <conditionalFormatting sqref="X110">
    <cfRule type="expression" dxfId="5387" priority="367">
      <formula>AND(IF(OR($Q110=1,$Q110=2),1,0),IF($X110&lt;=20,1,0))</formula>
    </cfRule>
    <cfRule type="expression" dxfId="5386" priority="368">
      <formula>AND(IF($Q110=2,1,0),IF($X110&lt;30,1,0))</formula>
    </cfRule>
    <cfRule type="expression" dxfId="5385" priority="369">
      <formula>AND(IF($Q110=3,1,0),IF($X110&lt;30,1,0))</formula>
    </cfRule>
    <cfRule type="expression" dxfId="5384" priority="370">
      <formula>AND(IF($Q110=3,1,IF($Q110=4,1,0)),IF($F110&lt;=85,1,0))</formula>
    </cfRule>
  </conditionalFormatting>
  <conditionalFormatting sqref="AI110">
    <cfRule type="expression" dxfId="5383" priority="363">
      <formula>AND(IF(OR($Q110=1,$Q110=2),1,0),IF($X110&lt;=20,1,0))</formula>
    </cfRule>
    <cfRule type="expression" dxfId="5382" priority="364">
      <formula>AND(IF($Q110=2,1,0),IF($X110&lt;30,1,0))</formula>
    </cfRule>
    <cfRule type="expression" dxfId="5381" priority="365">
      <formula>AND(IF($Q110=3,1,0),IF($X110&lt;30,1,0))</formula>
    </cfRule>
    <cfRule type="expression" dxfId="5380" priority="366">
      <formula>AND(IF($Q110=3,1,IF($Q110=4,1,0)),IF($F110&lt;=85,1,0))</formula>
    </cfRule>
  </conditionalFormatting>
  <conditionalFormatting sqref="AV111">
    <cfRule type="expression" dxfId="5379" priority="361">
      <formula>AV111="X"</formula>
    </cfRule>
    <cfRule type="expression" dxfId="5378" priority="362">
      <formula>AV111="후보"</formula>
    </cfRule>
  </conditionalFormatting>
  <conditionalFormatting sqref="AC111">
    <cfRule type="cellIs" dxfId="5377" priority="359" operator="greaterThan">
      <formula>0.9</formula>
    </cfRule>
    <cfRule type="cellIs" dxfId="5376" priority="360" operator="greaterThan">
      <formula>0.85</formula>
    </cfRule>
  </conditionalFormatting>
  <conditionalFormatting sqref="N111">
    <cfRule type="cellIs" dxfId="5375" priority="357" operator="greaterThan">
      <formula>0.9</formula>
    </cfRule>
    <cfRule type="cellIs" dxfId="5374" priority="358" operator="greaterThan">
      <formula>0.85</formula>
    </cfRule>
  </conditionalFormatting>
  <conditionalFormatting sqref="E111">
    <cfRule type="expression" dxfId="5373" priority="353">
      <formula>AND(IF(OR($Q111=1,$Q111=2),1,0),IF($X111&lt;=20,1,0))</formula>
    </cfRule>
    <cfRule type="expression" dxfId="5372" priority="354">
      <formula>AND(IF($Q111=2,1,0),IF($X111&lt;30,1,0))</formula>
    </cfRule>
    <cfRule type="expression" dxfId="5371" priority="355">
      <formula>AND(IF($Q111=3,1,0),IF($X111&lt;30,1,0))</formula>
    </cfRule>
    <cfRule type="expression" dxfId="5370" priority="356">
      <formula>AND(IF($Q111=3,1,IF($Q111=4,1,0)),IF($F111&lt;=85,1,0))</formula>
    </cfRule>
  </conditionalFormatting>
  <conditionalFormatting sqref="X111">
    <cfRule type="expression" dxfId="5369" priority="349">
      <formula>AND(IF(OR($Q111=1,$Q111=2),1,0),IF($X111&lt;=20,1,0))</formula>
    </cfRule>
    <cfRule type="expression" dxfId="5368" priority="350">
      <formula>AND(IF($Q111=2,1,0),IF($X111&lt;30,1,0))</formula>
    </cfRule>
    <cfRule type="expression" dxfId="5367" priority="351">
      <formula>AND(IF($Q111=3,1,0),IF($X111&lt;30,1,0))</formula>
    </cfRule>
    <cfRule type="expression" dxfId="5366" priority="352">
      <formula>AND(IF($Q111=3,1,IF($Q111=4,1,0)),IF($F111&lt;=85,1,0))</formula>
    </cfRule>
  </conditionalFormatting>
  <conditionalFormatting sqref="AI111">
    <cfRule type="expression" dxfId="5365" priority="345">
      <formula>AND(IF(OR($Q111=1,$Q111=2),1,0),IF($X111&lt;=20,1,0))</formula>
    </cfRule>
    <cfRule type="expression" dxfId="5364" priority="346">
      <formula>AND(IF($Q111=2,1,0),IF($X111&lt;30,1,0))</formula>
    </cfRule>
    <cfRule type="expression" dxfId="5363" priority="347">
      <formula>AND(IF($Q111=3,1,0),IF($X111&lt;30,1,0))</formula>
    </cfRule>
    <cfRule type="expression" dxfId="5362" priority="348">
      <formula>AND(IF($Q111=3,1,IF($Q111=4,1,0)),IF($F111&lt;=85,1,0))</formula>
    </cfRule>
  </conditionalFormatting>
  <conditionalFormatting sqref="AV112">
    <cfRule type="expression" dxfId="5361" priority="343">
      <formula>AV112="X"</formula>
    </cfRule>
    <cfRule type="expression" dxfId="5360" priority="344">
      <formula>AV112="후보"</formula>
    </cfRule>
  </conditionalFormatting>
  <conditionalFormatting sqref="AC112 N112">
    <cfRule type="cellIs" dxfId="5359" priority="341" operator="greaterThan">
      <formula>0.9</formula>
    </cfRule>
    <cfRule type="cellIs" dxfId="5358" priority="342" operator="greaterThan">
      <formula>0.85</formula>
    </cfRule>
  </conditionalFormatting>
  <conditionalFormatting sqref="AV113">
    <cfRule type="expression" dxfId="5357" priority="339">
      <formula>AV113="X"</formula>
    </cfRule>
    <cfRule type="expression" dxfId="5356" priority="340">
      <formula>AV113="후보"</formula>
    </cfRule>
  </conditionalFormatting>
  <conditionalFormatting sqref="AC113">
    <cfRule type="cellIs" dxfId="5355" priority="337" operator="greaterThan">
      <formula>0.9</formula>
    </cfRule>
    <cfRule type="cellIs" dxfId="5354" priority="338" operator="greaterThan">
      <formula>0.85</formula>
    </cfRule>
  </conditionalFormatting>
  <conditionalFormatting sqref="N113">
    <cfRule type="cellIs" dxfId="5353" priority="335" operator="greaterThan">
      <formula>0.9</formula>
    </cfRule>
    <cfRule type="cellIs" dxfId="5352" priority="336" operator="greaterThan">
      <formula>0.85</formula>
    </cfRule>
  </conditionalFormatting>
  <conditionalFormatting sqref="E113">
    <cfRule type="expression" dxfId="5351" priority="331">
      <formula>AND(IF(OR($Q113=1,$Q113=2),1,0),IF($X113&lt;=20,1,0))</formula>
    </cfRule>
    <cfRule type="expression" dxfId="5350" priority="332">
      <formula>AND(IF($Q113=2,1,0),IF($X113&lt;30,1,0))</formula>
    </cfRule>
    <cfRule type="expression" dxfId="5349" priority="333">
      <formula>AND(IF($Q113=3,1,0),IF($X113&lt;30,1,0))</formula>
    </cfRule>
    <cfRule type="expression" dxfId="5348" priority="334">
      <formula>AND(IF($Q113=3,1,IF($Q113=4,1,0)),IF($F113&lt;=85,1,0))</formula>
    </cfRule>
  </conditionalFormatting>
  <conditionalFormatting sqref="X113">
    <cfRule type="expression" dxfId="5347" priority="327">
      <formula>AND(IF(OR($Q113=1,$Q113=2),1,0),IF($X113&lt;=20,1,0))</formula>
    </cfRule>
    <cfRule type="expression" dxfId="5346" priority="328">
      <formula>AND(IF($Q113=2,1,0),IF($X113&lt;30,1,0))</formula>
    </cfRule>
    <cfRule type="expression" dxfId="5345" priority="329">
      <formula>AND(IF($Q113=3,1,0),IF($X113&lt;30,1,0))</formula>
    </cfRule>
    <cfRule type="expression" dxfId="5344" priority="330">
      <formula>AND(IF($Q113=3,1,IF($Q113=4,1,0)),IF($F113&lt;=85,1,0))</formula>
    </cfRule>
  </conditionalFormatting>
  <conditionalFormatting sqref="AI113">
    <cfRule type="expression" dxfId="5343" priority="323">
      <formula>AND(IF(OR($Q113=1,$Q113=2),1,0),IF($X113&lt;=20,1,0))</formula>
    </cfRule>
    <cfRule type="expression" dxfId="5342" priority="324">
      <formula>AND(IF($Q113=2,1,0),IF($X113&lt;30,1,0))</formula>
    </cfRule>
    <cfRule type="expression" dxfId="5341" priority="325">
      <formula>AND(IF($Q113=3,1,0),IF($X113&lt;30,1,0))</formula>
    </cfRule>
    <cfRule type="expression" dxfId="5340" priority="326">
      <formula>AND(IF($Q113=3,1,IF($Q113=4,1,0)),IF($F113&lt;=85,1,0))</formula>
    </cfRule>
  </conditionalFormatting>
  <conditionalFormatting sqref="AV114">
    <cfRule type="expression" dxfId="5339" priority="321">
      <formula>AV114="X"</formula>
    </cfRule>
    <cfRule type="expression" dxfId="5338" priority="322">
      <formula>AV114="후보"</formula>
    </cfRule>
  </conditionalFormatting>
  <conditionalFormatting sqref="AC114">
    <cfRule type="cellIs" dxfId="5337" priority="319" operator="greaterThan">
      <formula>0.9</formula>
    </cfRule>
    <cfRule type="cellIs" dxfId="5336" priority="320" operator="greaterThan">
      <formula>0.85</formula>
    </cfRule>
  </conditionalFormatting>
  <conditionalFormatting sqref="N114">
    <cfRule type="cellIs" dxfId="5335" priority="317" operator="greaterThan">
      <formula>0.9</formula>
    </cfRule>
    <cfRule type="cellIs" dxfId="5334" priority="318" operator="greaterThan">
      <formula>0.85</formula>
    </cfRule>
  </conditionalFormatting>
  <conditionalFormatting sqref="E114">
    <cfRule type="expression" dxfId="5333" priority="313">
      <formula>AND(IF(OR($Q114=1,$Q114=2),1,0),IF($X114&lt;=20,1,0))</formula>
    </cfRule>
    <cfRule type="expression" dxfId="5332" priority="314">
      <formula>AND(IF($Q114=2,1,0),IF($X114&lt;30,1,0))</formula>
    </cfRule>
    <cfRule type="expression" dxfId="5331" priority="315">
      <formula>AND(IF($Q114=3,1,0),IF($X114&lt;30,1,0))</formula>
    </cfRule>
    <cfRule type="expression" dxfId="5330" priority="316">
      <formula>AND(IF($Q114=3,1,IF($Q114=4,1,0)),IF($F114&lt;=85,1,0))</formula>
    </cfRule>
  </conditionalFormatting>
  <conditionalFormatting sqref="X114">
    <cfRule type="expression" dxfId="5329" priority="309">
      <formula>AND(IF(OR($Q114=1,$Q114=2),1,0),IF($X114&lt;=20,1,0))</formula>
    </cfRule>
    <cfRule type="expression" dxfId="5328" priority="310">
      <formula>AND(IF($Q114=2,1,0),IF($X114&lt;30,1,0))</formula>
    </cfRule>
    <cfRule type="expression" dxfId="5327" priority="311">
      <formula>AND(IF($Q114=3,1,0),IF($X114&lt;30,1,0))</formula>
    </cfRule>
    <cfRule type="expression" dxfId="5326" priority="312">
      <formula>AND(IF($Q114=3,1,IF($Q114=4,1,0)),IF($F114&lt;=85,1,0))</formula>
    </cfRule>
  </conditionalFormatting>
  <conditionalFormatting sqref="AI114">
    <cfRule type="expression" dxfId="5325" priority="305">
      <formula>AND(IF(OR($Q114=1,$Q114=2),1,0),IF($X114&lt;=20,1,0))</formula>
    </cfRule>
    <cfRule type="expression" dxfId="5324" priority="306">
      <formula>AND(IF($Q114=2,1,0),IF($X114&lt;30,1,0))</formula>
    </cfRule>
    <cfRule type="expression" dxfId="5323" priority="307">
      <formula>AND(IF($Q114=3,1,0),IF($X114&lt;30,1,0))</formula>
    </cfRule>
    <cfRule type="expression" dxfId="5322" priority="308">
      <formula>AND(IF($Q114=3,1,IF($Q114=4,1,0)),IF($F114&lt;=85,1,0))</formula>
    </cfRule>
  </conditionalFormatting>
  <conditionalFormatting sqref="AV115">
    <cfRule type="expression" dxfId="5321" priority="303">
      <formula>AV115="X"</formula>
    </cfRule>
    <cfRule type="expression" dxfId="5320" priority="304">
      <formula>AV115="후보"</formula>
    </cfRule>
  </conditionalFormatting>
  <conditionalFormatting sqref="AC115">
    <cfRule type="cellIs" dxfId="5319" priority="301" operator="greaterThan">
      <formula>0.9</formula>
    </cfRule>
    <cfRule type="cellIs" dxfId="5318" priority="302" operator="greaterThan">
      <formula>0.85</formula>
    </cfRule>
  </conditionalFormatting>
  <conditionalFormatting sqref="N115">
    <cfRule type="cellIs" dxfId="5317" priority="299" operator="greaterThan">
      <formula>0.9</formula>
    </cfRule>
    <cfRule type="cellIs" dxfId="5316" priority="300" operator="greaterThan">
      <formula>0.85</formula>
    </cfRule>
  </conditionalFormatting>
  <conditionalFormatting sqref="E115">
    <cfRule type="expression" dxfId="5315" priority="295">
      <formula>AND(IF(OR($Q115=1,$Q115=2),1,0),IF($X115&lt;=20,1,0))</formula>
    </cfRule>
    <cfRule type="expression" dxfId="5314" priority="296">
      <formula>AND(IF($Q115=2,1,0),IF($X115&lt;30,1,0))</formula>
    </cfRule>
    <cfRule type="expression" dxfId="5313" priority="297">
      <formula>AND(IF($Q115=3,1,0),IF($X115&lt;30,1,0))</formula>
    </cfRule>
    <cfRule type="expression" dxfId="5312" priority="298">
      <formula>AND(IF($Q115=3,1,IF($Q115=4,1,0)),IF($F115&lt;=85,1,0))</formula>
    </cfRule>
  </conditionalFormatting>
  <conditionalFormatting sqref="X115">
    <cfRule type="expression" dxfId="5311" priority="291">
      <formula>AND(IF(OR($Q115=1,$Q115=2),1,0),IF($X115&lt;=20,1,0))</formula>
    </cfRule>
    <cfRule type="expression" dxfId="5310" priority="292">
      <formula>AND(IF($Q115=2,1,0),IF($X115&lt;30,1,0))</formula>
    </cfRule>
    <cfRule type="expression" dxfId="5309" priority="293">
      <formula>AND(IF($Q115=3,1,0),IF($X115&lt;30,1,0))</formula>
    </cfRule>
    <cfRule type="expression" dxfId="5308" priority="294">
      <formula>AND(IF($Q115=3,1,IF($Q115=4,1,0)),IF($F115&lt;=85,1,0))</formula>
    </cfRule>
  </conditionalFormatting>
  <conditionalFormatting sqref="AI115">
    <cfRule type="expression" dxfId="5307" priority="287">
      <formula>AND(IF(OR($Q115=1,$Q115=2),1,0),IF($X115&lt;=20,1,0))</formula>
    </cfRule>
    <cfRule type="expression" dxfId="5306" priority="288">
      <formula>AND(IF($Q115=2,1,0),IF($X115&lt;30,1,0))</formula>
    </cfRule>
    <cfRule type="expression" dxfId="5305" priority="289">
      <formula>AND(IF($Q115=3,1,0),IF($X115&lt;30,1,0))</formula>
    </cfRule>
    <cfRule type="expression" dxfId="5304" priority="290">
      <formula>AND(IF($Q115=3,1,IF($Q115=4,1,0)),IF($F115&lt;=85,1,0))</formula>
    </cfRule>
  </conditionalFormatting>
  <conditionalFormatting sqref="AV116">
    <cfRule type="expression" dxfId="5303" priority="285">
      <formula>AV116="X"</formula>
    </cfRule>
    <cfRule type="expression" dxfId="5302" priority="286">
      <formula>AV116="후보"</formula>
    </cfRule>
  </conditionalFormatting>
  <conditionalFormatting sqref="AC116 N116">
    <cfRule type="cellIs" dxfId="5301" priority="283" operator="greaterThan">
      <formula>0.9</formula>
    </cfRule>
    <cfRule type="cellIs" dxfId="5300" priority="284" operator="greaterThan">
      <formula>0.85</formula>
    </cfRule>
  </conditionalFormatting>
  <conditionalFormatting sqref="AV117">
    <cfRule type="expression" dxfId="5299" priority="281">
      <formula>AV117="X"</formula>
    </cfRule>
    <cfRule type="expression" dxfId="5298" priority="282">
      <formula>AV117="후보"</formula>
    </cfRule>
  </conditionalFormatting>
  <conditionalFormatting sqref="AC117">
    <cfRule type="cellIs" dxfId="5297" priority="279" operator="greaterThan">
      <formula>0.9</formula>
    </cfRule>
    <cfRule type="cellIs" dxfId="5296" priority="280" operator="greaterThan">
      <formula>0.85</formula>
    </cfRule>
  </conditionalFormatting>
  <conditionalFormatting sqref="N117">
    <cfRule type="cellIs" dxfId="5295" priority="277" operator="greaterThan">
      <formula>0.9</formula>
    </cfRule>
    <cfRule type="cellIs" dxfId="5294" priority="278" operator="greaterThan">
      <formula>0.85</formula>
    </cfRule>
  </conditionalFormatting>
  <conditionalFormatting sqref="E117">
    <cfRule type="expression" dxfId="5293" priority="273">
      <formula>AND(IF(OR($Q117=1,$Q117=2),1,0),IF($X117&lt;=20,1,0))</formula>
    </cfRule>
    <cfRule type="expression" dxfId="5292" priority="274">
      <formula>AND(IF($Q117=2,1,0),IF($X117&lt;30,1,0))</formula>
    </cfRule>
    <cfRule type="expression" dxfId="5291" priority="275">
      <formula>AND(IF($Q117=3,1,0),IF($X117&lt;30,1,0))</formula>
    </cfRule>
    <cfRule type="expression" dxfId="5290" priority="276">
      <formula>AND(IF($Q117=3,1,IF($Q117=4,1,0)),IF($F117&lt;=85,1,0))</formula>
    </cfRule>
  </conditionalFormatting>
  <conditionalFormatting sqref="X117">
    <cfRule type="expression" dxfId="5289" priority="269">
      <formula>AND(IF(OR($Q117=1,$Q117=2),1,0),IF($X117&lt;=20,1,0))</formula>
    </cfRule>
    <cfRule type="expression" dxfId="5288" priority="270">
      <formula>AND(IF($Q117=2,1,0),IF($X117&lt;30,1,0))</formula>
    </cfRule>
    <cfRule type="expression" dxfId="5287" priority="271">
      <formula>AND(IF($Q117=3,1,0),IF($X117&lt;30,1,0))</formula>
    </cfRule>
    <cfRule type="expression" dxfId="5286" priority="272">
      <formula>AND(IF($Q117=3,1,IF($Q117=4,1,0)),IF($F117&lt;=85,1,0))</formula>
    </cfRule>
  </conditionalFormatting>
  <conditionalFormatting sqref="AI117">
    <cfRule type="expression" dxfId="5285" priority="265">
      <formula>AND(IF(OR($Q117=1,$Q117=2),1,0),IF($X117&lt;=20,1,0))</formula>
    </cfRule>
    <cfRule type="expression" dxfId="5284" priority="266">
      <formula>AND(IF($Q117=2,1,0),IF($X117&lt;30,1,0))</formula>
    </cfRule>
    <cfRule type="expression" dxfId="5283" priority="267">
      <formula>AND(IF($Q117=3,1,0),IF($X117&lt;30,1,0))</formula>
    </cfRule>
    <cfRule type="expression" dxfId="5282" priority="268">
      <formula>AND(IF($Q117=3,1,IF($Q117=4,1,0)),IF($F117&lt;=85,1,0))</formula>
    </cfRule>
  </conditionalFormatting>
  <conditionalFormatting sqref="AV118">
    <cfRule type="expression" dxfId="5281" priority="263">
      <formula>AV118="X"</formula>
    </cfRule>
    <cfRule type="expression" dxfId="5280" priority="264">
      <formula>AV118="후보"</formula>
    </cfRule>
  </conditionalFormatting>
  <conditionalFormatting sqref="AC118">
    <cfRule type="cellIs" dxfId="5279" priority="261" operator="greaterThan">
      <formula>0.9</formula>
    </cfRule>
    <cfRule type="cellIs" dxfId="5278" priority="262" operator="greaterThan">
      <formula>0.85</formula>
    </cfRule>
  </conditionalFormatting>
  <conditionalFormatting sqref="N118">
    <cfRule type="cellIs" dxfId="5277" priority="259" operator="greaterThan">
      <formula>0.9</formula>
    </cfRule>
    <cfRule type="cellIs" dxfId="5276" priority="260" operator="greaterThan">
      <formula>0.85</formula>
    </cfRule>
  </conditionalFormatting>
  <conditionalFormatting sqref="E118">
    <cfRule type="expression" dxfId="5275" priority="255">
      <formula>AND(IF(OR($Q118=1,$Q118=2),1,0),IF($X118&lt;=20,1,0))</formula>
    </cfRule>
    <cfRule type="expression" dxfId="5274" priority="256">
      <formula>AND(IF($Q118=2,1,0),IF($X118&lt;30,1,0))</formula>
    </cfRule>
    <cfRule type="expression" dxfId="5273" priority="257">
      <formula>AND(IF($Q118=3,1,0),IF($X118&lt;30,1,0))</formula>
    </cfRule>
    <cfRule type="expression" dxfId="5272" priority="258">
      <formula>AND(IF($Q118=3,1,IF($Q118=4,1,0)),IF($F118&lt;=85,1,0))</formula>
    </cfRule>
  </conditionalFormatting>
  <conditionalFormatting sqref="X118">
    <cfRule type="expression" dxfId="5271" priority="251">
      <formula>AND(IF(OR($Q118=1,$Q118=2),1,0),IF($X118&lt;=20,1,0))</formula>
    </cfRule>
    <cfRule type="expression" dxfId="5270" priority="252">
      <formula>AND(IF($Q118=2,1,0),IF($X118&lt;30,1,0))</formula>
    </cfRule>
    <cfRule type="expression" dxfId="5269" priority="253">
      <formula>AND(IF($Q118=3,1,0),IF($X118&lt;30,1,0))</formula>
    </cfRule>
    <cfRule type="expression" dxfId="5268" priority="254">
      <formula>AND(IF($Q118=3,1,IF($Q118=4,1,0)),IF($F118&lt;=85,1,0))</formula>
    </cfRule>
  </conditionalFormatting>
  <conditionalFormatting sqref="AI118">
    <cfRule type="expression" dxfId="5267" priority="247">
      <formula>AND(IF(OR($Q118=1,$Q118=2),1,0),IF($X118&lt;=20,1,0))</formula>
    </cfRule>
    <cfRule type="expression" dxfId="5266" priority="248">
      <formula>AND(IF($Q118=2,1,0),IF($X118&lt;30,1,0))</formula>
    </cfRule>
    <cfRule type="expression" dxfId="5265" priority="249">
      <formula>AND(IF($Q118=3,1,0),IF($X118&lt;30,1,0))</formula>
    </cfRule>
    <cfRule type="expression" dxfId="5264" priority="250">
      <formula>AND(IF($Q118=3,1,IF($Q118=4,1,0)),IF($F118&lt;=85,1,0))</formula>
    </cfRule>
  </conditionalFormatting>
  <conditionalFormatting sqref="AV119">
    <cfRule type="expression" dxfId="5263" priority="245">
      <formula>AV119="X"</formula>
    </cfRule>
    <cfRule type="expression" dxfId="5262" priority="246">
      <formula>AV119="후보"</formula>
    </cfRule>
  </conditionalFormatting>
  <conditionalFormatting sqref="AC119">
    <cfRule type="cellIs" dxfId="5261" priority="243" operator="greaterThan">
      <formula>0.9</formula>
    </cfRule>
    <cfRule type="cellIs" dxfId="5260" priority="244" operator="greaterThan">
      <formula>0.85</formula>
    </cfRule>
  </conditionalFormatting>
  <conditionalFormatting sqref="N119">
    <cfRule type="cellIs" dxfId="5259" priority="241" operator="greaterThan">
      <formula>0.9</formula>
    </cfRule>
    <cfRule type="cellIs" dxfId="5258" priority="242" operator="greaterThan">
      <formula>0.85</formula>
    </cfRule>
  </conditionalFormatting>
  <conditionalFormatting sqref="E119">
    <cfRule type="expression" dxfId="5257" priority="237">
      <formula>AND(IF(OR($Q119=1,$Q119=2),1,0),IF($X119&lt;=20,1,0))</formula>
    </cfRule>
    <cfRule type="expression" dxfId="5256" priority="238">
      <formula>AND(IF($Q119=2,1,0),IF($X119&lt;30,1,0))</formula>
    </cfRule>
    <cfRule type="expression" dxfId="5255" priority="239">
      <formula>AND(IF($Q119=3,1,0),IF($X119&lt;30,1,0))</formula>
    </cfRule>
    <cfRule type="expression" dxfId="5254" priority="240">
      <formula>AND(IF($Q119=3,1,IF($Q119=4,1,0)),IF($F119&lt;=85,1,0))</formula>
    </cfRule>
  </conditionalFormatting>
  <conditionalFormatting sqref="X119">
    <cfRule type="expression" dxfId="5253" priority="233">
      <formula>AND(IF(OR($Q119=1,$Q119=2),1,0),IF($X119&lt;=20,1,0))</formula>
    </cfRule>
    <cfRule type="expression" dxfId="5252" priority="234">
      <formula>AND(IF($Q119=2,1,0),IF($X119&lt;30,1,0))</formula>
    </cfRule>
    <cfRule type="expression" dxfId="5251" priority="235">
      <formula>AND(IF($Q119=3,1,0),IF($X119&lt;30,1,0))</formula>
    </cfRule>
    <cfRule type="expression" dxfId="5250" priority="236">
      <formula>AND(IF($Q119=3,1,IF($Q119=4,1,0)),IF($F119&lt;=85,1,0))</formula>
    </cfRule>
  </conditionalFormatting>
  <conditionalFormatting sqref="AI119">
    <cfRule type="expression" dxfId="5249" priority="229">
      <formula>AND(IF(OR($Q119=1,$Q119=2),1,0),IF($X119&lt;=20,1,0))</formula>
    </cfRule>
    <cfRule type="expression" dxfId="5248" priority="230">
      <formula>AND(IF($Q119=2,1,0),IF($X119&lt;30,1,0))</formula>
    </cfRule>
    <cfRule type="expression" dxfId="5247" priority="231">
      <formula>AND(IF($Q119=3,1,0),IF($X119&lt;30,1,0))</formula>
    </cfRule>
    <cfRule type="expression" dxfId="5246" priority="232">
      <formula>AND(IF($Q119=3,1,IF($Q119=4,1,0)),IF($F119&lt;=85,1,0))</formula>
    </cfRule>
  </conditionalFormatting>
  <conditionalFormatting sqref="AV120">
    <cfRule type="expression" dxfId="5245" priority="227">
      <formula>AV120="X"</formula>
    </cfRule>
    <cfRule type="expression" dxfId="5244" priority="228">
      <formula>AV120="후보"</formula>
    </cfRule>
  </conditionalFormatting>
  <conditionalFormatting sqref="AC120">
    <cfRule type="cellIs" dxfId="5243" priority="225" operator="greaterThan">
      <formula>0.9</formula>
    </cfRule>
    <cfRule type="cellIs" dxfId="5242" priority="226" operator="greaterThan">
      <formula>0.85</formula>
    </cfRule>
  </conditionalFormatting>
  <conditionalFormatting sqref="N120">
    <cfRule type="cellIs" dxfId="5241" priority="223" operator="greaterThan">
      <formula>0.9</formula>
    </cfRule>
    <cfRule type="cellIs" dxfId="5240" priority="224" operator="greaterThan">
      <formula>0.85</formula>
    </cfRule>
  </conditionalFormatting>
  <conditionalFormatting sqref="E120">
    <cfRule type="expression" dxfId="5239" priority="219">
      <formula>AND(IF(OR($Q120=1,$Q120=2),1,0),IF($X120&lt;=20,1,0))</formula>
    </cfRule>
    <cfRule type="expression" dxfId="5238" priority="220">
      <formula>AND(IF($Q120=2,1,0),IF($X120&lt;30,1,0))</formula>
    </cfRule>
    <cfRule type="expression" dxfId="5237" priority="221">
      <formula>AND(IF($Q120=3,1,0),IF($X120&lt;30,1,0))</formula>
    </cfRule>
    <cfRule type="expression" dxfId="5236" priority="222">
      <formula>AND(IF($Q120=3,1,IF($Q120=4,1,0)),IF($F120&lt;=85,1,0))</formula>
    </cfRule>
  </conditionalFormatting>
  <conditionalFormatting sqref="X120">
    <cfRule type="expression" dxfId="5235" priority="215">
      <formula>AND(IF(OR($Q120=1,$Q120=2),1,0),IF($X120&lt;=20,1,0))</formula>
    </cfRule>
    <cfRule type="expression" dxfId="5234" priority="216">
      <formula>AND(IF($Q120=2,1,0),IF($X120&lt;30,1,0))</formula>
    </cfRule>
    <cfRule type="expression" dxfId="5233" priority="217">
      <formula>AND(IF($Q120=3,1,0),IF($X120&lt;30,1,0))</formula>
    </cfRule>
    <cfRule type="expression" dxfId="5232" priority="218">
      <formula>AND(IF($Q120=3,1,IF($Q120=4,1,0)),IF($F120&lt;=85,1,0))</formula>
    </cfRule>
  </conditionalFormatting>
  <conditionalFormatting sqref="AI120">
    <cfRule type="expression" dxfId="5231" priority="211">
      <formula>AND(IF(OR($Q120=1,$Q120=2),1,0),IF($X120&lt;=20,1,0))</formula>
    </cfRule>
    <cfRule type="expression" dxfId="5230" priority="212">
      <formula>AND(IF($Q120=2,1,0),IF($X120&lt;30,1,0))</formula>
    </cfRule>
    <cfRule type="expression" dxfId="5229" priority="213">
      <formula>AND(IF($Q120=3,1,0),IF($X120&lt;30,1,0))</formula>
    </cfRule>
    <cfRule type="expression" dxfId="5228" priority="214">
      <formula>AND(IF($Q120=3,1,IF($Q120=4,1,0)),IF($F120&lt;=85,1,0))</formula>
    </cfRule>
  </conditionalFormatting>
  <conditionalFormatting sqref="AV121">
    <cfRule type="expression" dxfId="5227" priority="209">
      <formula>AV121="X"</formula>
    </cfRule>
    <cfRule type="expression" dxfId="5226" priority="210">
      <formula>AV121="후보"</formula>
    </cfRule>
  </conditionalFormatting>
  <conditionalFormatting sqref="AC121">
    <cfRule type="cellIs" dxfId="5225" priority="207" operator="greaterThan">
      <formula>0.9</formula>
    </cfRule>
    <cfRule type="cellIs" dxfId="5224" priority="208" operator="greaterThan">
      <formula>0.85</formula>
    </cfRule>
  </conditionalFormatting>
  <conditionalFormatting sqref="N121">
    <cfRule type="cellIs" dxfId="5223" priority="205" operator="greaterThan">
      <formula>0.9</formula>
    </cfRule>
    <cfRule type="cellIs" dxfId="5222" priority="206" operator="greaterThan">
      <formula>0.85</formula>
    </cfRule>
  </conditionalFormatting>
  <conditionalFormatting sqref="E121">
    <cfRule type="expression" dxfId="5221" priority="201">
      <formula>AND(IF(OR($Q121=1,$Q121=2),1,0),IF($X121&lt;=20,1,0))</formula>
    </cfRule>
    <cfRule type="expression" dxfId="5220" priority="202">
      <formula>AND(IF($Q121=2,1,0),IF($X121&lt;30,1,0))</formula>
    </cfRule>
    <cfRule type="expression" dxfId="5219" priority="203">
      <formula>AND(IF($Q121=3,1,0),IF($X121&lt;30,1,0))</formula>
    </cfRule>
    <cfRule type="expression" dxfId="5218" priority="204">
      <formula>AND(IF($Q121=3,1,IF($Q121=4,1,0)),IF($F121&lt;=85,1,0))</formula>
    </cfRule>
  </conditionalFormatting>
  <conditionalFormatting sqref="X121">
    <cfRule type="expression" dxfId="5217" priority="197">
      <formula>AND(IF(OR($Q121=1,$Q121=2),1,0),IF($X121&lt;=20,1,0))</formula>
    </cfRule>
    <cfRule type="expression" dxfId="5216" priority="198">
      <formula>AND(IF($Q121=2,1,0),IF($X121&lt;30,1,0))</formula>
    </cfRule>
    <cfRule type="expression" dxfId="5215" priority="199">
      <formula>AND(IF($Q121=3,1,0),IF($X121&lt;30,1,0))</formula>
    </cfRule>
    <cfRule type="expression" dxfId="5214" priority="200">
      <formula>AND(IF($Q121=3,1,IF($Q121=4,1,0)),IF($F121&lt;=85,1,0))</formula>
    </cfRule>
  </conditionalFormatting>
  <conditionalFormatting sqref="AI121">
    <cfRule type="expression" dxfId="5213" priority="193">
      <formula>AND(IF(OR($Q121=1,$Q121=2),1,0),IF($X121&lt;=20,1,0))</formula>
    </cfRule>
    <cfRule type="expression" dxfId="5212" priority="194">
      <formula>AND(IF($Q121=2,1,0),IF($X121&lt;30,1,0))</formula>
    </cfRule>
    <cfRule type="expression" dxfId="5211" priority="195">
      <formula>AND(IF($Q121=3,1,0),IF($X121&lt;30,1,0))</formula>
    </cfRule>
    <cfRule type="expression" dxfId="5210" priority="196">
      <formula>AND(IF($Q121=3,1,IF($Q121=4,1,0)),IF($F121&lt;=85,1,0))</formula>
    </cfRule>
  </conditionalFormatting>
  <conditionalFormatting sqref="AV122">
    <cfRule type="expression" dxfId="5209" priority="191">
      <formula>AV122="X"</formula>
    </cfRule>
    <cfRule type="expression" dxfId="5208" priority="192">
      <formula>AV122="후보"</formula>
    </cfRule>
  </conditionalFormatting>
  <conditionalFormatting sqref="AC122 N122">
    <cfRule type="cellIs" dxfId="5207" priority="189" operator="greaterThan">
      <formula>0.9</formula>
    </cfRule>
    <cfRule type="cellIs" dxfId="5206" priority="190" operator="greaterThan">
      <formula>0.85</formula>
    </cfRule>
  </conditionalFormatting>
  <conditionalFormatting sqref="AV123">
    <cfRule type="expression" dxfId="5205" priority="187">
      <formula>AV123="X"</formula>
    </cfRule>
    <cfRule type="expression" dxfId="5204" priority="188">
      <formula>AV123="후보"</formula>
    </cfRule>
  </conditionalFormatting>
  <conditionalFormatting sqref="AC123">
    <cfRule type="cellIs" dxfId="5203" priority="185" operator="greaterThan">
      <formula>0.9</formula>
    </cfRule>
    <cfRule type="cellIs" dxfId="5202" priority="186" operator="greaterThan">
      <formula>0.85</formula>
    </cfRule>
  </conditionalFormatting>
  <conditionalFormatting sqref="N123">
    <cfRule type="cellIs" dxfId="5201" priority="183" operator="greaterThan">
      <formula>0.9</formula>
    </cfRule>
    <cfRule type="cellIs" dxfId="5200" priority="184" operator="greaterThan">
      <formula>0.85</formula>
    </cfRule>
  </conditionalFormatting>
  <conditionalFormatting sqref="E123">
    <cfRule type="expression" dxfId="5199" priority="179">
      <formula>AND(IF(OR($Q123=1,$Q123=2),1,0),IF($X123&lt;=20,1,0))</formula>
    </cfRule>
    <cfRule type="expression" dxfId="5198" priority="180">
      <formula>AND(IF($Q123=2,1,0),IF($X123&lt;30,1,0))</formula>
    </cfRule>
    <cfRule type="expression" dxfId="5197" priority="181">
      <formula>AND(IF($Q123=3,1,0),IF($X123&lt;30,1,0))</formula>
    </cfRule>
    <cfRule type="expression" dxfId="5196" priority="182">
      <formula>AND(IF($Q123=3,1,IF($Q123=4,1,0)),IF($F123&lt;=85,1,0))</formula>
    </cfRule>
  </conditionalFormatting>
  <conditionalFormatting sqref="X123">
    <cfRule type="expression" dxfId="5195" priority="175">
      <formula>AND(IF(OR($Q123=1,$Q123=2),1,0),IF($X123&lt;=20,1,0))</formula>
    </cfRule>
    <cfRule type="expression" dxfId="5194" priority="176">
      <formula>AND(IF($Q123=2,1,0),IF($X123&lt;30,1,0))</formula>
    </cfRule>
    <cfRule type="expression" dxfId="5193" priority="177">
      <formula>AND(IF($Q123=3,1,0),IF($X123&lt;30,1,0))</formula>
    </cfRule>
    <cfRule type="expression" dxfId="5192" priority="178">
      <formula>AND(IF($Q123=3,1,IF($Q123=4,1,0)),IF($F123&lt;=85,1,0))</formula>
    </cfRule>
  </conditionalFormatting>
  <conditionalFormatting sqref="AI123">
    <cfRule type="expression" dxfId="5191" priority="171">
      <formula>AND(IF(OR($Q123=1,$Q123=2),1,0),IF($X123&lt;=20,1,0))</formula>
    </cfRule>
    <cfRule type="expression" dxfId="5190" priority="172">
      <formula>AND(IF($Q123=2,1,0),IF($X123&lt;30,1,0))</formula>
    </cfRule>
    <cfRule type="expression" dxfId="5189" priority="173">
      <formula>AND(IF($Q123=3,1,0),IF($X123&lt;30,1,0))</formula>
    </cfRule>
    <cfRule type="expression" dxfId="5188" priority="174">
      <formula>AND(IF($Q123=3,1,IF($Q123=4,1,0)),IF($F123&lt;=85,1,0))</formula>
    </cfRule>
  </conditionalFormatting>
  <conditionalFormatting sqref="AV124">
    <cfRule type="expression" dxfId="5187" priority="169">
      <formula>AV124="X"</formula>
    </cfRule>
    <cfRule type="expression" dxfId="5186" priority="170">
      <formula>AV124="후보"</formula>
    </cfRule>
  </conditionalFormatting>
  <conditionalFormatting sqref="AC124">
    <cfRule type="cellIs" dxfId="5185" priority="167" operator="greaterThan">
      <formula>0.9</formula>
    </cfRule>
    <cfRule type="cellIs" dxfId="5184" priority="168" operator="greaterThan">
      <formula>0.85</formula>
    </cfRule>
  </conditionalFormatting>
  <conditionalFormatting sqref="N124">
    <cfRule type="cellIs" dxfId="5183" priority="165" operator="greaterThan">
      <formula>0.9</formula>
    </cfRule>
    <cfRule type="cellIs" dxfId="5182" priority="166" operator="greaterThan">
      <formula>0.85</formula>
    </cfRule>
  </conditionalFormatting>
  <conditionalFormatting sqref="E124">
    <cfRule type="expression" dxfId="5181" priority="161">
      <formula>AND(IF(OR($Q124=1,$Q124=2),1,0),IF($X124&lt;=20,1,0))</formula>
    </cfRule>
    <cfRule type="expression" dxfId="5180" priority="162">
      <formula>AND(IF($Q124=2,1,0),IF($X124&lt;30,1,0))</formula>
    </cfRule>
    <cfRule type="expression" dxfId="5179" priority="163">
      <formula>AND(IF($Q124=3,1,0),IF($X124&lt;30,1,0))</formula>
    </cfRule>
    <cfRule type="expression" dxfId="5178" priority="164">
      <formula>AND(IF($Q124=3,1,IF($Q124=4,1,0)),IF($F124&lt;=85,1,0))</formula>
    </cfRule>
  </conditionalFormatting>
  <conditionalFormatting sqref="X124">
    <cfRule type="expression" dxfId="5177" priority="157">
      <formula>AND(IF(OR($Q124=1,$Q124=2),1,0),IF($X124&lt;=20,1,0))</formula>
    </cfRule>
    <cfRule type="expression" dxfId="5176" priority="158">
      <formula>AND(IF($Q124=2,1,0),IF($X124&lt;30,1,0))</formula>
    </cfRule>
    <cfRule type="expression" dxfId="5175" priority="159">
      <formula>AND(IF($Q124=3,1,0),IF($X124&lt;30,1,0))</formula>
    </cfRule>
    <cfRule type="expression" dxfId="5174" priority="160">
      <formula>AND(IF($Q124=3,1,IF($Q124=4,1,0)),IF($F124&lt;=85,1,0))</formula>
    </cfRule>
  </conditionalFormatting>
  <conditionalFormatting sqref="AI124">
    <cfRule type="expression" dxfId="5173" priority="153">
      <formula>AND(IF(OR($Q124=1,$Q124=2),1,0),IF($X124&lt;=20,1,0))</formula>
    </cfRule>
    <cfRule type="expression" dxfId="5172" priority="154">
      <formula>AND(IF($Q124=2,1,0),IF($X124&lt;30,1,0))</formula>
    </cfRule>
    <cfRule type="expression" dxfId="5171" priority="155">
      <formula>AND(IF($Q124=3,1,0),IF($X124&lt;30,1,0))</formula>
    </cfRule>
    <cfRule type="expression" dxfId="5170" priority="156">
      <formula>AND(IF($Q124=3,1,IF($Q124=4,1,0)),IF($F124&lt;=85,1,0))</formula>
    </cfRule>
  </conditionalFormatting>
  <conditionalFormatting sqref="AV125">
    <cfRule type="expression" dxfId="5169" priority="151">
      <formula>AV125="X"</formula>
    </cfRule>
    <cfRule type="expression" dxfId="5168" priority="152">
      <formula>AV125="후보"</formula>
    </cfRule>
  </conditionalFormatting>
  <conditionalFormatting sqref="AC125">
    <cfRule type="cellIs" dxfId="5167" priority="149" operator="greaterThan">
      <formula>0.9</formula>
    </cfRule>
    <cfRule type="cellIs" dxfId="5166" priority="150" operator="greaterThan">
      <formula>0.85</formula>
    </cfRule>
  </conditionalFormatting>
  <conditionalFormatting sqref="N125">
    <cfRule type="cellIs" dxfId="5165" priority="147" operator="greaterThan">
      <formula>0.9</formula>
    </cfRule>
    <cfRule type="cellIs" dxfId="5164" priority="148" operator="greaterThan">
      <formula>0.85</formula>
    </cfRule>
  </conditionalFormatting>
  <conditionalFormatting sqref="E125">
    <cfRule type="expression" dxfId="5163" priority="143">
      <formula>AND(IF(OR($Q125=1,$Q125=2),1,0),IF($X125&lt;=20,1,0))</formula>
    </cfRule>
    <cfRule type="expression" dxfId="5162" priority="144">
      <formula>AND(IF($Q125=2,1,0),IF($X125&lt;30,1,0))</formula>
    </cfRule>
    <cfRule type="expression" dxfId="5161" priority="145">
      <formula>AND(IF($Q125=3,1,0),IF($X125&lt;30,1,0))</formula>
    </cfRule>
    <cfRule type="expression" dxfId="5160" priority="146">
      <formula>AND(IF($Q125=3,1,IF($Q125=4,1,0)),IF($F125&lt;=85,1,0))</formula>
    </cfRule>
  </conditionalFormatting>
  <conditionalFormatting sqref="X125">
    <cfRule type="expression" dxfId="5159" priority="139">
      <formula>AND(IF(OR($Q125=1,$Q125=2),1,0),IF($X125&lt;=20,1,0))</formula>
    </cfRule>
    <cfRule type="expression" dxfId="5158" priority="140">
      <formula>AND(IF($Q125=2,1,0),IF($X125&lt;30,1,0))</formula>
    </cfRule>
    <cfRule type="expression" dxfId="5157" priority="141">
      <formula>AND(IF($Q125=3,1,0),IF($X125&lt;30,1,0))</formula>
    </cfRule>
    <cfRule type="expression" dxfId="5156" priority="142">
      <formula>AND(IF($Q125=3,1,IF($Q125=4,1,0)),IF($F125&lt;=85,1,0))</formula>
    </cfRule>
  </conditionalFormatting>
  <conditionalFormatting sqref="AI125">
    <cfRule type="expression" dxfId="5155" priority="135">
      <formula>AND(IF(OR($Q125=1,$Q125=2),1,0),IF($X125&lt;=20,1,0))</formula>
    </cfRule>
    <cfRule type="expression" dxfId="5154" priority="136">
      <formula>AND(IF($Q125=2,1,0),IF($X125&lt;30,1,0))</formula>
    </cfRule>
    <cfRule type="expression" dxfId="5153" priority="137">
      <formula>AND(IF($Q125=3,1,0),IF($X125&lt;30,1,0))</formula>
    </cfRule>
    <cfRule type="expression" dxfId="5152" priority="138">
      <formula>AND(IF($Q125=3,1,IF($Q125=4,1,0)),IF($F125&lt;=85,1,0))</formula>
    </cfRule>
  </conditionalFormatting>
  <conditionalFormatting sqref="AV126">
    <cfRule type="expression" dxfId="5151" priority="133">
      <formula>AV126="X"</formula>
    </cfRule>
    <cfRule type="expression" dxfId="5150" priority="134">
      <formula>AV126="후보"</formula>
    </cfRule>
  </conditionalFormatting>
  <conditionalFormatting sqref="AC126">
    <cfRule type="cellIs" dxfId="5149" priority="131" operator="greaterThan">
      <formula>0.9</formula>
    </cfRule>
    <cfRule type="cellIs" dxfId="5148" priority="132" operator="greaterThan">
      <formula>0.85</formula>
    </cfRule>
  </conditionalFormatting>
  <conditionalFormatting sqref="N126">
    <cfRule type="cellIs" dxfId="5147" priority="129" operator="greaterThan">
      <formula>0.9</formula>
    </cfRule>
    <cfRule type="cellIs" dxfId="5146" priority="130" operator="greaterThan">
      <formula>0.85</formula>
    </cfRule>
  </conditionalFormatting>
  <conditionalFormatting sqref="E126">
    <cfRule type="expression" dxfId="5145" priority="125">
      <formula>AND(IF(OR($Q126=1,$Q126=2),1,0),IF($X126&lt;=20,1,0))</formula>
    </cfRule>
    <cfRule type="expression" dxfId="5144" priority="126">
      <formula>AND(IF($Q126=2,1,0),IF($X126&lt;30,1,0))</formula>
    </cfRule>
    <cfRule type="expression" dxfId="5143" priority="127">
      <formula>AND(IF($Q126=3,1,0),IF($X126&lt;30,1,0))</formula>
    </cfRule>
    <cfRule type="expression" dxfId="5142" priority="128">
      <formula>AND(IF($Q126=3,1,IF($Q126=4,1,0)),IF($F126&lt;=85,1,0))</formula>
    </cfRule>
  </conditionalFormatting>
  <conditionalFormatting sqref="X126">
    <cfRule type="expression" dxfId="5141" priority="121">
      <formula>AND(IF(OR($Q126=1,$Q126=2),1,0),IF($X126&lt;=20,1,0))</formula>
    </cfRule>
    <cfRule type="expression" dxfId="5140" priority="122">
      <formula>AND(IF($Q126=2,1,0),IF($X126&lt;30,1,0))</formula>
    </cfRule>
    <cfRule type="expression" dxfId="5139" priority="123">
      <formula>AND(IF($Q126=3,1,0),IF($X126&lt;30,1,0))</formula>
    </cfRule>
    <cfRule type="expression" dxfId="5138" priority="124">
      <formula>AND(IF($Q126=3,1,IF($Q126=4,1,0)),IF($F126&lt;=85,1,0))</formula>
    </cfRule>
  </conditionalFormatting>
  <conditionalFormatting sqref="AI126">
    <cfRule type="expression" dxfId="5137" priority="117">
      <formula>AND(IF(OR($Q126=1,$Q126=2),1,0),IF($X126&lt;=20,1,0))</formula>
    </cfRule>
    <cfRule type="expression" dxfId="5136" priority="118">
      <formula>AND(IF($Q126=2,1,0),IF($X126&lt;30,1,0))</formula>
    </cfRule>
    <cfRule type="expression" dxfId="5135" priority="119">
      <formula>AND(IF($Q126=3,1,0),IF($X126&lt;30,1,0))</formula>
    </cfRule>
    <cfRule type="expression" dxfId="5134" priority="120">
      <formula>AND(IF($Q126=3,1,IF($Q126=4,1,0)),IF($F126&lt;=85,1,0))</formula>
    </cfRule>
  </conditionalFormatting>
  <conditionalFormatting sqref="AV127">
    <cfRule type="expression" dxfId="5133" priority="115">
      <formula>AV127="X"</formula>
    </cfRule>
    <cfRule type="expression" dxfId="5132" priority="116">
      <formula>AV127="후보"</formula>
    </cfRule>
  </conditionalFormatting>
  <conditionalFormatting sqref="AC127 N127">
    <cfRule type="cellIs" dxfId="5131" priority="113" operator="greaterThan">
      <formula>0.9</formula>
    </cfRule>
    <cfRule type="cellIs" dxfId="5130" priority="114" operator="greaterThan">
      <formula>0.85</formula>
    </cfRule>
  </conditionalFormatting>
  <conditionalFormatting sqref="AV128">
    <cfRule type="expression" dxfId="5129" priority="111">
      <formula>AV128="X"</formula>
    </cfRule>
    <cfRule type="expression" dxfId="5128" priority="112">
      <formula>AV128="후보"</formula>
    </cfRule>
  </conditionalFormatting>
  <conditionalFormatting sqref="AC128">
    <cfRule type="cellIs" dxfId="5127" priority="109" operator="greaterThan">
      <formula>0.9</formula>
    </cfRule>
    <cfRule type="cellIs" dxfId="5126" priority="110" operator="greaterThan">
      <formula>0.85</formula>
    </cfRule>
  </conditionalFormatting>
  <conditionalFormatting sqref="N128">
    <cfRule type="cellIs" dxfId="5125" priority="107" operator="greaterThan">
      <formula>0.9</formula>
    </cfRule>
    <cfRule type="cellIs" dxfId="5124" priority="108" operator="greaterThan">
      <formula>0.85</formula>
    </cfRule>
  </conditionalFormatting>
  <conditionalFormatting sqref="E128">
    <cfRule type="expression" dxfId="5123" priority="103">
      <formula>AND(IF(OR($Q128=1,$Q128=2),1,0),IF($X128&lt;=20,1,0))</formula>
    </cfRule>
    <cfRule type="expression" dxfId="5122" priority="104">
      <formula>AND(IF($Q128=2,1,0),IF($X128&lt;30,1,0))</formula>
    </cfRule>
    <cfRule type="expression" dxfId="5121" priority="105">
      <formula>AND(IF($Q128=3,1,0),IF($X128&lt;30,1,0))</formula>
    </cfRule>
    <cfRule type="expression" dxfId="5120" priority="106">
      <formula>AND(IF($Q128=3,1,IF($Q128=4,1,0)),IF($F128&lt;=85,1,0))</formula>
    </cfRule>
  </conditionalFormatting>
  <conditionalFormatting sqref="X128">
    <cfRule type="expression" dxfId="5119" priority="99">
      <formula>AND(IF(OR($Q128=1,$Q128=2),1,0),IF($X128&lt;=20,1,0))</formula>
    </cfRule>
    <cfRule type="expression" dxfId="5118" priority="100">
      <formula>AND(IF($Q128=2,1,0),IF($X128&lt;30,1,0))</formula>
    </cfRule>
    <cfRule type="expression" dxfId="5117" priority="101">
      <formula>AND(IF($Q128=3,1,0),IF($X128&lt;30,1,0))</formula>
    </cfRule>
    <cfRule type="expression" dxfId="5116" priority="102">
      <formula>AND(IF($Q128=3,1,IF($Q128=4,1,0)),IF($F128&lt;=85,1,0))</formula>
    </cfRule>
  </conditionalFormatting>
  <conditionalFormatting sqref="AI128">
    <cfRule type="expression" dxfId="5115" priority="95">
      <formula>AND(IF(OR($Q128=1,$Q128=2),1,0),IF($X128&lt;=20,1,0))</formula>
    </cfRule>
    <cfRule type="expression" dxfId="5114" priority="96">
      <formula>AND(IF($Q128=2,1,0),IF($X128&lt;30,1,0))</formula>
    </cfRule>
    <cfRule type="expression" dxfId="5113" priority="97">
      <formula>AND(IF($Q128=3,1,0),IF($X128&lt;30,1,0))</formula>
    </cfRule>
    <cfRule type="expression" dxfId="5112" priority="98">
      <formula>AND(IF($Q128=3,1,IF($Q128=4,1,0)),IF($F128&lt;=85,1,0))</formula>
    </cfRule>
  </conditionalFormatting>
  <conditionalFormatting sqref="AV129">
    <cfRule type="expression" dxfId="5111" priority="93">
      <formula>AV129="X"</formula>
    </cfRule>
    <cfRule type="expression" dxfId="5110" priority="94">
      <formula>AV129="후보"</formula>
    </cfRule>
  </conditionalFormatting>
  <conditionalFormatting sqref="AC129">
    <cfRule type="cellIs" dxfId="5109" priority="91" operator="greaterThan">
      <formula>0.9</formula>
    </cfRule>
    <cfRule type="cellIs" dxfId="5108" priority="92" operator="greaterThan">
      <formula>0.85</formula>
    </cfRule>
  </conditionalFormatting>
  <conditionalFormatting sqref="N129">
    <cfRule type="cellIs" dxfId="5107" priority="89" operator="greaterThan">
      <formula>0.9</formula>
    </cfRule>
    <cfRule type="cellIs" dxfId="5106" priority="90" operator="greaterThan">
      <formula>0.85</formula>
    </cfRule>
  </conditionalFormatting>
  <conditionalFormatting sqref="E129">
    <cfRule type="expression" dxfId="5105" priority="85">
      <formula>AND(IF(OR($Q129=1,$Q129=2),1,0),IF($X129&lt;=20,1,0))</formula>
    </cfRule>
    <cfRule type="expression" dxfId="5104" priority="86">
      <formula>AND(IF($Q129=2,1,0),IF($X129&lt;30,1,0))</formula>
    </cfRule>
    <cfRule type="expression" dxfId="5103" priority="87">
      <formula>AND(IF($Q129=3,1,0),IF($X129&lt;30,1,0))</formula>
    </cfRule>
    <cfRule type="expression" dxfId="5102" priority="88">
      <formula>AND(IF($Q129=3,1,IF($Q129=4,1,0)),IF($F129&lt;=85,1,0))</formula>
    </cfRule>
  </conditionalFormatting>
  <conditionalFormatting sqref="X129">
    <cfRule type="expression" dxfId="5101" priority="81">
      <formula>AND(IF(OR($Q129=1,$Q129=2),1,0),IF($X129&lt;=20,1,0))</formula>
    </cfRule>
    <cfRule type="expression" dxfId="5100" priority="82">
      <formula>AND(IF($Q129=2,1,0),IF($X129&lt;30,1,0))</formula>
    </cfRule>
    <cfRule type="expression" dxfId="5099" priority="83">
      <formula>AND(IF($Q129=3,1,0),IF($X129&lt;30,1,0))</formula>
    </cfRule>
    <cfRule type="expression" dxfId="5098" priority="84">
      <formula>AND(IF($Q129=3,1,IF($Q129=4,1,0)),IF($F129&lt;=85,1,0))</formula>
    </cfRule>
  </conditionalFormatting>
  <conditionalFormatting sqref="AI129">
    <cfRule type="expression" dxfId="5097" priority="77">
      <formula>AND(IF(OR($Q129=1,$Q129=2),1,0),IF($X129&lt;=20,1,0))</formula>
    </cfRule>
    <cfRule type="expression" dxfId="5096" priority="78">
      <formula>AND(IF($Q129=2,1,0),IF($X129&lt;30,1,0))</formula>
    </cfRule>
    <cfRule type="expression" dxfId="5095" priority="79">
      <formula>AND(IF($Q129=3,1,0),IF($X129&lt;30,1,0))</formula>
    </cfRule>
    <cfRule type="expression" dxfId="5094" priority="80">
      <formula>AND(IF($Q129=3,1,IF($Q129=4,1,0)),IF($F129&lt;=85,1,0))</formula>
    </cfRule>
  </conditionalFormatting>
  <conditionalFormatting sqref="AV130">
    <cfRule type="expression" dxfId="5093" priority="75">
      <formula>AV130="X"</formula>
    </cfRule>
    <cfRule type="expression" dxfId="5092" priority="76">
      <formula>AV130="후보"</formula>
    </cfRule>
  </conditionalFormatting>
  <conditionalFormatting sqref="AC130">
    <cfRule type="cellIs" dxfId="5091" priority="73" operator="greaterThan">
      <formula>0.9</formula>
    </cfRule>
    <cfRule type="cellIs" dxfId="5090" priority="74" operator="greaterThan">
      <formula>0.85</formula>
    </cfRule>
  </conditionalFormatting>
  <conditionalFormatting sqref="N130">
    <cfRule type="cellIs" dxfId="5089" priority="71" operator="greaterThan">
      <formula>0.9</formula>
    </cfRule>
    <cfRule type="cellIs" dxfId="5088" priority="72" operator="greaterThan">
      <formula>0.85</formula>
    </cfRule>
  </conditionalFormatting>
  <conditionalFormatting sqref="E130">
    <cfRule type="expression" dxfId="5087" priority="67">
      <formula>AND(IF(OR($Q130=1,$Q130=2),1,0),IF($X130&lt;=20,1,0))</formula>
    </cfRule>
    <cfRule type="expression" dxfId="5086" priority="68">
      <formula>AND(IF($Q130=2,1,0),IF($X130&lt;30,1,0))</formula>
    </cfRule>
    <cfRule type="expression" dxfId="5085" priority="69">
      <formula>AND(IF($Q130=3,1,0),IF($X130&lt;30,1,0))</formula>
    </cfRule>
    <cfRule type="expression" dxfId="5084" priority="70">
      <formula>AND(IF($Q130=3,1,IF($Q130=4,1,0)),IF($F130&lt;=85,1,0))</formula>
    </cfRule>
  </conditionalFormatting>
  <conditionalFormatting sqref="X130">
    <cfRule type="expression" dxfId="5083" priority="63">
      <formula>AND(IF(OR($Q130=1,$Q130=2),1,0),IF($X130&lt;=20,1,0))</formula>
    </cfRule>
    <cfRule type="expression" dxfId="5082" priority="64">
      <formula>AND(IF($Q130=2,1,0),IF($X130&lt;30,1,0))</formula>
    </cfRule>
    <cfRule type="expression" dxfId="5081" priority="65">
      <formula>AND(IF($Q130=3,1,0),IF($X130&lt;30,1,0))</formula>
    </cfRule>
    <cfRule type="expression" dxfId="5080" priority="66">
      <formula>AND(IF($Q130=3,1,IF($Q130=4,1,0)),IF($F130&lt;=85,1,0))</formula>
    </cfRule>
  </conditionalFormatting>
  <conditionalFormatting sqref="AI130">
    <cfRule type="expression" dxfId="5079" priority="59">
      <formula>AND(IF(OR($Q130=1,$Q130=2),1,0),IF($X130&lt;=20,1,0))</formula>
    </cfRule>
    <cfRule type="expression" dxfId="5078" priority="60">
      <formula>AND(IF($Q130=2,1,0),IF($X130&lt;30,1,0))</formula>
    </cfRule>
    <cfRule type="expression" dxfId="5077" priority="61">
      <formula>AND(IF($Q130=3,1,0),IF($X130&lt;30,1,0))</formula>
    </cfRule>
    <cfRule type="expression" dxfId="5076" priority="62">
      <formula>AND(IF($Q130=3,1,IF($Q130=4,1,0)),IF($F130&lt;=85,1,0))</formula>
    </cfRule>
  </conditionalFormatting>
  <conditionalFormatting sqref="AV131">
    <cfRule type="expression" dxfId="5075" priority="57">
      <formula>AV131="X"</formula>
    </cfRule>
    <cfRule type="expression" dxfId="5074" priority="58">
      <formula>AV131="후보"</formula>
    </cfRule>
  </conditionalFormatting>
  <conditionalFormatting sqref="AC131 N131">
    <cfRule type="cellIs" dxfId="5073" priority="55" operator="greaterThan">
      <formula>0.9</formula>
    </cfRule>
    <cfRule type="cellIs" dxfId="5072" priority="56" operator="greaterThan">
      <formula>0.85</formula>
    </cfRule>
  </conditionalFormatting>
  <conditionalFormatting sqref="AV132">
    <cfRule type="expression" dxfId="5071" priority="53">
      <formula>AV132="X"</formula>
    </cfRule>
    <cfRule type="expression" dxfId="5070" priority="54">
      <formula>AV132="후보"</formula>
    </cfRule>
  </conditionalFormatting>
  <conditionalFormatting sqref="AC132">
    <cfRule type="cellIs" dxfId="5069" priority="51" operator="greaterThan">
      <formula>0.9</formula>
    </cfRule>
    <cfRule type="cellIs" dxfId="5068" priority="52" operator="greaterThan">
      <formula>0.85</formula>
    </cfRule>
  </conditionalFormatting>
  <conditionalFormatting sqref="N132">
    <cfRule type="cellIs" dxfId="5067" priority="49" operator="greaterThan">
      <formula>0.9</formula>
    </cfRule>
    <cfRule type="cellIs" dxfId="5066" priority="50" operator="greaterThan">
      <formula>0.85</formula>
    </cfRule>
  </conditionalFormatting>
  <conditionalFormatting sqref="E132">
    <cfRule type="expression" dxfId="5065" priority="45">
      <formula>AND(IF(OR($Q132=1,$Q132=2),1,0),IF($X132&lt;=20,1,0))</formula>
    </cfRule>
    <cfRule type="expression" dxfId="5064" priority="46">
      <formula>AND(IF($Q132=2,1,0),IF($X132&lt;30,1,0))</formula>
    </cfRule>
    <cfRule type="expression" dxfId="5063" priority="47">
      <formula>AND(IF($Q132=3,1,0),IF($X132&lt;30,1,0))</formula>
    </cfRule>
    <cfRule type="expression" dxfId="5062" priority="48">
      <formula>AND(IF($Q132=3,1,IF($Q132=4,1,0)),IF($F132&lt;=85,1,0))</formula>
    </cfRule>
  </conditionalFormatting>
  <conditionalFormatting sqref="X132">
    <cfRule type="expression" dxfId="5061" priority="41">
      <formula>AND(IF(OR($Q132=1,$Q132=2),1,0),IF($X132&lt;=20,1,0))</formula>
    </cfRule>
    <cfRule type="expression" dxfId="5060" priority="42">
      <formula>AND(IF($Q132=2,1,0),IF($X132&lt;30,1,0))</formula>
    </cfRule>
    <cfRule type="expression" dxfId="5059" priority="43">
      <formula>AND(IF($Q132=3,1,0),IF($X132&lt;30,1,0))</formula>
    </cfRule>
    <cfRule type="expression" dxfId="5058" priority="44">
      <formula>AND(IF($Q132=3,1,IF($Q132=4,1,0)),IF($F132&lt;=85,1,0))</formula>
    </cfRule>
  </conditionalFormatting>
  <conditionalFormatting sqref="AI132">
    <cfRule type="expression" dxfId="5057" priority="37">
      <formula>AND(IF(OR($Q132=1,$Q132=2),1,0),IF($X132&lt;=20,1,0))</formula>
    </cfRule>
    <cfRule type="expression" dxfId="5056" priority="38">
      <formula>AND(IF($Q132=2,1,0),IF($X132&lt;30,1,0))</formula>
    </cfRule>
    <cfRule type="expression" dxfId="5055" priority="39">
      <formula>AND(IF($Q132=3,1,0),IF($X132&lt;30,1,0))</formula>
    </cfRule>
    <cfRule type="expression" dxfId="5054" priority="40">
      <formula>AND(IF($Q132=3,1,IF($Q132=4,1,0)),IF($F132&lt;=85,1,0))</formula>
    </cfRule>
  </conditionalFormatting>
  <conditionalFormatting sqref="AV133">
    <cfRule type="expression" dxfId="5053" priority="35">
      <formula>AV133="X"</formula>
    </cfRule>
    <cfRule type="expression" dxfId="5052" priority="36">
      <formula>AV133="후보"</formula>
    </cfRule>
  </conditionalFormatting>
  <conditionalFormatting sqref="AC133">
    <cfRule type="cellIs" dxfId="5051" priority="33" operator="greaterThan">
      <formula>0.9</formula>
    </cfRule>
    <cfRule type="cellIs" dxfId="5050" priority="34" operator="greaterThan">
      <formula>0.85</formula>
    </cfRule>
  </conditionalFormatting>
  <conditionalFormatting sqref="N133">
    <cfRule type="cellIs" dxfId="5049" priority="31" operator="greaterThan">
      <formula>0.9</formula>
    </cfRule>
    <cfRule type="cellIs" dxfId="5048" priority="32" operator="greaterThan">
      <formula>0.85</formula>
    </cfRule>
  </conditionalFormatting>
  <conditionalFormatting sqref="E133">
    <cfRule type="expression" dxfId="5047" priority="27">
      <formula>AND(IF(OR($Q133=1,$Q133=2),1,0),IF($X133&lt;=20,1,0))</formula>
    </cfRule>
    <cfRule type="expression" dxfId="5046" priority="28">
      <formula>AND(IF($Q133=2,1,0),IF($X133&lt;30,1,0))</formula>
    </cfRule>
    <cfRule type="expression" dxfId="5045" priority="29">
      <formula>AND(IF($Q133=3,1,0),IF($X133&lt;30,1,0))</formula>
    </cfRule>
    <cfRule type="expression" dxfId="5044" priority="30">
      <formula>AND(IF($Q133=3,1,IF($Q133=4,1,0)),IF($F133&lt;=85,1,0))</formula>
    </cfRule>
  </conditionalFormatting>
  <conditionalFormatting sqref="X133">
    <cfRule type="expression" dxfId="5043" priority="23">
      <formula>AND(IF(OR($Q133=1,$Q133=2),1,0),IF($X133&lt;=20,1,0))</formula>
    </cfRule>
    <cfRule type="expression" dxfId="5042" priority="24">
      <formula>AND(IF($Q133=2,1,0),IF($X133&lt;30,1,0))</formula>
    </cfRule>
    <cfRule type="expression" dxfId="5041" priority="25">
      <formula>AND(IF($Q133=3,1,0),IF($X133&lt;30,1,0))</formula>
    </cfRule>
    <cfRule type="expression" dxfId="5040" priority="26">
      <formula>AND(IF($Q133=3,1,IF($Q133=4,1,0)),IF($F133&lt;=85,1,0))</formula>
    </cfRule>
  </conditionalFormatting>
  <conditionalFormatting sqref="AI133">
    <cfRule type="expression" dxfId="5039" priority="19">
      <formula>AND(IF(OR($Q133=1,$Q133=2),1,0),IF($X133&lt;=20,1,0))</formula>
    </cfRule>
    <cfRule type="expression" dxfId="5038" priority="20">
      <formula>AND(IF($Q133=2,1,0),IF($X133&lt;30,1,0))</formula>
    </cfRule>
    <cfRule type="expression" dxfId="5037" priority="21">
      <formula>AND(IF($Q133=3,1,0),IF($X133&lt;30,1,0))</formula>
    </cfRule>
    <cfRule type="expression" dxfId="5036" priority="22">
      <formula>AND(IF($Q133=3,1,IF($Q133=4,1,0)),IF($F133&lt;=85,1,0))</formula>
    </cfRule>
  </conditionalFormatting>
  <conditionalFormatting sqref="AV134">
    <cfRule type="expression" dxfId="5035" priority="17">
      <formula>AV134="X"</formula>
    </cfRule>
    <cfRule type="expression" dxfId="5034" priority="18">
      <formula>AV134="후보"</formula>
    </cfRule>
  </conditionalFormatting>
  <conditionalFormatting sqref="AC134">
    <cfRule type="cellIs" dxfId="5033" priority="15" operator="greaterThan">
      <formula>0.9</formula>
    </cfRule>
    <cfRule type="cellIs" dxfId="5032" priority="16" operator="greaterThan">
      <formula>0.85</formula>
    </cfRule>
  </conditionalFormatting>
  <conditionalFormatting sqref="N134">
    <cfRule type="cellIs" dxfId="5031" priority="13" operator="greaterThan">
      <formula>0.9</formula>
    </cfRule>
    <cfRule type="cellIs" dxfId="5030" priority="14" operator="greaterThan">
      <formula>0.85</formula>
    </cfRule>
  </conditionalFormatting>
  <conditionalFormatting sqref="E134">
    <cfRule type="expression" dxfId="5029" priority="9">
      <formula>AND(IF(OR($Q134=1,$Q134=2),1,0),IF($X134&lt;=20,1,0))</formula>
    </cfRule>
    <cfRule type="expression" dxfId="5028" priority="10">
      <formula>AND(IF($Q134=2,1,0),IF($X134&lt;30,1,0))</formula>
    </cfRule>
    <cfRule type="expression" dxfId="5027" priority="11">
      <formula>AND(IF($Q134=3,1,0),IF($X134&lt;30,1,0))</formula>
    </cfRule>
    <cfRule type="expression" dxfId="5026" priority="12">
      <formula>AND(IF($Q134=3,1,IF($Q134=4,1,0)),IF($F134&lt;=85,1,0))</formula>
    </cfRule>
  </conditionalFormatting>
  <conditionalFormatting sqref="X134">
    <cfRule type="expression" dxfId="5025" priority="5">
      <formula>AND(IF(OR($Q134=1,$Q134=2),1,0),IF($X134&lt;=20,1,0))</formula>
    </cfRule>
    <cfRule type="expression" dxfId="5024" priority="6">
      <formula>AND(IF($Q134=2,1,0),IF($X134&lt;30,1,0))</formula>
    </cfRule>
    <cfRule type="expression" dxfId="5023" priority="7">
      <formula>AND(IF($Q134=3,1,0),IF($X134&lt;30,1,0))</formula>
    </cfRule>
    <cfRule type="expression" dxfId="5022" priority="8">
      <formula>AND(IF($Q134=3,1,IF($Q134=4,1,0)),IF($F134&lt;=85,1,0))</formula>
    </cfRule>
  </conditionalFormatting>
  <conditionalFormatting sqref="AI134">
    <cfRule type="expression" dxfId="5021" priority="1">
      <formula>AND(IF(OR($Q134=1,$Q134=2),1,0),IF($X134&lt;=20,1,0))</formula>
    </cfRule>
    <cfRule type="expression" dxfId="5020" priority="2">
      <formula>AND(IF($Q134=2,1,0),IF($X134&lt;30,1,0))</formula>
    </cfRule>
    <cfRule type="expression" dxfId="5019" priority="3">
      <formula>AND(IF($Q134=3,1,0),IF($X134&lt;30,1,0))</formula>
    </cfRule>
    <cfRule type="expression" dxfId="5018" priority="4">
      <formula>AND(IF($Q134=3,1,IF($Q134=4,1,0)),IF($F134&lt;=85,1,0))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대명동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613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대명동 현대메트로타워2차('16.04.,942^)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609</v>
      </c>
      <c r="B6" s="10" t="s">
        <v>1308</v>
      </c>
      <c r="C6" s="89">
        <v>942</v>
      </c>
      <c r="D6" s="87">
        <v>115.3</v>
      </c>
      <c r="E6" s="88">
        <v>35</v>
      </c>
      <c r="F6" s="87">
        <v>84.9</v>
      </c>
      <c r="G6" s="17">
        <v>26</v>
      </c>
      <c r="H6" s="89">
        <v>318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 t="s">
        <v>141</v>
      </c>
      <c r="U6" s="9"/>
      <c r="W6" s="87">
        <f t="shared" ref="W6:X8" si="2">D6</f>
        <v>115.3</v>
      </c>
      <c r="X6" s="88">
        <f t="shared" si="2"/>
        <v>35</v>
      </c>
      <c r="Y6" s="93">
        <f t="shared" ref="Y6:Z8" si="3">H6</f>
        <v>318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현대메트로타워2차</v>
      </c>
      <c r="AI6" s="88">
        <f t="shared" si="0"/>
        <v>35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609</v>
      </c>
      <c r="B7" s="10" t="s">
        <v>1308</v>
      </c>
      <c r="C7" s="89">
        <v>942</v>
      </c>
      <c r="D7" s="87">
        <v>115.5</v>
      </c>
      <c r="E7" s="88">
        <v>35</v>
      </c>
      <c r="F7" s="87">
        <v>85</v>
      </c>
      <c r="G7" s="17">
        <v>26</v>
      </c>
      <c r="H7" s="89">
        <v>316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94</v>
      </c>
      <c r="U7" s="9"/>
      <c r="W7" s="87">
        <f t="shared" si="2"/>
        <v>115.5</v>
      </c>
      <c r="X7" s="88">
        <f t="shared" si="2"/>
        <v>35</v>
      </c>
      <c r="Y7" s="93">
        <f t="shared" si="3"/>
        <v>316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현대메트로타워2차</v>
      </c>
      <c r="AI7" s="88">
        <f t="shared" si="0"/>
        <v>35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 t="s">
        <v>609</v>
      </c>
      <c r="B8" s="10" t="s">
        <v>1308</v>
      </c>
      <c r="C8" s="89">
        <v>942</v>
      </c>
      <c r="D8" s="87">
        <v>115.3</v>
      </c>
      <c r="E8" s="88">
        <v>35</v>
      </c>
      <c r="F8" s="87">
        <v>85</v>
      </c>
      <c r="G8" s="17">
        <v>26</v>
      </c>
      <c r="H8" s="89">
        <v>308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3</v>
      </c>
      <c r="R8" s="80">
        <v>2</v>
      </c>
      <c r="S8" s="80" t="s">
        <v>61</v>
      </c>
      <c r="T8" s="5" t="s">
        <v>93</v>
      </c>
      <c r="U8" s="9"/>
      <c r="W8" s="87">
        <f t="shared" si="2"/>
        <v>115.3</v>
      </c>
      <c r="X8" s="88">
        <f t="shared" si="2"/>
        <v>35</v>
      </c>
      <c r="Y8" s="93">
        <f t="shared" si="3"/>
        <v>308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계</v>
      </c>
      <c r="AF8" s="80" t="str">
        <f>Q8&amp;"/"&amp;R8</f>
        <v>3/2</v>
      </c>
      <c r="AH8" s="20" t="str">
        <f t="shared" si="1"/>
        <v>현대메트로타워2차</v>
      </c>
      <c r="AI8" s="88">
        <f t="shared" si="0"/>
        <v>35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/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대명동 현대메트로타워('11.10.,614^)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615</v>
      </c>
      <c r="B10" s="10" t="s">
        <v>1309</v>
      </c>
      <c r="C10" s="89">
        <v>614</v>
      </c>
      <c r="D10" s="87">
        <v>108.7</v>
      </c>
      <c r="E10" s="88">
        <v>33</v>
      </c>
      <c r="F10" s="87">
        <v>76.3</v>
      </c>
      <c r="G10" s="17">
        <v>23</v>
      </c>
      <c r="H10" s="89">
        <v>248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61</v>
      </c>
      <c r="T10" s="5">
        <v>108</v>
      </c>
      <c r="U10" s="9"/>
      <c r="W10" s="87">
        <f t="shared" ref="W10:X12" si="5">D10</f>
        <v>108.7</v>
      </c>
      <c r="X10" s="88">
        <f t="shared" si="5"/>
        <v>33</v>
      </c>
      <c r="Y10" s="93">
        <f t="shared" ref="Y10:Z12" si="6">H10</f>
        <v>248</v>
      </c>
      <c r="Z10" s="91">
        <f t="shared" si="6"/>
        <v>0</v>
      </c>
      <c r="AA10" s="91">
        <f>K10</f>
        <v>0</v>
      </c>
      <c r="AB10" s="91">
        <f t="shared" ref="AB10:AD12" si="7">M10</f>
        <v>0</v>
      </c>
      <c r="AC10" s="4" t="str">
        <f t="shared" si="7"/>
        <v/>
      </c>
      <c r="AD10" s="92">
        <f t="shared" si="7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현대메트로타워</v>
      </c>
      <c r="AI10" s="88">
        <f t="shared" si="0"/>
        <v>33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  <row r="11" spans="1:48" x14ac:dyDescent="0.3">
      <c r="A11" s="9" t="s">
        <v>615</v>
      </c>
      <c r="B11" s="10" t="s">
        <v>1309</v>
      </c>
      <c r="C11" s="89">
        <v>614</v>
      </c>
      <c r="D11" s="87">
        <v>120.5</v>
      </c>
      <c r="E11" s="88">
        <v>36</v>
      </c>
      <c r="F11" s="87">
        <v>84.9</v>
      </c>
      <c r="G11" s="17">
        <v>26</v>
      </c>
      <c r="H11" s="89">
        <v>244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2</v>
      </c>
      <c r="S11" s="80" t="s">
        <v>61</v>
      </c>
      <c r="T11" s="5">
        <v>120</v>
      </c>
      <c r="U11" s="9"/>
      <c r="W11" s="87">
        <f t="shared" si="5"/>
        <v>120.5</v>
      </c>
      <c r="X11" s="88">
        <f t="shared" si="5"/>
        <v>36</v>
      </c>
      <c r="Y11" s="93">
        <f t="shared" si="6"/>
        <v>244</v>
      </c>
      <c r="Z11" s="91">
        <f t="shared" si="6"/>
        <v>0</v>
      </c>
      <c r="AA11" s="91">
        <f>K11</f>
        <v>0</v>
      </c>
      <c r="AB11" s="91">
        <f t="shared" si="7"/>
        <v>0</v>
      </c>
      <c r="AC11" s="4" t="str">
        <f t="shared" si="7"/>
        <v/>
      </c>
      <c r="AD11" s="92">
        <f t="shared" si="7"/>
        <v>0</v>
      </c>
      <c r="AE11" s="80" t="str">
        <f>S11</f>
        <v>계</v>
      </c>
      <c r="AF11" s="80" t="str">
        <f>Q11&amp;"/"&amp;R11</f>
        <v>3/2</v>
      </c>
      <c r="AH11" s="20" t="str">
        <f t="shared" si="1"/>
        <v>현대메트로타워</v>
      </c>
      <c r="AI11" s="88">
        <f t="shared" si="0"/>
        <v>36</v>
      </c>
      <c r="AJ11" s="80" t="str">
        <f>IF(AI11="","",$AJ$2)</f>
        <v>A-</v>
      </c>
      <c r="AK11" s="80" t="s">
        <v>14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 t="s">
        <v>615</v>
      </c>
      <c r="B12" s="10" t="s">
        <v>1309</v>
      </c>
      <c r="C12" s="89">
        <v>614</v>
      </c>
      <c r="D12" s="87">
        <v>120.7</v>
      </c>
      <c r="E12" s="88">
        <v>37</v>
      </c>
      <c r="F12" s="87">
        <v>84.9</v>
      </c>
      <c r="G12" s="17">
        <v>26</v>
      </c>
      <c r="H12" s="89">
        <v>122</v>
      </c>
      <c r="I12" s="90"/>
      <c r="J12" s="90"/>
      <c r="K12" s="90"/>
      <c r="L12" s="90"/>
      <c r="M12" s="91">
        <f>I12-K12</f>
        <v>0</v>
      </c>
      <c r="N12" s="4" t="str">
        <f>IF(ISERROR(K12/I12),"",K12/I12)</f>
        <v/>
      </c>
      <c r="O12" s="92">
        <f>I12/E12</f>
        <v>0</v>
      </c>
      <c r="P12" s="92">
        <f>K12/E12</f>
        <v>0</v>
      </c>
      <c r="Q12" s="80">
        <v>3</v>
      </c>
      <c r="R12" s="80">
        <v>2</v>
      </c>
      <c r="S12" s="80" t="s">
        <v>61</v>
      </c>
      <c r="T12" s="5">
        <v>120</v>
      </c>
      <c r="U12" s="9"/>
      <c r="W12" s="87">
        <f t="shared" si="5"/>
        <v>120.7</v>
      </c>
      <c r="X12" s="88">
        <f t="shared" si="5"/>
        <v>37</v>
      </c>
      <c r="Y12" s="93">
        <f t="shared" si="6"/>
        <v>122</v>
      </c>
      <c r="Z12" s="91">
        <f t="shared" si="6"/>
        <v>0</v>
      </c>
      <c r="AA12" s="91">
        <f>K12</f>
        <v>0</v>
      </c>
      <c r="AB12" s="91">
        <f t="shared" si="7"/>
        <v>0</v>
      </c>
      <c r="AC12" s="4" t="str">
        <f t="shared" si="7"/>
        <v/>
      </c>
      <c r="AD12" s="92">
        <f t="shared" si="7"/>
        <v>0</v>
      </c>
      <c r="AE12" s="80" t="str">
        <f>S12</f>
        <v>계</v>
      </c>
      <c r="AF12" s="80" t="str">
        <f>Q12&amp;"/"&amp;R12</f>
        <v>3/2</v>
      </c>
      <c r="AH12" s="20" t="str">
        <f t="shared" si="1"/>
        <v>현대메트로타워</v>
      </c>
      <c r="AI12" s="88">
        <f t="shared" si="0"/>
        <v>37</v>
      </c>
      <c r="AJ12" s="80" t="str">
        <f>IF(AI12="","",$AJ$2)</f>
        <v>A-</v>
      </c>
      <c r="AK12" s="80" t="s">
        <v>14</v>
      </c>
      <c r="AL12" s="80" t="s">
        <v>63</v>
      </c>
      <c r="AM12" s="80" t="s">
        <v>64</v>
      </c>
      <c r="AN12" s="80" t="str">
        <f>IF(AI12="","",$AN$2)</f>
        <v>C</v>
      </c>
      <c r="AO12" s="80" t="str">
        <f>IF(N12="","",IF(N12&gt;=$AO$1/100,"O","X"))</f>
        <v/>
      </c>
      <c r="AP12" s="80" t="str">
        <f>IF(I12="","",IF(I12&lt;=$AP$1,"O","X"))</f>
        <v/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/>
      </c>
    </row>
  </sheetData>
  <mergeCells count="1">
    <mergeCell ref="AJ1:AN1"/>
  </mergeCells>
  <phoneticPr fontId="2" type="noConversion"/>
  <conditionalFormatting sqref="AV4:AV6">
    <cfRule type="expression" dxfId="5017" priority="113">
      <formula>AV4="X"</formula>
    </cfRule>
    <cfRule type="expression" dxfId="5016" priority="114">
      <formula>AV4="후보"</formula>
    </cfRule>
  </conditionalFormatting>
  <conditionalFormatting sqref="AC1:AC2 AC4:AC6 N4:N5">
    <cfRule type="cellIs" dxfId="5015" priority="111" operator="greaterThan">
      <formula>0.9</formula>
    </cfRule>
    <cfRule type="cellIs" dxfId="5014" priority="112" operator="greaterThan">
      <formula>0.85</formula>
    </cfRule>
  </conditionalFormatting>
  <conditionalFormatting sqref="N1:N2">
    <cfRule type="cellIs" dxfId="5013" priority="109" operator="greaterThan">
      <formula>0.9</formula>
    </cfRule>
    <cfRule type="cellIs" dxfId="5012" priority="110" operator="greaterThan">
      <formula>0.85</formula>
    </cfRule>
  </conditionalFormatting>
  <conditionalFormatting sqref="N6">
    <cfRule type="cellIs" dxfId="5011" priority="107" operator="greaterThan">
      <formula>0.9</formula>
    </cfRule>
    <cfRule type="cellIs" dxfId="5010" priority="108" operator="greaterThan">
      <formula>0.85</formula>
    </cfRule>
  </conditionalFormatting>
  <conditionalFormatting sqref="E6">
    <cfRule type="expression" dxfId="5009" priority="103">
      <formula>AND(IF(OR($Q6=1,$Q6=2),1,0),IF($X6&lt;=20,1,0))</formula>
    </cfRule>
    <cfRule type="expression" dxfId="5008" priority="104">
      <formula>AND(IF($Q6=2,1,0),IF($X6&lt;30,1,0))</formula>
    </cfRule>
    <cfRule type="expression" dxfId="5007" priority="105">
      <formula>AND(IF($Q6=3,1,0),IF($X6&lt;30,1,0))</formula>
    </cfRule>
    <cfRule type="expression" dxfId="5006" priority="106">
      <formula>AND(IF($Q6=3,1,IF($Q6=4,1,0)),IF($F6&lt;=85,1,0))</formula>
    </cfRule>
  </conditionalFormatting>
  <conditionalFormatting sqref="X6">
    <cfRule type="expression" dxfId="5005" priority="99">
      <formula>AND(IF(OR($Q6=1,$Q6=2),1,0),IF($X6&lt;=20,1,0))</formula>
    </cfRule>
    <cfRule type="expression" dxfId="5004" priority="100">
      <formula>AND(IF($Q6=2,1,0),IF($X6&lt;30,1,0))</formula>
    </cfRule>
    <cfRule type="expression" dxfId="5003" priority="101">
      <formula>AND(IF($Q6=3,1,0),IF($X6&lt;30,1,0))</formula>
    </cfRule>
    <cfRule type="expression" dxfId="5002" priority="102">
      <formula>AND(IF($Q6=3,1,IF($Q6=4,1,0)),IF($F6&lt;=85,1,0))</formula>
    </cfRule>
  </conditionalFormatting>
  <conditionalFormatting sqref="AI6">
    <cfRule type="expression" dxfId="5001" priority="95">
      <formula>AND(IF(OR($Q6=1,$Q6=2),1,0),IF($X6&lt;=20,1,0))</formula>
    </cfRule>
    <cfRule type="expression" dxfId="5000" priority="96">
      <formula>AND(IF($Q6=2,1,0),IF($X6&lt;30,1,0))</formula>
    </cfRule>
    <cfRule type="expression" dxfId="4999" priority="97">
      <formula>AND(IF($Q6=3,1,0),IF($X6&lt;30,1,0))</formula>
    </cfRule>
    <cfRule type="expression" dxfId="4998" priority="98">
      <formula>AND(IF($Q6=3,1,IF($Q6=4,1,0)),IF($F6&lt;=85,1,0))</formula>
    </cfRule>
  </conditionalFormatting>
  <conditionalFormatting sqref="AV7">
    <cfRule type="expression" dxfId="4997" priority="93">
      <formula>AV7="X"</formula>
    </cfRule>
    <cfRule type="expression" dxfId="4996" priority="94">
      <formula>AV7="후보"</formula>
    </cfRule>
  </conditionalFormatting>
  <conditionalFormatting sqref="AC7">
    <cfRule type="cellIs" dxfId="4995" priority="91" operator="greaterThan">
      <formula>0.9</formula>
    </cfRule>
    <cfRule type="cellIs" dxfId="4994" priority="92" operator="greaterThan">
      <formula>0.85</formula>
    </cfRule>
  </conditionalFormatting>
  <conditionalFormatting sqref="N7">
    <cfRule type="cellIs" dxfId="4993" priority="89" operator="greaterThan">
      <formula>0.9</formula>
    </cfRule>
    <cfRule type="cellIs" dxfId="4992" priority="90" operator="greaterThan">
      <formula>0.85</formula>
    </cfRule>
  </conditionalFormatting>
  <conditionalFormatting sqref="E7">
    <cfRule type="expression" dxfId="4991" priority="85">
      <formula>AND(IF(OR($Q7=1,$Q7=2),1,0),IF($X7&lt;=20,1,0))</formula>
    </cfRule>
    <cfRule type="expression" dxfId="4990" priority="86">
      <formula>AND(IF($Q7=2,1,0),IF($X7&lt;30,1,0))</formula>
    </cfRule>
    <cfRule type="expression" dxfId="4989" priority="87">
      <formula>AND(IF($Q7=3,1,0),IF($X7&lt;30,1,0))</formula>
    </cfRule>
    <cfRule type="expression" dxfId="4988" priority="88">
      <formula>AND(IF($Q7=3,1,IF($Q7=4,1,0)),IF($F7&lt;=85,1,0))</formula>
    </cfRule>
  </conditionalFormatting>
  <conditionalFormatting sqref="X7">
    <cfRule type="expression" dxfId="4987" priority="81">
      <formula>AND(IF(OR($Q7=1,$Q7=2),1,0),IF($X7&lt;=20,1,0))</formula>
    </cfRule>
    <cfRule type="expression" dxfId="4986" priority="82">
      <formula>AND(IF($Q7=2,1,0),IF($X7&lt;30,1,0))</formula>
    </cfRule>
    <cfRule type="expression" dxfId="4985" priority="83">
      <formula>AND(IF($Q7=3,1,0),IF($X7&lt;30,1,0))</formula>
    </cfRule>
    <cfRule type="expression" dxfId="4984" priority="84">
      <formula>AND(IF($Q7=3,1,IF($Q7=4,1,0)),IF($F7&lt;=85,1,0))</formula>
    </cfRule>
  </conditionalFormatting>
  <conditionalFormatting sqref="AI7">
    <cfRule type="expression" dxfId="4983" priority="77">
      <formula>AND(IF(OR($Q7=1,$Q7=2),1,0),IF($X7&lt;=20,1,0))</formula>
    </cfRule>
    <cfRule type="expression" dxfId="4982" priority="78">
      <formula>AND(IF($Q7=2,1,0),IF($X7&lt;30,1,0))</formula>
    </cfRule>
    <cfRule type="expression" dxfId="4981" priority="79">
      <formula>AND(IF($Q7=3,1,0),IF($X7&lt;30,1,0))</formula>
    </cfRule>
    <cfRule type="expression" dxfId="4980" priority="80">
      <formula>AND(IF($Q7=3,1,IF($Q7=4,1,0)),IF($F7&lt;=85,1,0))</formula>
    </cfRule>
  </conditionalFormatting>
  <conditionalFormatting sqref="AV8">
    <cfRule type="expression" dxfId="4979" priority="75">
      <formula>AV8="X"</formula>
    </cfRule>
    <cfRule type="expression" dxfId="4978" priority="76">
      <formula>AV8="후보"</formula>
    </cfRule>
  </conditionalFormatting>
  <conditionalFormatting sqref="AC8">
    <cfRule type="cellIs" dxfId="4977" priority="73" operator="greaterThan">
      <formula>0.9</formula>
    </cfRule>
    <cfRule type="cellIs" dxfId="4976" priority="74" operator="greaterThan">
      <formula>0.85</formula>
    </cfRule>
  </conditionalFormatting>
  <conditionalFormatting sqref="N8">
    <cfRule type="cellIs" dxfId="4975" priority="71" operator="greaterThan">
      <formula>0.9</formula>
    </cfRule>
    <cfRule type="cellIs" dxfId="4974" priority="72" operator="greaterThan">
      <formula>0.85</formula>
    </cfRule>
  </conditionalFormatting>
  <conditionalFormatting sqref="E8">
    <cfRule type="expression" dxfId="4973" priority="67">
      <formula>AND(IF(OR($Q8=1,$Q8=2),1,0),IF($X8&lt;=20,1,0))</formula>
    </cfRule>
    <cfRule type="expression" dxfId="4972" priority="68">
      <formula>AND(IF($Q8=2,1,0),IF($X8&lt;30,1,0))</formula>
    </cfRule>
    <cfRule type="expression" dxfId="4971" priority="69">
      <formula>AND(IF($Q8=3,1,0),IF($X8&lt;30,1,0))</formula>
    </cfRule>
    <cfRule type="expression" dxfId="4970" priority="70">
      <formula>AND(IF($Q8=3,1,IF($Q8=4,1,0)),IF($F8&lt;=85,1,0))</formula>
    </cfRule>
  </conditionalFormatting>
  <conditionalFormatting sqref="X8">
    <cfRule type="expression" dxfId="4969" priority="63">
      <formula>AND(IF(OR($Q8=1,$Q8=2),1,0),IF($X8&lt;=20,1,0))</formula>
    </cfRule>
    <cfRule type="expression" dxfId="4968" priority="64">
      <formula>AND(IF($Q8=2,1,0),IF($X8&lt;30,1,0))</formula>
    </cfRule>
    <cfRule type="expression" dxfId="4967" priority="65">
      <formula>AND(IF($Q8=3,1,0),IF($X8&lt;30,1,0))</formula>
    </cfRule>
    <cfRule type="expression" dxfId="4966" priority="66">
      <formula>AND(IF($Q8=3,1,IF($Q8=4,1,0)),IF($F8&lt;=85,1,0))</formula>
    </cfRule>
  </conditionalFormatting>
  <conditionalFormatting sqref="AI8">
    <cfRule type="expression" dxfId="4965" priority="59">
      <formula>AND(IF(OR($Q8=1,$Q8=2),1,0),IF($X8&lt;=20,1,0))</formula>
    </cfRule>
    <cfRule type="expression" dxfId="4964" priority="60">
      <formula>AND(IF($Q8=2,1,0),IF($X8&lt;30,1,0))</formula>
    </cfRule>
    <cfRule type="expression" dxfId="4963" priority="61">
      <formula>AND(IF($Q8=3,1,0),IF($X8&lt;30,1,0))</formula>
    </cfRule>
    <cfRule type="expression" dxfId="4962" priority="62">
      <formula>AND(IF($Q8=3,1,IF($Q8=4,1,0)),IF($F8&lt;=85,1,0))</formula>
    </cfRule>
  </conditionalFormatting>
  <conditionalFormatting sqref="AV9">
    <cfRule type="expression" dxfId="4961" priority="57">
      <formula>AV9="X"</formula>
    </cfRule>
    <cfRule type="expression" dxfId="4960" priority="58">
      <formula>AV9="후보"</formula>
    </cfRule>
  </conditionalFormatting>
  <conditionalFormatting sqref="AC9 N9">
    <cfRule type="cellIs" dxfId="4959" priority="55" operator="greaterThan">
      <formula>0.9</formula>
    </cfRule>
    <cfRule type="cellIs" dxfId="4958" priority="56" operator="greaterThan">
      <formula>0.85</formula>
    </cfRule>
  </conditionalFormatting>
  <conditionalFormatting sqref="AV10">
    <cfRule type="expression" dxfId="4957" priority="53">
      <formula>AV10="X"</formula>
    </cfRule>
    <cfRule type="expression" dxfId="4956" priority="54">
      <formula>AV10="후보"</formula>
    </cfRule>
  </conditionalFormatting>
  <conditionalFormatting sqref="AC10">
    <cfRule type="cellIs" dxfId="4955" priority="51" operator="greaterThan">
      <formula>0.9</formula>
    </cfRule>
    <cfRule type="cellIs" dxfId="4954" priority="52" operator="greaterThan">
      <formula>0.85</formula>
    </cfRule>
  </conditionalFormatting>
  <conditionalFormatting sqref="N10">
    <cfRule type="cellIs" dxfId="4953" priority="49" operator="greaterThan">
      <formula>0.9</formula>
    </cfRule>
    <cfRule type="cellIs" dxfId="4952" priority="50" operator="greaterThan">
      <formula>0.85</formula>
    </cfRule>
  </conditionalFormatting>
  <conditionalFormatting sqref="E10">
    <cfRule type="expression" dxfId="4951" priority="45">
      <formula>AND(IF(OR($Q10=1,$Q10=2),1,0),IF($X10&lt;=20,1,0))</formula>
    </cfRule>
    <cfRule type="expression" dxfId="4950" priority="46">
      <formula>AND(IF($Q10=2,1,0),IF($X10&lt;30,1,0))</formula>
    </cfRule>
    <cfRule type="expression" dxfId="4949" priority="47">
      <formula>AND(IF($Q10=3,1,0),IF($X10&lt;30,1,0))</formula>
    </cfRule>
    <cfRule type="expression" dxfId="4948" priority="48">
      <formula>AND(IF($Q10=3,1,IF($Q10=4,1,0)),IF($F10&lt;=85,1,0))</formula>
    </cfRule>
  </conditionalFormatting>
  <conditionalFormatting sqref="X10">
    <cfRule type="expression" dxfId="4947" priority="41">
      <formula>AND(IF(OR($Q10=1,$Q10=2),1,0),IF($X10&lt;=20,1,0))</formula>
    </cfRule>
    <cfRule type="expression" dxfId="4946" priority="42">
      <formula>AND(IF($Q10=2,1,0),IF($X10&lt;30,1,0))</formula>
    </cfRule>
    <cfRule type="expression" dxfId="4945" priority="43">
      <formula>AND(IF($Q10=3,1,0),IF($X10&lt;30,1,0))</formula>
    </cfRule>
    <cfRule type="expression" dxfId="4944" priority="44">
      <formula>AND(IF($Q10=3,1,IF($Q10=4,1,0)),IF($F10&lt;=85,1,0))</formula>
    </cfRule>
  </conditionalFormatting>
  <conditionalFormatting sqref="AI10">
    <cfRule type="expression" dxfId="4943" priority="37">
      <formula>AND(IF(OR($Q10=1,$Q10=2),1,0),IF($X10&lt;=20,1,0))</formula>
    </cfRule>
    <cfRule type="expression" dxfId="4942" priority="38">
      <formula>AND(IF($Q10=2,1,0),IF($X10&lt;30,1,0))</formula>
    </cfRule>
    <cfRule type="expression" dxfId="4941" priority="39">
      <formula>AND(IF($Q10=3,1,0),IF($X10&lt;30,1,0))</formula>
    </cfRule>
    <cfRule type="expression" dxfId="4940" priority="40">
      <formula>AND(IF($Q10=3,1,IF($Q10=4,1,0)),IF($F10&lt;=85,1,0))</formula>
    </cfRule>
  </conditionalFormatting>
  <conditionalFormatting sqref="AV11">
    <cfRule type="expression" dxfId="4939" priority="35">
      <formula>AV11="X"</formula>
    </cfRule>
    <cfRule type="expression" dxfId="4938" priority="36">
      <formula>AV11="후보"</formula>
    </cfRule>
  </conditionalFormatting>
  <conditionalFormatting sqref="AC11">
    <cfRule type="cellIs" dxfId="4937" priority="33" operator="greaterThan">
      <formula>0.9</formula>
    </cfRule>
    <cfRule type="cellIs" dxfId="4936" priority="34" operator="greaterThan">
      <formula>0.85</formula>
    </cfRule>
  </conditionalFormatting>
  <conditionalFormatting sqref="N11">
    <cfRule type="cellIs" dxfId="4935" priority="31" operator="greaterThan">
      <formula>0.9</formula>
    </cfRule>
    <cfRule type="cellIs" dxfId="4934" priority="32" operator="greaterThan">
      <formula>0.85</formula>
    </cfRule>
  </conditionalFormatting>
  <conditionalFormatting sqref="E11">
    <cfRule type="expression" dxfId="4933" priority="27">
      <formula>AND(IF(OR($Q11=1,$Q11=2),1,0),IF($X11&lt;=20,1,0))</formula>
    </cfRule>
    <cfRule type="expression" dxfId="4932" priority="28">
      <formula>AND(IF($Q11=2,1,0),IF($X11&lt;30,1,0))</formula>
    </cfRule>
    <cfRule type="expression" dxfId="4931" priority="29">
      <formula>AND(IF($Q11=3,1,0),IF($X11&lt;30,1,0))</formula>
    </cfRule>
    <cfRule type="expression" dxfId="4930" priority="30">
      <formula>AND(IF($Q11=3,1,IF($Q11=4,1,0)),IF($F11&lt;=85,1,0))</formula>
    </cfRule>
  </conditionalFormatting>
  <conditionalFormatting sqref="X11">
    <cfRule type="expression" dxfId="4929" priority="23">
      <formula>AND(IF(OR($Q11=1,$Q11=2),1,0),IF($X11&lt;=20,1,0))</formula>
    </cfRule>
    <cfRule type="expression" dxfId="4928" priority="24">
      <formula>AND(IF($Q11=2,1,0),IF($X11&lt;30,1,0))</formula>
    </cfRule>
    <cfRule type="expression" dxfId="4927" priority="25">
      <formula>AND(IF($Q11=3,1,0),IF($X11&lt;30,1,0))</formula>
    </cfRule>
    <cfRule type="expression" dxfId="4926" priority="26">
      <formula>AND(IF($Q11=3,1,IF($Q11=4,1,0)),IF($F11&lt;=85,1,0))</formula>
    </cfRule>
  </conditionalFormatting>
  <conditionalFormatting sqref="AI11">
    <cfRule type="expression" dxfId="4925" priority="19">
      <formula>AND(IF(OR($Q11=1,$Q11=2),1,0),IF($X11&lt;=20,1,0))</formula>
    </cfRule>
    <cfRule type="expression" dxfId="4924" priority="20">
      <formula>AND(IF($Q11=2,1,0),IF($X11&lt;30,1,0))</formula>
    </cfRule>
    <cfRule type="expression" dxfId="4923" priority="21">
      <formula>AND(IF($Q11=3,1,0),IF($X11&lt;30,1,0))</formula>
    </cfRule>
    <cfRule type="expression" dxfId="4922" priority="22">
      <formula>AND(IF($Q11=3,1,IF($Q11=4,1,0)),IF($F11&lt;=85,1,0))</formula>
    </cfRule>
  </conditionalFormatting>
  <conditionalFormatting sqref="AV12">
    <cfRule type="expression" dxfId="4921" priority="17">
      <formula>AV12="X"</formula>
    </cfRule>
    <cfRule type="expression" dxfId="4920" priority="18">
      <formula>AV12="후보"</formula>
    </cfRule>
  </conditionalFormatting>
  <conditionalFormatting sqref="AC12">
    <cfRule type="cellIs" dxfId="4919" priority="15" operator="greaterThan">
      <formula>0.9</formula>
    </cfRule>
    <cfRule type="cellIs" dxfId="4918" priority="16" operator="greaterThan">
      <formula>0.85</formula>
    </cfRule>
  </conditionalFormatting>
  <conditionalFormatting sqref="N12">
    <cfRule type="cellIs" dxfId="4917" priority="13" operator="greaterThan">
      <formula>0.9</formula>
    </cfRule>
    <cfRule type="cellIs" dxfId="4916" priority="14" operator="greaterThan">
      <formula>0.85</formula>
    </cfRule>
  </conditionalFormatting>
  <conditionalFormatting sqref="E12">
    <cfRule type="expression" dxfId="4915" priority="9">
      <formula>AND(IF(OR($Q12=1,$Q12=2),1,0),IF($X12&lt;=20,1,0))</formula>
    </cfRule>
    <cfRule type="expression" dxfId="4914" priority="10">
      <formula>AND(IF($Q12=2,1,0),IF($X12&lt;30,1,0))</formula>
    </cfRule>
    <cfRule type="expression" dxfId="4913" priority="11">
      <formula>AND(IF($Q12=3,1,0),IF($X12&lt;30,1,0))</formula>
    </cfRule>
    <cfRule type="expression" dxfId="4912" priority="12">
      <formula>AND(IF($Q12=3,1,IF($Q12=4,1,0)),IF($F12&lt;=85,1,0))</formula>
    </cfRule>
  </conditionalFormatting>
  <conditionalFormatting sqref="X12">
    <cfRule type="expression" dxfId="4911" priority="5">
      <formula>AND(IF(OR($Q12=1,$Q12=2),1,0),IF($X12&lt;=20,1,0))</formula>
    </cfRule>
    <cfRule type="expression" dxfId="4910" priority="6">
      <formula>AND(IF($Q12=2,1,0),IF($X12&lt;30,1,0))</formula>
    </cfRule>
    <cfRule type="expression" dxfId="4909" priority="7">
      <formula>AND(IF($Q12=3,1,0),IF($X12&lt;30,1,0))</formula>
    </cfRule>
    <cfRule type="expression" dxfId="4908" priority="8">
      <formula>AND(IF($Q12=3,1,IF($Q12=4,1,0)),IF($F12&lt;=85,1,0))</formula>
    </cfRule>
  </conditionalFormatting>
  <conditionalFormatting sqref="AI12">
    <cfRule type="expression" dxfId="4907" priority="1">
      <formula>AND(IF(OR($Q12=1,$Q12=2),1,0),IF($X12&lt;=20,1,0))</formula>
    </cfRule>
    <cfRule type="expression" dxfId="4906" priority="2">
      <formula>AND(IF($Q12=2,1,0),IF($X12&lt;30,1,0))</formula>
    </cfRule>
    <cfRule type="expression" dxfId="4905" priority="3">
      <formula>AND(IF($Q12=3,1,0),IF($X12&lt;30,1,0))</formula>
    </cfRule>
    <cfRule type="expression" dxfId="4904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동흥남동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656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동흥남동 군산동흥남주공('06.02.,318^)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652</v>
      </c>
      <c r="B6" s="10" t="s">
        <v>1310</v>
      </c>
      <c r="C6" s="89">
        <v>318</v>
      </c>
      <c r="D6" s="87">
        <v>94.9</v>
      </c>
      <c r="E6" s="88">
        <v>29</v>
      </c>
      <c r="F6" s="87">
        <v>75.3</v>
      </c>
      <c r="G6" s="17">
        <v>23</v>
      </c>
      <c r="H6" s="89">
        <v>90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94</v>
      </c>
      <c r="U6" s="9"/>
      <c r="W6" s="87">
        <f t="shared" ref="W6:X8" si="1">D6</f>
        <v>94.9</v>
      </c>
      <c r="X6" s="88">
        <f t="shared" si="1"/>
        <v>29</v>
      </c>
      <c r="Y6" s="93">
        <f t="shared" ref="Y6:Z8" si="2">H6</f>
        <v>90</v>
      </c>
      <c r="Z6" s="91">
        <f t="shared" si="2"/>
        <v>0</v>
      </c>
      <c r="AA6" s="91">
        <f>K6</f>
        <v>0</v>
      </c>
      <c r="AB6" s="91">
        <f t="shared" ref="AB6:AD8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군산동흥남주공</v>
      </c>
      <c r="AI6" s="88">
        <f t="shared" si="0"/>
        <v>29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652</v>
      </c>
      <c r="B7" s="10" t="s">
        <v>1310</v>
      </c>
      <c r="C7" s="89">
        <v>318</v>
      </c>
      <c r="D7" s="87">
        <v>107</v>
      </c>
      <c r="E7" s="88">
        <v>32</v>
      </c>
      <c r="F7" s="87">
        <v>84.9</v>
      </c>
      <c r="G7" s="17">
        <v>26</v>
      </c>
      <c r="H7" s="89">
        <v>99</v>
      </c>
      <c r="I7" s="90">
        <v>19000</v>
      </c>
      <c r="J7" s="90" t="s">
        <v>68</v>
      </c>
      <c r="K7" s="90"/>
      <c r="L7" s="90"/>
      <c r="M7" s="91">
        <f>I7-K7</f>
        <v>19000</v>
      </c>
      <c r="N7" s="4">
        <f>IF(ISERROR(K7/I7),"",K7/I7)</f>
        <v>0</v>
      </c>
      <c r="O7" s="92">
        <f>I7/E7</f>
        <v>593.75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229</v>
      </c>
      <c r="U7" s="9"/>
      <c r="W7" s="87">
        <f t="shared" si="1"/>
        <v>107</v>
      </c>
      <c r="X7" s="88">
        <f t="shared" si="1"/>
        <v>32</v>
      </c>
      <c r="Y7" s="93">
        <f t="shared" si="2"/>
        <v>99</v>
      </c>
      <c r="Z7" s="91">
        <f t="shared" si="2"/>
        <v>19000</v>
      </c>
      <c r="AA7" s="91">
        <f>K7</f>
        <v>0</v>
      </c>
      <c r="AB7" s="91">
        <f t="shared" si="3"/>
        <v>19000</v>
      </c>
      <c r="AC7" s="4">
        <f t="shared" si="3"/>
        <v>0</v>
      </c>
      <c r="AD7" s="92">
        <f t="shared" si="3"/>
        <v>593.75</v>
      </c>
      <c r="AE7" s="80" t="str">
        <f>S7</f>
        <v>계</v>
      </c>
      <c r="AF7" s="80" t="str">
        <f>Q7&amp;"/"&amp;R7</f>
        <v>3/2</v>
      </c>
      <c r="AH7" s="20" t="str">
        <f>IF(A7="","",A7)</f>
        <v>군산동흥남주공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652</v>
      </c>
      <c r="B8" s="10" t="s">
        <v>1310</v>
      </c>
      <c r="C8" s="89">
        <v>318</v>
      </c>
      <c r="D8" s="87">
        <v>107.1</v>
      </c>
      <c r="E8" s="88">
        <v>32</v>
      </c>
      <c r="F8" s="87">
        <v>85</v>
      </c>
      <c r="G8" s="17">
        <v>26</v>
      </c>
      <c r="H8" s="89">
        <v>129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3</v>
      </c>
      <c r="R8" s="80">
        <v>2</v>
      </c>
      <c r="S8" s="80" t="s">
        <v>61</v>
      </c>
      <c r="T8" s="5" t="s">
        <v>142</v>
      </c>
      <c r="U8" s="9"/>
      <c r="W8" s="87">
        <f t="shared" si="1"/>
        <v>107.1</v>
      </c>
      <c r="X8" s="88">
        <f t="shared" si="1"/>
        <v>32</v>
      </c>
      <c r="Y8" s="93">
        <f t="shared" si="2"/>
        <v>129</v>
      </c>
      <c r="Z8" s="91">
        <f t="shared" si="2"/>
        <v>0</v>
      </c>
      <c r="AA8" s="91">
        <f>K8</f>
        <v>0</v>
      </c>
      <c r="AB8" s="91">
        <f t="shared" si="3"/>
        <v>0</v>
      </c>
      <c r="AC8" s="4" t="str">
        <f t="shared" si="3"/>
        <v/>
      </c>
      <c r="AD8" s="92">
        <f t="shared" si="3"/>
        <v>0</v>
      </c>
      <c r="AE8" s="80" t="str">
        <f>S8</f>
        <v>계</v>
      </c>
      <c r="AF8" s="80" t="str">
        <f>Q8&amp;"/"&amp;R8</f>
        <v>3/2</v>
      </c>
      <c r="AH8" s="20" t="str">
        <f>IF(A8="","",A8)</f>
        <v>군산동흥남주공</v>
      </c>
      <c r="AI8" s="88">
        <f t="shared" si="0"/>
        <v>32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4903" priority="55">
      <formula>AV4="X"</formula>
    </cfRule>
    <cfRule type="expression" dxfId="4902" priority="56">
      <formula>AV4="후보"</formula>
    </cfRule>
  </conditionalFormatting>
  <conditionalFormatting sqref="AC1:AC2 AC4:AC6 N4:N5">
    <cfRule type="cellIs" dxfId="4901" priority="53" operator="greaterThan">
      <formula>0.9</formula>
    </cfRule>
    <cfRule type="cellIs" dxfId="4900" priority="54" operator="greaterThan">
      <formula>0.85</formula>
    </cfRule>
  </conditionalFormatting>
  <conditionalFormatting sqref="N1:N2">
    <cfRule type="cellIs" dxfId="4899" priority="51" operator="greaterThan">
      <formula>0.9</formula>
    </cfRule>
    <cfRule type="cellIs" dxfId="4898" priority="52" operator="greaterThan">
      <formula>0.85</formula>
    </cfRule>
  </conditionalFormatting>
  <conditionalFormatting sqref="N6">
    <cfRule type="cellIs" dxfId="4897" priority="49" operator="greaterThan">
      <formula>0.9</formula>
    </cfRule>
    <cfRule type="cellIs" dxfId="4896" priority="50" operator="greaterThan">
      <formula>0.85</formula>
    </cfRule>
  </conditionalFormatting>
  <conditionalFormatting sqref="E6">
    <cfRule type="expression" dxfId="4895" priority="45">
      <formula>AND(IF(OR($Q6=1,$Q6=2),1,0),IF($X6&lt;=20,1,0))</formula>
    </cfRule>
    <cfRule type="expression" dxfId="4894" priority="46">
      <formula>AND(IF($Q6=2,1,0),IF($X6&lt;30,1,0))</formula>
    </cfRule>
    <cfRule type="expression" dxfId="4893" priority="47">
      <formula>AND(IF($Q6=3,1,0),IF($X6&lt;30,1,0))</formula>
    </cfRule>
    <cfRule type="expression" dxfId="4892" priority="48">
      <formula>AND(IF($Q6=3,1,IF($Q6=4,1,0)),IF($F6&lt;=85,1,0))</formula>
    </cfRule>
  </conditionalFormatting>
  <conditionalFormatting sqref="X6">
    <cfRule type="expression" dxfId="4891" priority="41">
      <formula>AND(IF(OR($Q6=1,$Q6=2),1,0),IF($X6&lt;=20,1,0))</formula>
    </cfRule>
    <cfRule type="expression" dxfId="4890" priority="42">
      <formula>AND(IF($Q6=2,1,0),IF($X6&lt;30,1,0))</formula>
    </cfRule>
    <cfRule type="expression" dxfId="4889" priority="43">
      <formula>AND(IF($Q6=3,1,0),IF($X6&lt;30,1,0))</formula>
    </cfRule>
    <cfRule type="expression" dxfId="4888" priority="44">
      <formula>AND(IF($Q6=3,1,IF($Q6=4,1,0)),IF($F6&lt;=85,1,0))</formula>
    </cfRule>
  </conditionalFormatting>
  <conditionalFormatting sqref="AI6">
    <cfRule type="expression" dxfId="4887" priority="37">
      <formula>AND(IF(OR($Q6=1,$Q6=2),1,0),IF($X6&lt;=20,1,0))</formula>
    </cfRule>
    <cfRule type="expression" dxfId="4886" priority="38">
      <formula>AND(IF($Q6=2,1,0),IF($X6&lt;30,1,0))</formula>
    </cfRule>
    <cfRule type="expression" dxfId="4885" priority="39">
      <formula>AND(IF($Q6=3,1,0),IF($X6&lt;30,1,0))</formula>
    </cfRule>
    <cfRule type="expression" dxfId="4884" priority="40">
      <formula>AND(IF($Q6=3,1,IF($Q6=4,1,0)),IF($F6&lt;=85,1,0))</formula>
    </cfRule>
  </conditionalFormatting>
  <conditionalFormatting sqref="AV7">
    <cfRule type="expression" dxfId="4883" priority="35">
      <formula>AV7="X"</formula>
    </cfRule>
    <cfRule type="expression" dxfId="4882" priority="36">
      <formula>AV7="후보"</formula>
    </cfRule>
  </conditionalFormatting>
  <conditionalFormatting sqref="AC7">
    <cfRule type="cellIs" dxfId="4881" priority="33" operator="greaterThan">
      <formula>0.9</formula>
    </cfRule>
    <cfRule type="cellIs" dxfId="4880" priority="34" operator="greaterThan">
      <formula>0.85</formula>
    </cfRule>
  </conditionalFormatting>
  <conditionalFormatting sqref="N7">
    <cfRule type="cellIs" dxfId="4879" priority="31" operator="greaterThan">
      <formula>0.9</formula>
    </cfRule>
    <cfRule type="cellIs" dxfId="4878" priority="32" operator="greaterThan">
      <formula>0.85</formula>
    </cfRule>
  </conditionalFormatting>
  <conditionalFormatting sqref="E7">
    <cfRule type="expression" dxfId="4877" priority="27">
      <formula>AND(IF(OR($Q7=1,$Q7=2),1,0),IF($X7&lt;=20,1,0))</formula>
    </cfRule>
    <cfRule type="expression" dxfId="4876" priority="28">
      <formula>AND(IF($Q7=2,1,0),IF($X7&lt;30,1,0))</formula>
    </cfRule>
    <cfRule type="expression" dxfId="4875" priority="29">
      <formula>AND(IF($Q7=3,1,0),IF($X7&lt;30,1,0))</formula>
    </cfRule>
    <cfRule type="expression" dxfId="4874" priority="30">
      <formula>AND(IF($Q7=3,1,IF($Q7=4,1,0)),IF($F7&lt;=85,1,0))</formula>
    </cfRule>
  </conditionalFormatting>
  <conditionalFormatting sqref="X7">
    <cfRule type="expression" dxfId="4873" priority="23">
      <formula>AND(IF(OR($Q7=1,$Q7=2),1,0),IF($X7&lt;=20,1,0))</formula>
    </cfRule>
    <cfRule type="expression" dxfId="4872" priority="24">
      <formula>AND(IF($Q7=2,1,0),IF($X7&lt;30,1,0))</formula>
    </cfRule>
    <cfRule type="expression" dxfId="4871" priority="25">
      <formula>AND(IF($Q7=3,1,0),IF($X7&lt;30,1,0))</formula>
    </cfRule>
    <cfRule type="expression" dxfId="4870" priority="26">
      <formula>AND(IF($Q7=3,1,IF($Q7=4,1,0)),IF($F7&lt;=85,1,0))</formula>
    </cfRule>
  </conditionalFormatting>
  <conditionalFormatting sqref="AI7">
    <cfRule type="expression" dxfId="4869" priority="19">
      <formula>AND(IF(OR($Q7=1,$Q7=2),1,0),IF($X7&lt;=20,1,0))</formula>
    </cfRule>
    <cfRule type="expression" dxfId="4868" priority="20">
      <formula>AND(IF($Q7=2,1,0),IF($X7&lt;30,1,0))</formula>
    </cfRule>
    <cfRule type="expression" dxfId="4867" priority="21">
      <formula>AND(IF($Q7=3,1,0),IF($X7&lt;30,1,0))</formula>
    </cfRule>
    <cfRule type="expression" dxfId="4866" priority="22">
      <formula>AND(IF($Q7=3,1,IF($Q7=4,1,0)),IF($F7&lt;=85,1,0))</formula>
    </cfRule>
  </conditionalFormatting>
  <conditionalFormatting sqref="AV8">
    <cfRule type="expression" dxfId="4865" priority="17">
      <formula>AV8="X"</formula>
    </cfRule>
    <cfRule type="expression" dxfId="4864" priority="18">
      <formula>AV8="후보"</formula>
    </cfRule>
  </conditionalFormatting>
  <conditionalFormatting sqref="AC8">
    <cfRule type="cellIs" dxfId="4863" priority="15" operator="greaterThan">
      <formula>0.9</formula>
    </cfRule>
    <cfRule type="cellIs" dxfId="4862" priority="16" operator="greaterThan">
      <formula>0.85</formula>
    </cfRule>
  </conditionalFormatting>
  <conditionalFormatting sqref="N8">
    <cfRule type="cellIs" dxfId="4861" priority="13" operator="greaterThan">
      <formula>0.9</formula>
    </cfRule>
    <cfRule type="cellIs" dxfId="4860" priority="14" operator="greaterThan">
      <formula>0.85</formula>
    </cfRule>
  </conditionalFormatting>
  <conditionalFormatting sqref="E8">
    <cfRule type="expression" dxfId="4859" priority="9">
      <formula>AND(IF(OR($Q8=1,$Q8=2),1,0),IF($X8&lt;=20,1,0))</formula>
    </cfRule>
    <cfRule type="expression" dxfId="4858" priority="10">
      <formula>AND(IF($Q8=2,1,0),IF($X8&lt;30,1,0))</formula>
    </cfRule>
    <cfRule type="expression" dxfId="4857" priority="11">
      <formula>AND(IF($Q8=3,1,0),IF($X8&lt;30,1,0))</formula>
    </cfRule>
    <cfRule type="expression" dxfId="4856" priority="12">
      <formula>AND(IF($Q8=3,1,IF($Q8=4,1,0)),IF($F8&lt;=85,1,0))</formula>
    </cfRule>
  </conditionalFormatting>
  <conditionalFormatting sqref="X8">
    <cfRule type="expression" dxfId="4855" priority="5">
      <formula>AND(IF(OR($Q8=1,$Q8=2),1,0),IF($X8&lt;=20,1,0))</formula>
    </cfRule>
    <cfRule type="expression" dxfId="4854" priority="6">
      <formula>AND(IF($Q8=2,1,0),IF($X8&lt;30,1,0))</formula>
    </cfRule>
    <cfRule type="expression" dxfId="4853" priority="7">
      <formula>AND(IF($Q8=3,1,0),IF($X8&lt;30,1,0))</formula>
    </cfRule>
    <cfRule type="expression" dxfId="4852" priority="8">
      <formula>AND(IF($Q8=3,1,IF($Q8=4,1,0)),IF($F8&lt;=85,1,0))</formula>
    </cfRule>
  </conditionalFormatting>
  <conditionalFormatting sqref="AI8">
    <cfRule type="expression" dxfId="4851" priority="1">
      <formula>AND(IF(OR($Q8=1,$Q8=2),1,0),IF($X8&lt;=20,1,0))</formula>
    </cfRule>
    <cfRule type="expression" dxfId="4850" priority="2">
      <formula>AND(IF($Q8=2,1,0),IF($X8&lt;30,1,0))</formula>
    </cfRule>
    <cfRule type="expression" dxfId="4849" priority="3">
      <formula>AND(IF($Q8=3,1,0),IF($X8&lt;30,1,0))</formula>
    </cfRule>
    <cfRule type="expression" dxfId="4848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문화동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669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문화동 삼성('92.08.,716^)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242</v>
      </c>
      <c r="B6" s="10" t="s">
        <v>1293</v>
      </c>
      <c r="C6" s="89">
        <v>716</v>
      </c>
      <c r="D6" s="87">
        <v>79.7</v>
      </c>
      <c r="E6" s="88">
        <v>24</v>
      </c>
      <c r="F6" s="87">
        <v>65.2</v>
      </c>
      <c r="G6" s="17">
        <v>20</v>
      </c>
      <c r="H6" s="89">
        <v>56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1</v>
      </c>
      <c r="S6" s="80" t="s">
        <v>61</v>
      </c>
      <c r="T6" s="5">
        <v>79</v>
      </c>
      <c r="U6" s="9"/>
      <c r="W6" s="87">
        <f t="shared" ref="W6:X8" si="1">D6</f>
        <v>79.7</v>
      </c>
      <c r="X6" s="88">
        <f t="shared" si="1"/>
        <v>24</v>
      </c>
      <c r="Y6" s="93">
        <f t="shared" ref="Y6:Z8" si="2">H6</f>
        <v>56</v>
      </c>
      <c r="Z6" s="91">
        <f t="shared" si="2"/>
        <v>0</v>
      </c>
      <c r="AA6" s="91">
        <f>K6</f>
        <v>0</v>
      </c>
      <c r="AB6" s="91">
        <f t="shared" ref="AB6:AD8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3/1</v>
      </c>
      <c r="AH6" s="20" t="str">
        <f>IF(A6="","",A6)</f>
        <v>삼성</v>
      </c>
      <c r="AI6" s="88">
        <f t="shared" si="0"/>
        <v>24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242</v>
      </c>
      <c r="B7" s="10" t="s">
        <v>1293</v>
      </c>
      <c r="C7" s="89">
        <v>716</v>
      </c>
      <c r="D7" s="87">
        <v>93.1</v>
      </c>
      <c r="E7" s="88">
        <v>28</v>
      </c>
      <c r="F7" s="87">
        <v>76</v>
      </c>
      <c r="G7" s="17">
        <v>23</v>
      </c>
      <c r="H7" s="89">
        <v>198</v>
      </c>
      <c r="I7" s="90">
        <v>12800</v>
      </c>
      <c r="J7" s="90" t="s">
        <v>60</v>
      </c>
      <c r="K7" s="90"/>
      <c r="L7" s="90"/>
      <c r="M7" s="91">
        <f>I7-K7</f>
        <v>12800</v>
      </c>
      <c r="N7" s="4">
        <f>IF(ISERROR(K7/I7),"",K7/I7)</f>
        <v>0</v>
      </c>
      <c r="O7" s="92">
        <f>I7/E7</f>
        <v>457.14285714285717</v>
      </c>
      <c r="P7" s="92">
        <f>K7/E7</f>
        <v>0</v>
      </c>
      <c r="Q7" s="80">
        <v>3</v>
      </c>
      <c r="R7" s="80">
        <v>1</v>
      </c>
      <c r="S7" s="80" t="s">
        <v>61</v>
      </c>
      <c r="T7" s="5">
        <v>93</v>
      </c>
      <c r="U7" s="9"/>
      <c r="W7" s="87">
        <f t="shared" si="1"/>
        <v>93.1</v>
      </c>
      <c r="X7" s="88">
        <f t="shared" si="1"/>
        <v>28</v>
      </c>
      <c r="Y7" s="93">
        <f t="shared" si="2"/>
        <v>198</v>
      </c>
      <c r="Z7" s="91">
        <f t="shared" si="2"/>
        <v>12800</v>
      </c>
      <c r="AA7" s="91">
        <f>K7</f>
        <v>0</v>
      </c>
      <c r="AB7" s="91">
        <f t="shared" si="3"/>
        <v>12800</v>
      </c>
      <c r="AC7" s="4">
        <f t="shared" si="3"/>
        <v>0</v>
      </c>
      <c r="AD7" s="92">
        <f t="shared" si="3"/>
        <v>457.14285714285717</v>
      </c>
      <c r="AE7" s="80" t="str">
        <f>S7</f>
        <v>계</v>
      </c>
      <c r="AF7" s="80" t="str">
        <f>Q7&amp;"/"&amp;R7</f>
        <v>3/1</v>
      </c>
      <c r="AH7" s="20" t="str">
        <f>IF(A7="","",A7)</f>
        <v>삼성</v>
      </c>
      <c r="AI7" s="88">
        <f t="shared" si="0"/>
        <v>28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242</v>
      </c>
      <c r="B8" s="10" t="s">
        <v>1293</v>
      </c>
      <c r="C8" s="89">
        <v>716</v>
      </c>
      <c r="D8" s="87">
        <v>104</v>
      </c>
      <c r="E8" s="88">
        <v>31</v>
      </c>
      <c r="F8" s="87">
        <v>84.9</v>
      </c>
      <c r="G8" s="17">
        <v>26</v>
      </c>
      <c r="H8" s="89">
        <v>462</v>
      </c>
      <c r="I8" s="90">
        <v>14500</v>
      </c>
      <c r="J8" s="90" t="s">
        <v>81</v>
      </c>
      <c r="K8" s="90">
        <v>12500</v>
      </c>
      <c r="L8" s="90" t="s">
        <v>81</v>
      </c>
      <c r="M8" s="91">
        <f>I8-K8</f>
        <v>2000</v>
      </c>
      <c r="N8" s="4">
        <f>IF(ISERROR(K8/I8),"",K8/I8)</f>
        <v>0.86206896551724133</v>
      </c>
      <c r="O8" s="92">
        <f>I8/E8</f>
        <v>467.74193548387098</v>
      </c>
      <c r="P8" s="92">
        <f>K8/E8</f>
        <v>403.22580645161293</v>
      </c>
      <c r="Q8" s="80">
        <v>3</v>
      </c>
      <c r="R8" s="80">
        <v>2</v>
      </c>
      <c r="S8" s="80" t="s">
        <v>61</v>
      </c>
      <c r="T8" s="5">
        <v>104</v>
      </c>
      <c r="U8" s="9"/>
      <c r="W8" s="87">
        <f t="shared" si="1"/>
        <v>104</v>
      </c>
      <c r="X8" s="88">
        <f t="shared" si="1"/>
        <v>31</v>
      </c>
      <c r="Y8" s="93">
        <f t="shared" si="2"/>
        <v>462</v>
      </c>
      <c r="Z8" s="91">
        <f t="shared" si="2"/>
        <v>14500</v>
      </c>
      <c r="AA8" s="91">
        <f>K8</f>
        <v>12500</v>
      </c>
      <c r="AB8" s="91">
        <f t="shared" si="3"/>
        <v>2000</v>
      </c>
      <c r="AC8" s="4">
        <f t="shared" si="3"/>
        <v>0.86206896551724133</v>
      </c>
      <c r="AD8" s="92">
        <f t="shared" si="3"/>
        <v>467.74193548387098</v>
      </c>
      <c r="AE8" s="80" t="str">
        <f>S8</f>
        <v>계</v>
      </c>
      <c r="AF8" s="80" t="str">
        <f>Q8&amp;"/"&amp;R8</f>
        <v>3/2</v>
      </c>
      <c r="AH8" s="20" t="str">
        <f>IF(A8="","",A8)</f>
        <v>삼성</v>
      </c>
      <c r="AI8" s="88">
        <f t="shared" si="0"/>
        <v>31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4847" priority="55">
      <formula>AV4="X"</formula>
    </cfRule>
    <cfRule type="expression" dxfId="4846" priority="56">
      <formula>AV4="후보"</formula>
    </cfRule>
  </conditionalFormatting>
  <conditionalFormatting sqref="AC1:AC2 AC4:AC6 N4:N5">
    <cfRule type="cellIs" dxfId="4845" priority="53" operator="greaterThan">
      <formula>0.9</formula>
    </cfRule>
    <cfRule type="cellIs" dxfId="4844" priority="54" operator="greaterThan">
      <formula>0.85</formula>
    </cfRule>
  </conditionalFormatting>
  <conditionalFormatting sqref="N1:N2">
    <cfRule type="cellIs" dxfId="4843" priority="51" operator="greaterThan">
      <formula>0.9</formula>
    </cfRule>
    <cfRule type="cellIs" dxfId="4842" priority="52" operator="greaterThan">
      <formula>0.85</formula>
    </cfRule>
  </conditionalFormatting>
  <conditionalFormatting sqref="N6">
    <cfRule type="cellIs" dxfId="4841" priority="49" operator="greaterThan">
      <formula>0.9</formula>
    </cfRule>
    <cfRule type="cellIs" dxfId="4840" priority="50" operator="greaterThan">
      <formula>0.85</formula>
    </cfRule>
  </conditionalFormatting>
  <conditionalFormatting sqref="E6">
    <cfRule type="expression" dxfId="4839" priority="45">
      <formula>AND(IF(OR($Q6=1,$Q6=2),1,0),IF($X6&lt;=20,1,0))</formula>
    </cfRule>
    <cfRule type="expression" dxfId="4838" priority="46">
      <formula>AND(IF($Q6=2,1,0),IF($X6&lt;30,1,0))</formula>
    </cfRule>
    <cfRule type="expression" dxfId="4837" priority="47">
      <formula>AND(IF($Q6=3,1,0),IF($X6&lt;30,1,0))</formula>
    </cfRule>
    <cfRule type="expression" dxfId="4836" priority="48">
      <formula>AND(IF($Q6=3,1,IF($Q6=4,1,0)),IF($F6&lt;=85,1,0))</formula>
    </cfRule>
  </conditionalFormatting>
  <conditionalFormatting sqref="X6">
    <cfRule type="expression" dxfId="4835" priority="41">
      <formula>AND(IF(OR($Q6=1,$Q6=2),1,0),IF($X6&lt;=20,1,0))</formula>
    </cfRule>
    <cfRule type="expression" dxfId="4834" priority="42">
      <formula>AND(IF($Q6=2,1,0),IF($X6&lt;30,1,0))</formula>
    </cfRule>
    <cfRule type="expression" dxfId="4833" priority="43">
      <formula>AND(IF($Q6=3,1,0),IF($X6&lt;30,1,0))</formula>
    </cfRule>
    <cfRule type="expression" dxfId="4832" priority="44">
      <formula>AND(IF($Q6=3,1,IF($Q6=4,1,0)),IF($F6&lt;=85,1,0))</formula>
    </cfRule>
  </conditionalFormatting>
  <conditionalFormatting sqref="AI6">
    <cfRule type="expression" dxfId="4831" priority="37">
      <formula>AND(IF(OR($Q6=1,$Q6=2),1,0),IF($X6&lt;=20,1,0))</formula>
    </cfRule>
    <cfRule type="expression" dxfId="4830" priority="38">
      <formula>AND(IF($Q6=2,1,0),IF($X6&lt;30,1,0))</formula>
    </cfRule>
    <cfRule type="expression" dxfId="4829" priority="39">
      <formula>AND(IF($Q6=3,1,0),IF($X6&lt;30,1,0))</formula>
    </cfRule>
    <cfRule type="expression" dxfId="4828" priority="40">
      <formula>AND(IF($Q6=3,1,IF($Q6=4,1,0)),IF($F6&lt;=85,1,0))</formula>
    </cfRule>
  </conditionalFormatting>
  <conditionalFormatting sqref="AV7">
    <cfRule type="expression" dxfId="4827" priority="35">
      <formula>AV7="X"</formula>
    </cfRule>
    <cfRule type="expression" dxfId="4826" priority="36">
      <formula>AV7="후보"</formula>
    </cfRule>
  </conditionalFormatting>
  <conditionalFormatting sqref="AC7">
    <cfRule type="cellIs" dxfId="4825" priority="33" operator="greaterThan">
      <formula>0.9</formula>
    </cfRule>
    <cfRule type="cellIs" dxfId="4824" priority="34" operator="greaterThan">
      <formula>0.85</formula>
    </cfRule>
  </conditionalFormatting>
  <conditionalFormatting sqref="N7">
    <cfRule type="cellIs" dxfId="4823" priority="31" operator="greaterThan">
      <formula>0.9</formula>
    </cfRule>
    <cfRule type="cellIs" dxfId="4822" priority="32" operator="greaterThan">
      <formula>0.85</formula>
    </cfRule>
  </conditionalFormatting>
  <conditionalFormatting sqref="E7">
    <cfRule type="expression" dxfId="4821" priority="27">
      <formula>AND(IF(OR($Q7=1,$Q7=2),1,0),IF($X7&lt;=20,1,0))</formula>
    </cfRule>
    <cfRule type="expression" dxfId="4820" priority="28">
      <formula>AND(IF($Q7=2,1,0),IF($X7&lt;30,1,0))</formula>
    </cfRule>
    <cfRule type="expression" dxfId="4819" priority="29">
      <formula>AND(IF($Q7=3,1,0),IF($X7&lt;30,1,0))</formula>
    </cfRule>
    <cfRule type="expression" dxfId="4818" priority="30">
      <formula>AND(IF($Q7=3,1,IF($Q7=4,1,0)),IF($F7&lt;=85,1,0))</formula>
    </cfRule>
  </conditionalFormatting>
  <conditionalFormatting sqref="X7">
    <cfRule type="expression" dxfId="4817" priority="23">
      <formula>AND(IF(OR($Q7=1,$Q7=2),1,0),IF($X7&lt;=20,1,0))</formula>
    </cfRule>
    <cfRule type="expression" dxfId="4816" priority="24">
      <formula>AND(IF($Q7=2,1,0),IF($X7&lt;30,1,0))</formula>
    </cfRule>
    <cfRule type="expression" dxfId="4815" priority="25">
      <formula>AND(IF($Q7=3,1,0),IF($X7&lt;30,1,0))</formula>
    </cfRule>
    <cfRule type="expression" dxfId="4814" priority="26">
      <formula>AND(IF($Q7=3,1,IF($Q7=4,1,0)),IF($F7&lt;=85,1,0))</formula>
    </cfRule>
  </conditionalFormatting>
  <conditionalFormatting sqref="AI7">
    <cfRule type="expression" dxfId="4813" priority="19">
      <formula>AND(IF(OR($Q7=1,$Q7=2),1,0),IF($X7&lt;=20,1,0))</formula>
    </cfRule>
    <cfRule type="expression" dxfId="4812" priority="20">
      <formula>AND(IF($Q7=2,1,0),IF($X7&lt;30,1,0))</formula>
    </cfRule>
    <cfRule type="expression" dxfId="4811" priority="21">
      <formula>AND(IF($Q7=3,1,0),IF($X7&lt;30,1,0))</formula>
    </cfRule>
    <cfRule type="expression" dxfId="4810" priority="22">
      <formula>AND(IF($Q7=3,1,IF($Q7=4,1,0)),IF($F7&lt;=85,1,0))</formula>
    </cfRule>
  </conditionalFormatting>
  <conditionalFormatting sqref="AV8">
    <cfRule type="expression" dxfId="4809" priority="17">
      <formula>AV8="X"</formula>
    </cfRule>
    <cfRule type="expression" dxfId="4808" priority="18">
      <formula>AV8="후보"</formula>
    </cfRule>
  </conditionalFormatting>
  <conditionalFormatting sqref="AC8">
    <cfRule type="cellIs" dxfId="4807" priority="15" operator="greaterThan">
      <formula>0.9</formula>
    </cfRule>
    <cfRule type="cellIs" dxfId="4806" priority="16" operator="greaterThan">
      <formula>0.85</formula>
    </cfRule>
  </conditionalFormatting>
  <conditionalFormatting sqref="N8">
    <cfRule type="cellIs" dxfId="4805" priority="13" operator="greaterThan">
      <formula>0.9</formula>
    </cfRule>
    <cfRule type="cellIs" dxfId="4804" priority="14" operator="greaterThan">
      <formula>0.85</formula>
    </cfRule>
  </conditionalFormatting>
  <conditionalFormatting sqref="E8">
    <cfRule type="expression" dxfId="4803" priority="9">
      <formula>AND(IF(OR($Q8=1,$Q8=2),1,0),IF($X8&lt;=20,1,0))</formula>
    </cfRule>
    <cfRule type="expression" dxfId="4802" priority="10">
      <formula>AND(IF($Q8=2,1,0),IF($X8&lt;30,1,0))</formula>
    </cfRule>
    <cfRule type="expression" dxfId="4801" priority="11">
      <formula>AND(IF($Q8=3,1,0),IF($X8&lt;30,1,0))</formula>
    </cfRule>
    <cfRule type="expression" dxfId="4800" priority="12">
      <formula>AND(IF($Q8=3,1,IF($Q8=4,1,0)),IF($F8&lt;=85,1,0))</formula>
    </cfRule>
  </conditionalFormatting>
  <conditionalFormatting sqref="X8">
    <cfRule type="expression" dxfId="4799" priority="5">
      <formula>AND(IF(OR($Q8=1,$Q8=2),1,0),IF($X8&lt;=20,1,0))</formula>
    </cfRule>
    <cfRule type="expression" dxfId="4798" priority="6">
      <formula>AND(IF($Q8=2,1,0),IF($X8&lt;30,1,0))</formula>
    </cfRule>
    <cfRule type="expression" dxfId="4797" priority="7">
      <formula>AND(IF($Q8=3,1,0),IF($X8&lt;30,1,0))</formula>
    </cfRule>
    <cfRule type="expression" dxfId="4796" priority="8">
      <formula>AND(IF($Q8=3,1,IF($Q8=4,1,0)),IF($F8&lt;=85,1,0))</formula>
    </cfRule>
  </conditionalFormatting>
  <conditionalFormatting sqref="AI8">
    <cfRule type="expression" dxfId="4795" priority="1">
      <formula>AND(IF(OR($Q8=1,$Q8=2),1,0),IF($X8&lt;=20,1,0))</formula>
    </cfRule>
    <cfRule type="expression" dxfId="4794" priority="2">
      <formula>AND(IF($Q8=2,1,0),IF($X8&lt;30,1,0))</formula>
    </cfRule>
    <cfRule type="expression" dxfId="4793" priority="3">
      <formula>AND(IF($Q8=3,1,0),IF($X8&lt;30,1,0))</formula>
    </cfRule>
    <cfRule type="expression" dxfId="479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미룡동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688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미룡동 미룡대명1차('98.06.,498^)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684</v>
      </c>
      <c r="B6" s="10" t="s">
        <v>1311</v>
      </c>
      <c r="C6" s="89">
        <v>498</v>
      </c>
      <c r="D6" s="87">
        <v>53.9</v>
      </c>
      <c r="E6" s="88">
        <v>16</v>
      </c>
      <c r="F6" s="87">
        <v>40</v>
      </c>
      <c r="G6" s="17">
        <v>12</v>
      </c>
      <c r="H6" s="89">
        <v>498</v>
      </c>
      <c r="I6" s="90">
        <v>3950</v>
      </c>
      <c r="J6" s="90" t="s">
        <v>71</v>
      </c>
      <c r="K6" s="90">
        <v>4500</v>
      </c>
      <c r="L6" s="90" t="s">
        <v>111</v>
      </c>
      <c r="M6" s="91">
        <f>I6-K6</f>
        <v>-550</v>
      </c>
      <c r="N6" s="4">
        <f>IF(ISERROR(K6/I6),"",K6/I6)</f>
        <v>1.139240506329114</v>
      </c>
      <c r="O6" s="92">
        <f>I6/E6</f>
        <v>246.875</v>
      </c>
      <c r="P6" s="92">
        <f>K6/E6</f>
        <v>281.25</v>
      </c>
      <c r="Q6" s="80">
        <v>2</v>
      </c>
      <c r="R6" s="80">
        <v>1</v>
      </c>
      <c r="S6" s="80" t="s">
        <v>61</v>
      </c>
      <c r="T6" s="5">
        <v>53</v>
      </c>
      <c r="U6" s="9"/>
      <c r="W6" s="87">
        <f>D6</f>
        <v>53.9</v>
      </c>
      <c r="X6" s="88">
        <f>E6</f>
        <v>16</v>
      </c>
      <c r="Y6" s="93">
        <f>H6</f>
        <v>498</v>
      </c>
      <c r="Z6" s="91">
        <f>I6</f>
        <v>3950</v>
      </c>
      <c r="AA6" s="91">
        <f>K6</f>
        <v>4500</v>
      </c>
      <c r="AB6" s="91">
        <f>M6</f>
        <v>-550</v>
      </c>
      <c r="AC6" s="4">
        <f>N6</f>
        <v>1.139240506329114</v>
      </c>
      <c r="AD6" s="92">
        <f>O6</f>
        <v>246.875</v>
      </c>
      <c r="AE6" s="80" t="str">
        <f>S6</f>
        <v>계</v>
      </c>
      <c r="AF6" s="80" t="str">
        <f>Q6&amp;"/"&amp;R6</f>
        <v>2/1</v>
      </c>
      <c r="AH6" s="20" t="str">
        <f t="shared" si="1"/>
        <v>미룡대명1차</v>
      </c>
      <c r="AI6" s="88">
        <f t="shared" si="0"/>
        <v>16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7" t="str">
        <f>$A$4&amp;" "&amp;A8&amp;"("&amp;B8&amp;","&amp;C8&amp;"^)"</f>
        <v>미룡동 금광베네스타('08.12.,950^)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690</v>
      </c>
      <c r="B8" s="10" t="s">
        <v>1312</v>
      </c>
      <c r="C8" s="89">
        <v>950</v>
      </c>
      <c r="D8" s="87">
        <v>110.3</v>
      </c>
      <c r="E8" s="88">
        <v>33</v>
      </c>
      <c r="F8" s="87">
        <v>84.7</v>
      </c>
      <c r="G8" s="17">
        <v>26</v>
      </c>
      <c r="H8" s="89">
        <v>120</v>
      </c>
      <c r="I8" s="90"/>
      <c r="J8" s="90"/>
      <c r="K8" s="90"/>
      <c r="L8" s="90"/>
      <c r="M8" s="91">
        <f t="shared" ref="M8:M16" si="2">I8-K8</f>
        <v>0</v>
      </c>
      <c r="N8" s="4" t="str">
        <f t="shared" ref="N8:N16" si="3">IF(ISERROR(K8/I8),"",K8/I8)</f>
        <v/>
      </c>
      <c r="O8" s="92">
        <f t="shared" ref="O8:O16" si="4">I8/E8</f>
        <v>0</v>
      </c>
      <c r="P8" s="92">
        <f t="shared" ref="P8:P16" si="5">K8/E8</f>
        <v>0</v>
      </c>
      <c r="Q8" s="80">
        <v>3</v>
      </c>
      <c r="R8" s="80">
        <v>2</v>
      </c>
      <c r="S8" s="80" t="s">
        <v>76</v>
      </c>
      <c r="T8" s="5" t="s">
        <v>62</v>
      </c>
      <c r="U8" s="9"/>
      <c r="W8" s="87">
        <f t="shared" ref="W8:W16" si="6">D8</f>
        <v>110.3</v>
      </c>
      <c r="X8" s="88">
        <f t="shared" ref="X8:X16" si="7">E8</f>
        <v>33</v>
      </c>
      <c r="Y8" s="93">
        <f t="shared" ref="Y8:Y16" si="8">H8</f>
        <v>120</v>
      </c>
      <c r="Z8" s="91">
        <f t="shared" ref="Z8:Z16" si="9">I8</f>
        <v>0</v>
      </c>
      <c r="AA8" s="91">
        <f t="shared" ref="AA8:AA16" si="10">K8</f>
        <v>0</v>
      </c>
      <c r="AB8" s="91">
        <f t="shared" ref="AB8:AB16" si="11">M8</f>
        <v>0</v>
      </c>
      <c r="AC8" s="4" t="str">
        <f t="shared" ref="AC8:AC16" si="12">N8</f>
        <v/>
      </c>
      <c r="AD8" s="92">
        <f t="shared" ref="AD8:AD16" si="13">O8</f>
        <v>0</v>
      </c>
      <c r="AE8" s="80" t="str">
        <f t="shared" ref="AE8:AE16" si="14">S8</f>
        <v>복</v>
      </c>
      <c r="AF8" s="80" t="str">
        <f t="shared" ref="AF8:AF16" si="15">Q8&amp;"/"&amp;R8</f>
        <v>3/2</v>
      </c>
      <c r="AH8" s="20" t="str">
        <f t="shared" si="1"/>
        <v>금광베네스타</v>
      </c>
      <c r="AI8" s="88">
        <f t="shared" si="0"/>
        <v>33</v>
      </c>
      <c r="AJ8" s="80" t="str">
        <f t="shared" ref="AJ8:AJ16" si="16">IF(AI8="","",$AJ$2)</f>
        <v>A-</v>
      </c>
      <c r="AK8" s="80" t="s">
        <v>14</v>
      </c>
      <c r="AL8" s="80" t="s">
        <v>63</v>
      </c>
      <c r="AM8" s="80" t="s">
        <v>64</v>
      </c>
      <c r="AN8" s="80" t="str">
        <f t="shared" ref="AN8:AN16" si="17">IF(AI8="","",$AN$2)</f>
        <v>C</v>
      </c>
      <c r="AO8" s="80" t="str">
        <f t="shared" ref="AO8:AO16" si="18">IF(N8="","",IF(N8&gt;=$AO$1/100,"O","X"))</f>
        <v/>
      </c>
      <c r="AP8" s="80" t="str">
        <f t="shared" ref="AP8:AP16" si="19">IF(I8="","",IF(I8&lt;=$AP$1,"O","X"))</f>
        <v/>
      </c>
      <c r="AQ8" s="80" t="str">
        <f t="shared" ref="AQ8:AQ16" si="20">IF(O8="","",IF(O8&lt;=$AQ$1,"O","X"))</f>
        <v>O</v>
      </c>
      <c r="AR8" s="80" t="str">
        <f t="shared" ref="AR8:AR16" si="21">IF(M8="","",IF(M8&lt;=$AR$1,"O","X"))</f>
        <v>O</v>
      </c>
      <c r="AS8" s="80" t="s">
        <v>2</v>
      </c>
      <c r="AT8" s="80" t="str">
        <f t="shared" ref="AT8:AT16" si="22">IF(OR(F8="",AI8=""),"",IF(AND((F8&lt;=85),(AI8&gt;=15)),"O","X"))</f>
        <v>O</v>
      </c>
      <c r="AU8" s="80" t="str">
        <f t="shared" ref="AU8:AU16" si="23">IF(C8="","",IF(C8&gt;=$AU$1,"O","X"))</f>
        <v>O</v>
      </c>
      <c r="AV8" s="80" t="str">
        <f t="shared" ref="AV8:AV16" si="24">IF(AO8="","",IF(AND(AO8="O",AP8="O",AR8="O",AT8="O",AU8="O"),"후보","X"))</f>
        <v/>
      </c>
    </row>
    <row r="9" spans="1:48" x14ac:dyDescent="0.3">
      <c r="A9" s="9" t="s">
        <v>690</v>
      </c>
      <c r="B9" s="10" t="s">
        <v>1312</v>
      </c>
      <c r="C9" s="89">
        <v>950</v>
      </c>
      <c r="D9" s="87">
        <v>110.5</v>
      </c>
      <c r="E9" s="88">
        <v>33</v>
      </c>
      <c r="F9" s="87">
        <v>84.8</v>
      </c>
      <c r="G9" s="17">
        <v>26</v>
      </c>
      <c r="H9" s="89">
        <v>39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76</v>
      </c>
      <c r="T9" s="5" t="s">
        <v>97</v>
      </c>
      <c r="U9" s="9"/>
      <c r="W9" s="87">
        <f t="shared" si="6"/>
        <v>110.5</v>
      </c>
      <c r="X9" s="88">
        <f t="shared" si="7"/>
        <v>33</v>
      </c>
      <c r="Y9" s="93">
        <f t="shared" si="8"/>
        <v>39</v>
      </c>
      <c r="Z9" s="91">
        <f t="shared" si="9"/>
        <v>0</v>
      </c>
      <c r="AA9" s="91">
        <f t="shared" si="10"/>
        <v>0</v>
      </c>
      <c r="AB9" s="91">
        <f t="shared" si="11"/>
        <v>0</v>
      </c>
      <c r="AC9" s="4" t="str">
        <f t="shared" si="12"/>
        <v/>
      </c>
      <c r="AD9" s="92">
        <f t="shared" si="13"/>
        <v>0</v>
      </c>
      <c r="AE9" s="80" t="str">
        <f t="shared" si="14"/>
        <v>복</v>
      </c>
      <c r="AF9" s="80" t="str">
        <f t="shared" si="15"/>
        <v>3/2</v>
      </c>
      <c r="AH9" s="20" t="str">
        <f t="shared" si="1"/>
        <v>금광베네스타</v>
      </c>
      <c r="AI9" s="88">
        <f t="shared" si="0"/>
        <v>33</v>
      </c>
      <c r="AJ9" s="80" t="str">
        <f t="shared" si="16"/>
        <v>A-</v>
      </c>
      <c r="AK9" s="80" t="s">
        <v>14</v>
      </c>
      <c r="AL9" s="80" t="s">
        <v>63</v>
      </c>
      <c r="AM9" s="80" t="s">
        <v>64</v>
      </c>
      <c r="AN9" s="80" t="str">
        <f t="shared" si="17"/>
        <v>C</v>
      </c>
      <c r="AO9" s="80" t="str">
        <f t="shared" si="18"/>
        <v/>
      </c>
      <c r="AP9" s="80" t="str">
        <f t="shared" si="19"/>
        <v/>
      </c>
      <c r="AQ9" s="80" t="str">
        <f t="shared" si="20"/>
        <v>O</v>
      </c>
      <c r="AR9" s="80" t="str">
        <f t="shared" si="21"/>
        <v>O</v>
      </c>
      <c r="AS9" s="80" t="s">
        <v>2</v>
      </c>
      <c r="AT9" s="80" t="str">
        <f t="shared" si="22"/>
        <v>O</v>
      </c>
      <c r="AU9" s="80" t="str">
        <f t="shared" si="23"/>
        <v>O</v>
      </c>
      <c r="AV9" s="80" t="str">
        <f t="shared" si="24"/>
        <v/>
      </c>
    </row>
    <row r="10" spans="1:48" x14ac:dyDescent="0.3">
      <c r="A10" s="9" t="s">
        <v>690</v>
      </c>
      <c r="B10" s="10" t="s">
        <v>1312</v>
      </c>
      <c r="C10" s="89">
        <v>950</v>
      </c>
      <c r="D10" s="87">
        <v>111.7</v>
      </c>
      <c r="E10" s="88">
        <v>34</v>
      </c>
      <c r="F10" s="87">
        <v>85</v>
      </c>
      <c r="G10" s="17">
        <v>26</v>
      </c>
      <c r="H10" s="89">
        <v>40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76</v>
      </c>
      <c r="T10" s="5" t="s">
        <v>79</v>
      </c>
      <c r="U10" s="9"/>
      <c r="W10" s="87">
        <f t="shared" si="6"/>
        <v>111.7</v>
      </c>
      <c r="X10" s="88">
        <f t="shared" si="7"/>
        <v>34</v>
      </c>
      <c r="Y10" s="93">
        <f t="shared" si="8"/>
        <v>40</v>
      </c>
      <c r="Z10" s="91">
        <f t="shared" si="9"/>
        <v>0</v>
      </c>
      <c r="AA10" s="91">
        <f t="shared" si="10"/>
        <v>0</v>
      </c>
      <c r="AB10" s="91">
        <f t="shared" si="11"/>
        <v>0</v>
      </c>
      <c r="AC10" s="4" t="str">
        <f t="shared" si="12"/>
        <v/>
      </c>
      <c r="AD10" s="92">
        <f t="shared" si="13"/>
        <v>0</v>
      </c>
      <c r="AE10" s="80" t="str">
        <f t="shared" si="14"/>
        <v>복</v>
      </c>
      <c r="AF10" s="80" t="str">
        <f t="shared" si="15"/>
        <v>3/2</v>
      </c>
      <c r="AH10" s="20" t="str">
        <f t="shared" si="1"/>
        <v>금광베네스타</v>
      </c>
      <c r="AI10" s="88">
        <f t="shared" si="0"/>
        <v>34</v>
      </c>
      <c r="AJ10" s="80" t="str">
        <f t="shared" si="16"/>
        <v>A-</v>
      </c>
      <c r="AK10" s="80" t="s">
        <v>14</v>
      </c>
      <c r="AL10" s="80" t="s">
        <v>63</v>
      </c>
      <c r="AM10" s="80" t="s">
        <v>64</v>
      </c>
      <c r="AN10" s="80" t="str">
        <f t="shared" si="17"/>
        <v>C</v>
      </c>
      <c r="AO10" s="80" t="str">
        <f t="shared" si="18"/>
        <v/>
      </c>
      <c r="AP10" s="80" t="str">
        <f t="shared" si="19"/>
        <v/>
      </c>
      <c r="AQ10" s="80" t="str">
        <f t="shared" si="20"/>
        <v>O</v>
      </c>
      <c r="AR10" s="80" t="str">
        <f t="shared" si="21"/>
        <v>O</v>
      </c>
      <c r="AS10" s="80" t="s">
        <v>2</v>
      </c>
      <c r="AT10" s="80" t="str">
        <f t="shared" si="22"/>
        <v>O</v>
      </c>
      <c r="AU10" s="80" t="str">
        <f t="shared" si="23"/>
        <v>O</v>
      </c>
      <c r="AV10" s="80" t="str">
        <f t="shared" si="24"/>
        <v/>
      </c>
    </row>
    <row r="11" spans="1:48" x14ac:dyDescent="0.3">
      <c r="A11" s="9" t="s">
        <v>690</v>
      </c>
      <c r="B11" s="10" t="s">
        <v>1312</v>
      </c>
      <c r="C11" s="89">
        <v>950</v>
      </c>
      <c r="D11" s="87">
        <v>146.5</v>
      </c>
      <c r="E11" s="88">
        <v>44</v>
      </c>
      <c r="F11" s="87">
        <v>113.5</v>
      </c>
      <c r="G11" s="17">
        <v>34</v>
      </c>
      <c r="H11" s="89">
        <v>114</v>
      </c>
      <c r="I11" s="90">
        <v>32500</v>
      </c>
      <c r="J11" s="90" t="s">
        <v>81</v>
      </c>
      <c r="K11" s="90"/>
      <c r="L11" s="90"/>
      <c r="M11" s="91">
        <f t="shared" si="2"/>
        <v>32500</v>
      </c>
      <c r="N11" s="4">
        <f t="shared" si="3"/>
        <v>0</v>
      </c>
      <c r="O11" s="92">
        <f t="shared" si="4"/>
        <v>738.63636363636363</v>
      </c>
      <c r="P11" s="92">
        <f t="shared" si="5"/>
        <v>0</v>
      </c>
      <c r="Q11" s="80">
        <v>3</v>
      </c>
      <c r="R11" s="80">
        <v>2</v>
      </c>
      <c r="S11" s="80" t="s">
        <v>76</v>
      </c>
      <c r="T11" s="5">
        <v>146</v>
      </c>
      <c r="U11" s="9"/>
      <c r="W11" s="87">
        <f t="shared" si="6"/>
        <v>146.5</v>
      </c>
      <c r="X11" s="88">
        <f t="shared" si="7"/>
        <v>44</v>
      </c>
      <c r="Y11" s="93">
        <f t="shared" si="8"/>
        <v>114</v>
      </c>
      <c r="Z11" s="91">
        <f t="shared" si="9"/>
        <v>32500</v>
      </c>
      <c r="AA11" s="91">
        <f t="shared" si="10"/>
        <v>0</v>
      </c>
      <c r="AB11" s="91">
        <f t="shared" si="11"/>
        <v>32500</v>
      </c>
      <c r="AC11" s="4">
        <f t="shared" si="12"/>
        <v>0</v>
      </c>
      <c r="AD11" s="92">
        <f t="shared" si="13"/>
        <v>738.63636363636363</v>
      </c>
      <c r="AE11" s="80" t="str">
        <f t="shared" si="14"/>
        <v>복</v>
      </c>
      <c r="AF11" s="80" t="str">
        <f t="shared" si="15"/>
        <v>3/2</v>
      </c>
      <c r="AH11" s="20" t="str">
        <f t="shared" si="1"/>
        <v>금광베네스타</v>
      </c>
      <c r="AI11" s="88">
        <f t="shared" si="0"/>
        <v>44</v>
      </c>
      <c r="AJ11" s="80" t="str">
        <f t="shared" si="16"/>
        <v>A-</v>
      </c>
      <c r="AK11" s="80" t="s">
        <v>14</v>
      </c>
      <c r="AL11" s="80" t="s">
        <v>63</v>
      </c>
      <c r="AM11" s="80" t="s">
        <v>64</v>
      </c>
      <c r="AN11" s="80" t="str">
        <f t="shared" si="17"/>
        <v>C</v>
      </c>
      <c r="AO11" s="80" t="str">
        <f t="shared" si="18"/>
        <v>X</v>
      </c>
      <c r="AP11" s="80" t="str">
        <f t="shared" si="19"/>
        <v>O</v>
      </c>
      <c r="AQ11" s="80" t="str">
        <f t="shared" si="20"/>
        <v>O</v>
      </c>
      <c r="AR11" s="80" t="str">
        <f t="shared" si="21"/>
        <v>X</v>
      </c>
      <c r="AS11" s="80" t="s">
        <v>2</v>
      </c>
      <c r="AT11" s="80" t="str">
        <f t="shared" si="22"/>
        <v>X</v>
      </c>
      <c r="AU11" s="80" t="str">
        <f t="shared" si="23"/>
        <v>O</v>
      </c>
      <c r="AV11" s="80" t="str">
        <f t="shared" si="24"/>
        <v>X</v>
      </c>
    </row>
    <row r="12" spans="1:48" x14ac:dyDescent="0.3">
      <c r="A12" s="9" t="s">
        <v>690</v>
      </c>
      <c r="B12" s="10" t="s">
        <v>1312</v>
      </c>
      <c r="C12" s="89">
        <v>950</v>
      </c>
      <c r="D12" s="87">
        <v>160</v>
      </c>
      <c r="E12" s="88">
        <v>48</v>
      </c>
      <c r="F12" s="87">
        <v>130.80000000000001</v>
      </c>
      <c r="G12" s="17">
        <v>40</v>
      </c>
      <c r="H12" s="89">
        <v>320</v>
      </c>
      <c r="I12" s="90">
        <v>34000</v>
      </c>
      <c r="J12" s="90" t="s">
        <v>68</v>
      </c>
      <c r="K12" s="90"/>
      <c r="L12" s="90"/>
      <c r="M12" s="91">
        <f t="shared" si="2"/>
        <v>34000</v>
      </c>
      <c r="N12" s="4">
        <f t="shared" si="3"/>
        <v>0</v>
      </c>
      <c r="O12" s="92">
        <f t="shared" si="4"/>
        <v>708.33333333333337</v>
      </c>
      <c r="P12" s="92">
        <f t="shared" si="5"/>
        <v>0</v>
      </c>
      <c r="Q12" s="80">
        <v>4</v>
      </c>
      <c r="R12" s="80">
        <v>2</v>
      </c>
      <c r="S12" s="80" t="s">
        <v>76</v>
      </c>
      <c r="T12" s="5" t="s">
        <v>119</v>
      </c>
      <c r="U12" s="9"/>
      <c r="W12" s="87">
        <f t="shared" si="6"/>
        <v>160</v>
      </c>
      <c r="X12" s="88">
        <f t="shared" si="7"/>
        <v>48</v>
      </c>
      <c r="Y12" s="93">
        <f t="shared" si="8"/>
        <v>320</v>
      </c>
      <c r="Z12" s="91">
        <f t="shared" si="9"/>
        <v>34000</v>
      </c>
      <c r="AA12" s="91">
        <f t="shared" si="10"/>
        <v>0</v>
      </c>
      <c r="AB12" s="91">
        <f t="shared" si="11"/>
        <v>34000</v>
      </c>
      <c r="AC12" s="4">
        <f t="shared" si="12"/>
        <v>0</v>
      </c>
      <c r="AD12" s="92">
        <f t="shared" si="13"/>
        <v>708.33333333333337</v>
      </c>
      <c r="AE12" s="80" t="str">
        <f t="shared" si="14"/>
        <v>복</v>
      </c>
      <c r="AF12" s="80" t="str">
        <f t="shared" si="15"/>
        <v>4/2</v>
      </c>
      <c r="AH12" s="20" t="str">
        <f t="shared" si="1"/>
        <v>금광베네스타</v>
      </c>
      <c r="AI12" s="88">
        <f t="shared" si="0"/>
        <v>48</v>
      </c>
      <c r="AJ12" s="80" t="str">
        <f t="shared" si="16"/>
        <v>A-</v>
      </c>
      <c r="AK12" s="80" t="s">
        <v>14</v>
      </c>
      <c r="AL12" s="80" t="s">
        <v>63</v>
      </c>
      <c r="AM12" s="80" t="s">
        <v>64</v>
      </c>
      <c r="AN12" s="80" t="str">
        <f t="shared" si="17"/>
        <v>C</v>
      </c>
      <c r="AO12" s="80" t="str">
        <f t="shared" si="18"/>
        <v>X</v>
      </c>
      <c r="AP12" s="80" t="str">
        <f t="shared" si="19"/>
        <v>O</v>
      </c>
      <c r="AQ12" s="80" t="str">
        <f t="shared" si="20"/>
        <v>O</v>
      </c>
      <c r="AR12" s="80" t="str">
        <f t="shared" si="21"/>
        <v>X</v>
      </c>
      <c r="AS12" s="80" t="s">
        <v>2</v>
      </c>
      <c r="AT12" s="80" t="str">
        <f t="shared" si="22"/>
        <v>X</v>
      </c>
      <c r="AU12" s="80" t="str">
        <f t="shared" si="23"/>
        <v>O</v>
      </c>
      <c r="AV12" s="80" t="str">
        <f t="shared" si="24"/>
        <v>X</v>
      </c>
    </row>
    <row r="13" spans="1:48" x14ac:dyDescent="0.3">
      <c r="A13" s="9" t="s">
        <v>690</v>
      </c>
      <c r="B13" s="10" t="s">
        <v>1312</v>
      </c>
      <c r="C13" s="89">
        <v>950</v>
      </c>
      <c r="D13" s="87">
        <v>160</v>
      </c>
      <c r="E13" s="88">
        <v>48</v>
      </c>
      <c r="F13" s="87">
        <v>130.80000000000001</v>
      </c>
      <c r="G13" s="17">
        <v>40</v>
      </c>
      <c r="H13" s="89">
        <v>78</v>
      </c>
      <c r="I13" s="90">
        <v>34000</v>
      </c>
      <c r="J13" s="90" t="s">
        <v>68</v>
      </c>
      <c r="K13" s="90"/>
      <c r="L13" s="90"/>
      <c r="M13" s="91">
        <f t="shared" si="2"/>
        <v>34000</v>
      </c>
      <c r="N13" s="4">
        <f t="shared" si="3"/>
        <v>0</v>
      </c>
      <c r="O13" s="92">
        <f t="shared" si="4"/>
        <v>708.33333333333337</v>
      </c>
      <c r="P13" s="92">
        <f t="shared" si="5"/>
        <v>0</v>
      </c>
      <c r="Q13" s="80">
        <v>4</v>
      </c>
      <c r="R13" s="80">
        <v>2</v>
      </c>
      <c r="S13" s="80" t="s">
        <v>76</v>
      </c>
      <c r="T13" s="5" t="s">
        <v>695</v>
      </c>
      <c r="U13" s="9"/>
      <c r="W13" s="87">
        <f t="shared" si="6"/>
        <v>160</v>
      </c>
      <c r="X13" s="88">
        <f t="shared" si="7"/>
        <v>48</v>
      </c>
      <c r="Y13" s="93">
        <f t="shared" si="8"/>
        <v>78</v>
      </c>
      <c r="Z13" s="91">
        <f t="shared" si="9"/>
        <v>34000</v>
      </c>
      <c r="AA13" s="91">
        <f t="shared" si="10"/>
        <v>0</v>
      </c>
      <c r="AB13" s="91">
        <f t="shared" si="11"/>
        <v>34000</v>
      </c>
      <c r="AC13" s="4">
        <f t="shared" si="12"/>
        <v>0</v>
      </c>
      <c r="AD13" s="92">
        <f t="shared" si="13"/>
        <v>708.33333333333337</v>
      </c>
      <c r="AE13" s="80" t="str">
        <f t="shared" si="14"/>
        <v>복</v>
      </c>
      <c r="AF13" s="80" t="str">
        <f t="shared" si="15"/>
        <v>4/2</v>
      </c>
      <c r="AH13" s="20" t="str">
        <f t="shared" si="1"/>
        <v>금광베네스타</v>
      </c>
      <c r="AI13" s="88">
        <f t="shared" si="0"/>
        <v>48</v>
      </c>
      <c r="AJ13" s="80" t="str">
        <f t="shared" si="16"/>
        <v>A-</v>
      </c>
      <c r="AK13" s="80" t="s">
        <v>14</v>
      </c>
      <c r="AL13" s="80" t="s">
        <v>63</v>
      </c>
      <c r="AM13" s="80" t="s">
        <v>64</v>
      </c>
      <c r="AN13" s="80" t="str">
        <f t="shared" si="17"/>
        <v>C</v>
      </c>
      <c r="AO13" s="80" t="str">
        <f t="shared" si="18"/>
        <v>X</v>
      </c>
      <c r="AP13" s="80" t="str">
        <f t="shared" si="19"/>
        <v>O</v>
      </c>
      <c r="AQ13" s="80" t="str">
        <f t="shared" si="20"/>
        <v>O</v>
      </c>
      <c r="AR13" s="80" t="str">
        <f t="shared" si="21"/>
        <v>X</v>
      </c>
      <c r="AS13" s="80" t="s">
        <v>2</v>
      </c>
      <c r="AT13" s="80" t="str">
        <f t="shared" si="22"/>
        <v>X</v>
      </c>
      <c r="AU13" s="80" t="str">
        <f t="shared" si="23"/>
        <v>O</v>
      </c>
      <c r="AV13" s="80" t="str">
        <f t="shared" si="24"/>
        <v>X</v>
      </c>
    </row>
    <row r="14" spans="1:48" x14ac:dyDescent="0.3">
      <c r="A14" s="9" t="s">
        <v>690</v>
      </c>
      <c r="B14" s="10" t="s">
        <v>1312</v>
      </c>
      <c r="C14" s="89">
        <v>950</v>
      </c>
      <c r="D14" s="87">
        <v>176.6</v>
      </c>
      <c r="E14" s="88">
        <v>53</v>
      </c>
      <c r="F14" s="87">
        <v>139.80000000000001</v>
      </c>
      <c r="G14" s="17">
        <v>42</v>
      </c>
      <c r="H14" s="89">
        <v>160</v>
      </c>
      <c r="I14" s="90">
        <v>35000</v>
      </c>
      <c r="J14" s="90" t="s">
        <v>71</v>
      </c>
      <c r="K14" s="90"/>
      <c r="L14" s="90"/>
      <c r="M14" s="91">
        <f t="shared" si="2"/>
        <v>35000</v>
      </c>
      <c r="N14" s="4">
        <f t="shared" si="3"/>
        <v>0</v>
      </c>
      <c r="O14" s="92">
        <f t="shared" si="4"/>
        <v>660.37735849056605</v>
      </c>
      <c r="P14" s="92">
        <f t="shared" si="5"/>
        <v>0</v>
      </c>
      <c r="Q14" s="80">
        <v>4</v>
      </c>
      <c r="R14" s="80">
        <v>2</v>
      </c>
      <c r="S14" s="80" t="s">
        <v>76</v>
      </c>
      <c r="T14" s="5">
        <v>176</v>
      </c>
      <c r="U14" s="9"/>
      <c r="W14" s="87">
        <f t="shared" si="6"/>
        <v>176.6</v>
      </c>
      <c r="X14" s="88">
        <f t="shared" si="7"/>
        <v>53</v>
      </c>
      <c r="Y14" s="93">
        <f t="shared" si="8"/>
        <v>160</v>
      </c>
      <c r="Z14" s="91">
        <f t="shared" si="9"/>
        <v>35000</v>
      </c>
      <c r="AA14" s="91">
        <f t="shared" si="10"/>
        <v>0</v>
      </c>
      <c r="AB14" s="91">
        <f t="shared" si="11"/>
        <v>35000</v>
      </c>
      <c r="AC14" s="4">
        <f t="shared" si="12"/>
        <v>0</v>
      </c>
      <c r="AD14" s="92">
        <f t="shared" si="13"/>
        <v>660.37735849056605</v>
      </c>
      <c r="AE14" s="80" t="str">
        <f t="shared" si="14"/>
        <v>복</v>
      </c>
      <c r="AF14" s="80" t="str">
        <f t="shared" si="15"/>
        <v>4/2</v>
      </c>
      <c r="AH14" s="20" t="str">
        <f t="shared" si="1"/>
        <v>금광베네스타</v>
      </c>
      <c r="AI14" s="88">
        <f t="shared" si="0"/>
        <v>53</v>
      </c>
      <c r="AJ14" s="80" t="str">
        <f t="shared" si="16"/>
        <v>A-</v>
      </c>
      <c r="AK14" s="80" t="s">
        <v>14</v>
      </c>
      <c r="AL14" s="80" t="s">
        <v>63</v>
      </c>
      <c r="AM14" s="80" t="s">
        <v>64</v>
      </c>
      <c r="AN14" s="80" t="str">
        <f t="shared" si="17"/>
        <v>C</v>
      </c>
      <c r="AO14" s="80" t="str">
        <f t="shared" si="18"/>
        <v>X</v>
      </c>
      <c r="AP14" s="80" t="str">
        <f t="shared" si="19"/>
        <v>O</v>
      </c>
      <c r="AQ14" s="80" t="str">
        <f t="shared" si="20"/>
        <v>O</v>
      </c>
      <c r="AR14" s="80" t="str">
        <f t="shared" si="21"/>
        <v>X</v>
      </c>
      <c r="AS14" s="80" t="s">
        <v>2</v>
      </c>
      <c r="AT14" s="80" t="str">
        <f t="shared" si="22"/>
        <v>X</v>
      </c>
      <c r="AU14" s="80" t="str">
        <f t="shared" si="23"/>
        <v>O</v>
      </c>
      <c r="AV14" s="80" t="str">
        <f t="shared" si="24"/>
        <v>X</v>
      </c>
    </row>
    <row r="15" spans="1:48" x14ac:dyDescent="0.3">
      <c r="A15" s="9" t="s">
        <v>690</v>
      </c>
      <c r="B15" s="10" t="s">
        <v>1312</v>
      </c>
      <c r="C15" s="89">
        <v>950</v>
      </c>
      <c r="D15" s="87">
        <v>203.2</v>
      </c>
      <c r="E15" s="88">
        <v>61</v>
      </c>
      <c r="F15" s="87">
        <v>172.2</v>
      </c>
      <c r="G15" s="17">
        <v>52</v>
      </c>
      <c r="H15" s="89">
        <v>40</v>
      </c>
      <c r="I15" s="90">
        <v>45000</v>
      </c>
      <c r="J15" s="90" t="s">
        <v>69</v>
      </c>
      <c r="K15" s="90"/>
      <c r="L15" s="90"/>
      <c r="M15" s="91">
        <f t="shared" si="2"/>
        <v>45000</v>
      </c>
      <c r="N15" s="4">
        <f t="shared" si="3"/>
        <v>0</v>
      </c>
      <c r="O15" s="92">
        <f t="shared" si="4"/>
        <v>737.70491803278685</v>
      </c>
      <c r="P15" s="92">
        <f t="shared" si="5"/>
        <v>0</v>
      </c>
      <c r="Q15" s="80">
        <v>4</v>
      </c>
      <c r="R15" s="80">
        <v>2</v>
      </c>
      <c r="S15" s="80" t="s">
        <v>76</v>
      </c>
      <c r="T15" s="5" t="s">
        <v>112</v>
      </c>
      <c r="U15" s="9"/>
      <c r="W15" s="87">
        <f t="shared" si="6"/>
        <v>203.2</v>
      </c>
      <c r="X15" s="88">
        <f t="shared" si="7"/>
        <v>61</v>
      </c>
      <c r="Y15" s="93">
        <f t="shared" si="8"/>
        <v>40</v>
      </c>
      <c r="Z15" s="91">
        <f t="shared" si="9"/>
        <v>45000</v>
      </c>
      <c r="AA15" s="91">
        <f t="shared" si="10"/>
        <v>0</v>
      </c>
      <c r="AB15" s="91">
        <f t="shared" si="11"/>
        <v>45000</v>
      </c>
      <c r="AC15" s="4">
        <f t="shared" si="12"/>
        <v>0</v>
      </c>
      <c r="AD15" s="92">
        <f t="shared" si="13"/>
        <v>737.70491803278685</v>
      </c>
      <c r="AE15" s="80" t="str">
        <f t="shared" si="14"/>
        <v>복</v>
      </c>
      <c r="AF15" s="80" t="str">
        <f t="shared" si="15"/>
        <v>4/2</v>
      </c>
      <c r="AH15" s="20" t="str">
        <f t="shared" si="1"/>
        <v>금광베네스타</v>
      </c>
      <c r="AI15" s="88">
        <f t="shared" si="0"/>
        <v>61</v>
      </c>
      <c r="AJ15" s="80" t="str">
        <f t="shared" si="16"/>
        <v>A-</v>
      </c>
      <c r="AK15" s="80" t="s">
        <v>14</v>
      </c>
      <c r="AL15" s="80" t="s">
        <v>63</v>
      </c>
      <c r="AM15" s="80" t="s">
        <v>64</v>
      </c>
      <c r="AN15" s="80" t="str">
        <f t="shared" si="17"/>
        <v>C</v>
      </c>
      <c r="AO15" s="80" t="str">
        <f t="shared" si="18"/>
        <v>X</v>
      </c>
      <c r="AP15" s="80" t="str">
        <f t="shared" si="19"/>
        <v>O</v>
      </c>
      <c r="AQ15" s="80" t="str">
        <f t="shared" si="20"/>
        <v>O</v>
      </c>
      <c r="AR15" s="80" t="str">
        <f t="shared" si="21"/>
        <v>X</v>
      </c>
      <c r="AS15" s="80" t="s">
        <v>2</v>
      </c>
      <c r="AT15" s="80" t="str">
        <f t="shared" si="22"/>
        <v>X</v>
      </c>
      <c r="AU15" s="80" t="str">
        <f t="shared" si="23"/>
        <v>O</v>
      </c>
      <c r="AV15" s="80" t="str">
        <f t="shared" si="24"/>
        <v>X</v>
      </c>
    </row>
    <row r="16" spans="1:48" x14ac:dyDescent="0.3">
      <c r="A16" s="9" t="s">
        <v>690</v>
      </c>
      <c r="B16" s="10" t="s">
        <v>1312</v>
      </c>
      <c r="C16" s="89">
        <v>950</v>
      </c>
      <c r="D16" s="87">
        <v>204.9</v>
      </c>
      <c r="E16" s="88">
        <v>62</v>
      </c>
      <c r="F16" s="87">
        <v>170.7</v>
      </c>
      <c r="G16" s="17">
        <v>52</v>
      </c>
      <c r="H16" s="89">
        <v>39</v>
      </c>
      <c r="I16" s="90">
        <v>45000</v>
      </c>
      <c r="J16" s="90" t="s">
        <v>80</v>
      </c>
      <c r="K16" s="90">
        <v>35000</v>
      </c>
      <c r="L16" s="90" t="s">
        <v>80</v>
      </c>
      <c r="M16" s="91">
        <f t="shared" si="2"/>
        <v>10000</v>
      </c>
      <c r="N16" s="4">
        <f t="shared" si="3"/>
        <v>0.77777777777777779</v>
      </c>
      <c r="O16" s="92">
        <f t="shared" si="4"/>
        <v>725.80645161290317</v>
      </c>
      <c r="P16" s="92">
        <f t="shared" si="5"/>
        <v>564.51612903225805</v>
      </c>
      <c r="Q16" s="80">
        <v>5</v>
      </c>
      <c r="R16" s="80">
        <v>2</v>
      </c>
      <c r="S16" s="80" t="s">
        <v>76</v>
      </c>
      <c r="T16" s="5" t="s">
        <v>696</v>
      </c>
      <c r="U16" s="9"/>
      <c r="W16" s="87">
        <f t="shared" si="6"/>
        <v>204.9</v>
      </c>
      <c r="X16" s="88">
        <f t="shared" si="7"/>
        <v>62</v>
      </c>
      <c r="Y16" s="93">
        <f t="shared" si="8"/>
        <v>39</v>
      </c>
      <c r="Z16" s="91">
        <f t="shared" si="9"/>
        <v>45000</v>
      </c>
      <c r="AA16" s="91">
        <f t="shared" si="10"/>
        <v>35000</v>
      </c>
      <c r="AB16" s="91">
        <f t="shared" si="11"/>
        <v>10000</v>
      </c>
      <c r="AC16" s="4">
        <f t="shared" si="12"/>
        <v>0.77777777777777779</v>
      </c>
      <c r="AD16" s="92">
        <f t="shared" si="13"/>
        <v>725.80645161290317</v>
      </c>
      <c r="AE16" s="80" t="str">
        <f t="shared" si="14"/>
        <v>복</v>
      </c>
      <c r="AF16" s="80" t="str">
        <f t="shared" si="15"/>
        <v>5/2</v>
      </c>
      <c r="AH16" s="20" t="str">
        <f t="shared" si="1"/>
        <v>금광베네스타</v>
      </c>
      <c r="AI16" s="88">
        <f t="shared" si="0"/>
        <v>62</v>
      </c>
      <c r="AJ16" s="80" t="str">
        <f t="shared" si="16"/>
        <v>A-</v>
      </c>
      <c r="AK16" s="80" t="s">
        <v>14</v>
      </c>
      <c r="AL16" s="80" t="s">
        <v>63</v>
      </c>
      <c r="AM16" s="80" t="s">
        <v>64</v>
      </c>
      <c r="AN16" s="80" t="str">
        <f t="shared" si="17"/>
        <v>C</v>
      </c>
      <c r="AO16" s="80" t="str">
        <f t="shared" si="18"/>
        <v>X</v>
      </c>
      <c r="AP16" s="80" t="str">
        <f t="shared" si="19"/>
        <v>O</v>
      </c>
      <c r="AQ16" s="80" t="str">
        <f t="shared" si="20"/>
        <v>O</v>
      </c>
      <c r="AR16" s="80" t="str">
        <f t="shared" si="21"/>
        <v>X</v>
      </c>
      <c r="AS16" s="80" t="s">
        <v>2</v>
      </c>
      <c r="AT16" s="80" t="str">
        <f t="shared" si="22"/>
        <v>X</v>
      </c>
      <c r="AU16" s="80" t="str">
        <f t="shared" si="23"/>
        <v>O</v>
      </c>
      <c r="AV16" s="80" t="str">
        <f t="shared" si="24"/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7" t="str">
        <f>$A$4&amp;" "&amp;A18&amp;"("&amp;B18&amp;","&amp;C18&amp;"^)"</f>
        <v>미룡동 은파롯데캐슬('07.09.,307^)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702</v>
      </c>
      <c r="B18" s="10" t="s">
        <v>1313</v>
      </c>
      <c r="C18" s="89">
        <v>307</v>
      </c>
      <c r="D18" s="87">
        <v>109.8</v>
      </c>
      <c r="E18" s="88">
        <v>33</v>
      </c>
      <c r="F18" s="87">
        <v>85</v>
      </c>
      <c r="G18" s="17">
        <v>26</v>
      </c>
      <c r="H18" s="89">
        <v>50</v>
      </c>
      <c r="I18" s="90"/>
      <c r="J18" s="90"/>
      <c r="K18" s="90"/>
      <c r="L18" s="90"/>
      <c r="M18" s="91">
        <f t="shared" ref="M18:M24" si="25">I18-K18</f>
        <v>0</v>
      </c>
      <c r="N18" s="4" t="str">
        <f t="shared" ref="N18:N24" si="26">IF(ISERROR(K18/I18),"",K18/I18)</f>
        <v/>
      </c>
      <c r="O18" s="92">
        <f t="shared" ref="O18:O24" si="27">I18/E18</f>
        <v>0</v>
      </c>
      <c r="P18" s="92">
        <f t="shared" ref="P18:P24" si="28">K18/E18</f>
        <v>0</v>
      </c>
      <c r="Q18" s="80">
        <v>3</v>
      </c>
      <c r="R18" s="80">
        <v>2</v>
      </c>
      <c r="S18" s="80" t="s">
        <v>76</v>
      </c>
      <c r="T18" s="5">
        <v>109</v>
      </c>
      <c r="U18" s="9"/>
      <c r="W18" s="87">
        <f t="shared" ref="W18:X24" si="29">D18</f>
        <v>109.8</v>
      </c>
      <c r="X18" s="88">
        <f t="shared" si="29"/>
        <v>33</v>
      </c>
      <c r="Y18" s="93">
        <f t="shared" ref="Y18:Z24" si="30">H18</f>
        <v>50</v>
      </c>
      <c r="Z18" s="91">
        <f t="shared" si="30"/>
        <v>0</v>
      </c>
      <c r="AA18" s="91">
        <f t="shared" ref="AA18:AA24" si="31">K18</f>
        <v>0</v>
      </c>
      <c r="AB18" s="91">
        <f t="shared" ref="AB18:AD24" si="32">M18</f>
        <v>0</v>
      </c>
      <c r="AC18" s="4" t="str">
        <f t="shared" si="32"/>
        <v/>
      </c>
      <c r="AD18" s="92">
        <f t="shared" si="32"/>
        <v>0</v>
      </c>
      <c r="AE18" s="80" t="str">
        <f t="shared" ref="AE18:AE24" si="33">S18</f>
        <v>복</v>
      </c>
      <c r="AF18" s="80" t="str">
        <f t="shared" ref="AF18:AF24" si="34">Q18&amp;"/"&amp;R18</f>
        <v>3/2</v>
      </c>
      <c r="AH18" s="20" t="str">
        <f t="shared" si="1"/>
        <v>은파롯데캐슬</v>
      </c>
      <c r="AI18" s="88">
        <f t="shared" si="0"/>
        <v>33</v>
      </c>
      <c r="AJ18" s="80" t="str">
        <f t="shared" ref="AJ18:AJ24" si="35">IF(AI18="","",$AJ$2)</f>
        <v>A-</v>
      </c>
      <c r="AK18" s="80" t="s">
        <v>14</v>
      </c>
      <c r="AL18" s="80" t="s">
        <v>63</v>
      </c>
      <c r="AM18" s="80" t="s">
        <v>64</v>
      </c>
      <c r="AN18" s="80" t="str">
        <f t="shared" ref="AN18:AN24" si="36">IF(AI18="","",$AN$2)</f>
        <v>C</v>
      </c>
      <c r="AO18" s="80" t="str">
        <f t="shared" ref="AO18:AO24" si="37">IF(N18="","",IF(N18&gt;=$AO$1/100,"O","X"))</f>
        <v/>
      </c>
      <c r="AP18" s="80" t="str">
        <f t="shared" ref="AP18:AP24" si="38">IF(I18="","",IF(I18&lt;=$AP$1,"O","X"))</f>
        <v/>
      </c>
      <c r="AQ18" s="80" t="str">
        <f t="shared" ref="AQ18:AQ24" si="39">IF(O18="","",IF(O18&lt;=$AQ$1,"O","X"))</f>
        <v>O</v>
      </c>
      <c r="AR18" s="80" t="str">
        <f t="shared" ref="AR18:AR24" si="40">IF(M18="","",IF(M18&lt;=$AR$1,"O","X"))</f>
        <v>O</v>
      </c>
      <c r="AS18" s="80" t="s">
        <v>2</v>
      </c>
      <c r="AT18" s="80" t="str">
        <f t="shared" ref="AT18:AT24" si="41">IF(OR(F18="",AI18=""),"",IF(AND((F18&lt;=85),(AI18&gt;=15)),"O","X"))</f>
        <v>O</v>
      </c>
      <c r="AU18" s="80" t="str">
        <f t="shared" ref="AU18:AU24" si="42">IF(C18="","",IF(C18&gt;=$AU$1,"O","X"))</f>
        <v>O</v>
      </c>
      <c r="AV18" s="80" t="str">
        <f t="shared" ref="AV18:AV24" si="43">IF(AO18="","",IF(AND(AO18="O",AP18="O",AR18="O",AT18="O",AU18="O"),"후보","X"))</f>
        <v/>
      </c>
    </row>
    <row r="19" spans="1:48" x14ac:dyDescent="0.3">
      <c r="A19" s="9" t="s">
        <v>702</v>
      </c>
      <c r="B19" s="10" t="s">
        <v>1313</v>
      </c>
      <c r="C19" s="89">
        <v>307</v>
      </c>
      <c r="D19" s="87">
        <v>129.9</v>
      </c>
      <c r="E19" s="88">
        <v>39</v>
      </c>
      <c r="F19" s="87">
        <v>102.8</v>
      </c>
      <c r="G19" s="17">
        <v>31</v>
      </c>
      <c r="H19" s="89">
        <v>52</v>
      </c>
      <c r="I19" s="90">
        <v>28000</v>
      </c>
      <c r="J19" s="90" t="s">
        <v>70</v>
      </c>
      <c r="K19" s="90"/>
      <c r="L19" s="90"/>
      <c r="M19" s="91">
        <f t="shared" si="25"/>
        <v>28000</v>
      </c>
      <c r="N19" s="4">
        <f t="shared" si="26"/>
        <v>0</v>
      </c>
      <c r="O19" s="92">
        <f t="shared" si="27"/>
        <v>717.9487179487179</v>
      </c>
      <c r="P19" s="92">
        <f t="shared" si="28"/>
        <v>0</v>
      </c>
      <c r="Q19" s="80">
        <v>3</v>
      </c>
      <c r="R19" s="80">
        <v>2</v>
      </c>
      <c r="S19" s="80" t="s">
        <v>76</v>
      </c>
      <c r="T19" s="5" t="s">
        <v>297</v>
      </c>
      <c r="U19" s="9"/>
      <c r="W19" s="87">
        <f t="shared" si="29"/>
        <v>129.9</v>
      </c>
      <c r="X19" s="88">
        <f t="shared" si="29"/>
        <v>39</v>
      </c>
      <c r="Y19" s="93">
        <f t="shared" si="30"/>
        <v>52</v>
      </c>
      <c r="Z19" s="91">
        <f t="shared" si="30"/>
        <v>28000</v>
      </c>
      <c r="AA19" s="91">
        <f t="shared" si="31"/>
        <v>0</v>
      </c>
      <c r="AB19" s="91">
        <f t="shared" si="32"/>
        <v>28000</v>
      </c>
      <c r="AC19" s="4">
        <f t="shared" si="32"/>
        <v>0</v>
      </c>
      <c r="AD19" s="92">
        <f t="shared" si="32"/>
        <v>717.9487179487179</v>
      </c>
      <c r="AE19" s="80" t="str">
        <f t="shared" si="33"/>
        <v>복</v>
      </c>
      <c r="AF19" s="80" t="str">
        <f t="shared" si="34"/>
        <v>3/2</v>
      </c>
      <c r="AH19" s="20" t="str">
        <f t="shared" si="1"/>
        <v>은파롯데캐슬</v>
      </c>
      <c r="AI19" s="88">
        <f t="shared" si="0"/>
        <v>39</v>
      </c>
      <c r="AJ19" s="80" t="str">
        <f t="shared" si="35"/>
        <v>A-</v>
      </c>
      <c r="AK19" s="80" t="s">
        <v>14</v>
      </c>
      <c r="AL19" s="80" t="s">
        <v>63</v>
      </c>
      <c r="AM19" s="80" t="s">
        <v>64</v>
      </c>
      <c r="AN19" s="80" t="str">
        <f t="shared" si="36"/>
        <v>C</v>
      </c>
      <c r="AO19" s="80" t="str">
        <f t="shared" si="37"/>
        <v>X</v>
      </c>
      <c r="AP19" s="80" t="str">
        <f t="shared" si="38"/>
        <v>O</v>
      </c>
      <c r="AQ19" s="80" t="str">
        <f t="shared" si="39"/>
        <v>O</v>
      </c>
      <c r="AR19" s="80" t="str">
        <f t="shared" si="40"/>
        <v>X</v>
      </c>
      <c r="AS19" s="80" t="s">
        <v>2</v>
      </c>
      <c r="AT19" s="80" t="str">
        <f t="shared" si="41"/>
        <v>X</v>
      </c>
      <c r="AU19" s="80" t="str">
        <f t="shared" si="42"/>
        <v>O</v>
      </c>
      <c r="AV19" s="80" t="str">
        <f t="shared" si="43"/>
        <v>X</v>
      </c>
    </row>
    <row r="20" spans="1:48" x14ac:dyDescent="0.3">
      <c r="A20" s="9" t="s">
        <v>702</v>
      </c>
      <c r="B20" s="10" t="s">
        <v>1313</v>
      </c>
      <c r="C20" s="89">
        <v>307</v>
      </c>
      <c r="D20" s="87">
        <v>131.5</v>
      </c>
      <c r="E20" s="88">
        <v>40</v>
      </c>
      <c r="F20" s="87">
        <v>104.6</v>
      </c>
      <c r="G20" s="17">
        <v>32</v>
      </c>
      <c r="H20" s="89">
        <v>79</v>
      </c>
      <c r="I20" s="90">
        <v>32000</v>
      </c>
      <c r="J20" s="90" t="s">
        <v>70</v>
      </c>
      <c r="K20" s="90"/>
      <c r="L20" s="90"/>
      <c r="M20" s="91">
        <f t="shared" si="25"/>
        <v>32000</v>
      </c>
      <c r="N20" s="4">
        <f t="shared" si="26"/>
        <v>0</v>
      </c>
      <c r="O20" s="92">
        <f t="shared" si="27"/>
        <v>800</v>
      </c>
      <c r="P20" s="92">
        <f t="shared" si="28"/>
        <v>0</v>
      </c>
      <c r="Q20" s="80">
        <v>3</v>
      </c>
      <c r="R20" s="80">
        <v>2</v>
      </c>
      <c r="S20" s="80" t="s">
        <v>76</v>
      </c>
      <c r="T20" s="5" t="s">
        <v>143</v>
      </c>
      <c r="U20" s="9"/>
      <c r="W20" s="87">
        <f t="shared" si="29"/>
        <v>131.5</v>
      </c>
      <c r="X20" s="88">
        <f t="shared" si="29"/>
        <v>40</v>
      </c>
      <c r="Y20" s="93">
        <f t="shared" si="30"/>
        <v>79</v>
      </c>
      <c r="Z20" s="91">
        <f t="shared" si="30"/>
        <v>32000</v>
      </c>
      <c r="AA20" s="91">
        <f t="shared" si="31"/>
        <v>0</v>
      </c>
      <c r="AB20" s="91">
        <f t="shared" si="32"/>
        <v>32000</v>
      </c>
      <c r="AC20" s="4">
        <f t="shared" si="32"/>
        <v>0</v>
      </c>
      <c r="AD20" s="92">
        <f t="shared" si="32"/>
        <v>800</v>
      </c>
      <c r="AE20" s="80" t="str">
        <f t="shared" si="33"/>
        <v>복</v>
      </c>
      <c r="AF20" s="80" t="str">
        <f t="shared" si="34"/>
        <v>3/2</v>
      </c>
      <c r="AH20" s="20" t="str">
        <f t="shared" si="1"/>
        <v>은파롯데캐슬</v>
      </c>
      <c r="AI20" s="88">
        <f t="shared" si="0"/>
        <v>40</v>
      </c>
      <c r="AJ20" s="80" t="str">
        <f t="shared" si="35"/>
        <v>A-</v>
      </c>
      <c r="AK20" s="80" t="s">
        <v>14</v>
      </c>
      <c r="AL20" s="80" t="s">
        <v>63</v>
      </c>
      <c r="AM20" s="80" t="s">
        <v>64</v>
      </c>
      <c r="AN20" s="80" t="str">
        <f t="shared" si="36"/>
        <v>C</v>
      </c>
      <c r="AO20" s="80" t="str">
        <f t="shared" si="37"/>
        <v>X</v>
      </c>
      <c r="AP20" s="80" t="str">
        <f t="shared" si="38"/>
        <v>O</v>
      </c>
      <c r="AQ20" s="80" t="str">
        <f t="shared" si="39"/>
        <v>O</v>
      </c>
      <c r="AR20" s="80" t="str">
        <f t="shared" si="40"/>
        <v>X</v>
      </c>
      <c r="AS20" s="80" t="s">
        <v>2</v>
      </c>
      <c r="AT20" s="80" t="str">
        <f t="shared" si="41"/>
        <v>X</v>
      </c>
      <c r="AU20" s="80" t="str">
        <f t="shared" si="42"/>
        <v>O</v>
      </c>
      <c r="AV20" s="80" t="str">
        <f t="shared" si="43"/>
        <v>X</v>
      </c>
    </row>
    <row r="21" spans="1:48" x14ac:dyDescent="0.3">
      <c r="A21" s="9" t="s">
        <v>702</v>
      </c>
      <c r="B21" s="10" t="s">
        <v>1313</v>
      </c>
      <c r="C21" s="89">
        <v>307</v>
      </c>
      <c r="D21" s="87">
        <v>158.30000000000001</v>
      </c>
      <c r="E21" s="88">
        <v>48</v>
      </c>
      <c r="F21" s="87">
        <v>127.2</v>
      </c>
      <c r="G21" s="17">
        <v>38</v>
      </c>
      <c r="H21" s="89">
        <v>77</v>
      </c>
      <c r="I21" s="90">
        <v>34000</v>
      </c>
      <c r="J21" s="90" t="s">
        <v>111</v>
      </c>
      <c r="K21" s="90"/>
      <c r="L21" s="90"/>
      <c r="M21" s="91">
        <f t="shared" si="25"/>
        <v>34000</v>
      </c>
      <c r="N21" s="4">
        <f t="shared" si="26"/>
        <v>0</v>
      </c>
      <c r="O21" s="92">
        <f t="shared" si="27"/>
        <v>708.33333333333337</v>
      </c>
      <c r="P21" s="92">
        <f t="shared" si="28"/>
        <v>0</v>
      </c>
      <c r="Q21" s="80">
        <v>4</v>
      </c>
      <c r="R21" s="80">
        <v>2</v>
      </c>
      <c r="S21" s="80" t="s">
        <v>76</v>
      </c>
      <c r="T21" s="5" t="s">
        <v>122</v>
      </c>
      <c r="U21" s="9"/>
      <c r="W21" s="87">
        <f t="shared" si="29"/>
        <v>158.30000000000001</v>
      </c>
      <c r="X21" s="88">
        <f t="shared" si="29"/>
        <v>48</v>
      </c>
      <c r="Y21" s="93">
        <f t="shared" si="30"/>
        <v>77</v>
      </c>
      <c r="Z21" s="91">
        <f t="shared" si="30"/>
        <v>34000</v>
      </c>
      <c r="AA21" s="91">
        <f t="shared" si="31"/>
        <v>0</v>
      </c>
      <c r="AB21" s="91">
        <f t="shared" si="32"/>
        <v>34000</v>
      </c>
      <c r="AC21" s="4">
        <f t="shared" si="32"/>
        <v>0</v>
      </c>
      <c r="AD21" s="92">
        <f t="shared" si="32"/>
        <v>708.33333333333337</v>
      </c>
      <c r="AE21" s="80" t="str">
        <f t="shared" si="33"/>
        <v>복</v>
      </c>
      <c r="AF21" s="80" t="str">
        <f t="shared" si="34"/>
        <v>4/2</v>
      </c>
      <c r="AH21" s="20" t="str">
        <f t="shared" si="1"/>
        <v>은파롯데캐슬</v>
      </c>
      <c r="AI21" s="88">
        <f t="shared" si="0"/>
        <v>48</v>
      </c>
      <c r="AJ21" s="80" t="str">
        <f t="shared" si="35"/>
        <v>A-</v>
      </c>
      <c r="AK21" s="80" t="s">
        <v>14</v>
      </c>
      <c r="AL21" s="80" t="s">
        <v>63</v>
      </c>
      <c r="AM21" s="80" t="s">
        <v>64</v>
      </c>
      <c r="AN21" s="80" t="str">
        <f t="shared" si="36"/>
        <v>C</v>
      </c>
      <c r="AO21" s="80" t="str">
        <f t="shared" si="37"/>
        <v>X</v>
      </c>
      <c r="AP21" s="80" t="str">
        <f t="shared" si="38"/>
        <v>O</v>
      </c>
      <c r="AQ21" s="80" t="str">
        <f t="shared" si="39"/>
        <v>O</v>
      </c>
      <c r="AR21" s="80" t="str">
        <f t="shared" si="40"/>
        <v>X</v>
      </c>
      <c r="AS21" s="80" t="s">
        <v>2</v>
      </c>
      <c r="AT21" s="80" t="str">
        <f t="shared" si="41"/>
        <v>X</v>
      </c>
      <c r="AU21" s="80" t="str">
        <f t="shared" si="42"/>
        <v>O</v>
      </c>
      <c r="AV21" s="80" t="str">
        <f t="shared" si="43"/>
        <v>X</v>
      </c>
    </row>
    <row r="22" spans="1:48" x14ac:dyDescent="0.3">
      <c r="A22" s="9" t="s">
        <v>702</v>
      </c>
      <c r="B22" s="10" t="s">
        <v>1313</v>
      </c>
      <c r="C22" s="89">
        <v>307</v>
      </c>
      <c r="D22" s="87">
        <v>158.30000000000001</v>
      </c>
      <c r="E22" s="88">
        <v>48</v>
      </c>
      <c r="F22" s="87">
        <v>125.8</v>
      </c>
      <c r="G22" s="17">
        <v>38</v>
      </c>
      <c r="H22" s="89">
        <v>22</v>
      </c>
      <c r="I22" s="90"/>
      <c r="J22" s="90"/>
      <c r="K22" s="90"/>
      <c r="L22" s="90"/>
      <c r="M22" s="91">
        <f t="shared" si="25"/>
        <v>0</v>
      </c>
      <c r="N22" s="4" t="str">
        <f t="shared" si="26"/>
        <v/>
      </c>
      <c r="O22" s="92">
        <f t="shared" si="27"/>
        <v>0</v>
      </c>
      <c r="P22" s="92">
        <f t="shared" si="28"/>
        <v>0</v>
      </c>
      <c r="Q22" s="80">
        <v>4</v>
      </c>
      <c r="R22" s="80">
        <v>2</v>
      </c>
      <c r="S22" s="80" t="s">
        <v>76</v>
      </c>
      <c r="T22" s="5" t="s">
        <v>707</v>
      </c>
      <c r="U22" s="9"/>
      <c r="W22" s="87">
        <f t="shared" si="29"/>
        <v>158.30000000000001</v>
      </c>
      <c r="X22" s="88">
        <f t="shared" si="29"/>
        <v>48</v>
      </c>
      <c r="Y22" s="93">
        <f t="shared" si="30"/>
        <v>22</v>
      </c>
      <c r="Z22" s="91">
        <f t="shared" si="30"/>
        <v>0</v>
      </c>
      <c r="AA22" s="91">
        <f t="shared" si="31"/>
        <v>0</v>
      </c>
      <c r="AB22" s="91">
        <f t="shared" si="32"/>
        <v>0</v>
      </c>
      <c r="AC22" s="4" t="str">
        <f t="shared" si="32"/>
        <v/>
      </c>
      <c r="AD22" s="92">
        <f t="shared" si="32"/>
        <v>0</v>
      </c>
      <c r="AE22" s="80" t="str">
        <f t="shared" si="33"/>
        <v>복</v>
      </c>
      <c r="AF22" s="80" t="str">
        <f t="shared" si="34"/>
        <v>4/2</v>
      </c>
      <c r="AH22" s="20" t="str">
        <f t="shared" si="1"/>
        <v>은파롯데캐슬</v>
      </c>
      <c r="AI22" s="88">
        <f t="shared" si="0"/>
        <v>48</v>
      </c>
      <c r="AJ22" s="80" t="str">
        <f t="shared" si="35"/>
        <v>A-</v>
      </c>
      <c r="AK22" s="80" t="s">
        <v>14</v>
      </c>
      <c r="AL22" s="80" t="s">
        <v>63</v>
      </c>
      <c r="AM22" s="80" t="s">
        <v>64</v>
      </c>
      <c r="AN22" s="80" t="str">
        <f t="shared" si="36"/>
        <v>C</v>
      </c>
      <c r="AO22" s="80" t="str">
        <f t="shared" si="37"/>
        <v/>
      </c>
      <c r="AP22" s="80" t="str">
        <f t="shared" si="38"/>
        <v/>
      </c>
      <c r="AQ22" s="80" t="str">
        <f t="shared" si="39"/>
        <v>O</v>
      </c>
      <c r="AR22" s="80" t="str">
        <f t="shared" si="40"/>
        <v>O</v>
      </c>
      <c r="AS22" s="80" t="s">
        <v>2</v>
      </c>
      <c r="AT22" s="80" t="str">
        <f t="shared" si="41"/>
        <v>X</v>
      </c>
      <c r="AU22" s="80" t="str">
        <f t="shared" si="42"/>
        <v>O</v>
      </c>
      <c r="AV22" s="80" t="str">
        <f t="shared" si="43"/>
        <v/>
      </c>
    </row>
    <row r="23" spans="1:48" x14ac:dyDescent="0.3">
      <c r="A23" s="9" t="s">
        <v>702</v>
      </c>
      <c r="B23" s="10" t="s">
        <v>1313</v>
      </c>
      <c r="C23" s="89">
        <v>307</v>
      </c>
      <c r="D23" s="87">
        <v>189.5</v>
      </c>
      <c r="E23" s="88">
        <v>57</v>
      </c>
      <c r="F23" s="87">
        <v>149.5</v>
      </c>
      <c r="G23" s="17">
        <v>45</v>
      </c>
      <c r="H23" s="89">
        <v>26</v>
      </c>
      <c r="I23" s="90"/>
      <c r="J23" s="90"/>
      <c r="K23" s="90"/>
      <c r="L23" s="90"/>
      <c r="M23" s="91">
        <f t="shared" si="25"/>
        <v>0</v>
      </c>
      <c r="N23" s="4" t="str">
        <f t="shared" si="26"/>
        <v/>
      </c>
      <c r="O23" s="92">
        <f t="shared" si="27"/>
        <v>0</v>
      </c>
      <c r="P23" s="92">
        <f t="shared" si="28"/>
        <v>0</v>
      </c>
      <c r="Q23" s="80">
        <v>4</v>
      </c>
      <c r="R23" s="80">
        <v>2</v>
      </c>
      <c r="S23" s="80" t="s">
        <v>76</v>
      </c>
      <c r="T23" s="5">
        <v>189</v>
      </c>
      <c r="U23" s="9"/>
      <c r="W23" s="87">
        <f t="shared" si="29"/>
        <v>189.5</v>
      </c>
      <c r="X23" s="88">
        <f t="shared" si="29"/>
        <v>57</v>
      </c>
      <c r="Y23" s="93">
        <f t="shared" si="30"/>
        <v>26</v>
      </c>
      <c r="Z23" s="91">
        <f t="shared" si="30"/>
        <v>0</v>
      </c>
      <c r="AA23" s="91">
        <f t="shared" si="31"/>
        <v>0</v>
      </c>
      <c r="AB23" s="91">
        <f t="shared" si="32"/>
        <v>0</v>
      </c>
      <c r="AC23" s="4" t="str">
        <f t="shared" si="32"/>
        <v/>
      </c>
      <c r="AD23" s="92">
        <f t="shared" si="32"/>
        <v>0</v>
      </c>
      <c r="AE23" s="80" t="str">
        <f t="shared" si="33"/>
        <v>복</v>
      </c>
      <c r="AF23" s="80" t="str">
        <f t="shared" si="34"/>
        <v>4/2</v>
      </c>
      <c r="AH23" s="20" t="str">
        <f t="shared" si="1"/>
        <v>은파롯데캐슬</v>
      </c>
      <c r="AI23" s="88">
        <f t="shared" si="0"/>
        <v>57</v>
      </c>
      <c r="AJ23" s="80" t="str">
        <f t="shared" si="35"/>
        <v>A-</v>
      </c>
      <c r="AK23" s="80" t="s">
        <v>14</v>
      </c>
      <c r="AL23" s="80" t="s">
        <v>63</v>
      </c>
      <c r="AM23" s="80" t="s">
        <v>64</v>
      </c>
      <c r="AN23" s="80" t="str">
        <f t="shared" si="36"/>
        <v>C</v>
      </c>
      <c r="AO23" s="80" t="str">
        <f t="shared" si="37"/>
        <v/>
      </c>
      <c r="AP23" s="80" t="str">
        <f t="shared" si="38"/>
        <v/>
      </c>
      <c r="AQ23" s="80" t="str">
        <f t="shared" si="39"/>
        <v>O</v>
      </c>
      <c r="AR23" s="80" t="str">
        <f t="shared" si="40"/>
        <v>O</v>
      </c>
      <c r="AS23" s="80" t="s">
        <v>2</v>
      </c>
      <c r="AT23" s="80" t="str">
        <f t="shared" si="41"/>
        <v>X</v>
      </c>
      <c r="AU23" s="80" t="str">
        <f t="shared" si="42"/>
        <v>O</v>
      </c>
      <c r="AV23" s="80" t="str">
        <f t="shared" si="43"/>
        <v/>
      </c>
    </row>
    <row r="24" spans="1:48" x14ac:dyDescent="0.3">
      <c r="A24" s="9" t="s">
        <v>702</v>
      </c>
      <c r="B24" s="10" t="s">
        <v>1313</v>
      </c>
      <c r="C24" s="89">
        <v>307</v>
      </c>
      <c r="D24" s="87">
        <v>241.3</v>
      </c>
      <c r="E24" s="88">
        <v>73</v>
      </c>
      <c r="F24" s="87">
        <v>194.7</v>
      </c>
      <c r="G24" s="17">
        <v>59</v>
      </c>
      <c r="H24" s="89">
        <v>1</v>
      </c>
      <c r="I24" s="90"/>
      <c r="J24" s="90"/>
      <c r="K24" s="90"/>
      <c r="L24" s="90"/>
      <c r="M24" s="91">
        <f t="shared" si="25"/>
        <v>0</v>
      </c>
      <c r="N24" s="4" t="str">
        <f t="shared" si="26"/>
        <v/>
      </c>
      <c r="O24" s="92">
        <f t="shared" si="27"/>
        <v>0</v>
      </c>
      <c r="P24" s="92">
        <f t="shared" si="28"/>
        <v>0</v>
      </c>
      <c r="Q24" s="80">
        <v>4</v>
      </c>
      <c r="R24" s="80">
        <v>2</v>
      </c>
      <c r="S24" s="80" t="s">
        <v>76</v>
      </c>
      <c r="T24" s="5">
        <v>241</v>
      </c>
      <c r="U24" s="9"/>
      <c r="W24" s="87">
        <f t="shared" si="29"/>
        <v>241.3</v>
      </c>
      <c r="X24" s="88">
        <f t="shared" si="29"/>
        <v>73</v>
      </c>
      <c r="Y24" s="93">
        <f t="shared" si="30"/>
        <v>1</v>
      </c>
      <c r="Z24" s="91">
        <f t="shared" si="30"/>
        <v>0</v>
      </c>
      <c r="AA24" s="91">
        <f t="shared" si="31"/>
        <v>0</v>
      </c>
      <c r="AB24" s="91">
        <f t="shared" si="32"/>
        <v>0</v>
      </c>
      <c r="AC24" s="4" t="str">
        <f t="shared" si="32"/>
        <v/>
      </c>
      <c r="AD24" s="92">
        <f t="shared" si="32"/>
        <v>0</v>
      </c>
      <c r="AE24" s="80" t="str">
        <f t="shared" si="33"/>
        <v>복</v>
      </c>
      <c r="AF24" s="80" t="str">
        <f t="shared" si="34"/>
        <v>4/2</v>
      </c>
      <c r="AH24" s="20" t="str">
        <f t="shared" si="1"/>
        <v>은파롯데캐슬</v>
      </c>
      <c r="AI24" s="88">
        <f t="shared" si="0"/>
        <v>73</v>
      </c>
      <c r="AJ24" s="80" t="str">
        <f t="shared" si="35"/>
        <v>A-</v>
      </c>
      <c r="AK24" s="80" t="s">
        <v>14</v>
      </c>
      <c r="AL24" s="80" t="s">
        <v>63</v>
      </c>
      <c r="AM24" s="80" t="s">
        <v>64</v>
      </c>
      <c r="AN24" s="80" t="str">
        <f t="shared" si="36"/>
        <v>C</v>
      </c>
      <c r="AO24" s="80" t="str">
        <f t="shared" si="37"/>
        <v/>
      </c>
      <c r="AP24" s="80" t="str">
        <f t="shared" si="38"/>
        <v/>
      </c>
      <c r="AQ24" s="80" t="str">
        <f t="shared" si="39"/>
        <v>O</v>
      </c>
      <c r="AR24" s="80" t="str">
        <f t="shared" si="40"/>
        <v>O</v>
      </c>
      <c r="AS24" s="80" t="s">
        <v>2</v>
      </c>
      <c r="AT24" s="80" t="str">
        <f t="shared" si="41"/>
        <v>X</v>
      </c>
      <c r="AU24" s="80" t="str">
        <f t="shared" si="42"/>
        <v>O</v>
      </c>
      <c r="AV24" s="80" t="str">
        <f t="shared" si="43"/>
        <v/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7" t="str">
        <f>$A$4&amp;" "&amp;A26&amp;"("&amp;B26&amp;","&amp;C26&amp;"^)"</f>
        <v>미룡동 미룡주공3단지('01.06.,1460^)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713</v>
      </c>
      <c r="B26" s="10" t="s">
        <v>1314</v>
      </c>
      <c r="C26" s="89">
        <v>1460</v>
      </c>
      <c r="D26" s="87">
        <v>64.3</v>
      </c>
      <c r="E26" s="88">
        <v>19</v>
      </c>
      <c r="F26" s="87">
        <v>49</v>
      </c>
      <c r="G26" s="17">
        <v>15</v>
      </c>
      <c r="H26" s="89">
        <v>36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2</v>
      </c>
      <c r="R26" s="80">
        <v>1</v>
      </c>
      <c r="S26" s="80" t="s">
        <v>61</v>
      </c>
      <c r="T26" s="5" t="s">
        <v>472</v>
      </c>
      <c r="U26" s="9"/>
      <c r="W26" s="87">
        <f t="shared" ref="W26:X30" si="44">D26</f>
        <v>64.3</v>
      </c>
      <c r="X26" s="88">
        <f t="shared" si="44"/>
        <v>19</v>
      </c>
      <c r="Y26" s="93">
        <f t="shared" ref="Y26:Z30" si="45">H26</f>
        <v>36</v>
      </c>
      <c r="Z26" s="91">
        <f t="shared" si="45"/>
        <v>0</v>
      </c>
      <c r="AA26" s="91">
        <f>K26</f>
        <v>0</v>
      </c>
      <c r="AB26" s="91">
        <f t="shared" ref="AB26:AD30" si="46">M26</f>
        <v>0</v>
      </c>
      <c r="AC26" s="4" t="str">
        <f t="shared" si="46"/>
        <v/>
      </c>
      <c r="AD26" s="92">
        <f t="shared" si="46"/>
        <v>0</v>
      </c>
      <c r="AE26" s="80" t="str">
        <f>S26</f>
        <v>계</v>
      </c>
      <c r="AF26" s="80" t="str">
        <f>Q26&amp;"/"&amp;R26</f>
        <v>2/1</v>
      </c>
      <c r="AH26" s="20" t="str">
        <f t="shared" si="1"/>
        <v>미룡주공3단지</v>
      </c>
      <c r="AI26" s="88">
        <f t="shared" si="0"/>
        <v>19</v>
      </c>
      <c r="AJ26" s="80" t="str">
        <f>IF(AI26="","",$AJ$2)</f>
        <v>A-</v>
      </c>
      <c r="AK26" s="80" t="s">
        <v>14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/>
      </c>
    </row>
    <row r="27" spans="1:48" x14ac:dyDescent="0.3">
      <c r="A27" s="9" t="s">
        <v>713</v>
      </c>
      <c r="B27" s="10" t="s">
        <v>1314</v>
      </c>
      <c r="C27" s="89">
        <v>1460</v>
      </c>
      <c r="D27" s="87">
        <v>65.400000000000006</v>
      </c>
      <c r="E27" s="88">
        <v>20</v>
      </c>
      <c r="F27" s="87">
        <v>49.9</v>
      </c>
      <c r="G27" s="17">
        <v>15</v>
      </c>
      <c r="H27" s="89">
        <v>529</v>
      </c>
      <c r="I27" s="90">
        <v>8000</v>
      </c>
      <c r="J27" s="90" t="s">
        <v>67</v>
      </c>
      <c r="K27" s="90">
        <v>7500</v>
      </c>
      <c r="L27" s="90" t="s">
        <v>69</v>
      </c>
      <c r="M27" s="91">
        <f>I27-K27</f>
        <v>500</v>
      </c>
      <c r="N27" s="4">
        <f>IF(ISERROR(K27/I27),"",K27/I27)</f>
        <v>0.9375</v>
      </c>
      <c r="O27" s="92">
        <f>I27/E27</f>
        <v>400</v>
      </c>
      <c r="P27" s="92">
        <f>K27/E27</f>
        <v>375</v>
      </c>
      <c r="Q27" s="80">
        <v>2</v>
      </c>
      <c r="R27" s="80">
        <v>1</v>
      </c>
      <c r="S27" s="80" t="s">
        <v>61</v>
      </c>
      <c r="T27" s="5" t="s">
        <v>82</v>
      </c>
      <c r="U27" s="9"/>
      <c r="W27" s="87">
        <f t="shared" si="44"/>
        <v>65.400000000000006</v>
      </c>
      <c r="X27" s="88">
        <f t="shared" si="44"/>
        <v>20</v>
      </c>
      <c r="Y27" s="93">
        <f t="shared" si="45"/>
        <v>529</v>
      </c>
      <c r="Z27" s="91">
        <f t="shared" si="45"/>
        <v>8000</v>
      </c>
      <c r="AA27" s="91">
        <f>K27</f>
        <v>7500</v>
      </c>
      <c r="AB27" s="91">
        <f t="shared" si="46"/>
        <v>500</v>
      </c>
      <c r="AC27" s="4">
        <f t="shared" si="46"/>
        <v>0.9375</v>
      </c>
      <c r="AD27" s="92">
        <f t="shared" si="46"/>
        <v>400</v>
      </c>
      <c r="AE27" s="80" t="str">
        <f>S27</f>
        <v>계</v>
      </c>
      <c r="AF27" s="80" t="str">
        <f>Q27&amp;"/"&amp;R27</f>
        <v>2/1</v>
      </c>
      <c r="AH27" s="20" t="str">
        <f t="shared" si="1"/>
        <v>미룡주공3단지</v>
      </c>
      <c r="AI27" s="88">
        <f t="shared" si="0"/>
        <v>20</v>
      </c>
      <c r="AJ27" s="80" t="str">
        <f>IF(AI27="","",$AJ$2)</f>
        <v>A-</v>
      </c>
      <c r="AK27" s="80" t="s">
        <v>14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>O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후보</v>
      </c>
    </row>
    <row r="28" spans="1:48" x14ac:dyDescent="0.3">
      <c r="A28" s="9" t="s">
        <v>713</v>
      </c>
      <c r="B28" s="10" t="s">
        <v>1314</v>
      </c>
      <c r="C28" s="89">
        <v>1460</v>
      </c>
      <c r="D28" s="87">
        <v>65</v>
      </c>
      <c r="E28" s="88">
        <v>20</v>
      </c>
      <c r="F28" s="87">
        <v>49.6</v>
      </c>
      <c r="G28" s="17">
        <v>15</v>
      </c>
      <c r="H28" s="89">
        <v>55</v>
      </c>
      <c r="I28" s="90">
        <v>8200</v>
      </c>
      <c r="J28" s="90" t="s">
        <v>68</v>
      </c>
      <c r="K28" s="90"/>
      <c r="L28" s="90"/>
      <c r="M28" s="91">
        <f>I28-K28</f>
        <v>8200</v>
      </c>
      <c r="N28" s="4">
        <f>IF(ISERROR(K28/I28),"",K28/I28)</f>
        <v>0</v>
      </c>
      <c r="O28" s="92">
        <f>I28/E28</f>
        <v>410</v>
      </c>
      <c r="P28" s="92">
        <f>K28/E28</f>
        <v>0</v>
      </c>
      <c r="Q28" s="80">
        <v>2</v>
      </c>
      <c r="R28" s="80">
        <v>1</v>
      </c>
      <c r="S28" s="80" t="s">
        <v>61</v>
      </c>
      <c r="T28" s="5" t="s">
        <v>127</v>
      </c>
      <c r="U28" s="9"/>
      <c r="W28" s="87">
        <f t="shared" si="44"/>
        <v>65</v>
      </c>
      <c r="X28" s="88">
        <f t="shared" si="44"/>
        <v>20</v>
      </c>
      <c r="Y28" s="93">
        <f t="shared" si="45"/>
        <v>55</v>
      </c>
      <c r="Z28" s="91">
        <f t="shared" si="45"/>
        <v>8200</v>
      </c>
      <c r="AA28" s="91">
        <f>K28</f>
        <v>0</v>
      </c>
      <c r="AB28" s="91">
        <f t="shared" si="46"/>
        <v>8200</v>
      </c>
      <c r="AC28" s="4">
        <f t="shared" si="46"/>
        <v>0</v>
      </c>
      <c r="AD28" s="92">
        <f t="shared" si="46"/>
        <v>410</v>
      </c>
      <c r="AE28" s="80" t="str">
        <f>S28</f>
        <v>계</v>
      </c>
      <c r="AF28" s="80" t="str">
        <f>Q28&amp;"/"&amp;R28</f>
        <v>2/1</v>
      </c>
      <c r="AH28" s="20" t="str">
        <f t="shared" si="1"/>
        <v>미룡주공3단지</v>
      </c>
      <c r="AI28" s="88">
        <f t="shared" si="0"/>
        <v>20</v>
      </c>
      <c r="AJ28" s="80" t="str">
        <f>IF(AI28="","",$AJ$2)</f>
        <v>A-</v>
      </c>
      <c r="AK28" s="80" t="s">
        <v>14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 t="s">
        <v>713</v>
      </c>
      <c r="B29" s="10" t="s">
        <v>1314</v>
      </c>
      <c r="C29" s="89">
        <v>1460</v>
      </c>
      <c r="D29" s="87">
        <v>77.900000000000006</v>
      </c>
      <c r="E29" s="88">
        <v>24</v>
      </c>
      <c r="F29" s="87">
        <v>59.4</v>
      </c>
      <c r="G29" s="17">
        <v>18</v>
      </c>
      <c r="H29" s="89">
        <v>759</v>
      </c>
      <c r="I29" s="90">
        <v>12000</v>
      </c>
      <c r="J29" s="90" t="s">
        <v>80</v>
      </c>
      <c r="K29" s="90">
        <v>11500</v>
      </c>
      <c r="L29" s="90" t="s">
        <v>60</v>
      </c>
      <c r="M29" s="91">
        <f>I29-K29</f>
        <v>500</v>
      </c>
      <c r="N29" s="4">
        <f>IF(ISERROR(K29/I29),"",K29/I29)</f>
        <v>0.95833333333333337</v>
      </c>
      <c r="O29" s="92">
        <f>I29/E29</f>
        <v>500</v>
      </c>
      <c r="P29" s="92">
        <f>K29/E29</f>
        <v>479.16666666666669</v>
      </c>
      <c r="Q29" s="80">
        <v>3</v>
      </c>
      <c r="R29" s="80">
        <v>1</v>
      </c>
      <c r="S29" s="80" t="s">
        <v>61</v>
      </c>
      <c r="T29" s="5" t="s">
        <v>83</v>
      </c>
      <c r="U29" s="9"/>
      <c r="W29" s="87">
        <f t="shared" si="44"/>
        <v>77.900000000000006</v>
      </c>
      <c r="X29" s="88">
        <f t="shared" si="44"/>
        <v>24</v>
      </c>
      <c r="Y29" s="93">
        <f t="shared" si="45"/>
        <v>759</v>
      </c>
      <c r="Z29" s="91">
        <f t="shared" si="45"/>
        <v>12000</v>
      </c>
      <c r="AA29" s="91">
        <f>K29</f>
        <v>11500</v>
      </c>
      <c r="AB29" s="91">
        <f t="shared" si="46"/>
        <v>500</v>
      </c>
      <c r="AC29" s="4">
        <f t="shared" si="46"/>
        <v>0.95833333333333337</v>
      </c>
      <c r="AD29" s="92">
        <f t="shared" si="46"/>
        <v>500</v>
      </c>
      <c r="AE29" s="80" t="str">
        <f>S29</f>
        <v>계</v>
      </c>
      <c r="AF29" s="80" t="str">
        <f>Q29&amp;"/"&amp;R29</f>
        <v>3/1</v>
      </c>
      <c r="AH29" s="20" t="str">
        <f t="shared" si="1"/>
        <v>미룡주공3단지</v>
      </c>
      <c r="AI29" s="88">
        <f t="shared" si="0"/>
        <v>24</v>
      </c>
      <c r="AJ29" s="80" t="str">
        <f>IF(AI29="","",$AJ$2)</f>
        <v>A-</v>
      </c>
      <c r="AK29" s="80" t="s">
        <v>14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>O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후보</v>
      </c>
    </row>
    <row r="30" spans="1:48" x14ac:dyDescent="0.3">
      <c r="A30" s="9" t="s">
        <v>713</v>
      </c>
      <c r="B30" s="10" t="s">
        <v>1314</v>
      </c>
      <c r="C30" s="89">
        <v>1460</v>
      </c>
      <c r="D30" s="87">
        <v>77.599999999999994</v>
      </c>
      <c r="E30" s="88">
        <v>23</v>
      </c>
      <c r="F30" s="87">
        <v>59.2</v>
      </c>
      <c r="G30" s="17">
        <v>18</v>
      </c>
      <c r="H30" s="89">
        <v>81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3</v>
      </c>
      <c r="R30" s="80">
        <v>1</v>
      </c>
      <c r="S30" s="80" t="s">
        <v>61</v>
      </c>
      <c r="T30" s="5" t="s">
        <v>147</v>
      </c>
      <c r="U30" s="9"/>
      <c r="W30" s="87">
        <f t="shared" si="44"/>
        <v>77.599999999999994</v>
      </c>
      <c r="X30" s="88">
        <f t="shared" si="44"/>
        <v>23</v>
      </c>
      <c r="Y30" s="93">
        <f t="shared" si="45"/>
        <v>81</v>
      </c>
      <c r="Z30" s="91">
        <f t="shared" si="45"/>
        <v>0</v>
      </c>
      <c r="AA30" s="91">
        <f>K30</f>
        <v>0</v>
      </c>
      <c r="AB30" s="91">
        <f t="shared" si="46"/>
        <v>0</v>
      </c>
      <c r="AC30" s="4" t="str">
        <f t="shared" si="46"/>
        <v/>
      </c>
      <c r="AD30" s="92">
        <f t="shared" si="46"/>
        <v>0</v>
      </c>
      <c r="AE30" s="80" t="str">
        <f>S30</f>
        <v>계</v>
      </c>
      <c r="AF30" s="80" t="str">
        <f>Q30&amp;"/"&amp;R30</f>
        <v>3/1</v>
      </c>
      <c r="AH30" s="20" t="str">
        <f t="shared" si="1"/>
        <v>미룡주공3단지</v>
      </c>
      <c r="AI30" s="88">
        <f t="shared" si="0"/>
        <v>23</v>
      </c>
      <c r="AJ30" s="80" t="str">
        <f>IF(AI30="","",$AJ$2)</f>
        <v>A-</v>
      </c>
      <c r="AK30" s="80" t="s">
        <v>14</v>
      </c>
      <c r="AL30" s="80" t="s">
        <v>63</v>
      </c>
      <c r="AM30" s="80" t="s">
        <v>64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x14ac:dyDescent="0.3">
      <c r="A31" s="9"/>
      <c r="B31" s="80"/>
      <c r="C31" s="6"/>
      <c r="D31" s="9"/>
      <c r="E31" s="14"/>
      <c r="F31" s="87"/>
      <c r="G31" s="9"/>
      <c r="H31" s="9"/>
      <c r="I31" s="9"/>
      <c r="J31" s="9"/>
      <c r="K31" s="9"/>
      <c r="L31" s="9"/>
      <c r="M31" s="9"/>
      <c r="N31" s="9"/>
      <c r="O31" s="92"/>
      <c r="P31" s="92"/>
      <c r="Q31" s="88"/>
      <c r="R31" s="88"/>
      <c r="S31" s="9"/>
      <c r="T31" s="47"/>
      <c r="U31" s="9"/>
      <c r="W31" s="67" t="str">
        <f>$A$4&amp;" "&amp;A32&amp;"("&amp;B32&amp;","&amp;C32&amp;"^)"</f>
        <v>미룡동 산북부향하나로3차('98.04.,346^)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2" t="str">
        <f t="shared" si="0"/>
        <v/>
      </c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</row>
    <row r="32" spans="1:48" x14ac:dyDescent="0.3">
      <c r="A32" s="9" t="s">
        <v>718</v>
      </c>
      <c r="B32" s="10" t="s">
        <v>1315</v>
      </c>
      <c r="C32" s="89">
        <v>346</v>
      </c>
      <c r="D32" s="87">
        <v>45.2</v>
      </c>
      <c r="E32" s="88">
        <v>14</v>
      </c>
      <c r="F32" s="87">
        <v>32.799999999999997</v>
      </c>
      <c r="G32" s="17">
        <v>10</v>
      </c>
      <c r="H32" s="89">
        <v>12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2</v>
      </c>
      <c r="R32" s="80">
        <v>1</v>
      </c>
      <c r="S32" s="80" t="s">
        <v>61</v>
      </c>
      <c r="T32" s="5">
        <v>45</v>
      </c>
      <c r="U32" s="9"/>
      <c r="W32" s="87">
        <f>D32</f>
        <v>45.2</v>
      </c>
      <c r="X32" s="88">
        <f>E32</f>
        <v>14</v>
      </c>
      <c r="Y32" s="93">
        <f>H32</f>
        <v>12</v>
      </c>
      <c r="Z32" s="91">
        <f>I32</f>
        <v>0</v>
      </c>
      <c r="AA32" s="91">
        <f>K32</f>
        <v>0</v>
      </c>
      <c r="AB32" s="91">
        <f t="shared" ref="AB32:AD33" si="47">M32</f>
        <v>0</v>
      </c>
      <c r="AC32" s="4" t="str">
        <f t="shared" si="47"/>
        <v/>
      </c>
      <c r="AD32" s="92">
        <f t="shared" si="47"/>
        <v>0</v>
      </c>
      <c r="AE32" s="80" t="str">
        <f>S32</f>
        <v>계</v>
      </c>
      <c r="AF32" s="80" t="str">
        <f>Q32&amp;"/"&amp;R32</f>
        <v>2/1</v>
      </c>
      <c r="AH32" s="20" t="str">
        <f t="shared" si="1"/>
        <v>산북부향하나로3차</v>
      </c>
      <c r="AI32" s="88">
        <f t="shared" si="0"/>
        <v>14</v>
      </c>
      <c r="AJ32" s="80" t="str">
        <f>IF(AI32="","",$AJ$2)</f>
        <v>A-</v>
      </c>
      <c r="AK32" s="80" t="s">
        <v>14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X</v>
      </c>
      <c r="AU32" s="80" t="str">
        <f>IF(C32="","",IF(C32&gt;=$AU$1,"O","X"))</f>
        <v>O</v>
      </c>
      <c r="AV32" s="80" t="str">
        <f>IF(AO32="","",IF(AND(AO32="O",AP32="O",AR32="O",AT32="O",AU32="O"),"후보","X"))</f>
        <v/>
      </c>
    </row>
    <row r="33" spans="1:48" x14ac:dyDescent="0.3">
      <c r="A33" s="9" t="s">
        <v>718</v>
      </c>
      <c r="B33" s="10" t="s">
        <v>1315</v>
      </c>
      <c r="C33" s="89">
        <v>346</v>
      </c>
      <c r="D33" s="87">
        <v>55.1</v>
      </c>
      <c r="E33" s="88">
        <v>17</v>
      </c>
      <c r="F33" s="87">
        <v>40</v>
      </c>
      <c r="G33" s="17">
        <v>12</v>
      </c>
      <c r="H33" s="89">
        <v>334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2</v>
      </c>
      <c r="R33" s="80">
        <v>1</v>
      </c>
      <c r="S33" s="80" t="s">
        <v>61</v>
      </c>
      <c r="T33" s="5">
        <v>55</v>
      </c>
      <c r="U33" s="9"/>
      <c r="W33" s="87">
        <f>D33</f>
        <v>55.1</v>
      </c>
      <c r="X33" s="88">
        <f>E33</f>
        <v>17</v>
      </c>
      <c r="Y33" s="93">
        <f>H33</f>
        <v>334</v>
      </c>
      <c r="Z33" s="91">
        <f>I33</f>
        <v>0</v>
      </c>
      <c r="AA33" s="91">
        <f>K33</f>
        <v>0</v>
      </c>
      <c r="AB33" s="91">
        <f t="shared" si="47"/>
        <v>0</v>
      </c>
      <c r="AC33" s="4" t="str">
        <f t="shared" si="47"/>
        <v/>
      </c>
      <c r="AD33" s="92">
        <f t="shared" si="47"/>
        <v>0</v>
      </c>
      <c r="AE33" s="80" t="str">
        <f>S33</f>
        <v>계</v>
      </c>
      <c r="AF33" s="80" t="str">
        <f>Q33&amp;"/"&amp;R33</f>
        <v>2/1</v>
      </c>
      <c r="AH33" s="20" t="str">
        <f t="shared" si="1"/>
        <v>산북부향하나로3차</v>
      </c>
      <c r="AI33" s="88">
        <f t="shared" si="0"/>
        <v>17</v>
      </c>
      <c r="AJ33" s="80" t="str">
        <f>IF(AI33="","",$AJ$2)</f>
        <v>A-</v>
      </c>
      <c r="AK33" s="80" t="s">
        <v>14</v>
      </c>
      <c r="AL33" s="80" t="s">
        <v>63</v>
      </c>
      <c r="AM33" s="80" t="s">
        <v>64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/>
      </c>
    </row>
    <row r="34" spans="1:48" x14ac:dyDescent="0.3">
      <c r="A34" s="9"/>
      <c r="B34" s="80"/>
      <c r="C34" s="6"/>
      <c r="D34" s="9"/>
      <c r="E34" s="14"/>
      <c r="F34" s="87"/>
      <c r="G34" s="9"/>
      <c r="H34" s="9"/>
      <c r="I34" s="9"/>
      <c r="J34" s="9"/>
      <c r="K34" s="9"/>
      <c r="L34" s="9"/>
      <c r="M34" s="9"/>
      <c r="N34" s="9"/>
      <c r="O34" s="92"/>
      <c r="P34" s="92"/>
      <c r="Q34" s="88"/>
      <c r="R34" s="88"/>
      <c r="S34" s="9"/>
      <c r="T34" s="47"/>
      <c r="U34" s="9"/>
      <c r="W34" s="67" t="str">
        <f>$A$4&amp;" "&amp;A35&amp;"("&amp;B35&amp;","&amp;C35&amp;"^)"</f>
        <v>미룡동 은파리젠시빌파크('07.02.,317^)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2" t="str">
        <f t="shared" si="0"/>
        <v/>
      </c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</row>
    <row r="35" spans="1:48" x14ac:dyDescent="0.3">
      <c r="A35" s="9" t="s">
        <v>723</v>
      </c>
      <c r="B35" s="10" t="s">
        <v>1316</v>
      </c>
      <c r="C35" s="89">
        <v>317</v>
      </c>
      <c r="D35" s="87">
        <v>115.9</v>
      </c>
      <c r="E35" s="88">
        <v>35</v>
      </c>
      <c r="F35" s="87">
        <v>84.9</v>
      </c>
      <c r="G35" s="17">
        <v>26</v>
      </c>
      <c r="H35" s="89">
        <v>233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3</v>
      </c>
      <c r="R35" s="80">
        <v>2</v>
      </c>
      <c r="S35" s="80" t="s">
        <v>61</v>
      </c>
      <c r="T35" s="5">
        <v>115</v>
      </c>
      <c r="U35" s="9"/>
      <c r="W35" s="87">
        <f>D35</f>
        <v>115.9</v>
      </c>
      <c r="X35" s="88">
        <f>E35</f>
        <v>35</v>
      </c>
      <c r="Y35" s="93">
        <f>H35</f>
        <v>233</v>
      </c>
      <c r="Z35" s="91">
        <f>I35</f>
        <v>0</v>
      </c>
      <c r="AA35" s="91">
        <f>K35</f>
        <v>0</v>
      </c>
      <c r="AB35" s="91">
        <f t="shared" ref="AB35:AD36" si="48">M35</f>
        <v>0</v>
      </c>
      <c r="AC35" s="4" t="str">
        <f t="shared" si="48"/>
        <v/>
      </c>
      <c r="AD35" s="92">
        <f t="shared" si="48"/>
        <v>0</v>
      </c>
      <c r="AE35" s="80" t="str">
        <f>S35</f>
        <v>계</v>
      </c>
      <c r="AF35" s="80" t="str">
        <f>Q35&amp;"/"&amp;R35</f>
        <v>3/2</v>
      </c>
      <c r="AH35" s="20" t="str">
        <f t="shared" si="1"/>
        <v>은파리젠시빌파크</v>
      </c>
      <c r="AI35" s="88">
        <f t="shared" si="0"/>
        <v>35</v>
      </c>
      <c r="AJ35" s="80" t="str">
        <f>IF(AI35="","",$AJ$2)</f>
        <v>A-</v>
      </c>
      <c r="AK35" s="80" t="s">
        <v>14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/>
      </c>
    </row>
    <row r="36" spans="1:48" x14ac:dyDescent="0.3">
      <c r="A36" s="9" t="s">
        <v>723</v>
      </c>
      <c r="B36" s="10" t="s">
        <v>1316</v>
      </c>
      <c r="C36" s="89">
        <v>317</v>
      </c>
      <c r="D36" s="87">
        <v>159.69999999999999</v>
      </c>
      <c r="E36" s="88">
        <v>48</v>
      </c>
      <c r="F36" s="87">
        <v>132.4</v>
      </c>
      <c r="G36" s="17">
        <v>40</v>
      </c>
      <c r="H36" s="89">
        <v>84</v>
      </c>
      <c r="I36" s="90">
        <v>33300</v>
      </c>
      <c r="J36" s="90" t="s">
        <v>81</v>
      </c>
      <c r="K36" s="90"/>
      <c r="L36" s="90"/>
      <c r="M36" s="91">
        <f>I36-K36</f>
        <v>33300</v>
      </c>
      <c r="N36" s="4">
        <f>IF(ISERROR(K36/I36),"",K36/I36)</f>
        <v>0</v>
      </c>
      <c r="O36" s="92">
        <f>I36/E36</f>
        <v>693.75</v>
      </c>
      <c r="P36" s="92">
        <f>K36/E36</f>
        <v>0</v>
      </c>
      <c r="Q36" s="80">
        <v>4</v>
      </c>
      <c r="R36" s="80">
        <v>2</v>
      </c>
      <c r="S36" s="80" t="s">
        <v>61</v>
      </c>
      <c r="T36" s="5">
        <v>159</v>
      </c>
      <c r="U36" s="9"/>
      <c r="W36" s="87">
        <f>D36</f>
        <v>159.69999999999999</v>
      </c>
      <c r="X36" s="88">
        <f>E36</f>
        <v>48</v>
      </c>
      <c r="Y36" s="93">
        <f>H36</f>
        <v>84</v>
      </c>
      <c r="Z36" s="91">
        <f>I36</f>
        <v>33300</v>
      </c>
      <c r="AA36" s="91">
        <f>K36</f>
        <v>0</v>
      </c>
      <c r="AB36" s="91">
        <f t="shared" si="48"/>
        <v>33300</v>
      </c>
      <c r="AC36" s="4">
        <f t="shared" si="48"/>
        <v>0</v>
      </c>
      <c r="AD36" s="92">
        <f t="shared" si="48"/>
        <v>693.75</v>
      </c>
      <c r="AE36" s="80" t="str">
        <f>S36</f>
        <v>계</v>
      </c>
      <c r="AF36" s="80" t="str">
        <f>Q36&amp;"/"&amp;R36</f>
        <v>4/2</v>
      </c>
      <c r="AH36" s="20" t="str">
        <f t="shared" si="1"/>
        <v>은파리젠시빌파크</v>
      </c>
      <c r="AI36" s="88">
        <f t="shared" si="0"/>
        <v>48</v>
      </c>
      <c r="AJ36" s="80" t="str">
        <f>IF(AI36="","",$AJ$2)</f>
        <v>A-</v>
      </c>
      <c r="AK36" s="80" t="s">
        <v>14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X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7" t="str">
        <f>$A$4&amp;" "&amp;A38&amp;"("&amp;B38&amp;","&amp;C38&amp;"^)"</f>
        <v>미룡동 미룡대명2차('02.05.,276^)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12" t="str">
        <f t="shared" si="0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x14ac:dyDescent="0.3">
      <c r="A38" s="9" t="s">
        <v>728</v>
      </c>
      <c r="B38" s="10" t="s">
        <v>1317</v>
      </c>
      <c r="C38" s="89">
        <v>276</v>
      </c>
      <c r="D38" s="87">
        <v>68.900000000000006</v>
      </c>
      <c r="E38" s="88">
        <v>21</v>
      </c>
      <c r="F38" s="87">
        <v>48.9</v>
      </c>
      <c r="G38" s="17">
        <v>15</v>
      </c>
      <c r="H38" s="89">
        <v>78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2</v>
      </c>
      <c r="R38" s="80">
        <v>1</v>
      </c>
      <c r="S38" s="80" t="s">
        <v>61</v>
      </c>
      <c r="T38" s="5" t="s">
        <v>729</v>
      </c>
      <c r="U38" s="9"/>
      <c r="W38" s="87">
        <f>D38</f>
        <v>68.900000000000006</v>
      </c>
      <c r="X38" s="88">
        <f>E38</f>
        <v>21</v>
      </c>
      <c r="Y38" s="93">
        <f>H38</f>
        <v>78</v>
      </c>
      <c r="Z38" s="91">
        <f>I38</f>
        <v>0</v>
      </c>
      <c r="AA38" s="91">
        <f>K38</f>
        <v>0</v>
      </c>
      <c r="AB38" s="91">
        <f t="shared" ref="AB38:AD39" si="49">M38</f>
        <v>0</v>
      </c>
      <c r="AC38" s="4" t="str">
        <f t="shared" si="49"/>
        <v/>
      </c>
      <c r="AD38" s="92">
        <f t="shared" si="49"/>
        <v>0</v>
      </c>
      <c r="AE38" s="80" t="str">
        <f>S38</f>
        <v>계</v>
      </c>
      <c r="AF38" s="80" t="str">
        <f>Q38&amp;"/"&amp;R38</f>
        <v>2/1</v>
      </c>
      <c r="AH38" s="20" t="str">
        <f t="shared" si="1"/>
        <v>미룡대명2차</v>
      </c>
      <c r="AI38" s="88">
        <f t="shared" si="0"/>
        <v>21</v>
      </c>
      <c r="AJ38" s="80" t="str">
        <f>IF(AI38="","",$AJ$2)</f>
        <v>A-</v>
      </c>
      <c r="AK38" s="80" t="s">
        <v>14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X</v>
      </c>
      <c r="AV38" s="80" t="str">
        <f>IF(AO38="","",IF(AND(AO38="O",AP38="O",AR38="O",AT38="O",AU38="O"),"후보","X"))</f>
        <v/>
      </c>
    </row>
    <row r="39" spans="1:48" x14ac:dyDescent="0.3">
      <c r="A39" s="9" t="s">
        <v>728</v>
      </c>
      <c r="B39" s="10" t="s">
        <v>1317</v>
      </c>
      <c r="C39" s="89">
        <v>276</v>
      </c>
      <c r="D39" s="87">
        <v>69.3</v>
      </c>
      <c r="E39" s="88">
        <v>21</v>
      </c>
      <c r="F39" s="87">
        <v>49.1</v>
      </c>
      <c r="G39" s="17">
        <v>15</v>
      </c>
      <c r="H39" s="89">
        <v>198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2</v>
      </c>
      <c r="R39" s="80">
        <v>1</v>
      </c>
      <c r="S39" s="80" t="s">
        <v>61</v>
      </c>
      <c r="T39" s="5" t="s">
        <v>144</v>
      </c>
      <c r="U39" s="9"/>
      <c r="W39" s="87">
        <f>D39</f>
        <v>69.3</v>
      </c>
      <c r="X39" s="88">
        <f>E39</f>
        <v>21</v>
      </c>
      <c r="Y39" s="93">
        <f>H39</f>
        <v>198</v>
      </c>
      <c r="Z39" s="91">
        <f>I39</f>
        <v>0</v>
      </c>
      <c r="AA39" s="91">
        <f>K39</f>
        <v>0</v>
      </c>
      <c r="AB39" s="91">
        <f t="shared" si="49"/>
        <v>0</v>
      </c>
      <c r="AC39" s="4" t="str">
        <f t="shared" si="49"/>
        <v/>
      </c>
      <c r="AD39" s="92">
        <f t="shared" si="49"/>
        <v>0</v>
      </c>
      <c r="AE39" s="80" t="str">
        <f>S39</f>
        <v>계</v>
      </c>
      <c r="AF39" s="80" t="str">
        <f>Q39&amp;"/"&amp;R39</f>
        <v>2/1</v>
      </c>
      <c r="AH39" s="20" t="str">
        <f t="shared" si="1"/>
        <v>미룡대명2차</v>
      </c>
      <c r="AI39" s="88">
        <f t="shared" si="0"/>
        <v>21</v>
      </c>
      <c r="AJ39" s="80" t="str">
        <f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X</v>
      </c>
      <c r="AV39" s="80" t="str">
        <f>IF(AO39="","",IF(AND(AO39="O",AP39="O",AR39="O",AT39="O",AU39="O"),"후보","X"))</f>
        <v/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7" t="str">
        <f>$A$4&amp;" "&amp;A41&amp;"("&amp;B41&amp;","&amp;C41&amp;"^)"</f>
        <v>미룡동 미룡주공2단지('01.03.,874^)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738</v>
      </c>
      <c r="B41" s="10" t="s">
        <v>1318</v>
      </c>
      <c r="C41" s="89">
        <v>874</v>
      </c>
      <c r="D41" s="87">
        <v>68.3</v>
      </c>
      <c r="E41" s="88">
        <v>21</v>
      </c>
      <c r="F41" s="87">
        <v>50.3</v>
      </c>
      <c r="G41" s="17">
        <v>15</v>
      </c>
      <c r="H41" s="89">
        <v>288</v>
      </c>
      <c r="I41" s="90">
        <v>9200</v>
      </c>
      <c r="J41" s="90" t="s">
        <v>71</v>
      </c>
      <c r="K41" s="90">
        <v>8800</v>
      </c>
      <c r="L41" s="90" t="s">
        <v>70</v>
      </c>
      <c r="M41" s="91">
        <f t="shared" ref="M41:M46" si="50">I41-K41</f>
        <v>400</v>
      </c>
      <c r="N41" s="4">
        <f t="shared" ref="N41:N46" si="51">IF(ISERROR(K41/I41),"",K41/I41)</f>
        <v>0.95652173913043481</v>
      </c>
      <c r="O41" s="92">
        <f t="shared" ref="O41:O46" si="52">I41/E41</f>
        <v>438.09523809523807</v>
      </c>
      <c r="P41" s="92">
        <f t="shared" ref="P41:P46" si="53">K41/E41</f>
        <v>419.04761904761904</v>
      </c>
      <c r="Q41" s="80">
        <v>2</v>
      </c>
      <c r="R41" s="80">
        <v>1</v>
      </c>
      <c r="S41" s="80" t="s">
        <v>76</v>
      </c>
      <c r="T41" s="5" t="s">
        <v>135</v>
      </c>
      <c r="U41" s="9"/>
      <c r="W41" s="87">
        <f t="shared" ref="W41:X46" si="54">D41</f>
        <v>68.3</v>
      </c>
      <c r="X41" s="88">
        <f t="shared" si="54"/>
        <v>21</v>
      </c>
      <c r="Y41" s="93">
        <f t="shared" ref="Y41:Z46" si="55">H41</f>
        <v>288</v>
      </c>
      <c r="Z41" s="91">
        <f t="shared" si="55"/>
        <v>9200</v>
      </c>
      <c r="AA41" s="91">
        <f t="shared" ref="AA41:AA46" si="56">K41</f>
        <v>8800</v>
      </c>
      <c r="AB41" s="91">
        <f t="shared" ref="AB41:AD46" si="57">M41</f>
        <v>400</v>
      </c>
      <c r="AC41" s="4">
        <f t="shared" si="57"/>
        <v>0.95652173913043481</v>
      </c>
      <c r="AD41" s="92">
        <f t="shared" si="57"/>
        <v>438.09523809523807</v>
      </c>
      <c r="AE41" s="80" t="str">
        <f t="shared" ref="AE41:AE46" si="58">S41</f>
        <v>복</v>
      </c>
      <c r="AF41" s="80" t="str">
        <f t="shared" ref="AF41:AF46" si="59">Q41&amp;"/"&amp;R41</f>
        <v>2/1</v>
      </c>
      <c r="AH41" s="20" t="str">
        <f t="shared" si="1"/>
        <v>미룡주공2단지</v>
      </c>
      <c r="AI41" s="88">
        <f t="shared" si="0"/>
        <v>21</v>
      </c>
      <c r="AJ41" s="80" t="str">
        <f t="shared" ref="AJ41:AJ46" si="60">IF(AI41="","",$AJ$2)</f>
        <v>A-</v>
      </c>
      <c r="AK41" s="80" t="s">
        <v>14</v>
      </c>
      <c r="AL41" s="80" t="s">
        <v>63</v>
      </c>
      <c r="AM41" s="80" t="s">
        <v>64</v>
      </c>
      <c r="AN41" s="80" t="str">
        <f t="shared" ref="AN41:AN46" si="61">IF(AI41="","",$AN$2)</f>
        <v>C</v>
      </c>
      <c r="AO41" s="80" t="str">
        <f t="shared" ref="AO41:AO46" si="62">IF(N41="","",IF(N41&gt;=$AO$1/100,"O","X"))</f>
        <v>O</v>
      </c>
      <c r="AP41" s="80" t="str">
        <f t="shared" ref="AP41:AP46" si="63">IF(I41="","",IF(I41&lt;=$AP$1,"O","X"))</f>
        <v>O</v>
      </c>
      <c r="AQ41" s="80" t="str">
        <f t="shared" ref="AQ41:AQ46" si="64">IF(O41="","",IF(O41&lt;=$AQ$1,"O","X"))</f>
        <v>O</v>
      </c>
      <c r="AR41" s="80" t="str">
        <f t="shared" ref="AR41:AR46" si="65">IF(M41="","",IF(M41&lt;=$AR$1,"O","X"))</f>
        <v>O</v>
      </c>
      <c r="AS41" s="80" t="s">
        <v>2</v>
      </c>
      <c r="AT41" s="80" t="str">
        <f t="shared" ref="AT41:AT46" si="66">IF(OR(F41="",AI41=""),"",IF(AND((F41&lt;=85),(AI41&gt;=15)),"O","X"))</f>
        <v>O</v>
      </c>
      <c r="AU41" s="80" t="str">
        <f t="shared" ref="AU41:AU46" si="67">IF(C41="","",IF(C41&gt;=$AU$1,"O","X"))</f>
        <v>O</v>
      </c>
      <c r="AV41" s="80" t="str">
        <f t="shared" ref="AV41:AV46" si="68">IF(AO41="","",IF(AND(AO41="O",AP41="O",AR41="O",AT41="O",AU41="O"),"후보","X"))</f>
        <v>후보</v>
      </c>
    </row>
    <row r="42" spans="1:48" x14ac:dyDescent="0.3">
      <c r="A42" s="9" t="s">
        <v>738</v>
      </c>
      <c r="B42" s="10" t="s">
        <v>1318</v>
      </c>
      <c r="C42" s="89">
        <v>874</v>
      </c>
      <c r="D42" s="87">
        <v>70.599999999999994</v>
      </c>
      <c r="E42" s="88">
        <v>21</v>
      </c>
      <c r="F42" s="87">
        <v>51.9</v>
      </c>
      <c r="G42" s="17">
        <v>16</v>
      </c>
      <c r="H42" s="89">
        <v>4</v>
      </c>
      <c r="I42" s="90"/>
      <c r="J42" s="90"/>
      <c r="K42" s="90"/>
      <c r="L42" s="90"/>
      <c r="M42" s="91">
        <f t="shared" si="50"/>
        <v>0</v>
      </c>
      <c r="N42" s="4" t="str">
        <f t="shared" si="51"/>
        <v/>
      </c>
      <c r="O42" s="92">
        <f t="shared" si="52"/>
        <v>0</v>
      </c>
      <c r="P42" s="92">
        <f t="shared" si="53"/>
        <v>0</v>
      </c>
      <c r="Q42" s="80">
        <v>2</v>
      </c>
      <c r="R42" s="80">
        <v>1</v>
      </c>
      <c r="S42" s="80" t="s">
        <v>61</v>
      </c>
      <c r="T42" s="5" t="s">
        <v>743</v>
      </c>
      <c r="U42" s="9"/>
      <c r="W42" s="87">
        <f t="shared" si="54"/>
        <v>70.599999999999994</v>
      </c>
      <c r="X42" s="88">
        <f t="shared" si="54"/>
        <v>21</v>
      </c>
      <c r="Y42" s="93">
        <f t="shared" si="55"/>
        <v>4</v>
      </c>
      <c r="Z42" s="91">
        <f t="shared" si="55"/>
        <v>0</v>
      </c>
      <c r="AA42" s="91">
        <f t="shared" si="56"/>
        <v>0</v>
      </c>
      <c r="AB42" s="91">
        <f t="shared" si="57"/>
        <v>0</v>
      </c>
      <c r="AC42" s="4" t="str">
        <f t="shared" si="57"/>
        <v/>
      </c>
      <c r="AD42" s="92">
        <f t="shared" si="57"/>
        <v>0</v>
      </c>
      <c r="AE42" s="80" t="str">
        <f t="shared" si="58"/>
        <v>계</v>
      </c>
      <c r="AF42" s="80" t="str">
        <f t="shared" si="59"/>
        <v>2/1</v>
      </c>
      <c r="AH42" s="20" t="str">
        <f t="shared" si="1"/>
        <v>미룡주공2단지</v>
      </c>
      <c r="AI42" s="88">
        <f t="shared" si="0"/>
        <v>21</v>
      </c>
      <c r="AJ42" s="80" t="str">
        <f t="shared" si="60"/>
        <v>A-</v>
      </c>
      <c r="AK42" s="80" t="s">
        <v>14</v>
      </c>
      <c r="AL42" s="80" t="s">
        <v>63</v>
      </c>
      <c r="AM42" s="80" t="s">
        <v>64</v>
      </c>
      <c r="AN42" s="80" t="str">
        <f t="shared" si="61"/>
        <v>C</v>
      </c>
      <c r="AO42" s="80" t="str">
        <f t="shared" si="62"/>
        <v/>
      </c>
      <c r="AP42" s="80" t="str">
        <f t="shared" si="63"/>
        <v/>
      </c>
      <c r="AQ42" s="80" t="str">
        <f t="shared" si="64"/>
        <v>O</v>
      </c>
      <c r="AR42" s="80" t="str">
        <f t="shared" si="65"/>
        <v>O</v>
      </c>
      <c r="AS42" s="80" t="s">
        <v>2</v>
      </c>
      <c r="AT42" s="80" t="str">
        <f t="shared" si="66"/>
        <v>O</v>
      </c>
      <c r="AU42" s="80" t="str">
        <f t="shared" si="67"/>
        <v>O</v>
      </c>
      <c r="AV42" s="80" t="str">
        <f t="shared" si="68"/>
        <v/>
      </c>
    </row>
    <row r="43" spans="1:48" x14ac:dyDescent="0.3">
      <c r="A43" s="9" t="s">
        <v>738</v>
      </c>
      <c r="B43" s="10" t="s">
        <v>1318</v>
      </c>
      <c r="C43" s="89">
        <v>874</v>
      </c>
      <c r="D43" s="87">
        <v>80.7</v>
      </c>
      <c r="E43" s="88">
        <v>24</v>
      </c>
      <c r="F43" s="87">
        <v>59.4</v>
      </c>
      <c r="G43" s="17">
        <v>18</v>
      </c>
      <c r="H43" s="89">
        <v>267</v>
      </c>
      <c r="I43" s="90">
        <v>12500</v>
      </c>
      <c r="J43" s="90" t="s">
        <v>81</v>
      </c>
      <c r="K43" s="90">
        <v>12300</v>
      </c>
      <c r="L43" s="90" t="s">
        <v>70</v>
      </c>
      <c r="M43" s="91">
        <f t="shared" si="50"/>
        <v>200</v>
      </c>
      <c r="N43" s="4">
        <f t="shared" si="51"/>
        <v>0.98399999999999999</v>
      </c>
      <c r="O43" s="92">
        <f t="shared" si="52"/>
        <v>520.83333333333337</v>
      </c>
      <c r="P43" s="92">
        <f t="shared" si="53"/>
        <v>512.5</v>
      </c>
      <c r="Q43" s="80">
        <v>3</v>
      </c>
      <c r="R43" s="80">
        <v>1</v>
      </c>
      <c r="S43" s="80" t="s">
        <v>61</v>
      </c>
      <c r="T43" s="5" t="s">
        <v>85</v>
      </c>
      <c r="U43" s="9"/>
      <c r="W43" s="87">
        <f t="shared" si="54"/>
        <v>80.7</v>
      </c>
      <c r="X43" s="88">
        <f t="shared" si="54"/>
        <v>24</v>
      </c>
      <c r="Y43" s="93">
        <f t="shared" si="55"/>
        <v>267</v>
      </c>
      <c r="Z43" s="91">
        <f t="shared" si="55"/>
        <v>12500</v>
      </c>
      <c r="AA43" s="91">
        <f t="shared" si="56"/>
        <v>12300</v>
      </c>
      <c r="AB43" s="91">
        <f t="shared" si="57"/>
        <v>200</v>
      </c>
      <c r="AC43" s="4">
        <f t="shared" si="57"/>
        <v>0.98399999999999999</v>
      </c>
      <c r="AD43" s="92">
        <f t="shared" si="57"/>
        <v>520.83333333333337</v>
      </c>
      <c r="AE43" s="80" t="str">
        <f t="shared" si="58"/>
        <v>계</v>
      </c>
      <c r="AF43" s="80" t="str">
        <f t="shared" si="59"/>
        <v>3/1</v>
      </c>
      <c r="AH43" s="20" t="str">
        <f t="shared" si="1"/>
        <v>미룡주공2단지</v>
      </c>
      <c r="AI43" s="88">
        <f t="shared" si="0"/>
        <v>24</v>
      </c>
      <c r="AJ43" s="80" t="str">
        <f t="shared" si="60"/>
        <v>A-</v>
      </c>
      <c r="AK43" s="80" t="s">
        <v>14</v>
      </c>
      <c r="AL43" s="80" t="s">
        <v>63</v>
      </c>
      <c r="AM43" s="80" t="s">
        <v>64</v>
      </c>
      <c r="AN43" s="80" t="str">
        <f t="shared" si="61"/>
        <v>C</v>
      </c>
      <c r="AO43" s="80" t="str">
        <f t="shared" si="62"/>
        <v>O</v>
      </c>
      <c r="AP43" s="80" t="str">
        <f t="shared" si="63"/>
        <v>O</v>
      </c>
      <c r="AQ43" s="80" t="str">
        <f t="shared" si="64"/>
        <v>O</v>
      </c>
      <c r="AR43" s="80" t="str">
        <f t="shared" si="65"/>
        <v>O</v>
      </c>
      <c r="AS43" s="80" t="s">
        <v>2</v>
      </c>
      <c r="AT43" s="80" t="str">
        <f t="shared" si="66"/>
        <v>O</v>
      </c>
      <c r="AU43" s="80" t="str">
        <f t="shared" si="67"/>
        <v>O</v>
      </c>
      <c r="AV43" s="80" t="str">
        <f t="shared" si="68"/>
        <v>후보</v>
      </c>
    </row>
    <row r="44" spans="1:48" x14ac:dyDescent="0.3">
      <c r="A44" s="9" t="s">
        <v>738</v>
      </c>
      <c r="B44" s="10" t="s">
        <v>1318</v>
      </c>
      <c r="C44" s="89">
        <v>874</v>
      </c>
      <c r="D44" s="87">
        <v>80.7</v>
      </c>
      <c r="E44" s="88">
        <v>24</v>
      </c>
      <c r="F44" s="87">
        <v>59.4</v>
      </c>
      <c r="G44" s="17">
        <v>18</v>
      </c>
      <c r="H44" s="89">
        <v>76</v>
      </c>
      <c r="I44" s="90">
        <v>12500</v>
      </c>
      <c r="J44" s="90" t="s">
        <v>81</v>
      </c>
      <c r="K44" s="90">
        <v>12300</v>
      </c>
      <c r="L44" s="90" t="s">
        <v>70</v>
      </c>
      <c r="M44" s="91">
        <f t="shared" si="50"/>
        <v>200</v>
      </c>
      <c r="N44" s="4">
        <f t="shared" si="51"/>
        <v>0.98399999999999999</v>
      </c>
      <c r="O44" s="92">
        <f t="shared" si="52"/>
        <v>520.83333333333337</v>
      </c>
      <c r="P44" s="92">
        <f t="shared" si="53"/>
        <v>512.5</v>
      </c>
      <c r="Q44" s="80">
        <v>3</v>
      </c>
      <c r="R44" s="80">
        <v>1</v>
      </c>
      <c r="S44" s="80" t="s">
        <v>61</v>
      </c>
      <c r="T44" s="5" t="s">
        <v>86</v>
      </c>
      <c r="U44" s="9"/>
      <c r="W44" s="87">
        <f t="shared" si="54"/>
        <v>80.7</v>
      </c>
      <c r="X44" s="88">
        <f t="shared" si="54"/>
        <v>24</v>
      </c>
      <c r="Y44" s="93">
        <f t="shared" si="55"/>
        <v>76</v>
      </c>
      <c r="Z44" s="91">
        <f t="shared" si="55"/>
        <v>12500</v>
      </c>
      <c r="AA44" s="91">
        <f t="shared" si="56"/>
        <v>12300</v>
      </c>
      <c r="AB44" s="91">
        <f t="shared" si="57"/>
        <v>200</v>
      </c>
      <c r="AC44" s="4">
        <f t="shared" si="57"/>
        <v>0.98399999999999999</v>
      </c>
      <c r="AD44" s="92">
        <f t="shared" si="57"/>
        <v>520.83333333333337</v>
      </c>
      <c r="AE44" s="80" t="str">
        <f t="shared" si="58"/>
        <v>계</v>
      </c>
      <c r="AF44" s="80" t="str">
        <f t="shared" si="59"/>
        <v>3/1</v>
      </c>
      <c r="AH44" s="20" t="str">
        <f t="shared" si="1"/>
        <v>미룡주공2단지</v>
      </c>
      <c r="AI44" s="88">
        <f t="shared" si="0"/>
        <v>24</v>
      </c>
      <c r="AJ44" s="80" t="str">
        <f t="shared" si="60"/>
        <v>A-</v>
      </c>
      <c r="AK44" s="80" t="s">
        <v>14</v>
      </c>
      <c r="AL44" s="80" t="s">
        <v>63</v>
      </c>
      <c r="AM44" s="80" t="s">
        <v>64</v>
      </c>
      <c r="AN44" s="80" t="str">
        <f t="shared" si="61"/>
        <v>C</v>
      </c>
      <c r="AO44" s="80" t="str">
        <f t="shared" si="62"/>
        <v>O</v>
      </c>
      <c r="AP44" s="80" t="str">
        <f t="shared" si="63"/>
        <v>O</v>
      </c>
      <c r="AQ44" s="80" t="str">
        <f t="shared" si="64"/>
        <v>O</v>
      </c>
      <c r="AR44" s="80" t="str">
        <f t="shared" si="65"/>
        <v>O</v>
      </c>
      <c r="AS44" s="80" t="s">
        <v>2</v>
      </c>
      <c r="AT44" s="80" t="str">
        <f t="shared" si="66"/>
        <v>O</v>
      </c>
      <c r="AU44" s="80" t="str">
        <f t="shared" si="67"/>
        <v>O</v>
      </c>
      <c r="AV44" s="80" t="str">
        <f t="shared" si="68"/>
        <v>후보</v>
      </c>
    </row>
    <row r="45" spans="1:48" x14ac:dyDescent="0.3">
      <c r="A45" s="9" t="s">
        <v>738</v>
      </c>
      <c r="B45" s="10" t="s">
        <v>1318</v>
      </c>
      <c r="C45" s="89">
        <v>874</v>
      </c>
      <c r="D45" s="87">
        <v>80.599999999999994</v>
      </c>
      <c r="E45" s="88">
        <v>24</v>
      </c>
      <c r="F45" s="87">
        <v>59.3</v>
      </c>
      <c r="G45" s="17">
        <v>18</v>
      </c>
      <c r="H45" s="89">
        <v>15</v>
      </c>
      <c r="I45" s="90">
        <v>11000</v>
      </c>
      <c r="J45" s="90" t="s">
        <v>84</v>
      </c>
      <c r="K45" s="90">
        <v>11000</v>
      </c>
      <c r="L45" s="90" t="s">
        <v>69</v>
      </c>
      <c r="M45" s="91">
        <f t="shared" si="50"/>
        <v>0</v>
      </c>
      <c r="N45" s="4">
        <f t="shared" si="51"/>
        <v>1</v>
      </c>
      <c r="O45" s="92">
        <f t="shared" si="52"/>
        <v>458.33333333333331</v>
      </c>
      <c r="P45" s="92">
        <f t="shared" si="53"/>
        <v>458.33333333333331</v>
      </c>
      <c r="Q45" s="80">
        <v>3</v>
      </c>
      <c r="R45" s="80">
        <v>1</v>
      </c>
      <c r="S45" s="80" t="s">
        <v>61</v>
      </c>
      <c r="T45" s="5" t="s">
        <v>87</v>
      </c>
      <c r="U45" s="9"/>
      <c r="W45" s="87">
        <f t="shared" si="54"/>
        <v>80.599999999999994</v>
      </c>
      <c r="X45" s="88">
        <f t="shared" si="54"/>
        <v>24</v>
      </c>
      <c r="Y45" s="93">
        <f t="shared" si="55"/>
        <v>15</v>
      </c>
      <c r="Z45" s="91">
        <f t="shared" si="55"/>
        <v>11000</v>
      </c>
      <c r="AA45" s="91">
        <f t="shared" si="56"/>
        <v>11000</v>
      </c>
      <c r="AB45" s="91">
        <f t="shared" si="57"/>
        <v>0</v>
      </c>
      <c r="AC45" s="4">
        <f t="shared" si="57"/>
        <v>1</v>
      </c>
      <c r="AD45" s="92">
        <f t="shared" si="57"/>
        <v>458.33333333333331</v>
      </c>
      <c r="AE45" s="80" t="str">
        <f t="shared" si="58"/>
        <v>계</v>
      </c>
      <c r="AF45" s="80" t="str">
        <f t="shared" si="59"/>
        <v>3/1</v>
      </c>
      <c r="AH45" s="20" t="str">
        <f t="shared" si="1"/>
        <v>미룡주공2단지</v>
      </c>
      <c r="AI45" s="88">
        <f t="shared" si="0"/>
        <v>24</v>
      </c>
      <c r="AJ45" s="80" t="str">
        <f t="shared" si="60"/>
        <v>A-</v>
      </c>
      <c r="AK45" s="80" t="s">
        <v>14</v>
      </c>
      <c r="AL45" s="80" t="s">
        <v>63</v>
      </c>
      <c r="AM45" s="80" t="s">
        <v>64</v>
      </c>
      <c r="AN45" s="80" t="str">
        <f t="shared" si="61"/>
        <v>C</v>
      </c>
      <c r="AO45" s="80" t="str">
        <f t="shared" si="62"/>
        <v>O</v>
      </c>
      <c r="AP45" s="80" t="str">
        <f t="shared" si="63"/>
        <v>O</v>
      </c>
      <c r="AQ45" s="80" t="str">
        <f t="shared" si="64"/>
        <v>O</v>
      </c>
      <c r="AR45" s="80" t="str">
        <f t="shared" si="65"/>
        <v>O</v>
      </c>
      <c r="AS45" s="80" t="s">
        <v>2</v>
      </c>
      <c r="AT45" s="80" t="str">
        <f t="shared" si="66"/>
        <v>O</v>
      </c>
      <c r="AU45" s="80" t="str">
        <f t="shared" si="67"/>
        <v>O</v>
      </c>
      <c r="AV45" s="80" t="str">
        <f t="shared" si="68"/>
        <v>후보</v>
      </c>
    </row>
    <row r="46" spans="1:48" x14ac:dyDescent="0.3">
      <c r="A46" s="9" t="s">
        <v>738</v>
      </c>
      <c r="B46" s="10" t="s">
        <v>1318</v>
      </c>
      <c r="C46" s="89">
        <v>874</v>
      </c>
      <c r="D46" s="87">
        <v>114.6</v>
      </c>
      <c r="E46" s="88">
        <v>35</v>
      </c>
      <c r="F46" s="87">
        <v>84.3</v>
      </c>
      <c r="G46" s="17">
        <v>26</v>
      </c>
      <c r="H46" s="89">
        <v>224</v>
      </c>
      <c r="I46" s="90"/>
      <c r="J46" s="90"/>
      <c r="K46" s="90"/>
      <c r="L46" s="90"/>
      <c r="M46" s="91">
        <f t="shared" si="50"/>
        <v>0</v>
      </c>
      <c r="N46" s="4" t="str">
        <f t="shared" si="51"/>
        <v/>
      </c>
      <c r="O46" s="92">
        <f t="shared" si="52"/>
        <v>0</v>
      </c>
      <c r="P46" s="92">
        <f t="shared" si="53"/>
        <v>0</v>
      </c>
      <c r="Q46" s="80">
        <v>3</v>
      </c>
      <c r="R46" s="80">
        <v>1</v>
      </c>
      <c r="S46" s="80" t="s">
        <v>61</v>
      </c>
      <c r="T46" s="5">
        <v>114</v>
      </c>
      <c r="U46" s="9"/>
      <c r="W46" s="87">
        <f t="shared" si="54"/>
        <v>114.6</v>
      </c>
      <c r="X46" s="88">
        <f t="shared" si="54"/>
        <v>35</v>
      </c>
      <c r="Y46" s="93">
        <f t="shared" si="55"/>
        <v>224</v>
      </c>
      <c r="Z46" s="91">
        <f t="shared" si="55"/>
        <v>0</v>
      </c>
      <c r="AA46" s="91">
        <f t="shared" si="56"/>
        <v>0</v>
      </c>
      <c r="AB46" s="91">
        <f t="shared" si="57"/>
        <v>0</v>
      </c>
      <c r="AC46" s="4" t="str">
        <f t="shared" si="57"/>
        <v/>
      </c>
      <c r="AD46" s="92">
        <f t="shared" si="57"/>
        <v>0</v>
      </c>
      <c r="AE46" s="80" t="str">
        <f t="shared" si="58"/>
        <v>계</v>
      </c>
      <c r="AF46" s="80" t="str">
        <f t="shared" si="59"/>
        <v>3/1</v>
      </c>
      <c r="AH46" s="20" t="str">
        <f t="shared" si="1"/>
        <v>미룡주공2단지</v>
      </c>
      <c r="AI46" s="88">
        <f t="shared" si="0"/>
        <v>35</v>
      </c>
      <c r="AJ46" s="80" t="str">
        <f t="shared" si="60"/>
        <v>A-</v>
      </c>
      <c r="AK46" s="80" t="s">
        <v>14</v>
      </c>
      <c r="AL46" s="80" t="s">
        <v>63</v>
      </c>
      <c r="AM46" s="80" t="s">
        <v>64</v>
      </c>
      <c r="AN46" s="80" t="str">
        <f t="shared" si="61"/>
        <v>C</v>
      </c>
      <c r="AO46" s="80" t="str">
        <f t="shared" si="62"/>
        <v/>
      </c>
      <c r="AP46" s="80" t="str">
        <f t="shared" si="63"/>
        <v/>
      </c>
      <c r="AQ46" s="80" t="str">
        <f t="shared" si="64"/>
        <v>O</v>
      </c>
      <c r="AR46" s="80" t="str">
        <f t="shared" si="65"/>
        <v>O</v>
      </c>
      <c r="AS46" s="80" t="s">
        <v>2</v>
      </c>
      <c r="AT46" s="80" t="str">
        <f t="shared" si="66"/>
        <v>O</v>
      </c>
      <c r="AU46" s="80" t="str">
        <f t="shared" si="67"/>
        <v>O</v>
      </c>
      <c r="AV46" s="80" t="str">
        <f t="shared" si="68"/>
        <v/>
      </c>
    </row>
  </sheetData>
  <mergeCells count="1">
    <mergeCell ref="AJ1:AN1"/>
  </mergeCells>
  <phoneticPr fontId="2" type="noConversion"/>
  <conditionalFormatting sqref="AV4:AV6">
    <cfRule type="expression" dxfId="4791" priority="641">
      <formula>AV4="X"</formula>
    </cfRule>
    <cfRule type="expression" dxfId="4790" priority="642">
      <formula>AV4="후보"</formula>
    </cfRule>
  </conditionalFormatting>
  <conditionalFormatting sqref="AC1:AC2 AC4:AC6 N4:N5">
    <cfRule type="cellIs" dxfId="4789" priority="639" operator="greaterThan">
      <formula>0.9</formula>
    </cfRule>
    <cfRule type="cellIs" dxfId="4788" priority="640" operator="greaterThan">
      <formula>0.85</formula>
    </cfRule>
  </conditionalFormatting>
  <conditionalFormatting sqref="N1:N2">
    <cfRule type="cellIs" dxfId="4787" priority="637" operator="greaterThan">
      <formula>0.9</formula>
    </cfRule>
    <cfRule type="cellIs" dxfId="4786" priority="638" operator="greaterThan">
      <formula>0.85</formula>
    </cfRule>
  </conditionalFormatting>
  <conditionalFormatting sqref="N6">
    <cfRule type="cellIs" dxfId="4785" priority="635" operator="greaterThan">
      <formula>0.9</formula>
    </cfRule>
    <cfRule type="cellIs" dxfId="4784" priority="636" operator="greaterThan">
      <formula>0.85</formula>
    </cfRule>
  </conditionalFormatting>
  <conditionalFormatting sqref="E6">
    <cfRule type="expression" dxfId="4783" priority="631">
      <formula>AND(IF(OR($Q6=1,$Q6=2),1,0),IF($X6&lt;=20,1,0))</formula>
    </cfRule>
    <cfRule type="expression" dxfId="4782" priority="632">
      <formula>AND(IF($Q6=2,1,0),IF($X6&lt;30,1,0))</formula>
    </cfRule>
    <cfRule type="expression" dxfId="4781" priority="633">
      <formula>AND(IF($Q6=3,1,0),IF($X6&lt;30,1,0))</formula>
    </cfRule>
    <cfRule type="expression" dxfId="4780" priority="634">
      <formula>AND(IF($Q6=3,1,IF($Q6=4,1,0)),IF($F6&lt;=85,1,0))</formula>
    </cfRule>
  </conditionalFormatting>
  <conditionalFormatting sqref="X6">
    <cfRule type="expression" dxfId="4779" priority="627">
      <formula>AND(IF(OR($Q6=1,$Q6=2),1,0),IF($X6&lt;=20,1,0))</formula>
    </cfRule>
    <cfRule type="expression" dxfId="4778" priority="628">
      <formula>AND(IF($Q6=2,1,0),IF($X6&lt;30,1,0))</formula>
    </cfRule>
    <cfRule type="expression" dxfId="4777" priority="629">
      <formula>AND(IF($Q6=3,1,0),IF($X6&lt;30,1,0))</formula>
    </cfRule>
    <cfRule type="expression" dxfId="4776" priority="630">
      <formula>AND(IF($Q6=3,1,IF($Q6=4,1,0)),IF($F6&lt;=85,1,0))</formula>
    </cfRule>
  </conditionalFormatting>
  <conditionalFormatting sqref="AI6">
    <cfRule type="expression" dxfId="4775" priority="623">
      <formula>AND(IF(OR($Q6=1,$Q6=2),1,0),IF($X6&lt;=20,1,0))</formula>
    </cfRule>
    <cfRule type="expression" dxfId="4774" priority="624">
      <formula>AND(IF($Q6=2,1,0),IF($X6&lt;30,1,0))</formula>
    </cfRule>
    <cfRule type="expression" dxfId="4773" priority="625">
      <formula>AND(IF($Q6=3,1,0),IF($X6&lt;30,1,0))</formula>
    </cfRule>
    <cfRule type="expression" dxfId="4772" priority="626">
      <formula>AND(IF($Q6=3,1,IF($Q6=4,1,0)),IF($F6&lt;=85,1,0))</formula>
    </cfRule>
  </conditionalFormatting>
  <conditionalFormatting sqref="AV7">
    <cfRule type="expression" dxfId="4771" priority="621">
      <formula>AV7="X"</formula>
    </cfRule>
    <cfRule type="expression" dxfId="4770" priority="622">
      <formula>AV7="후보"</formula>
    </cfRule>
  </conditionalFormatting>
  <conditionalFormatting sqref="AC7 N7">
    <cfRule type="cellIs" dxfId="4769" priority="619" operator="greaterThan">
      <formula>0.9</formula>
    </cfRule>
    <cfRule type="cellIs" dxfId="4768" priority="620" operator="greaterThan">
      <formula>0.85</formula>
    </cfRule>
  </conditionalFormatting>
  <conditionalFormatting sqref="AV8">
    <cfRule type="expression" dxfId="4767" priority="617">
      <formula>AV8="X"</formula>
    </cfRule>
    <cfRule type="expression" dxfId="4766" priority="618">
      <formula>AV8="후보"</formula>
    </cfRule>
  </conditionalFormatting>
  <conditionalFormatting sqref="AC8">
    <cfRule type="cellIs" dxfId="4765" priority="615" operator="greaterThan">
      <formula>0.9</formula>
    </cfRule>
    <cfRule type="cellIs" dxfId="4764" priority="616" operator="greaterThan">
      <formula>0.85</formula>
    </cfRule>
  </conditionalFormatting>
  <conditionalFormatting sqref="N8">
    <cfRule type="cellIs" dxfId="4763" priority="613" operator="greaterThan">
      <formula>0.9</formula>
    </cfRule>
    <cfRule type="cellIs" dxfId="4762" priority="614" operator="greaterThan">
      <formula>0.85</formula>
    </cfRule>
  </conditionalFormatting>
  <conditionalFormatting sqref="E8">
    <cfRule type="expression" dxfId="4761" priority="609">
      <formula>AND(IF(OR($Q8=1,$Q8=2),1,0),IF($X8&lt;=20,1,0))</formula>
    </cfRule>
    <cfRule type="expression" dxfId="4760" priority="610">
      <formula>AND(IF($Q8=2,1,0),IF($X8&lt;30,1,0))</formula>
    </cfRule>
    <cfRule type="expression" dxfId="4759" priority="611">
      <formula>AND(IF($Q8=3,1,0),IF($X8&lt;30,1,0))</formula>
    </cfRule>
    <cfRule type="expression" dxfId="4758" priority="612">
      <formula>AND(IF($Q8=3,1,IF($Q8=4,1,0)),IF($F8&lt;=85,1,0))</formula>
    </cfRule>
  </conditionalFormatting>
  <conditionalFormatting sqref="X8">
    <cfRule type="expression" dxfId="4757" priority="605">
      <formula>AND(IF(OR($Q8=1,$Q8=2),1,0),IF($X8&lt;=20,1,0))</formula>
    </cfRule>
    <cfRule type="expression" dxfId="4756" priority="606">
      <formula>AND(IF($Q8=2,1,0),IF($X8&lt;30,1,0))</formula>
    </cfRule>
    <cfRule type="expression" dxfId="4755" priority="607">
      <formula>AND(IF($Q8=3,1,0),IF($X8&lt;30,1,0))</formula>
    </cfRule>
    <cfRule type="expression" dxfId="4754" priority="608">
      <formula>AND(IF($Q8=3,1,IF($Q8=4,1,0)),IF($F8&lt;=85,1,0))</formula>
    </cfRule>
  </conditionalFormatting>
  <conditionalFormatting sqref="AI8">
    <cfRule type="expression" dxfId="4753" priority="601">
      <formula>AND(IF(OR($Q8=1,$Q8=2),1,0),IF($X8&lt;=20,1,0))</formula>
    </cfRule>
    <cfRule type="expression" dxfId="4752" priority="602">
      <formula>AND(IF($Q8=2,1,0),IF($X8&lt;30,1,0))</formula>
    </cfRule>
    <cfRule type="expression" dxfId="4751" priority="603">
      <formula>AND(IF($Q8=3,1,0),IF($X8&lt;30,1,0))</formula>
    </cfRule>
    <cfRule type="expression" dxfId="4750" priority="604">
      <formula>AND(IF($Q8=3,1,IF($Q8=4,1,0)),IF($F8&lt;=85,1,0))</formula>
    </cfRule>
  </conditionalFormatting>
  <conditionalFormatting sqref="AV9">
    <cfRule type="expression" dxfId="4749" priority="599">
      <formula>AV9="X"</formula>
    </cfRule>
    <cfRule type="expression" dxfId="4748" priority="600">
      <formula>AV9="후보"</formula>
    </cfRule>
  </conditionalFormatting>
  <conditionalFormatting sqref="AC9">
    <cfRule type="cellIs" dxfId="4747" priority="597" operator="greaterThan">
      <formula>0.9</formula>
    </cfRule>
    <cfRule type="cellIs" dxfId="4746" priority="598" operator="greaterThan">
      <formula>0.85</formula>
    </cfRule>
  </conditionalFormatting>
  <conditionalFormatting sqref="N9">
    <cfRule type="cellIs" dxfId="4745" priority="595" operator="greaterThan">
      <formula>0.9</formula>
    </cfRule>
    <cfRule type="cellIs" dxfId="4744" priority="596" operator="greaterThan">
      <formula>0.85</formula>
    </cfRule>
  </conditionalFormatting>
  <conditionalFormatting sqref="E9">
    <cfRule type="expression" dxfId="4743" priority="591">
      <formula>AND(IF(OR($Q9=1,$Q9=2),1,0),IF($X9&lt;=20,1,0))</formula>
    </cfRule>
    <cfRule type="expression" dxfId="4742" priority="592">
      <formula>AND(IF($Q9=2,1,0),IF($X9&lt;30,1,0))</formula>
    </cfRule>
    <cfRule type="expression" dxfId="4741" priority="593">
      <formula>AND(IF($Q9=3,1,0),IF($X9&lt;30,1,0))</formula>
    </cfRule>
    <cfRule type="expression" dxfId="4740" priority="594">
      <formula>AND(IF($Q9=3,1,IF($Q9=4,1,0)),IF($F9&lt;=85,1,0))</formula>
    </cfRule>
  </conditionalFormatting>
  <conditionalFormatting sqref="X9">
    <cfRule type="expression" dxfId="4739" priority="587">
      <formula>AND(IF(OR($Q9=1,$Q9=2),1,0),IF($X9&lt;=20,1,0))</formula>
    </cfRule>
    <cfRule type="expression" dxfId="4738" priority="588">
      <formula>AND(IF($Q9=2,1,0),IF($X9&lt;30,1,0))</formula>
    </cfRule>
    <cfRule type="expression" dxfId="4737" priority="589">
      <formula>AND(IF($Q9=3,1,0),IF($X9&lt;30,1,0))</formula>
    </cfRule>
    <cfRule type="expression" dxfId="4736" priority="590">
      <formula>AND(IF($Q9=3,1,IF($Q9=4,1,0)),IF($F9&lt;=85,1,0))</formula>
    </cfRule>
  </conditionalFormatting>
  <conditionalFormatting sqref="AI9">
    <cfRule type="expression" dxfId="4735" priority="583">
      <formula>AND(IF(OR($Q9=1,$Q9=2),1,0),IF($X9&lt;=20,1,0))</formula>
    </cfRule>
    <cfRule type="expression" dxfId="4734" priority="584">
      <formula>AND(IF($Q9=2,1,0),IF($X9&lt;30,1,0))</formula>
    </cfRule>
    <cfRule type="expression" dxfId="4733" priority="585">
      <formula>AND(IF($Q9=3,1,0),IF($X9&lt;30,1,0))</formula>
    </cfRule>
    <cfRule type="expression" dxfId="4732" priority="586">
      <formula>AND(IF($Q9=3,1,IF($Q9=4,1,0)),IF($F9&lt;=85,1,0))</formula>
    </cfRule>
  </conditionalFormatting>
  <conditionalFormatting sqref="AV10">
    <cfRule type="expression" dxfId="4731" priority="581">
      <formula>AV10="X"</formula>
    </cfRule>
    <cfRule type="expression" dxfId="4730" priority="582">
      <formula>AV10="후보"</formula>
    </cfRule>
  </conditionalFormatting>
  <conditionalFormatting sqref="AC10">
    <cfRule type="cellIs" dxfId="4729" priority="579" operator="greaterThan">
      <formula>0.9</formula>
    </cfRule>
    <cfRule type="cellIs" dxfId="4728" priority="580" operator="greaterThan">
      <formula>0.85</formula>
    </cfRule>
  </conditionalFormatting>
  <conditionalFormatting sqref="N10">
    <cfRule type="cellIs" dxfId="4727" priority="577" operator="greaterThan">
      <formula>0.9</formula>
    </cfRule>
    <cfRule type="cellIs" dxfId="4726" priority="578" operator="greaterThan">
      <formula>0.85</formula>
    </cfRule>
  </conditionalFormatting>
  <conditionalFormatting sqref="E10">
    <cfRule type="expression" dxfId="4725" priority="573">
      <formula>AND(IF(OR($Q10=1,$Q10=2),1,0),IF($X10&lt;=20,1,0))</formula>
    </cfRule>
    <cfRule type="expression" dxfId="4724" priority="574">
      <formula>AND(IF($Q10=2,1,0),IF($X10&lt;30,1,0))</formula>
    </cfRule>
    <cfRule type="expression" dxfId="4723" priority="575">
      <formula>AND(IF($Q10=3,1,0),IF($X10&lt;30,1,0))</formula>
    </cfRule>
    <cfRule type="expression" dxfId="4722" priority="576">
      <formula>AND(IF($Q10=3,1,IF($Q10=4,1,0)),IF($F10&lt;=85,1,0))</formula>
    </cfRule>
  </conditionalFormatting>
  <conditionalFormatting sqref="X10">
    <cfRule type="expression" dxfId="4721" priority="569">
      <formula>AND(IF(OR($Q10=1,$Q10=2),1,0),IF($X10&lt;=20,1,0))</formula>
    </cfRule>
    <cfRule type="expression" dxfId="4720" priority="570">
      <formula>AND(IF($Q10=2,1,0),IF($X10&lt;30,1,0))</formula>
    </cfRule>
    <cfRule type="expression" dxfId="4719" priority="571">
      <formula>AND(IF($Q10=3,1,0),IF($X10&lt;30,1,0))</formula>
    </cfRule>
    <cfRule type="expression" dxfId="4718" priority="572">
      <formula>AND(IF($Q10=3,1,IF($Q10=4,1,0)),IF($F10&lt;=85,1,0))</formula>
    </cfRule>
  </conditionalFormatting>
  <conditionalFormatting sqref="AI10">
    <cfRule type="expression" dxfId="4717" priority="565">
      <formula>AND(IF(OR($Q10=1,$Q10=2),1,0),IF($X10&lt;=20,1,0))</formula>
    </cfRule>
    <cfRule type="expression" dxfId="4716" priority="566">
      <formula>AND(IF($Q10=2,1,0),IF($X10&lt;30,1,0))</formula>
    </cfRule>
    <cfRule type="expression" dxfId="4715" priority="567">
      <formula>AND(IF($Q10=3,1,0),IF($X10&lt;30,1,0))</formula>
    </cfRule>
    <cfRule type="expression" dxfId="4714" priority="568">
      <formula>AND(IF($Q10=3,1,IF($Q10=4,1,0)),IF($F10&lt;=85,1,0))</formula>
    </cfRule>
  </conditionalFormatting>
  <conditionalFormatting sqref="AV11">
    <cfRule type="expression" dxfId="4713" priority="563">
      <formula>AV11="X"</formula>
    </cfRule>
    <cfRule type="expression" dxfId="4712" priority="564">
      <formula>AV11="후보"</formula>
    </cfRule>
  </conditionalFormatting>
  <conditionalFormatting sqref="AC11">
    <cfRule type="cellIs" dxfId="4711" priority="561" operator="greaterThan">
      <formula>0.9</formula>
    </cfRule>
    <cfRule type="cellIs" dxfId="4710" priority="562" operator="greaterThan">
      <formula>0.85</formula>
    </cfRule>
  </conditionalFormatting>
  <conditionalFormatting sqref="N11">
    <cfRule type="cellIs" dxfId="4709" priority="559" operator="greaterThan">
      <formula>0.9</formula>
    </cfRule>
    <cfRule type="cellIs" dxfId="4708" priority="560" operator="greaterThan">
      <formula>0.85</formula>
    </cfRule>
  </conditionalFormatting>
  <conditionalFormatting sqref="E11">
    <cfRule type="expression" dxfId="4707" priority="555">
      <formula>AND(IF(OR($Q11=1,$Q11=2),1,0),IF($X11&lt;=20,1,0))</formula>
    </cfRule>
    <cfRule type="expression" dxfId="4706" priority="556">
      <formula>AND(IF($Q11=2,1,0),IF($X11&lt;30,1,0))</formula>
    </cfRule>
    <cfRule type="expression" dxfId="4705" priority="557">
      <formula>AND(IF($Q11=3,1,0),IF($X11&lt;30,1,0))</formula>
    </cfRule>
    <cfRule type="expression" dxfId="4704" priority="558">
      <formula>AND(IF($Q11=3,1,IF($Q11=4,1,0)),IF($F11&lt;=85,1,0))</formula>
    </cfRule>
  </conditionalFormatting>
  <conditionalFormatting sqref="X11">
    <cfRule type="expression" dxfId="4703" priority="551">
      <formula>AND(IF(OR($Q11=1,$Q11=2),1,0),IF($X11&lt;=20,1,0))</formula>
    </cfRule>
    <cfRule type="expression" dxfId="4702" priority="552">
      <formula>AND(IF($Q11=2,1,0),IF($X11&lt;30,1,0))</formula>
    </cfRule>
    <cfRule type="expression" dxfId="4701" priority="553">
      <formula>AND(IF($Q11=3,1,0),IF($X11&lt;30,1,0))</formula>
    </cfRule>
    <cfRule type="expression" dxfId="4700" priority="554">
      <formula>AND(IF($Q11=3,1,IF($Q11=4,1,0)),IF($F11&lt;=85,1,0))</formula>
    </cfRule>
  </conditionalFormatting>
  <conditionalFormatting sqref="AI11">
    <cfRule type="expression" dxfId="4699" priority="547">
      <formula>AND(IF(OR($Q11=1,$Q11=2),1,0),IF($X11&lt;=20,1,0))</formula>
    </cfRule>
    <cfRule type="expression" dxfId="4698" priority="548">
      <formula>AND(IF($Q11=2,1,0),IF($X11&lt;30,1,0))</formula>
    </cfRule>
    <cfRule type="expression" dxfId="4697" priority="549">
      <formula>AND(IF($Q11=3,1,0),IF($X11&lt;30,1,0))</formula>
    </cfRule>
    <cfRule type="expression" dxfId="4696" priority="550">
      <formula>AND(IF($Q11=3,1,IF($Q11=4,1,0)),IF($F11&lt;=85,1,0))</formula>
    </cfRule>
  </conditionalFormatting>
  <conditionalFormatting sqref="AV12">
    <cfRule type="expression" dxfId="4695" priority="545">
      <formula>AV12="X"</formula>
    </cfRule>
    <cfRule type="expression" dxfId="4694" priority="546">
      <formula>AV12="후보"</formula>
    </cfRule>
  </conditionalFormatting>
  <conditionalFormatting sqref="AC12">
    <cfRule type="cellIs" dxfId="4693" priority="543" operator="greaterThan">
      <formula>0.9</formula>
    </cfRule>
    <cfRule type="cellIs" dxfId="4692" priority="544" operator="greaterThan">
      <formula>0.85</formula>
    </cfRule>
  </conditionalFormatting>
  <conditionalFormatting sqref="N12">
    <cfRule type="cellIs" dxfId="4691" priority="541" operator="greaterThan">
      <formula>0.9</formula>
    </cfRule>
    <cfRule type="cellIs" dxfId="4690" priority="542" operator="greaterThan">
      <formula>0.85</formula>
    </cfRule>
  </conditionalFormatting>
  <conditionalFormatting sqref="E12">
    <cfRule type="expression" dxfId="4689" priority="537">
      <formula>AND(IF(OR($Q12=1,$Q12=2),1,0),IF($X12&lt;=20,1,0))</formula>
    </cfRule>
    <cfRule type="expression" dxfId="4688" priority="538">
      <formula>AND(IF($Q12=2,1,0),IF($X12&lt;30,1,0))</formula>
    </cfRule>
    <cfRule type="expression" dxfId="4687" priority="539">
      <formula>AND(IF($Q12=3,1,0),IF($X12&lt;30,1,0))</formula>
    </cfRule>
    <cfRule type="expression" dxfId="4686" priority="540">
      <formula>AND(IF($Q12=3,1,IF($Q12=4,1,0)),IF($F12&lt;=85,1,0))</formula>
    </cfRule>
  </conditionalFormatting>
  <conditionalFormatting sqref="X12">
    <cfRule type="expression" dxfId="4685" priority="533">
      <formula>AND(IF(OR($Q12=1,$Q12=2),1,0),IF($X12&lt;=20,1,0))</formula>
    </cfRule>
    <cfRule type="expression" dxfId="4684" priority="534">
      <formula>AND(IF($Q12=2,1,0),IF($X12&lt;30,1,0))</formula>
    </cfRule>
    <cfRule type="expression" dxfId="4683" priority="535">
      <formula>AND(IF($Q12=3,1,0),IF($X12&lt;30,1,0))</formula>
    </cfRule>
    <cfRule type="expression" dxfId="4682" priority="536">
      <formula>AND(IF($Q12=3,1,IF($Q12=4,1,0)),IF($F12&lt;=85,1,0))</formula>
    </cfRule>
  </conditionalFormatting>
  <conditionalFormatting sqref="AI12">
    <cfRule type="expression" dxfId="4681" priority="529">
      <formula>AND(IF(OR($Q12=1,$Q12=2),1,0),IF($X12&lt;=20,1,0))</formula>
    </cfRule>
    <cfRule type="expression" dxfId="4680" priority="530">
      <formula>AND(IF($Q12=2,1,0),IF($X12&lt;30,1,0))</formula>
    </cfRule>
    <cfRule type="expression" dxfId="4679" priority="531">
      <formula>AND(IF($Q12=3,1,0),IF($X12&lt;30,1,0))</formula>
    </cfRule>
    <cfRule type="expression" dxfId="4678" priority="532">
      <formula>AND(IF($Q12=3,1,IF($Q12=4,1,0)),IF($F12&lt;=85,1,0))</formula>
    </cfRule>
  </conditionalFormatting>
  <conditionalFormatting sqref="AV13">
    <cfRule type="expression" dxfId="4677" priority="527">
      <formula>AV13="X"</formula>
    </cfRule>
    <cfRule type="expression" dxfId="4676" priority="528">
      <formula>AV13="후보"</formula>
    </cfRule>
  </conditionalFormatting>
  <conditionalFormatting sqref="AC13">
    <cfRule type="cellIs" dxfId="4675" priority="525" operator="greaterThan">
      <formula>0.9</formula>
    </cfRule>
    <cfRule type="cellIs" dxfId="4674" priority="526" operator="greaterThan">
      <formula>0.85</formula>
    </cfRule>
  </conditionalFormatting>
  <conditionalFormatting sqref="N13">
    <cfRule type="cellIs" dxfId="4673" priority="523" operator="greaterThan">
      <formula>0.9</formula>
    </cfRule>
    <cfRule type="cellIs" dxfId="4672" priority="524" operator="greaterThan">
      <formula>0.85</formula>
    </cfRule>
  </conditionalFormatting>
  <conditionalFormatting sqref="E13">
    <cfRule type="expression" dxfId="4671" priority="519">
      <formula>AND(IF(OR($Q13=1,$Q13=2),1,0),IF($X13&lt;=20,1,0))</formula>
    </cfRule>
    <cfRule type="expression" dxfId="4670" priority="520">
      <formula>AND(IF($Q13=2,1,0),IF($X13&lt;30,1,0))</formula>
    </cfRule>
    <cfRule type="expression" dxfId="4669" priority="521">
      <formula>AND(IF($Q13=3,1,0),IF($X13&lt;30,1,0))</formula>
    </cfRule>
    <cfRule type="expression" dxfId="4668" priority="522">
      <formula>AND(IF($Q13=3,1,IF($Q13=4,1,0)),IF($F13&lt;=85,1,0))</formula>
    </cfRule>
  </conditionalFormatting>
  <conditionalFormatting sqref="X13">
    <cfRule type="expression" dxfId="4667" priority="515">
      <formula>AND(IF(OR($Q13=1,$Q13=2),1,0),IF($X13&lt;=20,1,0))</formula>
    </cfRule>
    <cfRule type="expression" dxfId="4666" priority="516">
      <formula>AND(IF($Q13=2,1,0),IF($X13&lt;30,1,0))</formula>
    </cfRule>
    <cfRule type="expression" dxfId="4665" priority="517">
      <formula>AND(IF($Q13=3,1,0),IF($X13&lt;30,1,0))</formula>
    </cfRule>
    <cfRule type="expression" dxfId="4664" priority="518">
      <formula>AND(IF($Q13=3,1,IF($Q13=4,1,0)),IF($F13&lt;=85,1,0))</formula>
    </cfRule>
  </conditionalFormatting>
  <conditionalFormatting sqref="AI13">
    <cfRule type="expression" dxfId="4663" priority="511">
      <formula>AND(IF(OR($Q13=1,$Q13=2),1,0),IF($X13&lt;=20,1,0))</formula>
    </cfRule>
    <cfRule type="expression" dxfId="4662" priority="512">
      <formula>AND(IF($Q13=2,1,0),IF($X13&lt;30,1,0))</formula>
    </cfRule>
    <cfRule type="expression" dxfId="4661" priority="513">
      <formula>AND(IF($Q13=3,1,0),IF($X13&lt;30,1,0))</formula>
    </cfRule>
    <cfRule type="expression" dxfId="4660" priority="514">
      <formula>AND(IF($Q13=3,1,IF($Q13=4,1,0)),IF($F13&lt;=85,1,0))</formula>
    </cfRule>
  </conditionalFormatting>
  <conditionalFormatting sqref="AV14">
    <cfRule type="expression" dxfId="4659" priority="509">
      <formula>AV14="X"</formula>
    </cfRule>
    <cfRule type="expression" dxfId="4658" priority="510">
      <formula>AV14="후보"</formula>
    </cfRule>
  </conditionalFormatting>
  <conditionalFormatting sqref="AC14">
    <cfRule type="cellIs" dxfId="4657" priority="507" operator="greaterThan">
      <formula>0.9</formula>
    </cfRule>
    <cfRule type="cellIs" dxfId="4656" priority="508" operator="greaterThan">
      <formula>0.85</formula>
    </cfRule>
  </conditionalFormatting>
  <conditionalFormatting sqref="N14">
    <cfRule type="cellIs" dxfId="4655" priority="505" operator="greaterThan">
      <formula>0.9</formula>
    </cfRule>
    <cfRule type="cellIs" dxfId="4654" priority="506" operator="greaterThan">
      <formula>0.85</formula>
    </cfRule>
  </conditionalFormatting>
  <conditionalFormatting sqref="E14">
    <cfRule type="expression" dxfId="4653" priority="501">
      <formula>AND(IF(OR($Q14=1,$Q14=2),1,0),IF($X14&lt;=20,1,0))</formula>
    </cfRule>
    <cfRule type="expression" dxfId="4652" priority="502">
      <formula>AND(IF($Q14=2,1,0),IF($X14&lt;30,1,0))</formula>
    </cfRule>
    <cfRule type="expression" dxfId="4651" priority="503">
      <formula>AND(IF($Q14=3,1,0),IF($X14&lt;30,1,0))</formula>
    </cfRule>
    <cfRule type="expression" dxfId="4650" priority="504">
      <formula>AND(IF($Q14=3,1,IF($Q14=4,1,0)),IF($F14&lt;=85,1,0))</formula>
    </cfRule>
  </conditionalFormatting>
  <conditionalFormatting sqref="X14">
    <cfRule type="expression" dxfId="4649" priority="497">
      <formula>AND(IF(OR($Q14=1,$Q14=2),1,0),IF($X14&lt;=20,1,0))</formula>
    </cfRule>
    <cfRule type="expression" dxfId="4648" priority="498">
      <formula>AND(IF($Q14=2,1,0),IF($X14&lt;30,1,0))</formula>
    </cfRule>
    <cfRule type="expression" dxfId="4647" priority="499">
      <formula>AND(IF($Q14=3,1,0),IF($X14&lt;30,1,0))</formula>
    </cfRule>
    <cfRule type="expression" dxfId="4646" priority="500">
      <formula>AND(IF($Q14=3,1,IF($Q14=4,1,0)),IF($F14&lt;=85,1,0))</formula>
    </cfRule>
  </conditionalFormatting>
  <conditionalFormatting sqref="AI14">
    <cfRule type="expression" dxfId="4645" priority="493">
      <formula>AND(IF(OR($Q14=1,$Q14=2),1,0),IF($X14&lt;=20,1,0))</formula>
    </cfRule>
    <cfRule type="expression" dxfId="4644" priority="494">
      <formula>AND(IF($Q14=2,1,0),IF($X14&lt;30,1,0))</formula>
    </cfRule>
    <cfRule type="expression" dxfId="4643" priority="495">
      <formula>AND(IF($Q14=3,1,0),IF($X14&lt;30,1,0))</formula>
    </cfRule>
    <cfRule type="expression" dxfId="4642" priority="496">
      <formula>AND(IF($Q14=3,1,IF($Q14=4,1,0)),IF($F14&lt;=85,1,0))</formula>
    </cfRule>
  </conditionalFormatting>
  <conditionalFormatting sqref="AV15">
    <cfRule type="expression" dxfId="4641" priority="491">
      <formula>AV15="X"</formula>
    </cfRule>
    <cfRule type="expression" dxfId="4640" priority="492">
      <formula>AV15="후보"</formula>
    </cfRule>
  </conditionalFormatting>
  <conditionalFormatting sqref="AC15">
    <cfRule type="cellIs" dxfId="4639" priority="489" operator="greaterThan">
      <formula>0.9</formula>
    </cfRule>
    <cfRule type="cellIs" dxfId="4638" priority="490" operator="greaterThan">
      <formula>0.85</formula>
    </cfRule>
  </conditionalFormatting>
  <conditionalFormatting sqref="N15">
    <cfRule type="cellIs" dxfId="4637" priority="487" operator="greaterThan">
      <formula>0.9</formula>
    </cfRule>
    <cfRule type="cellIs" dxfId="4636" priority="488" operator="greaterThan">
      <formula>0.85</formula>
    </cfRule>
  </conditionalFormatting>
  <conditionalFormatting sqref="E15">
    <cfRule type="expression" dxfId="4635" priority="483">
      <formula>AND(IF(OR($Q15=1,$Q15=2),1,0),IF($X15&lt;=20,1,0))</formula>
    </cfRule>
    <cfRule type="expression" dxfId="4634" priority="484">
      <formula>AND(IF($Q15=2,1,0),IF($X15&lt;30,1,0))</formula>
    </cfRule>
    <cfRule type="expression" dxfId="4633" priority="485">
      <formula>AND(IF($Q15=3,1,0),IF($X15&lt;30,1,0))</formula>
    </cfRule>
    <cfRule type="expression" dxfId="4632" priority="486">
      <formula>AND(IF($Q15=3,1,IF($Q15=4,1,0)),IF($F15&lt;=85,1,0))</formula>
    </cfRule>
  </conditionalFormatting>
  <conditionalFormatting sqref="X15">
    <cfRule type="expression" dxfId="4631" priority="479">
      <formula>AND(IF(OR($Q15=1,$Q15=2),1,0),IF($X15&lt;=20,1,0))</formula>
    </cfRule>
    <cfRule type="expression" dxfId="4630" priority="480">
      <formula>AND(IF($Q15=2,1,0),IF($X15&lt;30,1,0))</formula>
    </cfRule>
    <cfRule type="expression" dxfId="4629" priority="481">
      <formula>AND(IF($Q15=3,1,0),IF($X15&lt;30,1,0))</formula>
    </cfRule>
    <cfRule type="expression" dxfId="4628" priority="482">
      <formula>AND(IF($Q15=3,1,IF($Q15=4,1,0)),IF($F15&lt;=85,1,0))</formula>
    </cfRule>
  </conditionalFormatting>
  <conditionalFormatting sqref="AI15">
    <cfRule type="expression" dxfId="4627" priority="475">
      <formula>AND(IF(OR($Q15=1,$Q15=2),1,0),IF($X15&lt;=20,1,0))</formula>
    </cfRule>
    <cfRule type="expression" dxfId="4626" priority="476">
      <formula>AND(IF($Q15=2,1,0),IF($X15&lt;30,1,0))</formula>
    </cfRule>
    <cfRule type="expression" dxfId="4625" priority="477">
      <formula>AND(IF($Q15=3,1,0),IF($X15&lt;30,1,0))</formula>
    </cfRule>
    <cfRule type="expression" dxfId="4624" priority="478">
      <formula>AND(IF($Q15=3,1,IF($Q15=4,1,0)),IF($F15&lt;=85,1,0))</formula>
    </cfRule>
  </conditionalFormatting>
  <conditionalFormatting sqref="AV16">
    <cfRule type="expression" dxfId="4623" priority="473">
      <formula>AV16="X"</formula>
    </cfRule>
    <cfRule type="expression" dxfId="4622" priority="474">
      <formula>AV16="후보"</formula>
    </cfRule>
  </conditionalFormatting>
  <conditionalFormatting sqref="AC16">
    <cfRule type="cellIs" dxfId="4621" priority="471" operator="greaterThan">
      <formula>0.9</formula>
    </cfRule>
    <cfRule type="cellIs" dxfId="4620" priority="472" operator="greaterThan">
      <formula>0.85</formula>
    </cfRule>
  </conditionalFormatting>
  <conditionalFormatting sqref="N16">
    <cfRule type="cellIs" dxfId="4619" priority="469" operator="greaterThan">
      <formula>0.9</formula>
    </cfRule>
    <cfRule type="cellIs" dxfId="4618" priority="470" operator="greaterThan">
      <formula>0.85</formula>
    </cfRule>
  </conditionalFormatting>
  <conditionalFormatting sqref="E16">
    <cfRule type="expression" dxfId="4617" priority="465">
      <formula>AND(IF(OR($Q16=1,$Q16=2),1,0),IF($X16&lt;=20,1,0))</formula>
    </cfRule>
    <cfRule type="expression" dxfId="4616" priority="466">
      <formula>AND(IF($Q16=2,1,0),IF($X16&lt;30,1,0))</formula>
    </cfRule>
    <cfRule type="expression" dxfId="4615" priority="467">
      <formula>AND(IF($Q16=3,1,0),IF($X16&lt;30,1,0))</formula>
    </cfRule>
    <cfRule type="expression" dxfId="4614" priority="468">
      <formula>AND(IF($Q16=3,1,IF($Q16=4,1,0)),IF($F16&lt;=85,1,0))</formula>
    </cfRule>
  </conditionalFormatting>
  <conditionalFormatting sqref="X16">
    <cfRule type="expression" dxfId="4613" priority="461">
      <formula>AND(IF(OR($Q16=1,$Q16=2),1,0),IF($X16&lt;=20,1,0))</formula>
    </cfRule>
    <cfRule type="expression" dxfId="4612" priority="462">
      <formula>AND(IF($Q16=2,1,0),IF($X16&lt;30,1,0))</formula>
    </cfRule>
    <cfRule type="expression" dxfId="4611" priority="463">
      <formula>AND(IF($Q16=3,1,0),IF($X16&lt;30,1,0))</formula>
    </cfRule>
    <cfRule type="expression" dxfId="4610" priority="464">
      <formula>AND(IF($Q16=3,1,IF($Q16=4,1,0)),IF($F16&lt;=85,1,0))</formula>
    </cfRule>
  </conditionalFormatting>
  <conditionalFormatting sqref="AI16">
    <cfRule type="expression" dxfId="4609" priority="457">
      <formula>AND(IF(OR($Q16=1,$Q16=2),1,0),IF($X16&lt;=20,1,0))</formula>
    </cfRule>
    <cfRule type="expression" dxfId="4608" priority="458">
      <formula>AND(IF($Q16=2,1,0),IF($X16&lt;30,1,0))</formula>
    </cfRule>
    <cfRule type="expression" dxfId="4607" priority="459">
      <formula>AND(IF($Q16=3,1,0),IF($X16&lt;30,1,0))</formula>
    </cfRule>
    <cfRule type="expression" dxfId="4606" priority="460">
      <formula>AND(IF($Q16=3,1,IF($Q16=4,1,0)),IF($F16&lt;=85,1,0))</formula>
    </cfRule>
  </conditionalFormatting>
  <conditionalFormatting sqref="AV17">
    <cfRule type="expression" dxfId="4605" priority="455">
      <formula>AV17="X"</formula>
    </cfRule>
    <cfRule type="expression" dxfId="4604" priority="456">
      <formula>AV17="후보"</formula>
    </cfRule>
  </conditionalFormatting>
  <conditionalFormatting sqref="AC17 N17">
    <cfRule type="cellIs" dxfId="4603" priority="453" operator="greaterThan">
      <formula>0.9</formula>
    </cfRule>
    <cfRule type="cellIs" dxfId="4602" priority="454" operator="greaterThan">
      <formula>0.85</formula>
    </cfRule>
  </conditionalFormatting>
  <conditionalFormatting sqref="AV18">
    <cfRule type="expression" dxfId="4601" priority="451">
      <formula>AV18="X"</formula>
    </cfRule>
    <cfRule type="expression" dxfId="4600" priority="452">
      <formula>AV18="후보"</formula>
    </cfRule>
  </conditionalFormatting>
  <conditionalFormatting sqref="AC18">
    <cfRule type="cellIs" dxfId="4599" priority="449" operator="greaterThan">
      <formula>0.9</formula>
    </cfRule>
    <cfRule type="cellIs" dxfId="4598" priority="450" operator="greaterThan">
      <formula>0.85</formula>
    </cfRule>
  </conditionalFormatting>
  <conditionalFormatting sqref="N18">
    <cfRule type="cellIs" dxfId="4597" priority="447" operator="greaterThan">
      <formula>0.9</formula>
    </cfRule>
    <cfRule type="cellIs" dxfId="4596" priority="448" operator="greaterThan">
      <formula>0.85</formula>
    </cfRule>
  </conditionalFormatting>
  <conditionalFormatting sqref="E18">
    <cfRule type="expression" dxfId="4595" priority="443">
      <formula>AND(IF(OR($Q18=1,$Q18=2),1,0),IF($X18&lt;=20,1,0))</formula>
    </cfRule>
    <cfRule type="expression" dxfId="4594" priority="444">
      <formula>AND(IF($Q18=2,1,0),IF($X18&lt;30,1,0))</formula>
    </cfRule>
    <cfRule type="expression" dxfId="4593" priority="445">
      <formula>AND(IF($Q18=3,1,0),IF($X18&lt;30,1,0))</formula>
    </cfRule>
    <cfRule type="expression" dxfId="4592" priority="446">
      <formula>AND(IF($Q18=3,1,IF($Q18=4,1,0)),IF($F18&lt;=85,1,0))</formula>
    </cfRule>
  </conditionalFormatting>
  <conditionalFormatting sqref="X18">
    <cfRule type="expression" dxfId="4591" priority="439">
      <formula>AND(IF(OR($Q18=1,$Q18=2),1,0),IF($X18&lt;=20,1,0))</formula>
    </cfRule>
    <cfRule type="expression" dxfId="4590" priority="440">
      <formula>AND(IF($Q18=2,1,0),IF($X18&lt;30,1,0))</formula>
    </cfRule>
    <cfRule type="expression" dxfId="4589" priority="441">
      <formula>AND(IF($Q18=3,1,0),IF($X18&lt;30,1,0))</formula>
    </cfRule>
    <cfRule type="expression" dxfId="4588" priority="442">
      <formula>AND(IF($Q18=3,1,IF($Q18=4,1,0)),IF($F18&lt;=85,1,0))</formula>
    </cfRule>
  </conditionalFormatting>
  <conditionalFormatting sqref="AI18">
    <cfRule type="expression" dxfId="4587" priority="435">
      <formula>AND(IF(OR($Q18=1,$Q18=2),1,0),IF($X18&lt;=20,1,0))</formula>
    </cfRule>
    <cfRule type="expression" dxfId="4586" priority="436">
      <formula>AND(IF($Q18=2,1,0),IF($X18&lt;30,1,0))</formula>
    </cfRule>
    <cfRule type="expression" dxfId="4585" priority="437">
      <formula>AND(IF($Q18=3,1,0),IF($X18&lt;30,1,0))</formula>
    </cfRule>
    <cfRule type="expression" dxfId="4584" priority="438">
      <formula>AND(IF($Q18=3,1,IF($Q18=4,1,0)),IF($F18&lt;=85,1,0))</formula>
    </cfRule>
  </conditionalFormatting>
  <conditionalFormatting sqref="AV19">
    <cfRule type="expression" dxfId="4583" priority="433">
      <formula>AV19="X"</formula>
    </cfRule>
    <cfRule type="expression" dxfId="4582" priority="434">
      <formula>AV19="후보"</formula>
    </cfRule>
  </conditionalFormatting>
  <conditionalFormatting sqref="AC19">
    <cfRule type="cellIs" dxfId="4581" priority="431" operator="greaterThan">
      <formula>0.9</formula>
    </cfRule>
    <cfRule type="cellIs" dxfId="4580" priority="432" operator="greaterThan">
      <formula>0.85</formula>
    </cfRule>
  </conditionalFormatting>
  <conditionalFormatting sqref="N19">
    <cfRule type="cellIs" dxfId="4579" priority="429" operator="greaterThan">
      <formula>0.9</formula>
    </cfRule>
    <cfRule type="cellIs" dxfId="4578" priority="430" operator="greaterThan">
      <formula>0.85</formula>
    </cfRule>
  </conditionalFormatting>
  <conditionalFormatting sqref="E19">
    <cfRule type="expression" dxfId="4577" priority="425">
      <formula>AND(IF(OR($Q19=1,$Q19=2),1,0),IF($X19&lt;=20,1,0))</formula>
    </cfRule>
    <cfRule type="expression" dxfId="4576" priority="426">
      <formula>AND(IF($Q19=2,1,0),IF($X19&lt;30,1,0))</formula>
    </cfRule>
    <cfRule type="expression" dxfId="4575" priority="427">
      <formula>AND(IF($Q19=3,1,0),IF($X19&lt;30,1,0))</formula>
    </cfRule>
    <cfRule type="expression" dxfId="4574" priority="428">
      <formula>AND(IF($Q19=3,1,IF($Q19=4,1,0)),IF($F19&lt;=85,1,0))</formula>
    </cfRule>
  </conditionalFormatting>
  <conditionalFormatting sqref="X19">
    <cfRule type="expression" dxfId="4573" priority="421">
      <formula>AND(IF(OR($Q19=1,$Q19=2),1,0),IF($X19&lt;=20,1,0))</formula>
    </cfRule>
    <cfRule type="expression" dxfId="4572" priority="422">
      <formula>AND(IF($Q19=2,1,0),IF($X19&lt;30,1,0))</formula>
    </cfRule>
    <cfRule type="expression" dxfId="4571" priority="423">
      <formula>AND(IF($Q19=3,1,0),IF($X19&lt;30,1,0))</formula>
    </cfRule>
    <cfRule type="expression" dxfId="4570" priority="424">
      <formula>AND(IF($Q19=3,1,IF($Q19=4,1,0)),IF($F19&lt;=85,1,0))</formula>
    </cfRule>
  </conditionalFormatting>
  <conditionalFormatting sqref="AI19">
    <cfRule type="expression" dxfId="4569" priority="417">
      <formula>AND(IF(OR($Q19=1,$Q19=2),1,0),IF($X19&lt;=20,1,0))</formula>
    </cfRule>
    <cfRule type="expression" dxfId="4568" priority="418">
      <formula>AND(IF($Q19=2,1,0),IF($X19&lt;30,1,0))</formula>
    </cfRule>
    <cfRule type="expression" dxfId="4567" priority="419">
      <formula>AND(IF($Q19=3,1,0),IF($X19&lt;30,1,0))</formula>
    </cfRule>
    <cfRule type="expression" dxfId="4566" priority="420">
      <formula>AND(IF($Q19=3,1,IF($Q19=4,1,0)),IF($F19&lt;=85,1,0))</formula>
    </cfRule>
  </conditionalFormatting>
  <conditionalFormatting sqref="AV20">
    <cfRule type="expression" dxfId="4565" priority="415">
      <formula>AV20="X"</formula>
    </cfRule>
    <cfRule type="expression" dxfId="4564" priority="416">
      <formula>AV20="후보"</formula>
    </cfRule>
  </conditionalFormatting>
  <conditionalFormatting sqref="AC20">
    <cfRule type="cellIs" dxfId="4563" priority="413" operator="greaterThan">
      <formula>0.9</formula>
    </cfRule>
    <cfRule type="cellIs" dxfId="4562" priority="414" operator="greaterThan">
      <formula>0.85</formula>
    </cfRule>
  </conditionalFormatting>
  <conditionalFormatting sqref="N20">
    <cfRule type="cellIs" dxfId="4561" priority="411" operator="greaterThan">
      <formula>0.9</formula>
    </cfRule>
    <cfRule type="cellIs" dxfId="4560" priority="412" operator="greaterThan">
      <formula>0.85</formula>
    </cfRule>
  </conditionalFormatting>
  <conditionalFormatting sqref="E20">
    <cfRule type="expression" dxfId="4559" priority="407">
      <formula>AND(IF(OR($Q20=1,$Q20=2),1,0),IF($X20&lt;=20,1,0))</formula>
    </cfRule>
    <cfRule type="expression" dxfId="4558" priority="408">
      <formula>AND(IF($Q20=2,1,0),IF($X20&lt;30,1,0))</formula>
    </cfRule>
    <cfRule type="expression" dxfId="4557" priority="409">
      <formula>AND(IF($Q20=3,1,0),IF($X20&lt;30,1,0))</formula>
    </cfRule>
    <cfRule type="expression" dxfId="4556" priority="410">
      <formula>AND(IF($Q20=3,1,IF($Q20=4,1,0)),IF($F20&lt;=85,1,0))</formula>
    </cfRule>
  </conditionalFormatting>
  <conditionalFormatting sqref="X20">
    <cfRule type="expression" dxfId="4555" priority="403">
      <formula>AND(IF(OR($Q20=1,$Q20=2),1,0),IF($X20&lt;=20,1,0))</formula>
    </cfRule>
    <cfRule type="expression" dxfId="4554" priority="404">
      <formula>AND(IF($Q20=2,1,0),IF($X20&lt;30,1,0))</formula>
    </cfRule>
    <cfRule type="expression" dxfId="4553" priority="405">
      <formula>AND(IF($Q20=3,1,0),IF($X20&lt;30,1,0))</formula>
    </cfRule>
    <cfRule type="expression" dxfId="4552" priority="406">
      <formula>AND(IF($Q20=3,1,IF($Q20=4,1,0)),IF($F20&lt;=85,1,0))</formula>
    </cfRule>
  </conditionalFormatting>
  <conditionalFormatting sqref="AI20">
    <cfRule type="expression" dxfId="4551" priority="399">
      <formula>AND(IF(OR($Q20=1,$Q20=2),1,0),IF($X20&lt;=20,1,0))</formula>
    </cfRule>
    <cfRule type="expression" dxfId="4550" priority="400">
      <formula>AND(IF($Q20=2,1,0),IF($X20&lt;30,1,0))</formula>
    </cfRule>
    <cfRule type="expression" dxfId="4549" priority="401">
      <formula>AND(IF($Q20=3,1,0),IF($X20&lt;30,1,0))</formula>
    </cfRule>
    <cfRule type="expression" dxfId="4548" priority="402">
      <formula>AND(IF($Q20=3,1,IF($Q20=4,1,0)),IF($F20&lt;=85,1,0))</formula>
    </cfRule>
  </conditionalFormatting>
  <conditionalFormatting sqref="AV21">
    <cfRule type="expression" dxfId="4547" priority="397">
      <formula>AV21="X"</formula>
    </cfRule>
    <cfRule type="expression" dxfId="4546" priority="398">
      <formula>AV21="후보"</formula>
    </cfRule>
  </conditionalFormatting>
  <conditionalFormatting sqref="AC21">
    <cfRule type="cellIs" dxfId="4545" priority="395" operator="greaterThan">
      <formula>0.9</formula>
    </cfRule>
    <cfRule type="cellIs" dxfId="4544" priority="396" operator="greaterThan">
      <formula>0.85</formula>
    </cfRule>
  </conditionalFormatting>
  <conditionalFormatting sqref="N21">
    <cfRule type="cellIs" dxfId="4543" priority="393" operator="greaterThan">
      <formula>0.9</formula>
    </cfRule>
    <cfRule type="cellIs" dxfId="4542" priority="394" operator="greaterThan">
      <formula>0.85</formula>
    </cfRule>
  </conditionalFormatting>
  <conditionalFormatting sqref="E21">
    <cfRule type="expression" dxfId="4541" priority="389">
      <formula>AND(IF(OR($Q21=1,$Q21=2),1,0),IF($X21&lt;=20,1,0))</formula>
    </cfRule>
    <cfRule type="expression" dxfId="4540" priority="390">
      <formula>AND(IF($Q21=2,1,0),IF($X21&lt;30,1,0))</formula>
    </cfRule>
    <cfRule type="expression" dxfId="4539" priority="391">
      <formula>AND(IF($Q21=3,1,0),IF($X21&lt;30,1,0))</formula>
    </cfRule>
    <cfRule type="expression" dxfId="4538" priority="392">
      <formula>AND(IF($Q21=3,1,IF($Q21=4,1,0)),IF($F21&lt;=85,1,0))</formula>
    </cfRule>
  </conditionalFormatting>
  <conditionalFormatting sqref="X21">
    <cfRule type="expression" dxfId="4537" priority="385">
      <formula>AND(IF(OR($Q21=1,$Q21=2),1,0),IF($X21&lt;=20,1,0))</formula>
    </cfRule>
    <cfRule type="expression" dxfId="4536" priority="386">
      <formula>AND(IF($Q21=2,1,0),IF($X21&lt;30,1,0))</formula>
    </cfRule>
    <cfRule type="expression" dxfId="4535" priority="387">
      <formula>AND(IF($Q21=3,1,0),IF($X21&lt;30,1,0))</formula>
    </cfRule>
    <cfRule type="expression" dxfId="4534" priority="388">
      <formula>AND(IF($Q21=3,1,IF($Q21=4,1,0)),IF($F21&lt;=85,1,0))</formula>
    </cfRule>
  </conditionalFormatting>
  <conditionalFormatting sqref="AI21">
    <cfRule type="expression" dxfId="4533" priority="381">
      <formula>AND(IF(OR($Q21=1,$Q21=2),1,0),IF($X21&lt;=20,1,0))</formula>
    </cfRule>
    <cfRule type="expression" dxfId="4532" priority="382">
      <formula>AND(IF($Q21=2,1,0),IF($X21&lt;30,1,0))</formula>
    </cfRule>
    <cfRule type="expression" dxfId="4531" priority="383">
      <formula>AND(IF($Q21=3,1,0),IF($X21&lt;30,1,0))</formula>
    </cfRule>
    <cfRule type="expression" dxfId="4530" priority="384">
      <formula>AND(IF($Q21=3,1,IF($Q21=4,1,0)),IF($F21&lt;=85,1,0))</formula>
    </cfRule>
  </conditionalFormatting>
  <conditionalFormatting sqref="AV22">
    <cfRule type="expression" dxfId="4529" priority="379">
      <formula>AV22="X"</formula>
    </cfRule>
    <cfRule type="expression" dxfId="4528" priority="380">
      <formula>AV22="후보"</formula>
    </cfRule>
  </conditionalFormatting>
  <conditionalFormatting sqref="AC22">
    <cfRule type="cellIs" dxfId="4527" priority="377" operator="greaterThan">
      <formula>0.9</formula>
    </cfRule>
    <cfRule type="cellIs" dxfId="4526" priority="378" operator="greaterThan">
      <formula>0.85</formula>
    </cfRule>
  </conditionalFormatting>
  <conditionalFormatting sqref="N22">
    <cfRule type="cellIs" dxfId="4525" priority="375" operator="greaterThan">
      <formula>0.9</formula>
    </cfRule>
    <cfRule type="cellIs" dxfId="4524" priority="376" operator="greaterThan">
      <formula>0.85</formula>
    </cfRule>
  </conditionalFormatting>
  <conditionalFormatting sqref="E22">
    <cfRule type="expression" dxfId="4523" priority="371">
      <formula>AND(IF(OR($Q22=1,$Q22=2),1,0),IF($X22&lt;=20,1,0))</formula>
    </cfRule>
    <cfRule type="expression" dxfId="4522" priority="372">
      <formula>AND(IF($Q22=2,1,0),IF($X22&lt;30,1,0))</formula>
    </cfRule>
    <cfRule type="expression" dxfId="4521" priority="373">
      <formula>AND(IF($Q22=3,1,0),IF($X22&lt;30,1,0))</formula>
    </cfRule>
    <cfRule type="expression" dxfId="4520" priority="374">
      <formula>AND(IF($Q22=3,1,IF($Q22=4,1,0)),IF($F22&lt;=85,1,0))</formula>
    </cfRule>
  </conditionalFormatting>
  <conditionalFormatting sqref="X22">
    <cfRule type="expression" dxfId="4519" priority="367">
      <formula>AND(IF(OR($Q22=1,$Q22=2),1,0),IF($X22&lt;=20,1,0))</formula>
    </cfRule>
    <cfRule type="expression" dxfId="4518" priority="368">
      <formula>AND(IF($Q22=2,1,0),IF($X22&lt;30,1,0))</formula>
    </cfRule>
    <cfRule type="expression" dxfId="4517" priority="369">
      <formula>AND(IF($Q22=3,1,0),IF($X22&lt;30,1,0))</formula>
    </cfRule>
    <cfRule type="expression" dxfId="4516" priority="370">
      <formula>AND(IF($Q22=3,1,IF($Q22=4,1,0)),IF($F22&lt;=85,1,0))</formula>
    </cfRule>
  </conditionalFormatting>
  <conditionalFormatting sqref="AI22">
    <cfRule type="expression" dxfId="4515" priority="363">
      <formula>AND(IF(OR($Q22=1,$Q22=2),1,0),IF($X22&lt;=20,1,0))</formula>
    </cfRule>
    <cfRule type="expression" dxfId="4514" priority="364">
      <formula>AND(IF($Q22=2,1,0),IF($X22&lt;30,1,0))</formula>
    </cfRule>
    <cfRule type="expression" dxfId="4513" priority="365">
      <formula>AND(IF($Q22=3,1,0),IF($X22&lt;30,1,0))</formula>
    </cfRule>
    <cfRule type="expression" dxfId="4512" priority="366">
      <formula>AND(IF($Q22=3,1,IF($Q22=4,1,0)),IF($F22&lt;=85,1,0))</formula>
    </cfRule>
  </conditionalFormatting>
  <conditionalFormatting sqref="AV23">
    <cfRule type="expression" dxfId="4511" priority="361">
      <formula>AV23="X"</formula>
    </cfRule>
    <cfRule type="expression" dxfId="4510" priority="362">
      <formula>AV23="후보"</formula>
    </cfRule>
  </conditionalFormatting>
  <conditionalFormatting sqref="AC23">
    <cfRule type="cellIs" dxfId="4509" priority="359" operator="greaterThan">
      <formula>0.9</formula>
    </cfRule>
    <cfRule type="cellIs" dxfId="4508" priority="360" operator="greaterThan">
      <formula>0.85</formula>
    </cfRule>
  </conditionalFormatting>
  <conditionalFormatting sqref="N23">
    <cfRule type="cellIs" dxfId="4507" priority="357" operator="greaterThan">
      <formula>0.9</formula>
    </cfRule>
    <cfRule type="cellIs" dxfId="4506" priority="358" operator="greaterThan">
      <formula>0.85</formula>
    </cfRule>
  </conditionalFormatting>
  <conditionalFormatting sqref="E23">
    <cfRule type="expression" dxfId="4505" priority="353">
      <formula>AND(IF(OR($Q23=1,$Q23=2),1,0),IF($X23&lt;=20,1,0))</formula>
    </cfRule>
    <cfRule type="expression" dxfId="4504" priority="354">
      <formula>AND(IF($Q23=2,1,0),IF($X23&lt;30,1,0))</formula>
    </cfRule>
    <cfRule type="expression" dxfId="4503" priority="355">
      <formula>AND(IF($Q23=3,1,0),IF($X23&lt;30,1,0))</formula>
    </cfRule>
    <cfRule type="expression" dxfId="4502" priority="356">
      <formula>AND(IF($Q23=3,1,IF($Q23=4,1,0)),IF($F23&lt;=85,1,0))</formula>
    </cfRule>
  </conditionalFormatting>
  <conditionalFormatting sqref="X23">
    <cfRule type="expression" dxfId="4501" priority="349">
      <formula>AND(IF(OR($Q23=1,$Q23=2),1,0),IF($X23&lt;=20,1,0))</formula>
    </cfRule>
    <cfRule type="expression" dxfId="4500" priority="350">
      <formula>AND(IF($Q23=2,1,0),IF($X23&lt;30,1,0))</formula>
    </cfRule>
    <cfRule type="expression" dxfId="4499" priority="351">
      <formula>AND(IF($Q23=3,1,0),IF($X23&lt;30,1,0))</formula>
    </cfRule>
    <cfRule type="expression" dxfId="4498" priority="352">
      <formula>AND(IF($Q23=3,1,IF($Q23=4,1,0)),IF($F23&lt;=85,1,0))</formula>
    </cfRule>
  </conditionalFormatting>
  <conditionalFormatting sqref="AI23">
    <cfRule type="expression" dxfId="4497" priority="345">
      <formula>AND(IF(OR($Q23=1,$Q23=2),1,0),IF($X23&lt;=20,1,0))</formula>
    </cfRule>
    <cfRule type="expression" dxfId="4496" priority="346">
      <formula>AND(IF($Q23=2,1,0),IF($X23&lt;30,1,0))</formula>
    </cfRule>
    <cfRule type="expression" dxfId="4495" priority="347">
      <formula>AND(IF($Q23=3,1,0),IF($X23&lt;30,1,0))</formula>
    </cfRule>
    <cfRule type="expression" dxfId="4494" priority="348">
      <formula>AND(IF($Q23=3,1,IF($Q23=4,1,0)),IF($F23&lt;=85,1,0))</formula>
    </cfRule>
  </conditionalFormatting>
  <conditionalFormatting sqref="AV24">
    <cfRule type="expression" dxfId="4493" priority="343">
      <formula>AV24="X"</formula>
    </cfRule>
    <cfRule type="expression" dxfId="4492" priority="344">
      <formula>AV24="후보"</formula>
    </cfRule>
  </conditionalFormatting>
  <conditionalFormatting sqref="AC24">
    <cfRule type="cellIs" dxfId="4491" priority="341" operator="greaterThan">
      <formula>0.9</formula>
    </cfRule>
    <cfRule type="cellIs" dxfId="4490" priority="342" operator="greaterThan">
      <formula>0.85</formula>
    </cfRule>
  </conditionalFormatting>
  <conditionalFormatting sqref="N24">
    <cfRule type="cellIs" dxfId="4489" priority="339" operator="greaterThan">
      <formula>0.9</formula>
    </cfRule>
    <cfRule type="cellIs" dxfId="4488" priority="340" operator="greaterThan">
      <formula>0.85</formula>
    </cfRule>
  </conditionalFormatting>
  <conditionalFormatting sqref="E24">
    <cfRule type="expression" dxfId="4487" priority="335">
      <formula>AND(IF(OR($Q24=1,$Q24=2),1,0),IF($X24&lt;=20,1,0))</formula>
    </cfRule>
    <cfRule type="expression" dxfId="4486" priority="336">
      <formula>AND(IF($Q24=2,1,0),IF($X24&lt;30,1,0))</formula>
    </cfRule>
    <cfRule type="expression" dxfId="4485" priority="337">
      <formula>AND(IF($Q24=3,1,0),IF($X24&lt;30,1,0))</formula>
    </cfRule>
    <cfRule type="expression" dxfId="4484" priority="338">
      <formula>AND(IF($Q24=3,1,IF($Q24=4,1,0)),IF($F24&lt;=85,1,0))</formula>
    </cfRule>
  </conditionalFormatting>
  <conditionalFormatting sqref="X24">
    <cfRule type="expression" dxfId="4483" priority="331">
      <formula>AND(IF(OR($Q24=1,$Q24=2),1,0),IF($X24&lt;=20,1,0))</formula>
    </cfRule>
    <cfRule type="expression" dxfId="4482" priority="332">
      <formula>AND(IF($Q24=2,1,0),IF($X24&lt;30,1,0))</formula>
    </cfRule>
    <cfRule type="expression" dxfId="4481" priority="333">
      <formula>AND(IF($Q24=3,1,0),IF($X24&lt;30,1,0))</formula>
    </cfRule>
    <cfRule type="expression" dxfId="4480" priority="334">
      <formula>AND(IF($Q24=3,1,IF($Q24=4,1,0)),IF($F24&lt;=85,1,0))</formula>
    </cfRule>
  </conditionalFormatting>
  <conditionalFormatting sqref="AI24">
    <cfRule type="expression" dxfId="4479" priority="327">
      <formula>AND(IF(OR($Q24=1,$Q24=2),1,0),IF($X24&lt;=20,1,0))</formula>
    </cfRule>
    <cfRule type="expression" dxfId="4478" priority="328">
      <formula>AND(IF($Q24=2,1,0),IF($X24&lt;30,1,0))</formula>
    </cfRule>
    <cfRule type="expression" dxfId="4477" priority="329">
      <formula>AND(IF($Q24=3,1,0),IF($X24&lt;30,1,0))</formula>
    </cfRule>
    <cfRule type="expression" dxfId="4476" priority="330">
      <formula>AND(IF($Q24=3,1,IF($Q24=4,1,0)),IF($F24&lt;=85,1,0))</formula>
    </cfRule>
  </conditionalFormatting>
  <conditionalFormatting sqref="AV25">
    <cfRule type="expression" dxfId="4475" priority="325">
      <formula>AV25="X"</formula>
    </cfRule>
    <cfRule type="expression" dxfId="4474" priority="326">
      <formula>AV25="후보"</formula>
    </cfRule>
  </conditionalFormatting>
  <conditionalFormatting sqref="AC25 N25">
    <cfRule type="cellIs" dxfId="4473" priority="323" operator="greaterThan">
      <formula>0.9</formula>
    </cfRule>
    <cfRule type="cellIs" dxfId="4472" priority="324" operator="greaterThan">
      <formula>0.85</formula>
    </cfRule>
  </conditionalFormatting>
  <conditionalFormatting sqref="AV26">
    <cfRule type="expression" dxfId="4471" priority="321">
      <formula>AV26="X"</formula>
    </cfRule>
    <cfRule type="expression" dxfId="4470" priority="322">
      <formula>AV26="후보"</formula>
    </cfRule>
  </conditionalFormatting>
  <conditionalFormatting sqref="AC26">
    <cfRule type="cellIs" dxfId="4469" priority="319" operator="greaterThan">
      <formula>0.9</formula>
    </cfRule>
    <cfRule type="cellIs" dxfId="4468" priority="320" operator="greaterThan">
      <formula>0.85</formula>
    </cfRule>
  </conditionalFormatting>
  <conditionalFormatting sqref="N26">
    <cfRule type="cellIs" dxfId="4467" priority="317" operator="greaterThan">
      <formula>0.9</formula>
    </cfRule>
    <cfRule type="cellIs" dxfId="4466" priority="318" operator="greaterThan">
      <formula>0.85</formula>
    </cfRule>
  </conditionalFormatting>
  <conditionalFormatting sqref="E26">
    <cfRule type="expression" dxfId="4465" priority="313">
      <formula>AND(IF(OR($Q26=1,$Q26=2),1,0),IF($X26&lt;=20,1,0))</formula>
    </cfRule>
    <cfRule type="expression" dxfId="4464" priority="314">
      <formula>AND(IF($Q26=2,1,0),IF($X26&lt;30,1,0))</formula>
    </cfRule>
    <cfRule type="expression" dxfId="4463" priority="315">
      <formula>AND(IF($Q26=3,1,0),IF($X26&lt;30,1,0))</formula>
    </cfRule>
    <cfRule type="expression" dxfId="4462" priority="316">
      <formula>AND(IF($Q26=3,1,IF($Q26=4,1,0)),IF($F26&lt;=85,1,0))</formula>
    </cfRule>
  </conditionalFormatting>
  <conditionalFormatting sqref="X26">
    <cfRule type="expression" dxfId="4461" priority="309">
      <formula>AND(IF(OR($Q26=1,$Q26=2),1,0),IF($X26&lt;=20,1,0))</formula>
    </cfRule>
    <cfRule type="expression" dxfId="4460" priority="310">
      <formula>AND(IF($Q26=2,1,0),IF($X26&lt;30,1,0))</formula>
    </cfRule>
    <cfRule type="expression" dxfId="4459" priority="311">
      <formula>AND(IF($Q26=3,1,0),IF($X26&lt;30,1,0))</formula>
    </cfRule>
    <cfRule type="expression" dxfId="4458" priority="312">
      <formula>AND(IF($Q26=3,1,IF($Q26=4,1,0)),IF($F26&lt;=85,1,0))</formula>
    </cfRule>
  </conditionalFormatting>
  <conditionalFormatting sqref="AI26">
    <cfRule type="expression" dxfId="4457" priority="305">
      <formula>AND(IF(OR($Q26=1,$Q26=2),1,0),IF($X26&lt;=20,1,0))</formula>
    </cfRule>
    <cfRule type="expression" dxfId="4456" priority="306">
      <formula>AND(IF($Q26=2,1,0),IF($X26&lt;30,1,0))</formula>
    </cfRule>
    <cfRule type="expression" dxfId="4455" priority="307">
      <formula>AND(IF($Q26=3,1,0),IF($X26&lt;30,1,0))</formula>
    </cfRule>
    <cfRule type="expression" dxfId="4454" priority="308">
      <formula>AND(IF($Q26=3,1,IF($Q26=4,1,0)),IF($F26&lt;=85,1,0))</formula>
    </cfRule>
  </conditionalFormatting>
  <conditionalFormatting sqref="AV27">
    <cfRule type="expression" dxfId="4453" priority="303">
      <formula>AV27="X"</formula>
    </cfRule>
    <cfRule type="expression" dxfId="4452" priority="304">
      <formula>AV27="후보"</formula>
    </cfRule>
  </conditionalFormatting>
  <conditionalFormatting sqref="AC27">
    <cfRule type="cellIs" dxfId="4451" priority="301" operator="greaterThan">
      <formula>0.9</formula>
    </cfRule>
    <cfRule type="cellIs" dxfId="4450" priority="302" operator="greaterThan">
      <formula>0.85</formula>
    </cfRule>
  </conditionalFormatting>
  <conditionalFormatting sqref="N27">
    <cfRule type="cellIs" dxfId="4449" priority="299" operator="greaterThan">
      <formula>0.9</formula>
    </cfRule>
    <cfRule type="cellIs" dxfId="4448" priority="300" operator="greaterThan">
      <formula>0.85</formula>
    </cfRule>
  </conditionalFormatting>
  <conditionalFormatting sqref="E27">
    <cfRule type="expression" dxfId="4447" priority="295">
      <formula>AND(IF(OR($Q27=1,$Q27=2),1,0),IF($X27&lt;=20,1,0))</formula>
    </cfRule>
    <cfRule type="expression" dxfId="4446" priority="296">
      <formula>AND(IF($Q27=2,1,0),IF($X27&lt;30,1,0))</formula>
    </cfRule>
    <cfRule type="expression" dxfId="4445" priority="297">
      <formula>AND(IF($Q27=3,1,0),IF($X27&lt;30,1,0))</formula>
    </cfRule>
    <cfRule type="expression" dxfId="4444" priority="298">
      <formula>AND(IF($Q27=3,1,IF($Q27=4,1,0)),IF($F27&lt;=85,1,0))</formula>
    </cfRule>
  </conditionalFormatting>
  <conditionalFormatting sqref="X27">
    <cfRule type="expression" dxfId="4443" priority="291">
      <formula>AND(IF(OR($Q27=1,$Q27=2),1,0),IF($X27&lt;=20,1,0))</formula>
    </cfRule>
    <cfRule type="expression" dxfId="4442" priority="292">
      <formula>AND(IF($Q27=2,1,0),IF($X27&lt;30,1,0))</formula>
    </cfRule>
    <cfRule type="expression" dxfId="4441" priority="293">
      <formula>AND(IF($Q27=3,1,0),IF($X27&lt;30,1,0))</formula>
    </cfRule>
    <cfRule type="expression" dxfId="4440" priority="294">
      <formula>AND(IF($Q27=3,1,IF($Q27=4,1,0)),IF($F27&lt;=85,1,0))</formula>
    </cfRule>
  </conditionalFormatting>
  <conditionalFormatting sqref="AI27">
    <cfRule type="expression" dxfId="4439" priority="287">
      <formula>AND(IF(OR($Q27=1,$Q27=2),1,0),IF($X27&lt;=20,1,0))</formula>
    </cfRule>
    <cfRule type="expression" dxfId="4438" priority="288">
      <formula>AND(IF($Q27=2,1,0),IF($X27&lt;30,1,0))</formula>
    </cfRule>
    <cfRule type="expression" dxfId="4437" priority="289">
      <formula>AND(IF($Q27=3,1,0),IF($X27&lt;30,1,0))</formula>
    </cfRule>
    <cfRule type="expression" dxfId="4436" priority="290">
      <formula>AND(IF($Q27=3,1,IF($Q27=4,1,0)),IF($F27&lt;=85,1,0))</formula>
    </cfRule>
  </conditionalFormatting>
  <conditionalFormatting sqref="AV28">
    <cfRule type="expression" dxfId="4435" priority="285">
      <formula>AV28="X"</formula>
    </cfRule>
    <cfRule type="expression" dxfId="4434" priority="286">
      <formula>AV28="후보"</formula>
    </cfRule>
  </conditionalFormatting>
  <conditionalFormatting sqref="AC28">
    <cfRule type="cellIs" dxfId="4433" priority="283" operator="greaterThan">
      <formula>0.9</formula>
    </cfRule>
    <cfRule type="cellIs" dxfId="4432" priority="284" operator="greaterThan">
      <formula>0.85</formula>
    </cfRule>
  </conditionalFormatting>
  <conditionalFormatting sqref="N28">
    <cfRule type="cellIs" dxfId="4431" priority="281" operator="greaterThan">
      <formula>0.9</formula>
    </cfRule>
    <cfRule type="cellIs" dxfId="4430" priority="282" operator="greaterThan">
      <formula>0.85</formula>
    </cfRule>
  </conditionalFormatting>
  <conditionalFormatting sqref="E28">
    <cfRule type="expression" dxfId="4429" priority="277">
      <formula>AND(IF(OR($Q28=1,$Q28=2),1,0),IF($X28&lt;=20,1,0))</formula>
    </cfRule>
    <cfRule type="expression" dxfId="4428" priority="278">
      <formula>AND(IF($Q28=2,1,0),IF($X28&lt;30,1,0))</formula>
    </cfRule>
    <cfRule type="expression" dxfId="4427" priority="279">
      <formula>AND(IF($Q28=3,1,0),IF($X28&lt;30,1,0))</formula>
    </cfRule>
    <cfRule type="expression" dxfId="4426" priority="280">
      <formula>AND(IF($Q28=3,1,IF($Q28=4,1,0)),IF($F28&lt;=85,1,0))</formula>
    </cfRule>
  </conditionalFormatting>
  <conditionalFormatting sqref="X28">
    <cfRule type="expression" dxfId="4425" priority="273">
      <formula>AND(IF(OR($Q28=1,$Q28=2),1,0),IF($X28&lt;=20,1,0))</formula>
    </cfRule>
    <cfRule type="expression" dxfId="4424" priority="274">
      <formula>AND(IF($Q28=2,1,0),IF($X28&lt;30,1,0))</formula>
    </cfRule>
    <cfRule type="expression" dxfId="4423" priority="275">
      <formula>AND(IF($Q28=3,1,0),IF($X28&lt;30,1,0))</formula>
    </cfRule>
    <cfRule type="expression" dxfId="4422" priority="276">
      <formula>AND(IF($Q28=3,1,IF($Q28=4,1,0)),IF($F28&lt;=85,1,0))</formula>
    </cfRule>
  </conditionalFormatting>
  <conditionalFormatting sqref="AI28">
    <cfRule type="expression" dxfId="4421" priority="269">
      <formula>AND(IF(OR($Q28=1,$Q28=2),1,0),IF($X28&lt;=20,1,0))</formula>
    </cfRule>
    <cfRule type="expression" dxfId="4420" priority="270">
      <formula>AND(IF($Q28=2,1,0),IF($X28&lt;30,1,0))</formula>
    </cfRule>
    <cfRule type="expression" dxfId="4419" priority="271">
      <formula>AND(IF($Q28=3,1,0),IF($X28&lt;30,1,0))</formula>
    </cfRule>
    <cfRule type="expression" dxfId="4418" priority="272">
      <formula>AND(IF($Q28=3,1,IF($Q28=4,1,0)),IF($F28&lt;=85,1,0))</formula>
    </cfRule>
  </conditionalFormatting>
  <conditionalFormatting sqref="AV29">
    <cfRule type="expression" dxfId="4417" priority="267">
      <formula>AV29="X"</formula>
    </cfRule>
    <cfRule type="expression" dxfId="4416" priority="268">
      <formula>AV29="후보"</formula>
    </cfRule>
  </conditionalFormatting>
  <conditionalFormatting sqref="AC29">
    <cfRule type="cellIs" dxfId="4415" priority="265" operator="greaterThan">
      <formula>0.9</formula>
    </cfRule>
    <cfRule type="cellIs" dxfId="4414" priority="266" operator="greaterThan">
      <formula>0.85</formula>
    </cfRule>
  </conditionalFormatting>
  <conditionalFormatting sqref="N29">
    <cfRule type="cellIs" dxfId="4413" priority="263" operator="greaterThan">
      <formula>0.9</formula>
    </cfRule>
    <cfRule type="cellIs" dxfId="4412" priority="264" operator="greaterThan">
      <formula>0.85</formula>
    </cfRule>
  </conditionalFormatting>
  <conditionalFormatting sqref="E29">
    <cfRule type="expression" dxfId="4411" priority="259">
      <formula>AND(IF(OR($Q29=1,$Q29=2),1,0),IF($X29&lt;=20,1,0))</formula>
    </cfRule>
    <cfRule type="expression" dxfId="4410" priority="260">
      <formula>AND(IF($Q29=2,1,0),IF($X29&lt;30,1,0))</formula>
    </cfRule>
    <cfRule type="expression" dxfId="4409" priority="261">
      <formula>AND(IF($Q29=3,1,0),IF($X29&lt;30,1,0))</formula>
    </cfRule>
    <cfRule type="expression" dxfId="4408" priority="262">
      <formula>AND(IF($Q29=3,1,IF($Q29=4,1,0)),IF($F29&lt;=85,1,0))</formula>
    </cfRule>
  </conditionalFormatting>
  <conditionalFormatting sqref="X29">
    <cfRule type="expression" dxfId="4407" priority="255">
      <formula>AND(IF(OR($Q29=1,$Q29=2),1,0),IF($X29&lt;=20,1,0))</formula>
    </cfRule>
    <cfRule type="expression" dxfId="4406" priority="256">
      <formula>AND(IF($Q29=2,1,0),IF($X29&lt;30,1,0))</formula>
    </cfRule>
    <cfRule type="expression" dxfId="4405" priority="257">
      <formula>AND(IF($Q29=3,1,0),IF($X29&lt;30,1,0))</formula>
    </cfRule>
    <cfRule type="expression" dxfId="4404" priority="258">
      <formula>AND(IF($Q29=3,1,IF($Q29=4,1,0)),IF($F29&lt;=85,1,0))</formula>
    </cfRule>
  </conditionalFormatting>
  <conditionalFormatting sqref="AI29">
    <cfRule type="expression" dxfId="4403" priority="251">
      <formula>AND(IF(OR($Q29=1,$Q29=2),1,0),IF($X29&lt;=20,1,0))</formula>
    </cfRule>
    <cfRule type="expression" dxfId="4402" priority="252">
      <formula>AND(IF($Q29=2,1,0),IF($X29&lt;30,1,0))</formula>
    </cfRule>
    <cfRule type="expression" dxfId="4401" priority="253">
      <formula>AND(IF($Q29=3,1,0),IF($X29&lt;30,1,0))</formula>
    </cfRule>
    <cfRule type="expression" dxfId="4400" priority="254">
      <formula>AND(IF($Q29=3,1,IF($Q29=4,1,0)),IF($F29&lt;=85,1,0))</formula>
    </cfRule>
  </conditionalFormatting>
  <conditionalFormatting sqref="AV30">
    <cfRule type="expression" dxfId="4399" priority="249">
      <formula>AV30="X"</formula>
    </cfRule>
    <cfRule type="expression" dxfId="4398" priority="250">
      <formula>AV30="후보"</formula>
    </cfRule>
  </conditionalFormatting>
  <conditionalFormatting sqref="AC30">
    <cfRule type="cellIs" dxfId="4397" priority="247" operator="greaterThan">
      <formula>0.9</formula>
    </cfRule>
    <cfRule type="cellIs" dxfId="4396" priority="248" operator="greaterThan">
      <formula>0.85</formula>
    </cfRule>
  </conditionalFormatting>
  <conditionalFormatting sqref="N30">
    <cfRule type="cellIs" dxfId="4395" priority="245" operator="greaterThan">
      <formula>0.9</formula>
    </cfRule>
    <cfRule type="cellIs" dxfId="4394" priority="246" operator="greaterThan">
      <formula>0.85</formula>
    </cfRule>
  </conditionalFormatting>
  <conditionalFormatting sqref="E30">
    <cfRule type="expression" dxfId="4393" priority="241">
      <formula>AND(IF(OR($Q30=1,$Q30=2),1,0),IF($X30&lt;=20,1,0))</formula>
    </cfRule>
    <cfRule type="expression" dxfId="4392" priority="242">
      <formula>AND(IF($Q30=2,1,0),IF($X30&lt;30,1,0))</formula>
    </cfRule>
    <cfRule type="expression" dxfId="4391" priority="243">
      <formula>AND(IF($Q30=3,1,0),IF($X30&lt;30,1,0))</formula>
    </cfRule>
    <cfRule type="expression" dxfId="4390" priority="244">
      <formula>AND(IF($Q30=3,1,IF($Q30=4,1,0)),IF($F30&lt;=85,1,0))</formula>
    </cfRule>
  </conditionalFormatting>
  <conditionalFormatting sqref="X30">
    <cfRule type="expression" dxfId="4389" priority="237">
      <formula>AND(IF(OR($Q30=1,$Q30=2),1,0),IF($X30&lt;=20,1,0))</formula>
    </cfRule>
    <cfRule type="expression" dxfId="4388" priority="238">
      <formula>AND(IF($Q30=2,1,0),IF($X30&lt;30,1,0))</formula>
    </cfRule>
    <cfRule type="expression" dxfId="4387" priority="239">
      <formula>AND(IF($Q30=3,1,0),IF($X30&lt;30,1,0))</formula>
    </cfRule>
    <cfRule type="expression" dxfId="4386" priority="240">
      <formula>AND(IF($Q30=3,1,IF($Q30=4,1,0)),IF($F30&lt;=85,1,0))</formula>
    </cfRule>
  </conditionalFormatting>
  <conditionalFormatting sqref="AI30">
    <cfRule type="expression" dxfId="4385" priority="233">
      <formula>AND(IF(OR($Q30=1,$Q30=2),1,0),IF($X30&lt;=20,1,0))</formula>
    </cfRule>
    <cfRule type="expression" dxfId="4384" priority="234">
      <formula>AND(IF($Q30=2,1,0),IF($X30&lt;30,1,0))</formula>
    </cfRule>
    <cfRule type="expression" dxfId="4383" priority="235">
      <formula>AND(IF($Q30=3,1,0),IF($X30&lt;30,1,0))</formula>
    </cfRule>
    <cfRule type="expression" dxfId="4382" priority="236">
      <formula>AND(IF($Q30=3,1,IF($Q30=4,1,0)),IF($F30&lt;=85,1,0))</formula>
    </cfRule>
  </conditionalFormatting>
  <conditionalFormatting sqref="AV31">
    <cfRule type="expression" dxfId="4381" priority="231">
      <formula>AV31="X"</formula>
    </cfRule>
    <cfRule type="expression" dxfId="4380" priority="232">
      <formula>AV31="후보"</formula>
    </cfRule>
  </conditionalFormatting>
  <conditionalFormatting sqref="AC31 N31">
    <cfRule type="cellIs" dxfId="4379" priority="229" operator="greaterThan">
      <formula>0.9</formula>
    </cfRule>
    <cfRule type="cellIs" dxfId="4378" priority="230" operator="greaterThan">
      <formula>0.85</formula>
    </cfRule>
  </conditionalFormatting>
  <conditionalFormatting sqref="AV32">
    <cfRule type="expression" dxfId="4377" priority="227">
      <formula>AV32="X"</formula>
    </cfRule>
    <cfRule type="expression" dxfId="4376" priority="228">
      <formula>AV32="후보"</formula>
    </cfRule>
  </conditionalFormatting>
  <conditionalFormatting sqref="AC32">
    <cfRule type="cellIs" dxfId="4375" priority="225" operator="greaterThan">
      <formula>0.9</formula>
    </cfRule>
    <cfRule type="cellIs" dxfId="4374" priority="226" operator="greaterThan">
      <formula>0.85</formula>
    </cfRule>
  </conditionalFormatting>
  <conditionalFormatting sqref="N32">
    <cfRule type="cellIs" dxfId="4373" priority="223" operator="greaterThan">
      <formula>0.9</formula>
    </cfRule>
    <cfRule type="cellIs" dxfId="4372" priority="224" operator="greaterThan">
      <formula>0.85</formula>
    </cfRule>
  </conditionalFormatting>
  <conditionalFormatting sqref="E32">
    <cfRule type="expression" dxfId="4371" priority="219">
      <formula>AND(IF(OR($Q32=1,$Q32=2),1,0),IF($X32&lt;=20,1,0))</formula>
    </cfRule>
    <cfRule type="expression" dxfId="4370" priority="220">
      <formula>AND(IF($Q32=2,1,0),IF($X32&lt;30,1,0))</formula>
    </cfRule>
    <cfRule type="expression" dxfId="4369" priority="221">
      <formula>AND(IF($Q32=3,1,0),IF($X32&lt;30,1,0))</formula>
    </cfRule>
    <cfRule type="expression" dxfId="4368" priority="222">
      <formula>AND(IF($Q32=3,1,IF($Q32=4,1,0)),IF($F32&lt;=85,1,0))</formula>
    </cfRule>
  </conditionalFormatting>
  <conditionalFormatting sqref="X32">
    <cfRule type="expression" dxfId="4367" priority="215">
      <formula>AND(IF(OR($Q32=1,$Q32=2),1,0),IF($X32&lt;=20,1,0))</formula>
    </cfRule>
    <cfRule type="expression" dxfId="4366" priority="216">
      <formula>AND(IF($Q32=2,1,0),IF($X32&lt;30,1,0))</formula>
    </cfRule>
    <cfRule type="expression" dxfId="4365" priority="217">
      <formula>AND(IF($Q32=3,1,0),IF($X32&lt;30,1,0))</formula>
    </cfRule>
    <cfRule type="expression" dxfId="4364" priority="218">
      <formula>AND(IF($Q32=3,1,IF($Q32=4,1,0)),IF($F32&lt;=85,1,0))</formula>
    </cfRule>
  </conditionalFormatting>
  <conditionalFormatting sqref="AI32">
    <cfRule type="expression" dxfId="4363" priority="211">
      <formula>AND(IF(OR($Q32=1,$Q32=2),1,0),IF($X32&lt;=20,1,0))</formula>
    </cfRule>
    <cfRule type="expression" dxfId="4362" priority="212">
      <formula>AND(IF($Q32=2,1,0),IF($X32&lt;30,1,0))</formula>
    </cfRule>
    <cfRule type="expression" dxfId="4361" priority="213">
      <formula>AND(IF($Q32=3,1,0),IF($X32&lt;30,1,0))</formula>
    </cfRule>
    <cfRule type="expression" dxfId="4360" priority="214">
      <formula>AND(IF($Q32=3,1,IF($Q32=4,1,0)),IF($F32&lt;=85,1,0))</formula>
    </cfRule>
  </conditionalFormatting>
  <conditionalFormatting sqref="AV33">
    <cfRule type="expression" dxfId="4359" priority="209">
      <formula>AV33="X"</formula>
    </cfRule>
    <cfRule type="expression" dxfId="4358" priority="210">
      <formula>AV33="후보"</formula>
    </cfRule>
  </conditionalFormatting>
  <conditionalFormatting sqref="AC33">
    <cfRule type="cellIs" dxfId="4357" priority="207" operator="greaterThan">
      <formula>0.9</formula>
    </cfRule>
    <cfRule type="cellIs" dxfId="4356" priority="208" operator="greaterThan">
      <formula>0.85</formula>
    </cfRule>
  </conditionalFormatting>
  <conditionalFormatting sqref="N33">
    <cfRule type="cellIs" dxfId="4355" priority="205" operator="greaterThan">
      <formula>0.9</formula>
    </cfRule>
    <cfRule type="cellIs" dxfId="4354" priority="206" operator="greaterThan">
      <formula>0.85</formula>
    </cfRule>
  </conditionalFormatting>
  <conditionalFormatting sqref="E33">
    <cfRule type="expression" dxfId="4353" priority="201">
      <formula>AND(IF(OR($Q33=1,$Q33=2),1,0),IF($X33&lt;=20,1,0))</formula>
    </cfRule>
    <cfRule type="expression" dxfId="4352" priority="202">
      <formula>AND(IF($Q33=2,1,0),IF($X33&lt;30,1,0))</formula>
    </cfRule>
    <cfRule type="expression" dxfId="4351" priority="203">
      <formula>AND(IF($Q33=3,1,0),IF($X33&lt;30,1,0))</formula>
    </cfRule>
    <cfRule type="expression" dxfId="4350" priority="204">
      <formula>AND(IF($Q33=3,1,IF($Q33=4,1,0)),IF($F33&lt;=85,1,0))</formula>
    </cfRule>
  </conditionalFormatting>
  <conditionalFormatting sqref="X33">
    <cfRule type="expression" dxfId="4349" priority="197">
      <formula>AND(IF(OR($Q33=1,$Q33=2),1,0),IF($X33&lt;=20,1,0))</formula>
    </cfRule>
    <cfRule type="expression" dxfId="4348" priority="198">
      <formula>AND(IF($Q33=2,1,0),IF($X33&lt;30,1,0))</formula>
    </cfRule>
    <cfRule type="expression" dxfId="4347" priority="199">
      <formula>AND(IF($Q33=3,1,0),IF($X33&lt;30,1,0))</formula>
    </cfRule>
    <cfRule type="expression" dxfId="4346" priority="200">
      <formula>AND(IF($Q33=3,1,IF($Q33=4,1,0)),IF($F33&lt;=85,1,0))</formula>
    </cfRule>
  </conditionalFormatting>
  <conditionalFormatting sqref="AI33">
    <cfRule type="expression" dxfId="4345" priority="193">
      <formula>AND(IF(OR($Q33=1,$Q33=2),1,0),IF($X33&lt;=20,1,0))</formula>
    </cfRule>
    <cfRule type="expression" dxfId="4344" priority="194">
      <formula>AND(IF($Q33=2,1,0),IF($X33&lt;30,1,0))</formula>
    </cfRule>
    <cfRule type="expression" dxfId="4343" priority="195">
      <formula>AND(IF($Q33=3,1,0),IF($X33&lt;30,1,0))</formula>
    </cfRule>
    <cfRule type="expression" dxfId="4342" priority="196">
      <formula>AND(IF($Q33=3,1,IF($Q33=4,1,0)),IF($F33&lt;=85,1,0))</formula>
    </cfRule>
  </conditionalFormatting>
  <conditionalFormatting sqref="AV34">
    <cfRule type="expression" dxfId="4341" priority="191">
      <formula>AV34="X"</formula>
    </cfRule>
    <cfRule type="expression" dxfId="4340" priority="192">
      <formula>AV34="후보"</formula>
    </cfRule>
  </conditionalFormatting>
  <conditionalFormatting sqref="AC34 N34">
    <cfRule type="cellIs" dxfId="4339" priority="189" operator="greaterThan">
      <formula>0.9</formula>
    </cfRule>
    <cfRule type="cellIs" dxfId="4338" priority="190" operator="greaterThan">
      <formula>0.85</formula>
    </cfRule>
  </conditionalFormatting>
  <conditionalFormatting sqref="AV35">
    <cfRule type="expression" dxfId="4337" priority="187">
      <formula>AV35="X"</formula>
    </cfRule>
    <cfRule type="expression" dxfId="4336" priority="188">
      <formula>AV35="후보"</formula>
    </cfRule>
  </conditionalFormatting>
  <conditionalFormatting sqref="AC35">
    <cfRule type="cellIs" dxfId="4335" priority="185" operator="greaterThan">
      <formula>0.9</formula>
    </cfRule>
    <cfRule type="cellIs" dxfId="4334" priority="186" operator="greaterThan">
      <formula>0.85</formula>
    </cfRule>
  </conditionalFormatting>
  <conditionalFormatting sqref="N35">
    <cfRule type="cellIs" dxfId="4333" priority="183" operator="greaterThan">
      <formula>0.9</formula>
    </cfRule>
    <cfRule type="cellIs" dxfId="4332" priority="184" operator="greaterThan">
      <formula>0.85</formula>
    </cfRule>
  </conditionalFormatting>
  <conditionalFormatting sqref="E35">
    <cfRule type="expression" dxfId="4331" priority="179">
      <formula>AND(IF(OR($Q35=1,$Q35=2),1,0),IF($X35&lt;=20,1,0))</formula>
    </cfRule>
    <cfRule type="expression" dxfId="4330" priority="180">
      <formula>AND(IF($Q35=2,1,0),IF($X35&lt;30,1,0))</formula>
    </cfRule>
    <cfRule type="expression" dxfId="4329" priority="181">
      <formula>AND(IF($Q35=3,1,0),IF($X35&lt;30,1,0))</formula>
    </cfRule>
    <cfRule type="expression" dxfId="4328" priority="182">
      <formula>AND(IF($Q35=3,1,IF($Q35=4,1,0)),IF($F35&lt;=85,1,0))</formula>
    </cfRule>
  </conditionalFormatting>
  <conditionalFormatting sqref="X35">
    <cfRule type="expression" dxfId="4327" priority="175">
      <formula>AND(IF(OR($Q35=1,$Q35=2),1,0),IF($X35&lt;=20,1,0))</formula>
    </cfRule>
    <cfRule type="expression" dxfId="4326" priority="176">
      <formula>AND(IF($Q35=2,1,0),IF($X35&lt;30,1,0))</formula>
    </cfRule>
    <cfRule type="expression" dxfId="4325" priority="177">
      <formula>AND(IF($Q35=3,1,0),IF($X35&lt;30,1,0))</formula>
    </cfRule>
    <cfRule type="expression" dxfId="4324" priority="178">
      <formula>AND(IF($Q35=3,1,IF($Q35=4,1,0)),IF($F35&lt;=85,1,0))</formula>
    </cfRule>
  </conditionalFormatting>
  <conditionalFormatting sqref="AI35">
    <cfRule type="expression" dxfId="4323" priority="171">
      <formula>AND(IF(OR($Q35=1,$Q35=2),1,0),IF($X35&lt;=20,1,0))</formula>
    </cfRule>
    <cfRule type="expression" dxfId="4322" priority="172">
      <formula>AND(IF($Q35=2,1,0),IF($X35&lt;30,1,0))</formula>
    </cfRule>
    <cfRule type="expression" dxfId="4321" priority="173">
      <formula>AND(IF($Q35=3,1,0),IF($X35&lt;30,1,0))</formula>
    </cfRule>
    <cfRule type="expression" dxfId="4320" priority="174">
      <formula>AND(IF($Q35=3,1,IF($Q35=4,1,0)),IF($F35&lt;=85,1,0))</formula>
    </cfRule>
  </conditionalFormatting>
  <conditionalFormatting sqref="AV36">
    <cfRule type="expression" dxfId="4319" priority="169">
      <formula>AV36="X"</formula>
    </cfRule>
    <cfRule type="expression" dxfId="4318" priority="170">
      <formula>AV36="후보"</formula>
    </cfRule>
  </conditionalFormatting>
  <conditionalFormatting sqref="AC36">
    <cfRule type="cellIs" dxfId="4317" priority="167" operator="greaterThan">
      <formula>0.9</formula>
    </cfRule>
    <cfRule type="cellIs" dxfId="4316" priority="168" operator="greaterThan">
      <formula>0.85</formula>
    </cfRule>
  </conditionalFormatting>
  <conditionalFormatting sqref="N36">
    <cfRule type="cellIs" dxfId="4315" priority="165" operator="greaterThan">
      <formula>0.9</formula>
    </cfRule>
    <cfRule type="cellIs" dxfId="4314" priority="166" operator="greaterThan">
      <formula>0.85</formula>
    </cfRule>
  </conditionalFormatting>
  <conditionalFormatting sqref="E36">
    <cfRule type="expression" dxfId="4313" priority="161">
      <formula>AND(IF(OR($Q36=1,$Q36=2),1,0),IF($X36&lt;=20,1,0))</formula>
    </cfRule>
    <cfRule type="expression" dxfId="4312" priority="162">
      <formula>AND(IF($Q36=2,1,0),IF($X36&lt;30,1,0))</formula>
    </cfRule>
    <cfRule type="expression" dxfId="4311" priority="163">
      <formula>AND(IF($Q36=3,1,0),IF($X36&lt;30,1,0))</formula>
    </cfRule>
    <cfRule type="expression" dxfId="4310" priority="164">
      <formula>AND(IF($Q36=3,1,IF($Q36=4,1,0)),IF($F36&lt;=85,1,0))</formula>
    </cfRule>
  </conditionalFormatting>
  <conditionalFormatting sqref="X36">
    <cfRule type="expression" dxfId="4309" priority="157">
      <formula>AND(IF(OR($Q36=1,$Q36=2),1,0),IF($X36&lt;=20,1,0))</formula>
    </cfRule>
    <cfRule type="expression" dxfId="4308" priority="158">
      <formula>AND(IF($Q36=2,1,0),IF($X36&lt;30,1,0))</formula>
    </cfRule>
    <cfRule type="expression" dxfId="4307" priority="159">
      <formula>AND(IF($Q36=3,1,0),IF($X36&lt;30,1,0))</formula>
    </cfRule>
    <cfRule type="expression" dxfId="4306" priority="160">
      <formula>AND(IF($Q36=3,1,IF($Q36=4,1,0)),IF($F36&lt;=85,1,0))</formula>
    </cfRule>
  </conditionalFormatting>
  <conditionalFormatting sqref="AI36">
    <cfRule type="expression" dxfId="4305" priority="153">
      <formula>AND(IF(OR($Q36=1,$Q36=2),1,0),IF($X36&lt;=20,1,0))</formula>
    </cfRule>
    <cfRule type="expression" dxfId="4304" priority="154">
      <formula>AND(IF($Q36=2,1,0),IF($X36&lt;30,1,0))</formula>
    </cfRule>
    <cfRule type="expression" dxfId="4303" priority="155">
      <formula>AND(IF($Q36=3,1,0),IF($X36&lt;30,1,0))</formula>
    </cfRule>
    <cfRule type="expression" dxfId="4302" priority="156">
      <formula>AND(IF($Q36=3,1,IF($Q36=4,1,0)),IF($F36&lt;=85,1,0))</formula>
    </cfRule>
  </conditionalFormatting>
  <conditionalFormatting sqref="AV37">
    <cfRule type="expression" dxfId="4301" priority="151">
      <formula>AV37="X"</formula>
    </cfRule>
    <cfRule type="expression" dxfId="4300" priority="152">
      <formula>AV37="후보"</formula>
    </cfRule>
  </conditionalFormatting>
  <conditionalFormatting sqref="AC37 N37">
    <cfRule type="cellIs" dxfId="4299" priority="149" operator="greaterThan">
      <formula>0.9</formula>
    </cfRule>
    <cfRule type="cellIs" dxfId="4298" priority="150" operator="greaterThan">
      <formula>0.85</formula>
    </cfRule>
  </conditionalFormatting>
  <conditionalFormatting sqref="AV38">
    <cfRule type="expression" dxfId="4297" priority="147">
      <formula>AV38="X"</formula>
    </cfRule>
    <cfRule type="expression" dxfId="4296" priority="148">
      <formula>AV38="후보"</formula>
    </cfRule>
  </conditionalFormatting>
  <conditionalFormatting sqref="AC38">
    <cfRule type="cellIs" dxfId="4295" priority="145" operator="greaterThan">
      <formula>0.9</formula>
    </cfRule>
    <cfRule type="cellIs" dxfId="4294" priority="146" operator="greaterThan">
      <formula>0.85</formula>
    </cfRule>
  </conditionalFormatting>
  <conditionalFormatting sqref="N38">
    <cfRule type="cellIs" dxfId="4293" priority="143" operator="greaterThan">
      <formula>0.9</formula>
    </cfRule>
    <cfRule type="cellIs" dxfId="4292" priority="144" operator="greaterThan">
      <formula>0.85</formula>
    </cfRule>
  </conditionalFormatting>
  <conditionalFormatting sqref="E38">
    <cfRule type="expression" dxfId="4291" priority="139">
      <formula>AND(IF(OR($Q38=1,$Q38=2),1,0),IF($X38&lt;=20,1,0))</formula>
    </cfRule>
    <cfRule type="expression" dxfId="4290" priority="140">
      <formula>AND(IF($Q38=2,1,0),IF($X38&lt;30,1,0))</formula>
    </cfRule>
    <cfRule type="expression" dxfId="4289" priority="141">
      <formula>AND(IF($Q38=3,1,0),IF($X38&lt;30,1,0))</formula>
    </cfRule>
    <cfRule type="expression" dxfId="4288" priority="142">
      <formula>AND(IF($Q38=3,1,IF($Q38=4,1,0)),IF($F38&lt;=85,1,0))</formula>
    </cfRule>
  </conditionalFormatting>
  <conditionalFormatting sqref="X38">
    <cfRule type="expression" dxfId="4287" priority="135">
      <formula>AND(IF(OR($Q38=1,$Q38=2),1,0),IF($X38&lt;=20,1,0))</formula>
    </cfRule>
    <cfRule type="expression" dxfId="4286" priority="136">
      <formula>AND(IF($Q38=2,1,0),IF($X38&lt;30,1,0))</formula>
    </cfRule>
    <cfRule type="expression" dxfId="4285" priority="137">
      <formula>AND(IF($Q38=3,1,0),IF($X38&lt;30,1,0))</formula>
    </cfRule>
    <cfRule type="expression" dxfId="4284" priority="138">
      <formula>AND(IF($Q38=3,1,IF($Q38=4,1,0)),IF($F38&lt;=85,1,0))</formula>
    </cfRule>
  </conditionalFormatting>
  <conditionalFormatting sqref="AI38">
    <cfRule type="expression" dxfId="4283" priority="131">
      <formula>AND(IF(OR($Q38=1,$Q38=2),1,0),IF($X38&lt;=20,1,0))</formula>
    </cfRule>
    <cfRule type="expression" dxfId="4282" priority="132">
      <formula>AND(IF($Q38=2,1,0),IF($X38&lt;30,1,0))</formula>
    </cfRule>
    <cfRule type="expression" dxfId="4281" priority="133">
      <formula>AND(IF($Q38=3,1,0),IF($X38&lt;30,1,0))</formula>
    </cfRule>
    <cfRule type="expression" dxfId="4280" priority="134">
      <formula>AND(IF($Q38=3,1,IF($Q38=4,1,0)),IF($F38&lt;=85,1,0))</formula>
    </cfRule>
  </conditionalFormatting>
  <conditionalFormatting sqref="AV39">
    <cfRule type="expression" dxfId="4279" priority="129">
      <formula>AV39="X"</formula>
    </cfRule>
    <cfRule type="expression" dxfId="4278" priority="130">
      <formula>AV39="후보"</formula>
    </cfRule>
  </conditionalFormatting>
  <conditionalFormatting sqref="AC39">
    <cfRule type="cellIs" dxfId="4277" priority="127" operator="greaterThan">
      <formula>0.9</formula>
    </cfRule>
    <cfRule type="cellIs" dxfId="4276" priority="128" operator="greaterThan">
      <formula>0.85</formula>
    </cfRule>
  </conditionalFormatting>
  <conditionalFormatting sqref="N39">
    <cfRule type="cellIs" dxfId="4275" priority="125" operator="greaterThan">
      <formula>0.9</formula>
    </cfRule>
    <cfRule type="cellIs" dxfId="4274" priority="126" operator="greaterThan">
      <formula>0.85</formula>
    </cfRule>
  </conditionalFormatting>
  <conditionalFormatting sqref="E39">
    <cfRule type="expression" dxfId="4273" priority="121">
      <formula>AND(IF(OR($Q39=1,$Q39=2),1,0),IF($X39&lt;=20,1,0))</formula>
    </cfRule>
    <cfRule type="expression" dxfId="4272" priority="122">
      <formula>AND(IF($Q39=2,1,0),IF($X39&lt;30,1,0))</formula>
    </cfRule>
    <cfRule type="expression" dxfId="4271" priority="123">
      <formula>AND(IF($Q39=3,1,0),IF($X39&lt;30,1,0))</formula>
    </cfRule>
    <cfRule type="expression" dxfId="4270" priority="124">
      <formula>AND(IF($Q39=3,1,IF($Q39=4,1,0)),IF($F39&lt;=85,1,0))</formula>
    </cfRule>
  </conditionalFormatting>
  <conditionalFormatting sqref="X39">
    <cfRule type="expression" dxfId="4269" priority="117">
      <formula>AND(IF(OR($Q39=1,$Q39=2),1,0),IF($X39&lt;=20,1,0))</formula>
    </cfRule>
    <cfRule type="expression" dxfId="4268" priority="118">
      <formula>AND(IF($Q39=2,1,0),IF($X39&lt;30,1,0))</formula>
    </cfRule>
    <cfRule type="expression" dxfId="4267" priority="119">
      <formula>AND(IF($Q39=3,1,0),IF($X39&lt;30,1,0))</formula>
    </cfRule>
    <cfRule type="expression" dxfId="4266" priority="120">
      <formula>AND(IF($Q39=3,1,IF($Q39=4,1,0)),IF($F39&lt;=85,1,0))</formula>
    </cfRule>
  </conditionalFormatting>
  <conditionalFormatting sqref="AI39">
    <cfRule type="expression" dxfId="4265" priority="113">
      <formula>AND(IF(OR($Q39=1,$Q39=2),1,0),IF($X39&lt;=20,1,0))</formula>
    </cfRule>
    <cfRule type="expression" dxfId="4264" priority="114">
      <formula>AND(IF($Q39=2,1,0),IF($X39&lt;30,1,0))</formula>
    </cfRule>
    <cfRule type="expression" dxfId="4263" priority="115">
      <formula>AND(IF($Q39=3,1,0),IF($X39&lt;30,1,0))</formula>
    </cfRule>
    <cfRule type="expression" dxfId="4262" priority="116">
      <formula>AND(IF($Q39=3,1,IF($Q39=4,1,0)),IF($F39&lt;=85,1,0))</formula>
    </cfRule>
  </conditionalFormatting>
  <conditionalFormatting sqref="AV40">
    <cfRule type="expression" dxfId="4261" priority="111">
      <formula>AV40="X"</formula>
    </cfRule>
    <cfRule type="expression" dxfId="4260" priority="112">
      <formula>AV40="후보"</formula>
    </cfRule>
  </conditionalFormatting>
  <conditionalFormatting sqref="AC40 N40">
    <cfRule type="cellIs" dxfId="4259" priority="109" operator="greaterThan">
      <formula>0.9</formula>
    </cfRule>
    <cfRule type="cellIs" dxfId="4258" priority="110" operator="greaterThan">
      <formula>0.85</formula>
    </cfRule>
  </conditionalFormatting>
  <conditionalFormatting sqref="AV41">
    <cfRule type="expression" dxfId="4257" priority="107">
      <formula>AV41="X"</formula>
    </cfRule>
    <cfRule type="expression" dxfId="4256" priority="108">
      <formula>AV41="후보"</formula>
    </cfRule>
  </conditionalFormatting>
  <conditionalFormatting sqref="AC41">
    <cfRule type="cellIs" dxfId="4255" priority="105" operator="greaterThan">
      <formula>0.9</formula>
    </cfRule>
    <cfRule type="cellIs" dxfId="4254" priority="106" operator="greaterThan">
      <formula>0.85</formula>
    </cfRule>
  </conditionalFormatting>
  <conditionalFormatting sqref="N41">
    <cfRule type="cellIs" dxfId="4253" priority="103" operator="greaterThan">
      <formula>0.9</formula>
    </cfRule>
    <cfRule type="cellIs" dxfId="4252" priority="104" operator="greaterThan">
      <formula>0.85</formula>
    </cfRule>
  </conditionalFormatting>
  <conditionalFormatting sqref="E41">
    <cfRule type="expression" dxfId="4251" priority="99">
      <formula>AND(IF(OR($Q41=1,$Q41=2),1,0),IF($X41&lt;=20,1,0))</formula>
    </cfRule>
    <cfRule type="expression" dxfId="4250" priority="100">
      <formula>AND(IF($Q41=2,1,0),IF($X41&lt;30,1,0))</formula>
    </cfRule>
    <cfRule type="expression" dxfId="4249" priority="101">
      <formula>AND(IF($Q41=3,1,0),IF($X41&lt;30,1,0))</formula>
    </cfRule>
    <cfRule type="expression" dxfId="4248" priority="102">
      <formula>AND(IF($Q41=3,1,IF($Q41=4,1,0)),IF($F41&lt;=85,1,0))</formula>
    </cfRule>
  </conditionalFormatting>
  <conditionalFormatting sqref="X41">
    <cfRule type="expression" dxfId="4247" priority="95">
      <formula>AND(IF(OR($Q41=1,$Q41=2),1,0),IF($X41&lt;=20,1,0))</formula>
    </cfRule>
    <cfRule type="expression" dxfId="4246" priority="96">
      <formula>AND(IF($Q41=2,1,0),IF($X41&lt;30,1,0))</formula>
    </cfRule>
    <cfRule type="expression" dxfId="4245" priority="97">
      <formula>AND(IF($Q41=3,1,0),IF($X41&lt;30,1,0))</formula>
    </cfRule>
    <cfRule type="expression" dxfId="4244" priority="98">
      <formula>AND(IF($Q41=3,1,IF($Q41=4,1,0)),IF($F41&lt;=85,1,0))</formula>
    </cfRule>
  </conditionalFormatting>
  <conditionalFormatting sqref="AI41">
    <cfRule type="expression" dxfId="4243" priority="91">
      <formula>AND(IF(OR($Q41=1,$Q41=2),1,0),IF($X41&lt;=20,1,0))</formula>
    </cfRule>
    <cfRule type="expression" dxfId="4242" priority="92">
      <formula>AND(IF($Q41=2,1,0),IF($X41&lt;30,1,0))</formula>
    </cfRule>
    <cfRule type="expression" dxfId="4241" priority="93">
      <formula>AND(IF($Q41=3,1,0),IF($X41&lt;30,1,0))</formula>
    </cfRule>
    <cfRule type="expression" dxfId="4240" priority="94">
      <formula>AND(IF($Q41=3,1,IF($Q41=4,1,0)),IF($F41&lt;=85,1,0))</formula>
    </cfRule>
  </conditionalFormatting>
  <conditionalFormatting sqref="AV42">
    <cfRule type="expression" dxfId="4239" priority="89">
      <formula>AV42="X"</formula>
    </cfRule>
    <cfRule type="expression" dxfId="4238" priority="90">
      <formula>AV42="후보"</formula>
    </cfRule>
  </conditionalFormatting>
  <conditionalFormatting sqref="AC42">
    <cfRule type="cellIs" dxfId="4237" priority="87" operator="greaterThan">
      <formula>0.9</formula>
    </cfRule>
    <cfRule type="cellIs" dxfId="4236" priority="88" operator="greaterThan">
      <formula>0.85</formula>
    </cfRule>
  </conditionalFormatting>
  <conditionalFormatting sqref="N42">
    <cfRule type="cellIs" dxfId="4235" priority="85" operator="greaterThan">
      <formula>0.9</formula>
    </cfRule>
    <cfRule type="cellIs" dxfId="4234" priority="86" operator="greaterThan">
      <formula>0.85</formula>
    </cfRule>
  </conditionalFormatting>
  <conditionalFormatting sqref="E42">
    <cfRule type="expression" dxfId="4233" priority="81">
      <formula>AND(IF(OR($Q42=1,$Q42=2),1,0),IF($X42&lt;=20,1,0))</formula>
    </cfRule>
    <cfRule type="expression" dxfId="4232" priority="82">
      <formula>AND(IF($Q42=2,1,0),IF($X42&lt;30,1,0))</formula>
    </cfRule>
    <cfRule type="expression" dxfId="4231" priority="83">
      <formula>AND(IF($Q42=3,1,0),IF($X42&lt;30,1,0))</formula>
    </cfRule>
    <cfRule type="expression" dxfId="4230" priority="84">
      <formula>AND(IF($Q42=3,1,IF($Q42=4,1,0)),IF($F42&lt;=85,1,0))</formula>
    </cfRule>
  </conditionalFormatting>
  <conditionalFormatting sqref="X42">
    <cfRule type="expression" dxfId="4229" priority="77">
      <formula>AND(IF(OR($Q42=1,$Q42=2),1,0),IF($X42&lt;=20,1,0))</formula>
    </cfRule>
    <cfRule type="expression" dxfId="4228" priority="78">
      <formula>AND(IF($Q42=2,1,0),IF($X42&lt;30,1,0))</formula>
    </cfRule>
    <cfRule type="expression" dxfId="4227" priority="79">
      <formula>AND(IF($Q42=3,1,0),IF($X42&lt;30,1,0))</formula>
    </cfRule>
    <cfRule type="expression" dxfId="4226" priority="80">
      <formula>AND(IF($Q42=3,1,IF($Q42=4,1,0)),IF($F42&lt;=85,1,0))</formula>
    </cfRule>
  </conditionalFormatting>
  <conditionalFormatting sqref="AI42">
    <cfRule type="expression" dxfId="4225" priority="73">
      <formula>AND(IF(OR($Q42=1,$Q42=2),1,0),IF($X42&lt;=20,1,0))</formula>
    </cfRule>
    <cfRule type="expression" dxfId="4224" priority="74">
      <formula>AND(IF($Q42=2,1,0),IF($X42&lt;30,1,0))</formula>
    </cfRule>
    <cfRule type="expression" dxfId="4223" priority="75">
      <formula>AND(IF($Q42=3,1,0),IF($X42&lt;30,1,0))</formula>
    </cfRule>
    <cfRule type="expression" dxfId="4222" priority="76">
      <formula>AND(IF($Q42=3,1,IF($Q42=4,1,0)),IF($F42&lt;=85,1,0))</formula>
    </cfRule>
  </conditionalFormatting>
  <conditionalFormatting sqref="AV43">
    <cfRule type="expression" dxfId="4221" priority="71">
      <formula>AV43="X"</formula>
    </cfRule>
    <cfRule type="expression" dxfId="4220" priority="72">
      <formula>AV43="후보"</formula>
    </cfRule>
  </conditionalFormatting>
  <conditionalFormatting sqref="AC43">
    <cfRule type="cellIs" dxfId="4219" priority="69" operator="greaterThan">
      <formula>0.9</formula>
    </cfRule>
    <cfRule type="cellIs" dxfId="4218" priority="70" operator="greaterThan">
      <formula>0.85</formula>
    </cfRule>
  </conditionalFormatting>
  <conditionalFormatting sqref="N43">
    <cfRule type="cellIs" dxfId="4217" priority="67" operator="greaterThan">
      <formula>0.9</formula>
    </cfRule>
    <cfRule type="cellIs" dxfId="4216" priority="68" operator="greaterThan">
      <formula>0.85</formula>
    </cfRule>
  </conditionalFormatting>
  <conditionalFormatting sqref="E43">
    <cfRule type="expression" dxfId="4215" priority="63">
      <formula>AND(IF(OR($Q43=1,$Q43=2),1,0),IF($X43&lt;=20,1,0))</formula>
    </cfRule>
    <cfRule type="expression" dxfId="4214" priority="64">
      <formula>AND(IF($Q43=2,1,0),IF($X43&lt;30,1,0))</formula>
    </cfRule>
    <cfRule type="expression" dxfId="4213" priority="65">
      <formula>AND(IF($Q43=3,1,0),IF($X43&lt;30,1,0))</formula>
    </cfRule>
    <cfRule type="expression" dxfId="4212" priority="66">
      <formula>AND(IF($Q43=3,1,IF($Q43=4,1,0)),IF($F43&lt;=85,1,0))</formula>
    </cfRule>
  </conditionalFormatting>
  <conditionalFormatting sqref="X43">
    <cfRule type="expression" dxfId="4211" priority="59">
      <formula>AND(IF(OR($Q43=1,$Q43=2),1,0),IF($X43&lt;=20,1,0))</formula>
    </cfRule>
    <cfRule type="expression" dxfId="4210" priority="60">
      <formula>AND(IF($Q43=2,1,0),IF($X43&lt;30,1,0))</formula>
    </cfRule>
    <cfRule type="expression" dxfId="4209" priority="61">
      <formula>AND(IF($Q43=3,1,0),IF($X43&lt;30,1,0))</formula>
    </cfRule>
    <cfRule type="expression" dxfId="4208" priority="62">
      <formula>AND(IF($Q43=3,1,IF($Q43=4,1,0)),IF($F43&lt;=85,1,0))</formula>
    </cfRule>
  </conditionalFormatting>
  <conditionalFormatting sqref="AI43">
    <cfRule type="expression" dxfId="4207" priority="55">
      <formula>AND(IF(OR($Q43=1,$Q43=2),1,0),IF($X43&lt;=20,1,0))</formula>
    </cfRule>
    <cfRule type="expression" dxfId="4206" priority="56">
      <formula>AND(IF($Q43=2,1,0),IF($X43&lt;30,1,0))</formula>
    </cfRule>
    <cfRule type="expression" dxfId="4205" priority="57">
      <formula>AND(IF($Q43=3,1,0),IF($X43&lt;30,1,0))</formula>
    </cfRule>
    <cfRule type="expression" dxfId="4204" priority="58">
      <formula>AND(IF($Q43=3,1,IF($Q43=4,1,0)),IF($F43&lt;=85,1,0))</formula>
    </cfRule>
  </conditionalFormatting>
  <conditionalFormatting sqref="AV44">
    <cfRule type="expression" dxfId="4203" priority="53">
      <formula>AV44="X"</formula>
    </cfRule>
    <cfRule type="expression" dxfId="4202" priority="54">
      <formula>AV44="후보"</formula>
    </cfRule>
  </conditionalFormatting>
  <conditionalFormatting sqref="AC44">
    <cfRule type="cellIs" dxfId="4201" priority="51" operator="greaterThan">
      <formula>0.9</formula>
    </cfRule>
    <cfRule type="cellIs" dxfId="4200" priority="52" operator="greaterThan">
      <formula>0.85</formula>
    </cfRule>
  </conditionalFormatting>
  <conditionalFormatting sqref="N44">
    <cfRule type="cellIs" dxfId="4199" priority="49" operator="greaterThan">
      <formula>0.9</formula>
    </cfRule>
    <cfRule type="cellIs" dxfId="4198" priority="50" operator="greaterThan">
      <formula>0.85</formula>
    </cfRule>
  </conditionalFormatting>
  <conditionalFormatting sqref="E44">
    <cfRule type="expression" dxfId="4197" priority="45">
      <formula>AND(IF(OR($Q44=1,$Q44=2),1,0),IF($X44&lt;=20,1,0))</formula>
    </cfRule>
    <cfRule type="expression" dxfId="4196" priority="46">
      <formula>AND(IF($Q44=2,1,0),IF($X44&lt;30,1,0))</formula>
    </cfRule>
    <cfRule type="expression" dxfId="4195" priority="47">
      <formula>AND(IF($Q44=3,1,0),IF($X44&lt;30,1,0))</formula>
    </cfRule>
    <cfRule type="expression" dxfId="4194" priority="48">
      <formula>AND(IF($Q44=3,1,IF($Q44=4,1,0)),IF($F44&lt;=85,1,0))</formula>
    </cfRule>
  </conditionalFormatting>
  <conditionalFormatting sqref="X44">
    <cfRule type="expression" dxfId="4193" priority="41">
      <formula>AND(IF(OR($Q44=1,$Q44=2),1,0),IF($X44&lt;=20,1,0))</formula>
    </cfRule>
    <cfRule type="expression" dxfId="4192" priority="42">
      <formula>AND(IF($Q44=2,1,0),IF($X44&lt;30,1,0))</formula>
    </cfRule>
    <cfRule type="expression" dxfId="4191" priority="43">
      <formula>AND(IF($Q44=3,1,0),IF($X44&lt;30,1,0))</formula>
    </cfRule>
    <cfRule type="expression" dxfId="4190" priority="44">
      <formula>AND(IF($Q44=3,1,IF($Q44=4,1,0)),IF($F44&lt;=85,1,0))</formula>
    </cfRule>
  </conditionalFormatting>
  <conditionalFormatting sqref="AI44">
    <cfRule type="expression" dxfId="4189" priority="37">
      <formula>AND(IF(OR($Q44=1,$Q44=2),1,0),IF($X44&lt;=20,1,0))</formula>
    </cfRule>
    <cfRule type="expression" dxfId="4188" priority="38">
      <formula>AND(IF($Q44=2,1,0),IF($X44&lt;30,1,0))</formula>
    </cfRule>
    <cfRule type="expression" dxfId="4187" priority="39">
      <formula>AND(IF($Q44=3,1,0),IF($X44&lt;30,1,0))</formula>
    </cfRule>
    <cfRule type="expression" dxfId="4186" priority="40">
      <formula>AND(IF($Q44=3,1,IF($Q44=4,1,0)),IF($F44&lt;=85,1,0))</formula>
    </cfRule>
  </conditionalFormatting>
  <conditionalFormatting sqref="AV45">
    <cfRule type="expression" dxfId="4185" priority="35">
      <formula>AV45="X"</formula>
    </cfRule>
    <cfRule type="expression" dxfId="4184" priority="36">
      <formula>AV45="후보"</formula>
    </cfRule>
  </conditionalFormatting>
  <conditionalFormatting sqref="AC45">
    <cfRule type="cellIs" dxfId="4183" priority="33" operator="greaterThan">
      <formula>0.9</formula>
    </cfRule>
    <cfRule type="cellIs" dxfId="4182" priority="34" operator="greaterThan">
      <formula>0.85</formula>
    </cfRule>
  </conditionalFormatting>
  <conditionalFormatting sqref="N45">
    <cfRule type="cellIs" dxfId="4181" priority="31" operator="greaterThan">
      <formula>0.9</formula>
    </cfRule>
    <cfRule type="cellIs" dxfId="4180" priority="32" operator="greaterThan">
      <formula>0.85</formula>
    </cfRule>
  </conditionalFormatting>
  <conditionalFormatting sqref="E45">
    <cfRule type="expression" dxfId="4179" priority="27">
      <formula>AND(IF(OR($Q45=1,$Q45=2),1,0),IF($X45&lt;=20,1,0))</formula>
    </cfRule>
    <cfRule type="expression" dxfId="4178" priority="28">
      <formula>AND(IF($Q45=2,1,0),IF($X45&lt;30,1,0))</formula>
    </cfRule>
    <cfRule type="expression" dxfId="4177" priority="29">
      <formula>AND(IF($Q45=3,1,0),IF($X45&lt;30,1,0))</formula>
    </cfRule>
    <cfRule type="expression" dxfId="4176" priority="30">
      <formula>AND(IF($Q45=3,1,IF($Q45=4,1,0)),IF($F45&lt;=85,1,0))</formula>
    </cfRule>
  </conditionalFormatting>
  <conditionalFormatting sqref="X45">
    <cfRule type="expression" dxfId="4175" priority="23">
      <formula>AND(IF(OR($Q45=1,$Q45=2),1,0),IF($X45&lt;=20,1,0))</formula>
    </cfRule>
    <cfRule type="expression" dxfId="4174" priority="24">
      <formula>AND(IF($Q45=2,1,0),IF($X45&lt;30,1,0))</formula>
    </cfRule>
    <cfRule type="expression" dxfId="4173" priority="25">
      <formula>AND(IF($Q45=3,1,0),IF($X45&lt;30,1,0))</formula>
    </cfRule>
    <cfRule type="expression" dxfId="4172" priority="26">
      <formula>AND(IF($Q45=3,1,IF($Q45=4,1,0)),IF($F45&lt;=85,1,0))</formula>
    </cfRule>
  </conditionalFormatting>
  <conditionalFormatting sqref="AI45">
    <cfRule type="expression" dxfId="4171" priority="19">
      <formula>AND(IF(OR($Q45=1,$Q45=2),1,0),IF($X45&lt;=20,1,0))</formula>
    </cfRule>
    <cfRule type="expression" dxfId="4170" priority="20">
      <formula>AND(IF($Q45=2,1,0),IF($X45&lt;30,1,0))</formula>
    </cfRule>
    <cfRule type="expression" dxfId="4169" priority="21">
      <formula>AND(IF($Q45=3,1,0),IF($X45&lt;30,1,0))</formula>
    </cfRule>
    <cfRule type="expression" dxfId="4168" priority="22">
      <formula>AND(IF($Q45=3,1,IF($Q45=4,1,0)),IF($F45&lt;=85,1,0))</formula>
    </cfRule>
  </conditionalFormatting>
  <conditionalFormatting sqref="AV46">
    <cfRule type="expression" dxfId="4167" priority="17">
      <formula>AV46="X"</formula>
    </cfRule>
    <cfRule type="expression" dxfId="4166" priority="18">
      <formula>AV46="후보"</formula>
    </cfRule>
  </conditionalFormatting>
  <conditionalFormatting sqref="AC46">
    <cfRule type="cellIs" dxfId="4165" priority="15" operator="greaterThan">
      <formula>0.9</formula>
    </cfRule>
    <cfRule type="cellIs" dxfId="4164" priority="16" operator="greaterThan">
      <formula>0.85</formula>
    </cfRule>
  </conditionalFormatting>
  <conditionalFormatting sqref="N46">
    <cfRule type="cellIs" dxfId="4163" priority="13" operator="greaterThan">
      <formula>0.9</formula>
    </cfRule>
    <cfRule type="cellIs" dxfId="4162" priority="14" operator="greaterThan">
      <formula>0.85</formula>
    </cfRule>
  </conditionalFormatting>
  <conditionalFormatting sqref="E46">
    <cfRule type="expression" dxfId="4161" priority="9">
      <formula>AND(IF(OR($Q46=1,$Q46=2),1,0),IF($X46&lt;=20,1,0))</formula>
    </cfRule>
    <cfRule type="expression" dxfId="4160" priority="10">
      <formula>AND(IF($Q46=2,1,0),IF($X46&lt;30,1,0))</formula>
    </cfRule>
    <cfRule type="expression" dxfId="4159" priority="11">
      <formula>AND(IF($Q46=3,1,0),IF($X46&lt;30,1,0))</formula>
    </cfRule>
    <cfRule type="expression" dxfId="4158" priority="12">
      <formula>AND(IF($Q46=3,1,IF($Q46=4,1,0)),IF($F46&lt;=85,1,0))</formula>
    </cfRule>
  </conditionalFormatting>
  <conditionalFormatting sqref="X46">
    <cfRule type="expression" dxfId="4157" priority="5">
      <formula>AND(IF(OR($Q46=1,$Q46=2),1,0),IF($X46&lt;=20,1,0))</formula>
    </cfRule>
    <cfRule type="expression" dxfId="4156" priority="6">
      <formula>AND(IF($Q46=2,1,0),IF($X46&lt;30,1,0))</formula>
    </cfRule>
    <cfRule type="expression" dxfId="4155" priority="7">
      <formula>AND(IF($Q46=3,1,0),IF($X46&lt;30,1,0))</formula>
    </cfRule>
    <cfRule type="expression" dxfId="4154" priority="8">
      <formula>AND(IF($Q46=3,1,IF($Q46=4,1,0)),IF($F46&lt;=85,1,0))</formula>
    </cfRule>
  </conditionalFormatting>
  <conditionalFormatting sqref="AI46">
    <cfRule type="expression" dxfId="4153" priority="1">
      <formula>AND(IF(OR($Q46=1,$Q46=2),1,0),IF($X46&lt;=20,1,0))</formula>
    </cfRule>
    <cfRule type="expression" dxfId="4152" priority="2">
      <formula>AND(IF($Q46=2,1,0),IF($X46&lt;30,1,0))</formula>
    </cfRule>
    <cfRule type="expression" dxfId="4151" priority="3">
      <formula>AND(IF($Q46=3,1,0),IF($X46&lt;30,1,0))</formula>
    </cfRule>
    <cfRule type="expression" dxfId="4150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미장동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156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미장동 파인빌2차('06.06.,351^)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745</v>
      </c>
      <c r="B6" s="10" t="s">
        <v>1319</v>
      </c>
      <c r="C6" s="89">
        <v>351</v>
      </c>
      <c r="D6" s="87">
        <v>80.599999999999994</v>
      </c>
      <c r="E6" s="88">
        <v>24</v>
      </c>
      <c r="F6" s="87">
        <v>59.9</v>
      </c>
      <c r="G6" s="17">
        <v>18</v>
      </c>
      <c r="H6" s="89">
        <v>149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80</v>
      </c>
      <c r="U6" s="9"/>
      <c r="W6" s="87">
        <f>D6</f>
        <v>80.599999999999994</v>
      </c>
      <c r="X6" s="88">
        <f>E6</f>
        <v>24</v>
      </c>
      <c r="Y6" s="93">
        <f>H6</f>
        <v>149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파인빌2차</v>
      </c>
      <c r="AI6" s="88">
        <f t="shared" si="0"/>
        <v>24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745</v>
      </c>
      <c r="B7" s="10" t="s">
        <v>1319</v>
      </c>
      <c r="C7" s="89">
        <v>351</v>
      </c>
      <c r="D7" s="87">
        <v>119.9</v>
      </c>
      <c r="E7" s="88">
        <v>36</v>
      </c>
      <c r="F7" s="87">
        <v>85</v>
      </c>
      <c r="G7" s="17">
        <v>26</v>
      </c>
      <c r="H7" s="89">
        <v>202</v>
      </c>
      <c r="I7" s="90">
        <v>21500</v>
      </c>
      <c r="J7" s="90" t="s">
        <v>72</v>
      </c>
      <c r="K7" s="90">
        <v>19000</v>
      </c>
      <c r="L7" s="90" t="s">
        <v>84</v>
      </c>
      <c r="M7" s="91">
        <f>I7-K7</f>
        <v>2500</v>
      </c>
      <c r="N7" s="4">
        <f>IF(ISERROR(K7/I7),"",K7/I7)</f>
        <v>0.88372093023255816</v>
      </c>
      <c r="O7" s="92">
        <f>I7/E7</f>
        <v>597.22222222222217</v>
      </c>
      <c r="P7" s="92">
        <f>K7/E7</f>
        <v>527.77777777777783</v>
      </c>
      <c r="Q7" s="80">
        <v>3</v>
      </c>
      <c r="R7" s="80">
        <v>2</v>
      </c>
      <c r="S7" s="80" t="s">
        <v>76</v>
      </c>
      <c r="T7" s="5">
        <v>119</v>
      </c>
      <c r="U7" s="9"/>
      <c r="W7" s="87">
        <f>D7</f>
        <v>119.9</v>
      </c>
      <c r="X7" s="88">
        <f>E7</f>
        <v>36</v>
      </c>
      <c r="Y7" s="93">
        <f>H7</f>
        <v>202</v>
      </c>
      <c r="Z7" s="91">
        <f>I7</f>
        <v>21500</v>
      </c>
      <c r="AA7" s="91">
        <f>K7</f>
        <v>19000</v>
      </c>
      <c r="AB7" s="91">
        <f t="shared" si="2"/>
        <v>2500</v>
      </c>
      <c r="AC7" s="4">
        <f t="shared" si="2"/>
        <v>0.88372093023255816</v>
      </c>
      <c r="AD7" s="92">
        <f t="shared" si="2"/>
        <v>597.22222222222217</v>
      </c>
      <c r="AE7" s="80" t="str">
        <f>S7</f>
        <v>복</v>
      </c>
      <c r="AF7" s="80" t="str">
        <f>Q7&amp;"/"&amp;R7</f>
        <v>3/2</v>
      </c>
      <c r="AH7" s="20" t="str">
        <f t="shared" si="1"/>
        <v>파인빌2차</v>
      </c>
      <c r="AI7" s="88">
        <f t="shared" si="0"/>
        <v>36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7" t="str">
        <f>$A$4&amp;" "&amp;A9&amp;"("&amp;B9&amp;","&amp;C9&amp;"^)"</f>
        <v>미장동 파인빌1차('04.11.,499^)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750</v>
      </c>
      <c r="B9" s="10" t="s">
        <v>1320</v>
      </c>
      <c r="C9" s="89">
        <v>499</v>
      </c>
      <c r="D9" s="87">
        <v>80.099999999999994</v>
      </c>
      <c r="E9" s="88">
        <v>24</v>
      </c>
      <c r="F9" s="87">
        <v>60</v>
      </c>
      <c r="G9" s="17">
        <v>18</v>
      </c>
      <c r="H9" s="89">
        <v>139</v>
      </c>
      <c r="I9" s="90">
        <v>15000</v>
      </c>
      <c r="J9" s="90" t="s">
        <v>68</v>
      </c>
      <c r="K9" s="90">
        <v>15000</v>
      </c>
      <c r="L9" s="90" t="s">
        <v>74</v>
      </c>
      <c r="M9" s="91">
        <f>I9-K9</f>
        <v>0</v>
      </c>
      <c r="N9" s="4">
        <f>IF(ISERROR(K9/I9),"",K9/I9)</f>
        <v>1</v>
      </c>
      <c r="O9" s="92">
        <f>I9/E9</f>
        <v>625</v>
      </c>
      <c r="P9" s="92">
        <f>K9/E9</f>
        <v>625</v>
      </c>
      <c r="Q9" s="80">
        <v>3</v>
      </c>
      <c r="R9" s="80">
        <v>1</v>
      </c>
      <c r="S9" s="80" t="s">
        <v>61</v>
      </c>
      <c r="T9" s="5">
        <v>80</v>
      </c>
      <c r="U9" s="9"/>
      <c r="W9" s="87">
        <f>D9</f>
        <v>80.099999999999994</v>
      </c>
      <c r="X9" s="88">
        <f>E9</f>
        <v>24</v>
      </c>
      <c r="Y9" s="93">
        <f>H9</f>
        <v>139</v>
      </c>
      <c r="Z9" s="91">
        <f>I9</f>
        <v>15000</v>
      </c>
      <c r="AA9" s="91">
        <f>K9</f>
        <v>15000</v>
      </c>
      <c r="AB9" s="91">
        <f t="shared" ref="AB9:AD10" si="3">M9</f>
        <v>0</v>
      </c>
      <c r="AC9" s="4">
        <f t="shared" si="3"/>
        <v>1</v>
      </c>
      <c r="AD9" s="92">
        <f t="shared" si="3"/>
        <v>625</v>
      </c>
      <c r="AE9" s="80" t="str">
        <f>S9</f>
        <v>계</v>
      </c>
      <c r="AF9" s="80" t="str">
        <f>Q9&amp;"/"&amp;R9</f>
        <v>3/1</v>
      </c>
      <c r="AH9" s="20" t="str">
        <f t="shared" si="1"/>
        <v>파인빌1차</v>
      </c>
      <c r="AI9" s="88">
        <f t="shared" si="0"/>
        <v>24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48" x14ac:dyDescent="0.3">
      <c r="A10" s="9" t="s">
        <v>750</v>
      </c>
      <c r="B10" s="10" t="s">
        <v>1320</v>
      </c>
      <c r="C10" s="89">
        <v>499</v>
      </c>
      <c r="D10" s="87">
        <v>110.9</v>
      </c>
      <c r="E10" s="88">
        <v>34</v>
      </c>
      <c r="F10" s="87">
        <v>85</v>
      </c>
      <c r="G10" s="17">
        <v>26</v>
      </c>
      <c r="H10" s="89">
        <v>360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61</v>
      </c>
      <c r="T10" s="5">
        <v>110</v>
      </c>
      <c r="U10" s="9"/>
      <c r="W10" s="87">
        <f>D10</f>
        <v>110.9</v>
      </c>
      <c r="X10" s="88">
        <f>E10</f>
        <v>34</v>
      </c>
      <c r="Y10" s="93">
        <f>H10</f>
        <v>360</v>
      </c>
      <c r="Z10" s="91">
        <f>I10</f>
        <v>0</v>
      </c>
      <c r="AA10" s="91">
        <f>K10</f>
        <v>0</v>
      </c>
      <c r="AB10" s="91">
        <f t="shared" si="3"/>
        <v>0</v>
      </c>
      <c r="AC10" s="4" t="str">
        <f t="shared" si="3"/>
        <v/>
      </c>
      <c r="AD10" s="92">
        <f t="shared" si="3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파인빌1차</v>
      </c>
      <c r="AI10" s="88">
        <f t="shared" si="0"/>
        <v>34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7" t="str">
        <f>$A$4&amp;" "&amp;A12&amp;"("&amp;B12&amp;","&amp;C12&amp;"^)"</f>
        <v>미장동 군산미장2차아이파크('17.06.,540^)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755</v>
      </c>
      <c r="B12" s="10" t="s">
        <v>1321</v>
      </c>
      <c r="C12" s="89">
        <v>540</v>
      </c>
      <c r="D12" s="87">
        <v>99.8</v>
      </c>
      <c r="E12" s="88">
        <v>30</v>
      </c>
      <c r="F12" s="87">
        <v>75</v>
      </c>
      <c r="G12" s="17">
        <v>23</v>
      </c>
      <c r="H12" s="89">
        <v>72</v>
      </c>
      <c r="I12" s="90">
        <v>37300</v>
      </c>
      <c r="J12" s="90" t="s">
        <v>68</v>
      </c>
      <c r="K12" s="90">
        <v>32000</v>
      </c>
      <c r="L12" s="90" t="s">
        <v>81</v>
      </c>
      <c r="M12" s="91">
        <f t="shared" ref="M12:M17" si="4">I12-K12</f>
        <v>5300</v>
      </c>
      <c r="N12" s="4">
        <f t="shared" ref="N12:N17" si="5">IF(ISERROR(K12/I12),"",K12/I12)</f>
        <v>0.85790884718498661</v>
      </c>
      <c r="O12" s="92">
        <f t="shared" ref="O12:O17" si="6">I12/E12</f>
        <v>1243.3333333333333</v>
      </c>
      <c r="P12" s="92">
        <f t="shared" ref="P12:P17" si="7">K12/E12</f>
        <v>1066.6666666666667</v>
      </c>
      <c r="Q12" s="80">
        <v>3</v>
      </c>
      <c r="R12" s="80">
        <v>2</v>
      </c>
      <c r="S12" s="80" t="s">
        <v>61</v>
      </c>
      <c r="T12" s="5" t="s">
        <v>89</v>
      </c>
      <c r="U12" s="9"/>
      <c r="W12" s="87">
        <f t="shared" ref="W12:X17" si="8">D12</f>
        <v>99.8</v>
      </c>
      <c r="X12" s="88">
        <f t="shared" si="8"/>
        <v>30</v>
      </c>
      <c r="Y12" s="93">
        <f t="shared" ref="Y12:Z17" si="9">H12</f>
        <v>72</v>
      </c>
      <c r="Z12" s="91">
        <f t="shared" si="9"/>
        <v>37300</v>
      </c>
      <c r="AA12" s="91">
        <f t="shared" ref="AA12:AA17" si="10">K12</f>
        <v>32000</v>
      </c>
      <c r="AB12" s="91">
        <f t="shared" ref="AB12:AD17" si="11">M12</f>
        <v>5300</v>
      </c>
      <c r="AC12" s="4">
        <f t="shared" si="11"/>
        <v>0.85790884718498661</v>
      </c>
      <c r="AD12" s="92">
        <f t="shared" si="11"/>
        <v>1243.3333333333333</v>
      </c>
      <c r="AE12" s="80" t="str">
        <f t="shared" ref="AE12:AE17" si="12">S12</f>
        <v>계</v>
      </c>
      <c r="AF12" s="80" t="str">
        <f t="shared" ref="AF12:AF17" si="13">Q12&amp;"/"&amp;R12</f>
        <v>3/2</v>
      </c>
      <c r="AH12" s="20" t="str">
        <f t="shared" si="1"/>
        <v>군산미장2차아이파크</v>
      </c>
      <c r="AI12" s="88">
        <f t="shared" si="0"/>
        <v>30</v>
      </c>
      <c r="AJ12" s="80" t="str">
        <f t="shared" ref="AJ12:AJ17" si="14">IF(AI12="","",$AJ$2)</f>
        <v>A-</v>
      </c>
      <c r="AK12" s="80" t="s">
        <v>14</v>
      </c>
      <c r="AL12" s="80" t="s">
        <v>63</v>
      </c>
      <c r="AM12" s="80" t="s">
        <v>64</v>
      </c>
      <c r="AN12" s="80" t="str">
        <f t="shared" ref="AN12:AN17" si="15">IF(AI12="","",$AN$2)</f>
        <v>C</v>
      </c>
      <c r="AO12" s="80" t="str">
        <f t="shared" ref="AO12:AO17" si="16">IF(N12="","",IF(N12&gt;=$AO$1/100,"O","X"))</f>
        <v>O</v>
      </c>
      <c r="AP12" s="80" t="str">
        <f t="shared" ref="AP12:AP17" si="17">IF(I12="","",IF(I12&lt;=$AP$1,"O","X"))</f>
        <v>O</v>
      </c>
      <c r="AQ12" s="80" t="str">
        <f t="shared" ref="AQ12:AQ17" si="18">IF(O12="","",IF(O12&lt;=$AQ$1,"O","X"))</f>
        <v>X</v>
      </c>
      <c r="AR12" s="80" t="str">
        <f t="shared" ref="AR12:AR17" si="19">IF(M12="","",IF(M12&lt;=$AR$1,"O","X"))</f>
        <v>X</v>
      </c>
      <c r="AS12" s="80" t="s">
        <v>2</v>
      </c>
      <c r="AT12" s="80" t="str">
        <f t="shared" ref="AT12:AT17" si="20">IF(OR(F12="",AI12=""),"",IF(AND((F12&lt;=85),(AI12&gt;=15)),"O","X"))</f>
        <v>O</v>
      </c>
      <c r="AU12" s="80" t="str">
        <f t="shared" ref="AU12:AU17" si="21">IF(C12="","",IF(C12&gt;=$AU$1,"O","X"))</f>
        <v>O</v>
      </c>
      <c r="AV12" s="80" t="str">
        <f t="shared" ref="AV12:AV17" si="22">IF(AO12="","",IF(AND(AO12="O",AP12="O",AR12="O",AT12="O",AU12="O"),"후보","X"))</f>
        <v>X</v>
      </c>
    </row>
    <row r="13" spans="1:48" x14ac:dyDescent="0.3">
      <c r="A13" s="9" t="s">
        <v>755</v>
      </c>
      <c r="B13" s="10" t="s">
        <v>1321</v>
      </c>
      <c r="C13" s="89">
        <v>540</v>
      </c>
      <c r="D13" s="87">
        <v>100</v>
      </c>
      <c r="E13" s="88">
        <v>30</v>
      </c>
      <c r="F13" s="87">
        <v>75</v>
      </c>
      <c r="G13" s="17">
        <v>23</v>
      </c>
      <c r="H13" s="89">
        <v>49</v>
      </c>
      <c r="I13" s="90">
        <v>38000</v>
      </c>
      <c r="J13" s="90" t="s">
        <v>91</v>
      </c>
      <c r="K13" s="90"/>
      <c r="L13" s="90"/>
      <c r="M13" s="91">
        <f t="shared" si="4"/>
        <v>38000</v>
      </c>
      <c r="N13" s="4">
        <f t="shared" si="5"/>
        <v>0</v>
      </c>
      <c r="O13" s="92">
        <f t="shared" si="6"/>
        <v>1266.6666666666667</v>
      </c>
      <c r="P13" s="92">
        <f t="shared" si="7"/>
        <v>0</v>
      </c>
      <c r="Q13" s="80">
        <v>3</v>
      </c>
      <c r="R13" s="80">
        <v>2</v>
      </c>
      <c r="S13" s="80" t="s">
        <v>61</v>
      </c>
      <c r="T13" s="5" t="s">
        <v>760</v>
      </c>
      <c r="U13" s="9"/>
      <c r="W13" s="87">
        <f t="shared" si="8"/>
        <v>100</v>
      </c>
      <c r="X13" s="88">
        <f t="shared" si="8"/>
        <v>30</v>
      </c>
      <c r="Y13" s="93">
        <f t="shared" si="9"/>
        <v>49</v>
      </c>
      <c r="Z13" s="91">
        <f t="shared" si="9"/>
        <v>38000</v>
      </c>
      <c r="AA13" s="91">
        <f t="shared" si="10"/>
        <v>0</v>
      </c>
      <c r="AB13" s="91">
        <f t="shared" si="11"/>
        <v>38000</v>
      </c>
      <c r="AC13" s="4">
        <f t="shared" si="11"/>
        <v>0</v>
      </c>
      <c r="AD13" s="92">
        <f t="shared" si="11"/>
        <v>1266.6666666666667</v>
      </c>
      <c r="AE13" s="80" t="str">
        <f t="shared" si="12"/>
        <v>계</v>
      </c>
      <c r="AF13" s="80" t="str">
        <f t="shared" si="13"/>
        <v>3/2</v>
      </c>
      <c r="AH13" s="20" t="str">
        <f t="shared" si="1"/>
        <v>군산미장2차아이파크</v>
      </c>
      <c r="AI13" s="88">
        <f t="shared" si="0"/>
        <v>30</v>
      </c>
      <c r="AJ13" s="80" t="str">
        <f t="shared" si="14"/>
        <v>A-</v>
      </c>
      <c r="AK13" s="80" t="s">
        <v>14</v>
      </c>
      <c r="AL13" s="80" t="s">
        <v>63</v>
      </c>
      <c r="AM13" s="80" t="s">
        <v>64</v>
      </c>
      <c r="AN13" s="80" t="str">
        <f t="shared" si="15"/>
        <v>C</v>
      </c>
      <c r="AO13" s="80" t="str">
        <f t="shared" si="16"/>
        <v>X</v>
      </c>
      <c r="AP13" s="80" t="str">
        <f t="shared" si="17"/>
        <v>O</v>
      </c>
      <c r="AQ13" s="80" t="str">
        <f t="shared" si="18"/>
        <v>X</v>
      </c>
      <c r="AR13" s="80" t="str">
        <f t="shared" si="19"/>
        <v>X</v>
      </c>
      <c r="AS13" s="80" t="s">
        <v>2</v>
      </c>
      <c r="AT13" s="80" t="str">
        <f t="shared" si="20"/>
        <v>O</v>
      </c>
      <c r="AU13" s="80" t="str">
        <f t="shared" si="21"/>
        <v>O</v>
      </c>
      <c r="AV13" s="80" t="str">
        <f t="shared" si="22"/>
        <v>X</v>
      </c>
    </row>
    <row r="14" spans="1:48" x14ac:dyDescent="0.3">
      <c r="A14" s="9" t="s">
        <v>755</v>
      </c>
      <c r="B14" s="10" t="s">
        <v>1321</v>
      </c>
      <c r="C14" s="89">
        <v>540</v>
      </c>
      <c r="D14" s="87">
        <v>100.5</v>
      </c>
      <c r="E14" s="88">
        <v>30</v>
      </c>
      <c r="F14" s="87">
        <v>75</v>
      </c>
      <c r="G14" s="17">
        <v>23</v>
      </c>
      <c r="H14" s="89">
        <v>188</v>
      </c>
      <c r="I14" s="90">
        <v>38000</v>
      </c>
      <c r="J14" s="90" t="s">
        <v>111</v>
      </c>
      <c r="K14" s="90"/>
      <c r="L14" s="90"/>
      <c r="M14" s="91">
        <f t="shared" si="4"/>
        <v>38000</v>
      </c>
      <c r="N14" s="4">
        <f t="shared" si="5"/>
        <v>0</v>
      </c>
      <c r="O14" s="92">
        <f t="shared" si="6"/>
        <v>1266.6666666666667</v>
      </c>
      <c r="P14" s="92">
        <f t="shared" si="7"/>
        <v>0</v>
      </c>
      <c r="Q14" s="80">
        <v>3</v>
      </c>
      <c r="R14" s="80">
        <v>2</v>
      </c>
      <c r="S14" s="80" t="s">
        <v>61</v>
      </c>
      <c r="T14" s="5" t="s">
        <v>115</v>
      </c>
      <c r="U14" s="9"/>
      <c r="W14" s="87">
        <f t="shared" si="8"/>
        <v>100.5</v>
      </c>
      <c r="X14" s="88">
        <f t="shared" si="8"/>
        <v>30</v>
      </c>
      <c r="Y14" s="93">
        <f t="shared" si="9"/>
        <v>188</v>
      </c>
      <c r="Z14" s="91">
        <f t="shared" si="9"/>
        <v>38000</v>
      </c>
      <c r="AA14" s="91">
        <f t="shared" si="10"/>
        <v>0</v>
      </c>
      <c r="AB14" s="91">
        <f t="shared" si="11"/>
        <v>38000</v>
      </c>
      <c r="AC14" s="4">
        <f t="shared" si="11"/>
        <v>0</v>
      </c>
      <c r="AD14" s="92">
        <f t="shared" si="11"/>
        <v>1266.6666666666667</v>
      </c>
      <c r="AE14" s="80" t="str">
        <f t="shared" si="12"/>
        <v>계</v>
      </c>
      <c r="AF14" s="80" t="str">
        <f t="shared" si="13"/>
        <v>3/2</v>
      </c>
      <c r="AH14" s="20" t="str">
        <f t="shared" si="1"/>
        <v>군산미장2차아이파크</v>
      </c>
      <c r="AI14" s="88">
        <f t="shared" si="0"/>
        <v>30</v>
      </c>
      <c r="AJ14" s="80" t="str">
        <f t="shared" si="14"/>
        <v>A-</v>
      </c>
      <c r="AK14" s="80" t="s">
        <v>14</v>
      </c>
      <c r="AL14" s="80" t="s">
        <v>63</v>
      </c>
      <c r="AM14" s="80" t="s">
        <v>64</v>
      </c>
      <c r="AN14" s="80" t="str">
        <f t="shared" si="15"/>
        <v>C</v>
      </c>
      <c r="AO14" s="80" t="str">
        <f t="shared" si="16"/>
        <v>X</v>
      </c>
      <c r="AP14" s="80" t="str">
        <f t="shared" si="17"/>
        <v>O</v>
      </c>
      <c r="AQ14" s="80" t="str">
        <f t="shared" si="18"/>
        <v>X</v>
      </c>
      <c r="AR14" s="80" t="str">
        <f t="shared" si="19"/>
        <v>X</v>
      </c>
      <c r="AS14" s="80" t="s">
        <v>2</v>
      </c>
      <c r="AT14" s="80" t="str">
        <f t="shared" si="20"/>
        <v>O</v>
      </c>
      <c r="AU14" s="80" t="str">
        <f t="shared" si="21"/>
        <v>O</v>
      </c>
      <c r="AV14" s="80" t="str">
        <f t="shared" si="22"/>
        <v>X</v>
      </c>
    </row>
    <row r="15" spans="1:48" x14ac:dyDescent="0.3">
      <c r="A15" s="9" t="s">
        <v>755</v>
      </c>
      <c r="B15" s="10" t="s">
        <v>1321</v>
      </c>
      <c r="C15" s="89">
        <v>540</v>
      </c>
      <c r="D15" s="87">
        <v>100</v>
      </c>
      <c r="E15" s="88">
        <v>30</v>
      </c>
      <c r="F15" s="87">
        <v>75</v>
      </c>
      <c r="G15" s="17">
        <v>23</v>
      </c>
      <c r="H15" s="89">
        <v>50</v>
      </c>
      <c r="I15" s="90">
        <v>38000</v>
      </c>
      <c r="J15" s="90" t="s">
        <v>91</v>
      </c>
      <c r="K15" s="90"/>
      <c r="L15" s="90"/>
      <c r="M15" s="91">
        <f t="shared" si="4"/>
        <v>38000</v>
      </c>
      <c r="N15" s="4">
        <f t="shared" si="5"/>
        <v>0</v>
      </c>
      <c r="O15" s="92">
        <f t="shared" si="6"/>
        <v>1266.6666666666667</v>
      </c>
      <c r="P15" s="92">
        <f t="shared" si="7"/>
        <v>0</v>
      </c>
      <c r="Q15" s="80">
        <v>3</v>
      </c>
      <c r="R15" s="80">
        <v>2</v>
      </c>
      <c r="S15" s="80" t="s">
        <v>61</v>
      </c>
      <c r="T15" s="5" t="s">
        <v>761</v>
      </c>
      <c r="U15" s="9"/>
      <c r="W15" s="87">
        <f t="shared" si="8"/>
        <v>100</v>
      </c>
      <c r="X15" s="88">
        <f t="shared" si="8"/>
        <v>30</v>
      </c>
      <c r="Y15" s="93">
        <f t="shared" si="9"/>
        <v>50</v>
      </c>
      <c r="Z15" s="91">
        <f t="shared" si="9"/>
        <v>38000</v>
      </c>
      <c r="AA15" s="91">
        <f t="shared" si="10"/>
        <v>0</v>
      </c>
      <c r="AB15" s="91">
        <f t="shared" si="11"/>
        <v>38000</v>
      </c>
      <c r="AC15" s="4">
        <f t="shared" si="11"/>
        <v>0</v>
      </c>
      <c r="AD15" s="92">
        <f t="shared" si="11"/>
        <v>1266.6666666666667</v>
      </c>
      <c r="AE15" s="80" t="str">
        <f t="shared" si="12"/>
        <v>계</v>
      </c>
      <c r="AF15" s="80" t="str">
        <f t="shared" si="13"/>
        <v>3/2</v>
      </c>
      <c r="AH15" s="20" t="str">
        <f t="shared" si="1"/>
        <v>군산미장2차아이파크</v>
      </c>
      <c r="AI15" s="88">
        <f t="shared" si="0"/>
        <v>30</v>
      </c>
      <c r="AJ15" s="80" t="str">
        <f t="shared" si="14"/>
        <v>A-</v>
      </c>
      <c r="AK15" s="80" t="s">
        <v>14</v>
      </c>
      <c r="AL15" s="80" t="s">
        <v>63</v>
      </c>
      <c r="AM15" s="80" t="s">
        <v>64</v>
      </c>
      <c r="AN15" s="80" t="str">
        <f t="shared" si="15"/>
        <v>C</v>
      </c>
      <c r="AO15" s="80" t="str">
        <f t="shared" si="16"/>
        <v>X</v>
      </c>
      <c r="AP15" s="80" t="str">
        <f t="shared" si="17"/>
        <v>O</v>
      </c>
      <c r="AQ15" s="80" t="str">
        <f t="shared" si="18"/>
        <v>X</v>
      </c>
      <c r="AR15" s="80" t="str">
        <f t="shared" si="19"/>
        <v>X</v>
      </c>
      <c r="AS15" s="80" t="s">
        <v>2</v>
      </c>
      <c r="AT15" s="80" t="str">
        <f t="shared" si="20"/>
        <v>O</v>
      </c>
      <c r="AU15" s="80" t="str">
        <f t="shared" si="21"/>
        <v>O</v>
      </c>
      <c r="AV15" s="80" t="str">
        <f t="shared" si="22"/>
        <v>X</v>
      </c>
    </row>
    <row r="16" spans="1:48" x14ac:dyDescent="0.3">
      <c r="A16" s="9" t="s">
        <v>755</v>
      </c>
      <c r="B16" s="10" t="s">
        <v>1321</v>
      </c>
      <c r="C16" s="89">
        <v>540</v>
      </c>
      <c r="D16" s="87">
        <v>100.8</v>
      </c>
      <c r="E16" s="88">
        <v>30</v>
      </c>
      <c r="F16" s="87">
        <v>75</v>
      </c>
      <c r="G16" s="17">
        <v>23</v>
      </c>
      <c r="H16" s="89">
        <v>15</v>
      </c>
      <c r="I16" s="90">
        <v>38700</v>
      </c>
      <c r="J16" s="90" t="s">
        <v>111</v>
      </c>
      <c r="K16" s="90"/>
      <c r="L16" s="90"/>
      <c r="M16" s="91">
        <f t="shared" si="4"/>
        <v>38700</v>
      </c>
      <c r="N16" s="4">
        <f t="shared" si="5"/>
        <v>0</v>
      </c>
      <c r="O16" s="92">
        <f t="shared" si="6"/>
        <v>1290</v>
      </c>
      <c r="P16" s="92">
        <f t="shared" si="7"/>
        <v>0</v>
      </c>
      <c r="Q16" s="80">
        <v>3</v>
      </c>
      <c r="R16" s="80">
        <v>2</v>
      </c>
      <c r="S16" s="80" t="s">
        <v>61</v>
      </c>
      <c r="T16" s="5" t="s">
        <v>116</v>
      </c>
      <c r="U16" s="9"/>
      <c r="W16" s="87">
        <f t="shared" si="8"/>
        <v>100.8</v>
      </c>
      <c r="X16" s="88">
        <f t="shared" si="8"/>
        <v>30</v>
      </c>
      <c r="Y16" s="93">
        <f t="shared" si="9"/>
        <v>15</v>
      </c>
      <c r="Z16" s="91">
        <f t="shared" si="9"/>
        <v>38700</v>
      </c>
      <c r="AA16" s="91">
        <f t="shared" si="10"/>
        <v>0</v>
      </c>
      <c r="AB16" s="91">
        <f t="shared" si="11"/>
        <v>38700</v>
      </c>
      <c r="AC16" s="4">
        <f t="shared" si="11"/>
        <v>0</v>
      </c>
      <c r="AD16" s="92">
        <f t="shared" si="11"/>
        <v>1290</v>
      </c>
      <c r="AE16" s="80" t="str">
        <f t="shared" si="12"/>
        <v>계</v>
      </c>
      <c r="AF16" s="80" t="str">
        <f t="shared" si="13"/>
        <v>3/2</v>
      </c>
      <c r="AH16" s="20" t="str">
        <f t="shared" si="1"/>
        <v>군산미장2차아이파크</v>
      </c>
      <c r="AI16" s="88">
        <f t="shared" si="0"/>
        <v>30</v>
      </c>
      <c r="AJ16" s="80" t="str">
        <f t="shared" si="14"/>
        <v>A-</v>
      </c>
      <c r="AK16" s="80" t="s">
        <v>14</v>
      </c>
      <c r="AL16" s="80" t="s">
        <v>63</v>
      </c>
      <c r="AM16" s="80" t="s">
        <v>64</v>
      </c>
      <c r="AN16" s="80" t="str">
        <f t="shared" si="15"/>
        <v>C</v>
      </c>
      <c r="AO16" s="80" t="str">
        <f t="shared" si="16"/>
        <v>X</v>
      </c>
      <c r="AP16" s="80" t="str">
        <f t="shared" si="17"/>
        <v>O</v>
      </c>
      <c r="AQ16" s="80" t="str">
        <f t="shared" si="18"/>
        <v>X</v>
      </c>
      <c r="AR16" s="80" t="str">
        <f t="shared" si="19"/>
        <v>X</v>
      </c>
      <c r="AS16" s="80" t="s">
        <v>2</v>
      </c>
      <c r="AT16" s="80" t="str">
        <f t="shared" si="20"/>
        <v>O</v>
      </c>
      <c r="AU16" s="80" t="str">
        <f t="shared" si="21"/>
        <v>O</v>
      </c>
      <c r="AV16" s="80" t="str">
        <f t="shared" si="22"/>
        <v>X</v>
      </c>
    </row>
    <row r="17" spans="1:48" x14ac:dyDescent="0.3">
      <c r="A17" s="9" t="s">
        <v>755</v>
      </c>
      <c r="B17" s="10" t="s">
        <v>1321</v>
      </c>
      <c r="C17" s="89">
        <v>540</v>
      </c>
      <c r="D17" s="87">
        <v>130.4</v>
      </c>
      <c r="E17" s="88">
        <v>39</v>
      </c>
      <c r="F17" s="87">
        <v>101.8</v>
      </c>
      <c r="G17" s="17">
        <v>31</v>
      </c>
      <c r="H17" s="89">
        <v>166</v>
      </c>
      <c r="I17" s="90">
        <v>52000</v>
      </c>
      <c r="J17" s="90" t="s">
        <v>66</v>
      </c>
      <c r="K17" s="90">
        <v>39000</v>
      </c>
      <c r="L17" s="90" t="s">
        <v>111</v>
      </c>
      <c r="M17" s="91">
        <f t="shared" si="4"/>
        <v>13000</v>
      </c>
      <c r="N17" s="4">
        <f t="shared" si="5"/>
        <v>0.75</v>
      </c>
      <c r="O17" s="92">
        <f t="shared" si="6"/>
        <v>1333.3333333333333</v>
      </c>
      <c r="P17" s="92">
        <f t="shared" si="7"/>
        <v>1000</v>
      </c>
      <c r="Q17" s="80">
        <v>3</v>
      </c>
      <c r="R17" s="80">
        <v>2</v>
      </c>
      <c r="S17" s="80" t="s">
        <v>61</v>
      </c>
      <c r="T17" s="5">
        <v>130</v>
      </c>
      <c r="U17" s="9"/>
      <c r="W17" s="87">
        <f t="shared" si="8"/>
        <v>130.4</v>
      </c>
      <c r="X17" s="88">
        <f t="shared" si="8"/>
        <v>39</v>
      </c>
      <c r="Y17" s="93">
        <f t="shared" si="9"/>
        <v>166</v>
      </c>
      <c r="Z17" s="91">
        <f t="shared" si="9"/>
        <v>52000</v>
      </c>
      <c r="AA17" s="91">
        <f t="shared" si="10"/>
        <v>39000</v>
      </c>
      <c r="AB17" s="91">
        <f t="shared" si="11"/>
        <v>13000</v>
      </c>
      <c r="AC17" s="4">
        <f t="shared" si="11"/>
        <v>0.75</v>
      </c>
      <c r="AD17" s="92">
        <f t="shared" si="11"/>
        <v>1333.3333333333333</v>
      </c>
      <c r="AE17" s="80" t="str">
        <f t="shared" si="12"/>
        <v>계</v>
      </c>
      <c r="AF17" s="80" t="str">
        <f t="shared" si="13"/>
        <v>3/2</v>
      </c>
      <c r="AH17" s="20" t="str">
        <f t="shared" si="1"/>
        <v>군산미장2차아이파크</v>
      </c>
      <c r="AI17" s="88">
        <f t="shared" si="0"/>
        <v>39</v>
      </c>
      <c r="AJ17" s="80" t="str">
        <f t="shared" si="14"/>
        <v>A-</v>
      </c>
      <c r="AK17" s="80" t="s">
        <v>14</v>
      </c>
      <c r="AL17" s="80" t="s">
        <v>63</v>
      </c>
      <c r="AM17" s="80" t="s">
        <v>64</v>
      </c>
      <c r="AN17" s="80" t="str">
        <f t="shared" si="15"/>
        <v>C</v>
      </c>
      <c r="AO17" s="80" t="str">
        <f t="shared" si="16"/>
        <v>X</v>
      </c>
      <c r="AP17" s="80" t="str">
        <f t="shared" si="17"/>
        <v>X</v>
      </c>
      <c r="AQ17" s="80" t="str">
        <f t="shared" si="18"/>
        <v>X</v>
      </c>
      <c r="AR17" s="80" t="str">
        <f t="shared" si="19"/>
        <v>X</v>
      </c>
      <c r="AS17" s="80" t="s">
        <v>2</v>
      </c>
      <c r="AT17" s="80" t="str">
        <f t="shared" si="20"/>
        <v>X</v>
      </c>
      <c r="AU17" s="80" t="str">
        <f t="shared" si="21"/>
        <v>O</v>
      </c>
      <c r="AV17" s="80" t="str">
        <f t="shared" si="22"/>
        <v>X</v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7" t="str">
        <f>$A$4&amp;" "&amp;A19&amp;"("&amp;B19&amp;","&amp;C19&amp;"^)"</f>
        <v>미장동 군산미장아이파크('15.01.,1078^)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762</v>
      </c>
      <c r="B19" s="10" t="s">
        <v>1322</v>
      </c>
      <c r="C19" s="89">
        <v>1078</v>
      </c>
      <c r="D19" s="87">
        <v>80.3</v>
      </c>
      <c r="E19" s="88">
        <v>24</v>
      </c>
      <c r="F19" s="87">
        <v>60</v>
      </c>
      <c r="G19" s="17">
        <v>18</v>
      </c>
      <c r="H19" s="89">
        <v>141</v>
      </c>
      <c r="I19" s="90">
        <v>26000</v>
      </c>
      <c r="J19" s="90" t="s">
        <v>60</v>
      </c>
      <c r="K19" s="90"/>
      <c r="L19" s="90"/>
      <c r="M19" s="91">
        <f t="shared" ref="M19:M25" si="23">I19-K19</f>
        <v>26000</v>
      </c>
      <c r="N19" s="4">
        <f t="shared" ref="N19:N25" si="24">IF(ISERROR(K19/I19),"",K19/I19)</f>
        <v>0</v>
      </c>
      <c r="O19" s="92">
        <f t="shared" ref="O19:O25" si="25">I19/E19</f>
        <v>1083.3333333333333</v>
      </c>
      <c r="P19" s="92">
        <f t="shared" ref="P19:P25" si="26">K19/E19</f>
        <v>0</v>
      </c>
      <c r="Q19" s="80">
        <v>3</v>
      </c>
      <c r="R19" s="80">
        <v>2</v>
      </c>
      <c r="S19" s="80" t="s">
        <v>61</v>
      </c>
      <c r="T19" s="5">
        <v>80</v>
      </c>
      <c r="U19" s="9"/>
      <c r="W19" s="87">
        <f t="shared" ref="W19:X25" si="27">D19</f>
        <v>80.3</v>
      </c>
      <c r="X19" s="88">
        <f t="shared" si="27"/>
        <v>24</v>
      </c>
      <c r="Y19" s="93">
        <f t="shared" ref="Y19:Z25" si="28">H19</f>
        <v>141</v>
      </c>
      <c r="Z19" s="91">
        <f t="shared" si="28"/>
        <v>26000</v>
      </c>
      <c r="AA19" s="91">
        <f t="shared" ref="AA19:AA25" si="29">K19</f>
        <v>0</v>
      </c>
      <c r="AB19" s="91">
        <f t="shared" ref="AB19:AD25" si="30">M19</f>
        <v>26000</v>
      </c>
      <c r="AC19" s="4">
        <f t="shared" si="30"/>
        <v>0</v>
      </c>
      <c r="AD19" s="92">
        <f t="shared" si="30"/>
        <v>1083.3333333333333</v>
      </c>
      <c r="AE19" s="80" t="str">
        <f t="shared" ref="AE19:AE25" si="31">S19</f>
        <v>계</v>
      </c>
      <c r="AF19" s="80" t="str">
        <f t="shared" ref="AF19:AF25" si="32">Q19&amp;"/"&amp;R19</f>
        <v>3/2</v>
      </c>
      <c r="AH19" s="20" t="str">
        <f t="shared" si="1"/>
        <v>군산미장아이파크</v>
      </c>
      <c r="AI19" s="88">
        <f t="shared" si="0"/>
        <v>24</v>
      </c>
      <c r="AJ19" s="80" t="str">
        <f t="shared" ref="AJ19:AJ25" si="33"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 t="shared" ref="AN19:AN25" si="34">IF(AI19="","",$AN$2)</f>
        <v>C</v>
      </c>
      <c r="AO19" s="80" t="str">
        <f t="shared" ref="AO19:AO25" si="35">IF(N19="","",IF(N19&gt;=$AO$1/100,"O","X"))</f>
        <v>X</v>
      </c>
      <c r="AP19" s="80" t="str">
        <f t="shared" ref="AP19:AP25" si="36">IF(I19="","",IF(I19&lt;=$AP$1,"O","X"))</f>
        <v>O</v>
      </c>
      <c r="AQ19" s="80" t="str">
        <f t="shared" ref="AQ19:AQ25" si="37">IF(O19="","",IF(O19&lt;=$AQ$1,"O","X"))</f>
        <v>O</v>
      </c>
      <c r="AR19" s="80" t="str">
        <f t="shared" ref="AR19:AR25" si="38">IF(M19="","",IF(M19&lt;=$AR$1,"O","X"))</f>
        <v>X</v>
      </c>
      <c r="AS19" s="80" t="s">
        <v>2</v>
      </c>
      <c r="AT19" s="80" t="str">
        <f t="shared" ref="AT19:AT25" si="39">IF(OR(F19="",AI19=""),"",IF(AND((F19&lt;=85),(AI19&gt;=15)),"O","X"))</f>
        <v>O</v>
      </c>
      <c r="AU19" s="80" t="str">
        <f t="shared" ref="AU19:AU25" si="40">IF(C19="","",IF(C19&gt;=$AU$1,"O","X"))</f>
        <v>O</v>
      </c>
      <c r="AV19" s="80" t="str">
        <f t="shared" ref="AV19:AV25" si="41">IF(AO19="","",IF(AND(AO19="O",AP19="O",AR19="O",AT19="O",AU19="O"),"후보","X"))</f>
        <v>X</v>
      </c>
    </row>
    <row r="20" spans="1:48" x14ac:dyDescent="0.3">
      <c r="A20" s="9" t="s">
        <v>762</v>
      </c>
      <c r="B20" s="10" t="s">
        <v>1322</v>
      </c>
      <c r="C20" s="89">
        <v>1078</v>
      </c>
      <c r="D20" s="87">
        <v>111.3</v>
      </c>
      <c r="E20" s="88">
        <v>34</v>
      </c>
      <c r="F20" s="87">
        <v>85</v>
      </c>
      <c r="G20" s="17">
        <v>26</v>
      </c>
      <c r="H20" s="89">
        <v>435</v>
      </c>
      <c r="I20" s="90">
        <v>35500</v>
      </c>
      <c r="J20" s="90" t="s">
        <v>70</v>
      </c>
      <c r="K20" s="90">
        <v>28000</v>
      </c>
      <c r="L20" s="90" t="s">
        <v>69</v>
      </c>
      <c r="M20" s="91">
        <f t="shared" si="23"/>
        <v>7500</v>
      </c>
      <c r="N20" s="4">
        <f t="shared" si="24"/>
        <v>0.78873239436619713</v>
      </c>
      <c r="O20" s="92">
        <f t="shared" si="25"/>
        <v>1044.1176470588234</v>
      </c>
      <c r="P20" s="92">
        <f t="shared" si="26"/>
        <v>823.52941176470586</v>
      </c>
      <c r="Q20" s="80">
        <v>3</v>
      </c>
      <c r="R20" s="80">
        <v>2</v>
      </c>
      <c r="S20" s="80" t="s">
        <v>61</v>
      </c>
      <c r="T20" s="5" t="s">
        <v>92</v>
      </c>
      <c r="U20" s="9"/>
      <c r="W20" s="87">
        <f t="shared" si="27"/>
        <v>111.3</v>
      </c>
      <c r="X20" s="88">
        <f t="shared" si="27"/>
        <v>34</v>
      </c>
      <c r="Y20" s="93">
        <f t="shared" si="28"/>
        <v>435</v>
      </c>
      <c r="Z20" s="91">
        <f t="shared" si="28"/>
        <v>35500</v>
      </c>
      <c r="AA20" s="91">
        <f t="shared" si="29"/>
        <v>28000</v>
      </c>
      <c r="AB20" s="91">
        <f t="shared" si="30"/>
        <v>7500</v>
      </c>
      <c r="AC20" s="4">
        <f t="shared" si="30"/>
        <v>0.78873239436619713</v>
      </c>
      <c r="AD20" s="92">
        <f t="shared" si="30"/>
        <v>1044.1176470588234</v>
      </c>
      <c r="AE20" s="80" t="str">
        <f t="shared" si="31"/>
        <v>계</v>
      </c>
      <c r="AF20" s="80" t="str">
        <f t="shared" si="32"/>
        <v>3/2</v>
      </c>
      <c r="AH20" s="20" t="str">
        <f t="shared" si="1"/>
        <v>군산미장아이파크</v>
      </c>
      <c r="AI20" s="88">
        <f t="shared" si="0"/>
        <v>34</v>
      </c>
      <c r="AJ20" s="80" t="str">
        <f t="shared" si="33"/>
        <v>A-</v>
      </c>
      <c r="AK20" s="80" t="s">
        <v>14</v>
      </c>
      <c r="AL20" s="80" t="s">
        <v>63</v>
      </c>
      <c r="AM20" s="80" t="s">
        <v>64</v>
      </c>
      <c r="AN20" s="80" t="str">
        <f t="shared" si="34"/>
        <v>C</v>
      </c>
      <c r="AO20" s="80" t="str">
        <f t="shared" si="35"/>
        <v>X</v>
      </c>
      <c r="AP20" s="80" t="str">
        <f t="shared" si="36"/>
        <v>O</v>
      </c>
      <c r="AQ20" s="80" t="str">
        <f t="shared" si="37"/>
        <v>O</v>
      </c>
      <c r="AR20" s="80" t="str">
        <f t="shared" si="38"/>
        <v>X</v>
      </c>
      <c r="AS20" s="80" t="s">
        <v>2</v>
      </c>
      <c r="AT20" s="80" t="str">
        <f t="shared" si="39"/>
        <v>O</v>
      </c>
      <c r="AU20" s="80" t="str">
        <f t="shared" si="40"/>
        <v>O</v>
      </c>
      <c r="AV20" s="80" t="str">
        <f t="shared" si="41"/>
        <v>X</v>
      </c>
    </row>
    <row r="21" spans="1:48" x14ac:dyDescent="0.3">
      <c r="A21" s="9" t="s">
        <v>762</v>
      </c>
      <c r="B21" s="10" t="s">
        <v>1322</v>
      </c>
      <c r="C21" s="89">
        <v>1078</v>
      </c>
      <c r="D21" s="87">
        <v>111.3</v>
      </c>
      <c r="E21" s="88">
        <v>34</v>
      </c>
      <c r="F21" s="87">
        <v>85</v>
      </c>
      <c r="G21" s="17">
        <v>26</v>
      </c>
      <c r="H21" s="89">
        <v>40</v>
      </c>
      <c r="I21" s="90">
        <v>35500</v>
      </c>
      <c r="J21" s="90" t="s">
        <v>70</v>
      </c>
      <c r="K21" s="90">
        <v>28000</v>
      </c>
      <c r="L21" s="90" t="s">
        <v>69</v>
      </c>
      <c r="M21" s="91">
        <f t="shared" si="23"/>
        <v>7500</v>
      </c>
      <c r="N21" s="4">
        <f t="shared" si="24"/>
        <v>0.78873239436619713</v>
      </c>
      <c r="O21" s="92">
        <f t="shared" si="25"/>
        <v>1044.1176470588234</v>
      </c>
      <c r="P21" s="92">
        <f t="shared" si="26"/>
        <v>823.52941176470586</v>
      </c>
      <c r="Q21" s="80">
        <v>3</v>
      </c>
      <c r="R21" s="80">
        <v>2</v>
      </c>
      <c r="S21" s="80" t="s">
        <v>61</v>
      </c>
      <c r="T21" s="5" t="s">
        <v>767</v>
      </c>
      <c r="U21" s="9"/>
      <c r="W21" s="87">
        <f t="shared" si="27"/>
        <v>111.3</v>
      </c>
      <c r="X21" s="88">
        <f t="shared" si="27"/>
        <v>34</v>
      </c>
      <c r="Y21" s="93">
        <f t="shared" si="28"/>
        <v>40</v>
      </c>
      <c r="Z21" s="91">
        <f t="shared" si="28"/>
        <v>35500</v>
      </c>
      <c r="AA21" s="91">
        <f t="shared" si="29"/>
        <v>28000</v>
      </c>
      <c r="AB21" s="91">
        <f t="shared" si="30"/>
        <v>7500</v>
      </c>
      <c r="AC21" s="4">
        <f t="shared" si="30"/>
        <v>0.78873239436619713</v>
      </c>
      <c r="AD21" s="92">
        <f t="shared" si="30"/>
        <v>1044.1176470588234</v>
      </c>
      <c r="AE21" s="80" t="str">
        <f t="shared" si="31"/>
        <v>계</v>
      </c>
      <c r="AF21" s="80" t="str">
        <f t="shared" si="32"/>
        <v>3/2</v>
      </c>
      <c r="AH21" s="20" t="str">
        <f t="shared" si="1"/>
        <v>군산미장아이파크</v>
      </c>
      <c r="AI21" s="88">
        <f t="shared" si="0"/>
        <v>34</v>
      </c>
      <c r="AJ21" s="80" t="str">
        <f t="shared" si="33"/>
        <v>A-</v>
      </c>
      <c r="AK21" s="80" t="s">
        <v>14</v>
      </c>
      <c r="AL21" s="80" t="s">
        <v>63</v>
      </c>
      <c r="AM21" s="80" t="s">
        <v>64</v>
      </c>
      <c r="AN21" s="80" t="str">
        <f t="shared" si="34"/>
        <v>C</v>
      </c>
      <c r="AO21" s="80" t="str">
        <f t="shared" si="35"/>
        <v>X</v>
      </c>
      <c r="AP21" s="80" t="str">
        <f t="shared" si="36"/>
        <v>O</v>
      </c>
      <c r="AQ21" s="80" t="str">
        <f t="shared" si="37"/>
        <v>O</v>
      </c>
      <c r="AR21" s="80" t="str">
        <f t="shared" si="38"/>
        <v>X</v>
      </c>
      <c r="AS21" s="80" t="s">
        <v>2</v>
      </c>
      <c r="AT21" s="80" t="str">
        <f t="shared" si="39"/>
        <v>O</v>
      </c>
      <c r="AU21" s="80" t="str">
        <f t="shared" si="40"/>
        <v>O</v>
      </c>
      <c r="AV21" s="80" t="str">
        <f t="shared" si="41"/>
        <v>X</v>
      </c>
    </row>
    <row r="22" spans="1:48" x14ac:dyDescent="0.3">
      <c r="A22" s="9" t="s">
        <v>762</v>
      </c>
      <c r="B22" s="10" t="s">
        <v>1322</v>
      </c>
      <c r="C22" s="89">
        <v>1078</v>
      </c>
      <c r="D22" s="87">
        <v>113</v>
      </c>
      <c r="E22" s="88">
        <v>34</v>
      </c>
      <c r="F22" s="87">
        <v>85</v>
      </c>
      <c r="G22" s="17">
        <v>26</v>
      </c>
      <c r="H22" s="89">
        <v>200</v>
      </c>
      <c r="I22" s="90">
        <v>37000</v>
      </c>
      <c r="J22" s="90" t="s">
        <v>88</v>
      </c>
      <c r="K22" s="90">
        <v>30000</v>
      </c>
      <c r="L22" s="90" t="s">
        <v>68</v>
      </c>
      <c r="M22" s="91">
        <f t="shared" si="23"/>
        <v>7000</v>
      </c>
      <c r="N22" s="4">
        <f t="shared" si="24"/>
        <v>0.81081081081081086</v>
      </c>
      <c r="O22" s="92">
        <f t="shared" si="25"/>
        <v>1088.2352941176471</v>
      </c>
      <c r="P22" s="92">
        <f t="shared" si="26"/>
        <v>882.35294117647061</v>
      </c>
      <c r="Q22" s="80">
        <v>3</v>
      </c>
      <c r="R22" s="80">
        <v>2</v>
      </c>
      <c r="S22" s="80" t="s">
        <v>61</v>
      </c>
      <c r="T22" s="5" t="s">
        <v>126</v>
      </c>
      <c r="U22" s="9"/>
      <c r="W22" s="87">
        <f t="shared" si="27"/>
        <v>113</v>
      </c>
      <c r="X22" s="88">
        <f t="shared" si="27"/>
        <v>34</v>
      </c>
      <c r="Y22" s="93">
        <f t="shared" si="28"/>
        <v>200</v>
      </c>
      <c r="Z22" s="91">
        <f t="shared" si="28"/>
        <v>37000</v>
      </c>
      <c r="AA22" s="91">
        <f t="shared" si="29"/>
        <v>30000</v>
      </c>
      <c r="AB22" s="91">
        <f t="shared" si="30"/>
        <v>7000</v>
      </c>
      <c r="AC22" s="4">
        <f t="shared" si="30"/>
        <v>0.81081081081081086</v>
      </c>
      <c r="AD22" s="92">
        <f t="shared" si="30"/>
        <v>1088.2352941176471</v>
      </c>
      <c r="AE22" s="80" t="str">
        <f t="shared" si="31"/>
        <v>계</v>
      </c>
      <c r="AF22" s="80" t="str">
        <f t="shared" si="32"/>
        <v>3/2</v>
      </c>
      <c r="AH22" s="20" t="str">
        <f t="shared" si="1"/>
        <v>군산미장아이파크</v>
      </c>
      <c r="AI22" s="88">
        <f t="shared" si="0"/>
        <v>34</v>
      </c>
      <c r="AJ22" s="80" t="str">
        <f t="shared" si="33"/>
        <v>A-</v>
      </c>
      <c r="AK22" s="80" t="s">
        <v>14</v>
      </c>
      <c r="AL22" s="80" t="s">
        <v>63</v>
      </c>
      <c r="AM22" s="80" t="s">
        <v>64</v>
      </c>
      <c r="AN22" s="80" t="str">
        <f t="shared" si="34"/>
        <v>C</v>
      </c>
      <c r="AO22" s="80" t="str">
        <f t="shared" si="35"/>
        <v>O</v>
      </c>
      <c r="AP22" s="80" t="str">
        <f t="shared" si="36"/>
        <v>O</v>
      </c>
      <c r="AQ22" s="80" t="str">
        <f t="shared" si="37"/>
        <v>O</v>
      </c>
      <c r="AR22" s="80" t="str">
        <f t="shared" si="38"/>
        <v>X</v>
      </c>
      <c r="AS22" s="80" t="s">
        <v>2</v>
      </c>
      <c r="AT22" s="80" t="str">
        <f t="shared" si="39"/>
        <v>O</v>
      </c>
      <c r="AU22" s="80" t="str">
        <f t="shared" si="40"/>
        <v>O</v>
      </c>
      <c r="AV22" s="80" t="str">
        <f t="shared" si="41"/>
        <v>X</v>
      </c>
    </row>
    <row r="23" spans="1:48" x14ac:dyDescent="0.3">
      <c r="A23" s="9" t="s">
        <v>762</v>
      </c>
      <c r="B23" s="10" t="s">
        <v>1322</v>
      </c>
      <c r="C23" s="89">
        <v>1078</v>
      </c>
      <c r="D23" s="87">
        <v>112.2</v>
      </c>
      <c r="E23" s="88">
        <v>34</v>
      </c>
      <c r="F23" s="87">
        <v>85</v>
      </c>
      <c r="G23" s="17">
        <v>26</v>
      </c>
      <c r="H23" s="89">
        <v>134</v>
      </c>
      <c r="I23" s="90">
        <v>37800</v>
      </c>
      <c r="J23" s="90" t="s">
        <v>88</v>
      </c>
      <c r="K23" s="90">
        <v>30000</v>
      </c>
      <c r="L23" s="90" t="s">
        <v>91</v>
      </c>
      <c r="M23" s="91">
        <f t="shared" si="23"/>
        <v>7800</v>
      </c>
      <c r="N23" s="4">
        <f t="shared" si="24"/>
        <v>0.79365079365079361</v>
      </c>
      <c r="O23" s="92">
        <f t="shared" si="25"/>
        <v>1111.7647058823529</v>
      </c>
      <c r="P23" s="92">
        <f t="shared" si="26"/>
        <v>882.35294117647061</v>
      </c>
      <c r="Q23" s="80">
        <v>3</v>
      </c>
      <c r="R23" s="80">
        <v>2</v>
      </c>
      <c r="S23" s="80" t="s">
        <v>61</v>
      </c>
      <c r="T23" s="5" t="s">
        <v>768</v>
      </c>
      <c r="U23" s="9"/>
      <c r="W23" s="87">
        <f t="shared" si="27"/>
        <v>112.2</v>
      </c>
      <c r="X23" s="88">
        <f t="shared" si="27"/>
        <v>34</v>
      </c>
      <c r="Y23" s="93">
        <f t="shared" si="28"/>
        <v>134</v>
      </c>
      <c r="Z23" s="91">
        <f t="shared" si="28"/>
        <v>37800</v>
      </c>
      <c r="AA23" s="91">
        <f t="shared" si="29"/>
        <v>30000</v>
      </c>
      <c r="AB23" s="91">
        <f t="shared" si="30"/>
        <v>7800</v>
      </c>
      <c r="AC23" s="4">
        <f t="shared" si="30"/>
        <v>0.79365079365079361</v>
      </c>
      <c r="AD23" s="92">
        <f t="shared" si="30"/>
        <v>1111.7647058823529</v>
      </c>
      <c r="AE23" s="80" t="str">
        <f t="shared" si="31"/>
        <v>계</v>
      </c>
      <c r="AF23" s="80" t="str">
        <f t="shared" si="32"/>
        <v>3/2</v>
      </c>
      <c r="AH23" s="20" t="str">
        <f t="shared" si="1"/>
        <v>군산미장아이파크</v>
      </c>
      <c r="AI23" s="88">
        <f t="shared" si="0"/>
        <v>34</v>
      </c>
      <c r="AJ23" s="80" t="str">
        <f t="shared" si="33"/>
        <v>A-</v>
      </c>
      <c r="AK23" s="80" t="s">
        <v>14</v>
      </c>
      <c r="AL23" s="80" t="s">
        <v>63</v>
      </c>
      <c r="AM23" s="80" t="s">
        <v>64</v>
      </c>
      <c r="AN23" s="80" t="str">
        <f t="shared" si="34"/>
        <v>C</v>
      </c>
      <c r="AO23" s="80" t="str">
        <f t="shared" si="35"/>
        <v>X</v>
      </c>
      <c r="AP23" s="80" t="str">
        <f t="shared" si="36"/>
        <v>O</v>
      </c>
      <c r="AQ23" s="80" t="str">
        <f t="shared" si="37"/>
        <v>O</v>
      </c>
      <c r="AR23" s="80" t="str">
        <f t="shared" si="38"/>
        <v>X</v>
      </c>
      <c r="AS23" s="80" t="s">
        <v>2</v>
      </c>
      <c r="AT23" s="80" t="str">
        <f t="shared" si="39"/>
        <v>O</v>
      </c>
      <c r="AU23" s="80" t="str">
        <f t="shared" si="40"/>
        <v>O</v>
      </c>
      <c r="AV23" s="80" t="str">
        <f t="shared" si="41"/>
        <v>X</v>
      </c>
    </row>
    <row r="24" spans="1:48" x14ac:dyDescent="0.3">
      <c r="A24" s="9" t="s">
        <v>762</v>
      </c>
      <c r="B24" s="10" t="s">
        <v>1322</v>
      </c>
      <c r="C24" s="89">
        <v>1078</v>
      </c>
      <c r="D24" s="87">
        <v>112.6</v>
      </c>
      <c r="E24" s="88">
        <v>34</v>
      </c>
      <c r="F24" s="87">
        <v>85</v>
      </c>
      <c r="G24" s="17">
        <v>26</v>
      </c>
      <c r="H24" s="89">
        <v>54</v>
      </c>
      <c r="I24" s="90">
        <v>37500</v>
      </c>
      <c r="J24" s="90" t="s">
        <v>81</v>
      </c>
      <c r="K24" s="90"/>
      <c r="L24" s="90"/>
      <c r="M24" s="91">
        <f t="shared" si="23"/>
        <v>37500</v>
      </c>
      <c r="N24" s="4">
        <f t="shared" si="24"/>
        <v>0</v>
      </c>
      <c r="O24" s="92">
        <f t="shared" si="25"/>
        <v>1102.9411764705883</v>
      </c>
      <c r="P24" s="92">
        <f t="shared" si="26"/>
        <v>0</v>
      </c>
      <c r="Q24" s="80">
        <v>3</v>
      </c>
      <c r="R24" s="80">
        <v>2</v>
      </c>
      <c r="S24" s="80" t="s">
        <v>61</v>
      </c>
      <c r="T24" s="5" t="s">
        <v>506</v>
      </c>
      <c r="U24" s="9"/>
      <c r="W24" s="87">
        <f t="shared" si="27"/>
        <v>112.6</v>
      </c>
      <c r="X24" s="88">
        <f t="shared" si="27"/>
        <v>34</v>
      </c>
      <c r="Y24" s="93">
        <f t="shared" si="28"/>
        <v>54</v>
      </c>
      <c r="Z24" s="91">
        <f t="shared" si="28"/>
        <v>37500</v>
      </c>
      <c r="AA24" s="91">
        <f t="shared" si="29"/>
        <v>0</v>
      </c>
      <c r="AB24" s="91">
        <f t="shared" si="30"/>
        <v>37500</v>
      </c>
      <c r="AC24" s="4">
        <f t="shared" si="30"/>
        <v>0</v>
      </c>
      <c r="AD24" s="92">
        <f t="shared" si="30"/>
        <v>1102.9411764705883</v>
      </c>
      <c r="AE24" s="80" t="str">
        <f t="shared" si="31"/>
        <v>계</v>
      </c>
      <c r="AF24" s="80" t="str">
        <f t="shared" si="32"/>
        <v>3/2</v>
      </c>
      <c r="AH24" s="20" t="str">
        <f t="shared" si="1"/>
        <v>군산미장아이파크</v>
      </c>
      <c r="AI24" s="88">
        <f t="shared" si="0"/>
        <v>34</v>
      </c>
      <c r="AJ24" s="80" t="str">
        <f t="shared" si="33"/>
        <v>A-</v>
      </c>
      <c r="AK24" s="80" t="s">
        <v>14</v>
      </c>
      <c r="AL24" s="80" t="s">
        <v>63</v>
      </c>
      <c r="AM24" s="80" t="s">
        <v>64</v>
      </c>
      <c r="AN24" s="80" t="str">
        <f t="shared" si="34"/>
        <v>C</v>
      </c>
      <c r="AO24" s="80" t="str">
        <f t="shared" si="35"/>
        <v>X</v>
      </c>
      <c r="AP24" s="80" t="str">
        <f t="shared" si="36"/>
        <v>O</v>
      </c>
      <c r="AQ24" s="80" t="str">
        <f t="shared" si="37"/>
        <v>O</v>
      </c>
      <c r="AR24" s="80" t="str">
        <f t="shared" si="38"/>
        <v>X</v>
      </c>
      <c r="AS24" s="80" t="s">
        <v>2</v>
      </c>
      <c r="AT24" s="80" t="str">
        <f t="shared" si="39"/>
        <v>O</v>
      </c>
      <c r="AU24" s="80" t="str">
        <f t="shared" si="40"/>
        <v>O</v>
      </c>
      <c r="AV24" s="80" t="str">
        <f t="shared" si="41"/>
        <v>X</v>
      </c>
    </row>
    <row r="25" spans="1:48" x14ac:dyDescent="0.3">
      <c r="A25" s="9" t="s">
        <v>762</v>
      </c>
      <c r="B25" s="10" t="s">
        <v>1322</v>
      </c>
      <c r="C25" s="89">
        <v>1078</v>
      </c>
      <c r="D25" s="87">
        <v>131.69999999999999</v>
      </c>
      <c r="E25" s="88">
        <v>40</v>
      </c>
      <c r="F25" s="87">
        <v>100.4</v>
      </c>
      <c r="G25" s="17">
        <v>30</v>
      </c>
      <c r="H25" s="89">
        <v>74</v>
      </c>
      <c r="I25" s="90"/>
      <c r="J25" s="90"/>
      <c r="K25" s="90">
        <v>35000</v>
      </c>
      <c r="L25" s="90" t="s">
        <v>72</v>
      </c>
      <c r="M25" s="91">
        <f t="shared" si="23"/>
        <v>-35000</v>
      </c>
      <c r="N25" s="4" t="str">
        <f t="shared" si="24"/>
        <v/>
      </c>
      <c r="O25" s="92">
        <f t="shared" si="25"/>
        <v>0</v>
      </c>
      <c r="P25" s="92">
        <f t="shared" si="26"/>
        <v>875</v>
      </c>
      <c r="Q25" s="80">
        <v>4</v>
      </c>
      <c r="R25" s="80">
        <v>2</v>
      </c>
      <c r="S25" s="80" t="s">
        <v>61</v>
      </c>
      <c r="T25" s="5">
        <v>131</v>
      </c>
      <c r="U25" s="9"/>
      <c r="W25" s="87">
        <f t="shared" si="27"/>
        <v>131.69999999999999</v>
      </c>
      <c r="X25" s="88">
        <f t="shared" si="27"/>
        <v>40</v>
      </c>
      <c r="Y25" s="93">
        <f t="shared" si="28"/>
        <v>74</v>
      </c>
      <c r="Z25" s="91">
        <f t="shared" si="28"/>
        <v>0</v>
      </c>
      <c r="AA25" s="91">
        <f t="shared" si="29"/>
        <v>35000</v>
      </c>
      <c r="AB25" s="91">
        <f t="shared" si="30"/>
        <v>-35000</v>
      </c>
      <c r="AC25" s="4" t="str">
        <f t="shared" si="30"/>
        <v/>
      </c>
      <c r="AD25" s="92">
        <f t="shared" si="30"/>
        <v>0</v>
      </c>
      <c r="AE25" s="80" t="str">
        <f t="shared" si="31"/>
        <v>계</v>
      </c>
      <c r="AF25" s="80" t="str">
        <f t="shared" si="32"/>
        <v>4/2</v>
      </c>
      <c r="AH25" s="20" t="str">
        <f t="shared" si="1"/>
        <v>군산미장아이파크</v>
      </c>
      <c r="AI25" s="88">
        <f t="shared" si="0"/>
        <v>40</v>
      </c>
      <c r="AJ25" s="80" t="str">
        <f t="shared" si="33"/>
        <v>A-</v>
      </c>
      <c r="AK25" s="80" t="s">
        <v>14</v>
      </c>
      <c r="AL25" s="80" t="s">
        <v>63</v>
      </c>
      <c r="AM25" s="80" t="s">
        <v>64</v>
      </c>
      <c r="AN25" s="80" t="str">
        <f t="shared" si="34"/>
        <v>C</v>
      </c>
      <c r="AO25" s="80" t="str">
        <f t="shared" si="35"/>
        <v/>
      </c>
      <c r="AP25" s="80" t="str">
        <f t="shared" si="36"/>
        <v/>
      </c>
      <c r="AQ25" s="80" t="str">
        <f t="shared" si="37"/>
        <v>O</v>
      </c>
      <c r="AR25" s="80" t="str">
        <f t="shared" si="38"/>
        <v>O</v>
      </c>
      <c r="AS25" s="80" t="s">
        <v>2</v>
      </c>
      <c r="AT25" s="80" t="str">
        <f t="shared" si="39"/>
        <v>X</v>
      </c>
      <c r="AU25" s="80" t="str">
        <f t="shared" si="40"/>
        <v>O</v>
      </c>
      <c r="AV25" s="80" t="str">
        <f t="shared" si="41"/>
        <v/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7" t="str">
        <f>$A$4&amp;" "&amp;A27&amp;"("&amp;B27&amp;","&amp;C27&amp;"^)"</f>
        <v>미장동 미장코아루('07.06.,354^)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769</v>
      </c>
      <c r="B27" s="10" t="s">
        <v>1323</v>
      </c>
      <c r="C27" s="89">
        <v>354</v>
      </c>
      <c r="D27" s="87">
        <v>160.80000000000001</v>
      </c>
      <c r="E27" s="88">
        <v>49</v>
      </c>
      <c r="F27" s="87">
        <v>129.19999999999999</v>
      </c>
      <c r="G27" s="17">
        <v>39</v>
      </c>
      <c r="H27" s="89">
        <v>174</v>
      </c>
      <c r="I27" s="90">
        <v>34000</v>
      </c>
      <c r="J27" s="90" t="s">
        <v>68</v>
      </c>
      <c r="K27" s="90"/>
      <c r="L27" s="90"/>
      <c r="M27" s="91">
        <f>I27-K27</f>
        <v>34000</v>
      </c>
      <c r="N27" s="4">
        <f>IF(ISERROR(K27/I27),"",K27/I27)</f>
        <v>0</v>
      </c>
      <c r="O27" s="92">
        <f>I27/E27</f>
        <v>693.87755102040819</v>
      </c>
      <c r="P27" s="92">
        <f>K27/E27</f>
        <v>0</v>
      </c>
      <c r="Q27" s="80">
        <v>4</v>
      </c>
      <c r="R27" s="80">
        <v>2</v>
      </c>
      <c r="S27" s="80" t="s">
        <v>61</v>
      </c>
      <c r="T27" s="5">
        <v>160</v>
      </c>
      <c r="U27" s="9"/>
      <c r="W27" s="87">
        <f t="shared" ref="W27:X29" si="42">D27</f>
        <v>160.80000000000001</v>
      </c>
      <c r="X27" s="88">
        <f t="shared" si="42"/>
        <v>49</v>
      </c>
      <c r="Y27" s="93">
        <f t="shared" ref="Y27:Z29" si="43">H27</f>
        <v>174</v>
      </c>
      <c r="Z27" s="91">
        <f t="shared" si="43"/>
        <v>34000</v>
      </c>
      <c r="AA27" s="91">
        <f>K27</f>
        <v>0</v>
      </c>
      <c r="AB27" s="91">
        <f t="shared" ref="AB27:AD29" si="44">M27</f>
        <v>34000</v>
      </c>
      <c r="AC27" s="4">
        <f t="shared" si="44"/>
        <v>0</v>
      </c>
      <c r="AD27" s="92">
        <f t="shared" si="44"/>
        <v>693.87755102040819</v>
      </c>
      <c r="AE27" s="80" t="str">
        <f>S27</f>
        <v>계</v>
      </c>
      <c r="AF27" s="80" t="str">
        <f>Q27&amp;"/"&amp;R27</f>
        <v>4/2</v>
      </c>
      <c r="AH27" s="20" t="str">
        <f t="shared" si="1"/>
        <v>미장코아루</v>
      </c>
      <c r="AI27" s="88">
        <f t="shared" si="0"/>
        <v>49</v>
      </c>
      <c r="AJ27" s="80" t="str">
        <f>IF(AI27="","",$AJ$2)</f>
        <v>A-</v>
      </c>
      <c r="AK27" s="80" t="s">
        <v>14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769</v>
      </c>
      <c r="B28" s="10" t="s">
        <v>1323</v>
      </c>
      <c r="C28" s="89">
        <v>354</v>
      </c>
      <c r="D28" s="87">
        <v>185.7</v>
      </c>
      <c r="E28" s="88">
        <v>56</v>
      </c>
      <c r="F28" s="87">
        <v>152.69999999999999</v>
      </c>
      <c r="G28" s="17">
        <v>46</v>
      </c>
      <c r="H28" s="89">
        <v>120</v>
      </c>
      <c r="I28" s="90">
        <v>45000</v>
      </c>
      <c r="J28" s="90" t="s">
        <v>66</v>
      </c>
      <c r="K28" s="90"/>
      <c r="L28" s="90"/>
      <c r="M28" s="91">
        <f>I28-K28</f>
        <v>45000</v>
      </c>
      <c r="N28" s="4">
        <f>IF(ISERROR(K28/I28),"",K28/I28)</f>
        <v>0</v>
      </c>
      <c r="O28" s="92">
        <f>I28/E28</f>
        <v>803.57142857142856</v>
      </c>
      <c r="P28" s="92">
        <f>K28/E28</f>
        <v>0</v>
      </c>
      <c r="Q28" s="80">
        <v>4</v>
      </c>
      <c r="R28" s="80">
        <v>2</v>
      </c>
      <c r="S28" s="80" t="s">
        <v>61</v>
      </c>
      <c r="T28" s="5">
        <v>185</v>
      </c>
      <c r="U28" s="9"/>
      <c r="W28" s="87">
        <f t="shared" si="42"/>
        <v>185.7</v>
      </c>
      <c r="X28" s="88">
        <f t="shared" si="42"/>
        <v>56</v>
      </c>
      <c r="Y28" s="93">
        <f t="shared" si="43"/>
        <v>120</v>
      </c>
      <c r="Z28" s="91">
        <f t="shared" si="43"/>
        <v>45000</v>
      </c>
      <c r="AA28" s="91">
        <f>K28</f>
        <v>0</v>
      </c>
      <c r="AB28" s="91">
        <f t="shared" si="44"/>
        <v>45000</v>
      </c>
      <c r="AC28" s="4">
        <f t="shared" si="44"/>
        <v>0</v>
      </c>
      <c r="AD28" s="92">
        <f t="shared" si="44"/>
        <v>803.57142857142856</v>
      </c>
      <c r="AE28" s="80" t="str">
        <f>S28</f>
        <v>계</v>
      </c>
      <c r="AF28" s="80" t="str">
        <f>Q28&amp;"/"&amp;R28</f>
        <v>4/2</v>
      </c>
      <c r="AH28" s="20" t="str">
        <f t="shared" si="1"/>
        <v>미장코아루</v>
      </c>
      <c r="AI28" s="88">
        <f t="shared" si="0"/>
        <v>56</v>
      </c>
      <c r="AJ28" s="80" t="str">
        <f>IF(AI28="","",$AJ$2)</f>
        <v>A-</v>
      </c>
      <c r="AK28" s="80" t="s">
        <v>14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 t="s">
        <v>769</v>
      </c>
      <c r="B29" s="10" t="s">
        <v>1323</v>
      </c>
      <c r="C29" s="89">
        <v>354</v>
      </c>
      <c r="D29" s="87">
        <v>215.8</v>
      </c>
      <c r="E29" s="88">
        <v>65</v>
      </c>
      <c r="F29" s="87">
        <v>181.1</v>
      </c>
      <c r="G29" s="17">
        <v>55</v>
      </c>
      <c r="H29" s="89">
        <v>60</v>
      </c>
      <c r="I29" s="90">
        <v>57000</v>
      </c>
      <c r="J29" s="90" t="s">
        <v>60</v>
      </c>
      <c r="K29" s="90">
        <v>45000</v>
      </c>
      <c r="L29" s="90" t="s">
        <v>70</v>
      </c>
      <c r="M29" s="91">
        <f>I29-K29</f>
        <v>12000</v>
      </c>
      <c r="N29" s="4">
        <f>IF(ISERROR(K29/I29),"",K29/I29)</f>
        <v>0.78947368421052633</v>
      </c>
      <c r="O29" s="92">
        <f>I29/E29</f>
        <v>876.92307692307691</v>
      </c>
      <c r="P29" s="92">
        <f>K29/E29</f>
        <v>692.30769230769226</v>
      </c>
      <c r="Q29" s="80">
        <v>5</v>
      </c>
      <c r="R29" s="80">
        <v>2</v>
      </c>
      <c r="S29" s="80" t="s">
        <v>61</v>
      </c>
      <c r="T29" s="5">
        <v>215</v>
      </c>
      <c r="U29" s="9"/>
      <c r="W29" s="87">
        <f t="shared" si="42"/>
        <v>215.8</v>
      </c>
      <c r="X29" s="88">
        <f t="shared" si="42"/>
        <v>65</v>
      </c>
      <c r="Y29" s="93">
        <f t="shared" si="43"/>
        <v>60</v>
      </c>
      <c r="Z29" s="91">
        <f t="shared" si="43"/>
        <v>57000</v>
      </c>
      <c r="AA29" s="91">
        <f>K29</f>
        <v>45000</v>
      </c>
      <c r="AB29" s="91">
        <f t="shared" si="44"/>
        <v>12000</v>
      </c>
      <c r="AC29" s="4">
        <f t="shared" si="44"/>
        <v>0.78947368421052633</v>
      </c>
      <c r="AD29" s="92">
        <f t="shared" si="44"/>
        <v>876.92307692307691</v>
      </c>
      <c r="AE29" s="80" t="str">
        <f>S29</f>
        <v>계</v>
      </c>
      <c r="AF29" s="80" t="str">
        <f>Q29&amp;"/"&amp;R29</f>
        <v>5/2</v>
      </c>
      <c r="AH29" s="20" t="str">
        <f t="shared" si="1"/>
        <v>미장코아루</v>
      </c>
      <c r="AI29" s="88">
        <f t="shared" si="0"/>
        <v>65</v>
      </c>
      <c r="AJ29" s="80" t="str">
        <f>IF(AI29="","",$AJ$2)</f>
        <v>A-</v>
      </c>
      <c r="AK29" s="80" t="s">
        <v>14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X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미장동 수송공원삼성쉐르빌('09.12.,654^)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780</v>
      </c>
      <c r="B31" s="10" t="s">
        <v>1324</v>
      </c>
      <c r="C31" s="89">
        <v>654</v>
      </c>
      <c r="D31" s="87">
        <v>113</v>
      </c>
      <c r="E31" s="88">
        <v>34</v>
      </c>
      <c r="F31" s="87">
        <v>84.4</v>
      </c>
      <c r="G31" s="17">
        <v>26</v>
      </c>
      <c r="H31" s="89">
        <v>205</v>
      </c>
      <c r="I31" s="90">
        <v>30000</v>
      </c>
      <c r="J31" s="90" t="s">
        <v>66</v>
      </c>
      <c r="K31" s="90">
        <v>23000</v>
      </c>
      <c r="L31" s="90" t="s">
        <v>70</v>
      </c>
      <c r="M31" s="91">
        <f t="shared" ref="M31:M37" si="45">I31-K31</f>
        <v>7000</v>
      </c>
      <c r="N31" s="4">
        <f t="shared" ref="N31:N37" si="46">IF(ISERROR(K31/I31),"",K31/I31)</f>
        <v>0.76666666666666672</v>
      </c>
      <c r="O31" s="92">
        <f t="shared" ref="O31:O37" si="47">I31/E31</f>
        <v>882.35294117647061</v>
      </c>
      <c r="P31" s="92">
        <f t="shared" ref="P31:P37" si="48">K31/E31</f>
        <v>676.47058823529414</v>
      </c>
      <c r="Q31" s="80">
        <v>3</v>
      </c>
      <c r="R31" s="80">
        <v>2</v>
      </c>
      <c r="S31" s="80" t="s">
        <v>61</v>
      </c>
      <c r="T31" s="5" t="s">
        <v>108</v>
      </c>
      <c r="U31" s="9"/>
      <c r="W31" s="87">
        <f t="shared" ref="W31:X37" si="49">D31</f>
        <v>113</v>
      </c>
      <c r="X31" s="88">
        <f t="shared" si="49"/>
        <v>34</v>
      </c>
      <c r="Y31" s="93">
        <f t="shared" ref="Y31:Z37" si="50">H31</f>
        <v>205</v>
      </c>
      <c r="Z31" s="91">
        <f t="shared" si="50"/>
        <v>30000</v>
      </c>
      <c r="AA31" s="91">
        <f t="shared" ref="AA31:AA37" si="51">K31</f>
        <v>23000</v>
      </c>
      <c r="AB31" s="91">
        <f t="shared" ref="AB31:AD37" si="52">M31</f>
        <v>7000</v>
      </c>
      <c r="AC31" s="4">
        <f t="shared" si="52"/>
        <v>0.76666666666666672</v>
      </c>
      <c r="AD31" s="92">
        <f t="shared" si="52"/>
        <v>882.35294117647061</v>
      </c>
      <c r="AE31" s="80" t="str">
        <f t="shared" ref="AE31:AE37" si="53">S31</f>
        <v>계</v>
      </c>
      <c r="AF31" s="80" t="str">
        <f t="shared" ref="AF31:AF37" si="54">Q31&amp;"/"&amp;R31</f>
        <v>3/2</v>
      </c>
      <c r="AH31" s="20" t="str">
        <f t="shared" si="1"/>
        <v>수송공원삼성쉐르빌</v>
      </c>
      <c r="AI31" s="88">
        <f t="shared" si="0"/>
        <v>34</v>
      </c>
      <c r="AJ31" s="80" t="str">
        <f t="shared" ref="AJ31:AJ37" si="55">IF(AI31="","",$AJ$2)</f>
        <v>A-</v>
      </c>
      <c r="AK31" s="80" t="s">
        <v>14</v>
      </c>
      <c r="AL31" s="80" t="s">
        <v>63</v>
      </c>
      <c r="AM31" s="80" t="s">
        <v>64</v>
      </c>
      <c r="AN31" s="80" t="str">
        <f t="shared" ref="AN31:AN37" si="56">IF(AI31="","",$AN$2)</f>
        <v>C</v>
      </c>
      <c r="AO31" s="80" t="str">
        <f t="shared" ref="AO31:AO37" si="57">IF(N31="","",IF(N31&gt;=$AO$1/100,"O","X"))</f>
        <v>X</v>
      </c>
      <c r="AP31" s="80" t="str">
        <f t="shared" ref="AP31:AP37" si="58">IF(I31="","",IF(I31&lt;=$AP$1,"O","X"))</f>
        <v>O</v>
      </c>
      <c r="AQ31" s="80" t="str">
        <f t="shared" ref="AQ31:AQ37" si="59">IF(O31="","",IF(O31&lt;=$AQ$1,"O","X"))</f>
        <v>O</v>
      </c>
      <c r="AR31" s="80" t="str">
        <f t="shared" ref="AR31:AR37" si="60">IF(M31="","",IF(M31&lt;=$AR$1,"O","X"))</f>
        <v>X</v>
      </c>
      <c r="AS31" s="80" t="s">
        <v>2</v>
      </c>
      <c r="AT31" s="80" t="str">
        <f t="shared" ref="AT31:AT37" si="61">IF(OR(F31="",AI31=""),"",IF(AND((F31&lt;=85),(AI31&gt;=15)),"O","X"))</f>
        <v>O</v>
      </c>
      <c r="AU31" s="80" t="str">
        <f t="shared" ref="AU31:AU37" si="62">IF(C31="","",IF(C31&gt;=$AU$1,"O","X"))</f>
        <v>O</v>
      </c>
      <c r="AV31" s="80" t="str">
        <f t="shared" ref="AV31:AV37" si="63">IF(AO31="","",IF(AND(AO31="O",AP31="O",AR31="O",AT31="O",AU31="O"),"후보","X"))</f>
        <v>X</v>
      </c>
    </row>
    <row r="32" spans="1:48" x14ac:dyDescent="0.3">
      <c r="A32" s="9" t="s">
        <v>780</v>
      </c>
      <c r="B32" s="10" t="s">
        <v>1324</v>
      </c>
      <c r="C32" s="89">
        <v>654</v>
      </c>
      <c r="D32" s="87">
        <v>115.3</v>
      </c>
      <c r="E32" s="88">
        <v>35</v>
      </c>
      <c r="F32" s="87">
        <v>84.9</v>
      </c>
      <c r="G32" s="17">
        <v>26</v>
      </c>
      <c r="H32" s="89">
        <v>60</v>
      </c>
      <c r="I32" s="90">
        <v>27500</v>
      </c>
      <c r="J32" s="90" t="s">
        <v>71</v>
      </c>
      <c r="K32" s="90"/>
      <c r="L32" s="90"/>
      <c r="M32" s="91">
        <f t="shared" si="45"/>
        <v>27500</v>
      </c>
      <c r="N32" s="4">
        <f t="shared" si="46"/>
        <v>0</v>
      </c>
      <c r="O32" s="92">
        <f t="shared" si="47"/>
        <v>785.71428571428567</v>
      </c>
      <c r="P32" s="92">
        <f t="shared" si="48"/>
        <v>0</v>
      </c>
      <c r="Q32" s="80">
        <v>3</v>
      </c>
      <c r="R32" s="80">
        <v>2</v>
      </c>
      <c r="S32" s="80" t="s">
        <v>61</v>
      </c>
      <c r="T32" s="5" t="s">
        <v>94</v>
      </c>
      <c r="U32" s="9"/>
      <c r="W32" s="87">
        <f t="shared" si="49"/>
        <v>115.3</v>
      </c>
      <c r="X32" s="88">
        <f t="shared" si="49"/>
        <v>35</v>
      </c>
      <c r="Y32" s="93">
        <f t="shared" si="50"/>
        <v>60</v>
      </c>
      <c r="Z32" s="91">
        <f t="shared" si="50"/>
        <v>27500</v>
      </c>
      <c r="AA32" s="91">
        <f t="shared" si="51"/>
        <v>0</v>
      </c>
      <c r="AB32" s="91">
        <f t="shared" si="52"/>
        <v>27500</v>
      </c>
      <c r="AC32" s="4">
        <f t="shared" si="52"/>
        <v>0</v>
      </c>
      <c r="AD32" s="92">
        <f t="shared" si="52"/>
        <v>785.71428571428567</v>
      </c>
      <c r="AE32" s="80" t="str">
        <f t="shared" si="53"/>
        <v>계</v>
      </c>
      <c r="AF32" s="80" t="str">
        <f t="shared" si="54"/>
        <v>3/2</v>
      </c>
      <c r="AH32" s="20" t="str">
        <f t="shared" si="1"/>
        <v>수송공원삼성쉐르빌</v>
      </c>
      <c r="AI32" s="88">
        <f t="shared" si="0"/>
        <v>35</v>
      </c>
      <c r="AJ32" s="80" t="str">
        <f t="shared" si="55"/>
        <v>A-</v>
      </c>
      <c r="AK32" s="80" t="s">
        <v>14</v>
      </c>
      <c r="AL32" s="80" t="s">
        <v>63</v>
      </c>
      <c r="AM32" s="80" t="s">
        <v>64</v>
      </c>
      <c r="AN32" s="80" t="str">
        <f t="shared" si="56"/>
        <v>C</v>
      </c>
      <c r="AO32" s="80" t="str">
        <f t="shared" si="57"/>
        <v>X</v>
      </c>
      <c r="AP32" s="80" t="str">
        <f t="shared" si="58"/>
        <v>O</v>
      </c>
      <c r="AQ32" s="80" t="str">
        <f t="shared" si="59"/>
        <v>O</v>
      </c>
      <c r="AR32" s="80" t="str">
        <f t="shared" si="60"/>
        <v>X</v>
      </c>
      <c r="AS32" s="80" t="s">
        <v>2</v>
      </c>
      <c r="AT32" s="80" t="str">
        <f t="shared" si="61"/>
        <v>O</v>
      </c>
      <c r="AU32" s="80" t="str">
        <f t="shared" si="62"/>
        <v>O</v>
      </c>
      <c r="AV32" s="80" t="str">
        <f t="shared" si="63"/>
        <v>X</v>
      </c>
    </row>
    <row r="33" spans="1:48" x14ac:dyDescent="0.3">
      <c r="A33" s="9" t="s">
        <v>780</v>
      </c>
      <c r="B33" s="10" t="s">
        <v>1324</v>
      </c>
      <c r="C33" s="89">
        <v>654</v>
      </c>
      <c r="D33" s="87">
        <v>135.30000000000001</v>
      </c>
      <c r="E33" s="88">
        <v>41</v>
      </c>
      <c r="F33" s="87">
        <v>103.8</v>
      </c>
      <c r="G33" s="17">
        <v>31</v>
      </c>
      <c r="H33" s="89">
        <v>163</v>
      </c>
      <c r="I33" s="90">
        <v>35500</v>
      </c>
      <c r="J33" s="90" t="s">
        <v>84</v>
      </c>
      <c r="K33" s="90">
        <v>31000</v>
      </c>
      <c r="L33" s="90" t="s">
        <v>84</v>
      </c>
      <c r="M33" s="91">
        <f t="shared" si="45"/>
        <v>4500</v>
      </c>
      <c r="N33" s="4">
        <f t="shared" si="46"/>
        <v>0.87323943661971826</v>
      </c>
      <c r="O33" s="92">
        <f t="shared" si="47"/>
        <v>865.85365853658539</v>
      </c>
      <c r="P33" s="92">
        <f t="shared" si="48"/>
        <v>756.09756097560978</v>
      </c>
      <c r="Q33" s="80">
        <v>3</v>
      </c>
      <c r="R33" s="80">
        <v>2</v>
      </c>
      <c r="S33" s="80" t="s">
        <v>61</v>
      </c>
      <c r="T33" s="5" t="s">
        <v>117</v>
      </c>
      <c r="U33" s="9"/>
      <c r="W33" s="87">
        <f t="shared" si="49"/>
        <v>135.30000000000001</v>
      </c>
      <c r="X33" s="88">
        <f t="shared" si="49"/>
        <v>41</v>
      </c>
      <c r="Y33" s="93">
        <f t="shared" si="50"/>
        <v>163</v>
      </c>
      <c r="Z33" s="91">
        <f t="shared" si="50"/>
        <v>35500</v>
      </c>
      <c r="AA33" s="91">
        <f t="shared" si="51"/>
        <v>31000</v>
      </c>
      <c r="AB33" s="91">
        <f t="shared" si="52"/>
        <v>4500</v>
      </c>
      <c r="AC33" s="4">
        <f t="shared" si="52"/>
        <v>0.87323943661971826</v>
      </c>
      <c r="AD33" s="92">
        <f t="shared" si="52"/>
        <v>865.85365853658539</v>
      </c>
      <c r="AE33" s="80" t="str">
        <f t="shared" si="53"/>
        <v>계</v>
      </c>
      <c r="AF33" s="80" t="str">
        <f t="shared" si="54"/>
        <v>3/2</v>
      </c>
      <c r="AH33" s="20" t="str">
        <f t="shared" si="1"/>
        <v>수송공원삼성쉐르빌</v>
      </c>
      <c r="AI33" s="88">
        <f t="shared" si="0"/>
        <v>41</v>
      </c>
      <c r="AJ33" s="80" t="str">
        <f t="shared" si="55"/>
        <v>A-</v>
      </c>
      <c r="AK33" s="80" t="s">
        <v>14</v>
      </c>
      <c r="AL33" s="80" t="s">
        <v>63</v>
      </c>
      <c r="AM33" s="80" t="s">
        <v>64</v>
      </c>
      <c r="AN33" s="80" t="str">
        <f t="shared" si="56"/>
        <v>C</v>
      </c>
      <c r="AO33" s="80" t="str">
        <f t="shared" si="57"/>
        <v>O</v>
      </c>
      <c r="AP33" s="80" t="str">
        <f t="shared" si="58"/>
        <v>O</v>
      </c>
      <c r="AQ33" s="80" t="str">
        <f t="shared" si="59"/>
        <v>O</v>
      </c>
      <c r="AR33" s="80" t="str">
        <f t="shared" si="60"/>
        <v>O</v>
      </c>
      <c r="AS33" s="80" t="s">
        <v>2</v>
      </c>
      <c r="AT33" s="80" t="str">
        <f t="shared" si="61"/>
        <v>X</v>
      </c>
      <c r="AU33" s="80" t="str">
        <f t="shared" si="62"/>
        <v>O</v>
      </c>
      <c r="AV33" s="80" t="str">
        <f t="shared" si="63"/>
        <v>X</v>
      </c>
    </row>
    <row r="34" spans="1:48" x14ac:dyDescent="0.3">
      <c r="A34" s="9" t="s">
        <v>780</v>
      </c>
      <c r="B34" s="10" t="s">
        <v>1324</v>
      </c>
      <c r="C34" s="89">
        <v>654</v>
      </c>
      <c r="D34" s="87">
        <v>135.19999999999999</v>
      </c>
      <c r="E34" s="88">
        <v>41</v>
      </c>
      <c r="F34" s="87">
        <v>104.2</v>
      </c>
      <c r="G34" s="17">
        <v>32</v>
      </c>
      <c r="H34" s="89">
        <v>113</v>
      </c>
      <c r="I34" s="90">
        <v>35000</v>
      </c>
      <c r="J34" s="90" t="s">
        <v>71</v>
      </c>
      <c r="K34" s="90">
        <v>32000</v>
      </c>
      <c r="L34" s="90" t="s">
        <v>84</v>
      </c>
      <c r="M34" s="91">
        <f t="shared" si="45"/>
        <v>3000</v>
      </c>
      <c r="N34" s="4">
        <f t="shared" si="46"/>
        <v>0.91428571428571426</v>
      </c>
      <c r="O34" s="92">
        <f t="shared" si="47"/>
        <v>853.65853658536582</v>
      </c>
      <c r="P34" s="92">
        <f t="shared" si="48"/>
        <v>780.48780487804879</v>
      </c>
      <c r="Q34" s="80">
        <v>3</v>
      </c>
      <c r="R34" s="80">
        <v>2</v>
      </c>
      <c r="S34" s="80" t="s">
        <v>61</v>
      </c>
      <c r="T34" s="5" t="s">
        <v>785</v>
      </c>
      <c r="U34" s="9"/>
      <c r="W34" s="87">
        <f t="shared" si="49"/>
        <v>135.19999999999999</v>
      </c>
      <c r="X34" s="88">
        <f t="shared" si="49"/>
        <v>41</v>
      </c>
      <c r="Y34" s="93">
        <f t="shared" si="50"/>
        <v>113</v>
      </c>
      <c r="Z34" s="91">
        <f t="shared" si="50"/>
        <v>35000</v>
      </c>
      <c r="AA34" s="91">
        <f t="shared" si="51"/>
        <v>32000</v>
      </c>
      <c r="AB34" s="91">
        <f t="shared" si="52"/>
        <v>3000</v>
      </c>
      <c r="AC34" s="4">
        <f t="shared" si="52"/>
        <v>0.91428571428571426</v>
      </c>
      <c r="AD34" s="92">
        <f t="shared" si="52"/>
        <v>853.65853658536582</v>
      </c>
      <c r="AE34" s="80" t="str">
        <f t="shared" si="53"/>
        <v>계</v>
      </c>
      <c r="AF34" s="80" t="str">
        <f t="shared" si="54"/>
        <v>3/2</v>
      </c>
      <c r="AH34" s="20" t="str">
        <f t="shared" si="1"/>
        <v>수송공원삼성쉐르빌</v>
      </c>
      <c r="AI34" s="88">
        <f t="shared" si="0"/>
        <v>41</v>
      </c>
      <c r="AJ34" s="80" t="str">
        <f t="shared" si="55"/>
        <v>A-</v>
      </c>
      <c r="AK34" s="80" t="s">
        <v>14</v>
      </c>
      <c r="AL34" s="80" t="s">
        <v>63</v>
      </c>
      <c r="AM34" s="80" t="s">
        <v>64</v>
      </c>
      <c r="AN34" s="80" t="str">
        <f t="shared" si="56"/>
        <v>C</v>
      </c>
      <c r="AO34" s="80" t="str">
        <f t="shared" si="57"/>
        <v>O</v>
      </c>
      <c r="AP34" s="80" t="str">
        <f t="shared" si="58"/>
        <v>O</v>
      </c>
      <c r="AQ34" s="80" t="str">
        <f t="shared" si="59"/>
        <v>O</v>
      </c>
      <c r="AR34" s="80" t="str">
        <f t="shared" si="60"/>
        <v>O</v>
      </c>
      <c r="AS34" s="80" t="s">
        <v>2</v>
      </c>
      <c r="AT34" s="80" t="str">
        <f t="shared" si="61"/>
        <v>X</v>
      </c>
      <c r="AU34" s="80" t="str">
        <f t="shared" si="62"/>
        <v>O</v>
      </c>
      <c r="AV34" s="80" t="str">
        <f t="shared" si="63"/>
        <v>X</v>
      </c>
    </row>
    <row r="35" spans="1:48" x14ac:dyDescent="0.3">
      <c r="A35" s="9" t="s">
        <v>780</v>
      </c>
      <c r="B35" s="10" t="s">
        <v>1324</v>
      </c>
      <c r="C35" s="89">
        <v>654</v>
      </c>
      <c r="D35" s="87">
        <v>152</v>
      </c>
      <c r="E35" s="88">
        <v>46</v>
      </c>
      <c r="F35" s="87">
        <v>121.3</v>
      </c>
      <c r="G35" s="17">
        <v>37</v>
      </c>
      <c r="H35" s="89">
        <v>52</v>
      </c>
      <c r="I35" s="90">
        <v>38500</v>
      </c>
      <c r="J35" s="90" t="s">
        <v>60</v>
      </c>
      <c r="K35" s="90"/>
      <c r="L35" s="90"/>
      <c r="M35" s="91">
        <f t="shared" si="45"/>
        <v>38500</v>
      </c>
      <c r="N35" s="4">
        <f t="shared" si="46"/>
        <v>0</v>
      </c>
      <c r="O35" s="92">
        <f t="shared" si="47"/>
        <v>836.95652173913038</v>
      </c>
      <c r="P35" s="92">
        <f t="shared" si="48"/>
        <v>0</v>
      </c>
      <c r="Q35" s="80">
        <v>4</v>
      </c>
      <c r="R35" s="80">
        <v>2</v>
      </c>
      <c r="S35" s="80" t="s">
        <v>61</v>
      </c>
      <c r="T35" s="5">
        <v>151</v>
      </c>
      <c r="U35" s="9"/>
      <c r="W35" s="87">
        <f t="shared" si="49"/>
        <v>152</v>
      </c>
      <c r="X35" s="88">
        <f t="shared" si="49"/>
        <v>46</v>
      </c>
      <c r="Y35" s="93">
        <f t="shared" si="50"/>
        <v>52</v>
      </c>
      <c r="Z35" s="91">
        <f t="shared" si="50"/>
        <v>38500</v>
      </c>
      <c r="AA35" s="91">
        <f t="shared" si="51"/>
        <v>0</v>
      </c>
      <c r="AB35" s="91">
        <f t="shared" si="52"/>
        <v>38500</v>
      </c>
      <c r="AC35" s="4">
        <f t="shared" si="52"/>
        <v>0</v>
      </c>
      <c r="AD35" s="92">
        <f t="shared" si="52"/>
        <v>836.95652173913038</v>
      </c>
      <c r="AE35" s="80" t="str">
        <f t="shared" si="53"/>
        <v>계</v>
      </c>
      <c r="AF35" s="80" t="str">
        <f t="shared" si="54"/>
        <v>4/2</v>
      </c>
      <c r="AH35" s="20" t="str">
        <f t="shared" si="1"/>
        <v>수송공원삼성쉐르빌</v>
      </c>
      <c r="AI35" s="88">
        <f t="shared" si="0"/>
        <v>46</v>
      </c>
      <c r="AJ35" s="80" t="str">
        <f t="shared" si="55"/>
        <v>A-</v>
      </c>
      <c r="AK35" s="80" t="s">
        <v>14</v>
      </c>
      <c r="AL35" s="80" t="s">
        <v>63</v>
      </c>
      <c r="AM35" s="80" t="s">
        <v>64</v>
      </c>
      <c r="AN35" s="80" t="str">
        <f t="shared" si="56"/>
        <v>C</v>
      </c>
      <c r="AO35" s="80" t="str">
        <f t="shared" si="57"/>
        <v>X</v>
      </c>
      <c r="AP35" s="80" t="str">
        <f t="shared" si="58"/>
        <v>O</v>
      </c>
      <c r="AQ35" s="80" t="str">
        <f t="shared" si="59"/>
        <v>O</v>
      </c>
      <c r="AR35" s="80" t="str">
        <f t="shared" si="60"/>
        <v>X</v>
      </c>
      <c r="AS35" s="80" t="s">
        <v>2</v>
      </c>
      <c r="AT35" s="80" t="str">
        <f t="shared" si="61"/>
        <v>X</v>
      </c>
      <c r="AU35" s="80" t="str">
        <f t="shared" si="62"/>
        <v>O</v>
      </c>
      <c r="AV35" s="80" t="str">
        <f t="shared" si="63"/>
        <v>X</v>
      </c>
    </row>
    <row r="36" spans="1:48" x14ac:dyDescent="0.3">
      <c r="A36" s="9" t="s">
        <v>780</v>
      </c>
      <c r="B36" s="10" t="s">
        <v>1324</v>
      </c>
      <c r="C36" s="89">
        <v>654</v>
      </c>
      <c r="D36" s="87">
        <v>181.8</v>
      </c>
      <c r="E36" s="88">
        <v>55</v>
      </c>
      <c r="F36" s="87">
        <v>149.9</v>
      </c>
      <c r="G36" s="17">
        <v>45</v>
      </c>
      <c r="H36" s="89">
        <v>57</v>
      </c>
      <c r="I36" s="90">
        <v>45000</v>
      </c>
      <c r="J36" s="90" t="s">
        <v>60</v>
      </c>
      <c r="K36" s="90"/>
      <c r="L36" s="90"/>
      <c r="M36" s="91">
        <f t="shared" si="45"/>
        <v>45000</v>
      </c>
      <c r="N36" s="4">
        <f t="shared" si="46"/>
        <v>0</v>
      </c>
      <c r="O36" s="92">
        <f t="shared" si="47"/>
        <v>818.18181818181813</v>
      </c>
      <c r="P36" s="92">
        <f t="shared" si="48"/>
        <v>0</v>
      </c>
      <c r="Q36" s="80">
        <v>4</v>
      </c>
      <c r="R36" s="80">
        <v>2</v>
      </c>
      <c r="S36" s="80" t="s">
        <v>61</v>
      </c>
      <c r="T36" s="5">
        <v>181</v>
      </c>
      <c r="U36" s="9"/>
      <c r="W36" s="87">
        <f t="shared" si="49"/>
        <v>181.8</v>
      </c>
      <c r="X36" s="88">
        <f t="shared" si="49"/>
        <v>55</v>
      </c>
      <c r="Y36" s="93">
        <f t="shared" si="50"/>
        <v>57</v>
      </c>
      <c r="Z36" s="91">
        <f t="shared" si="50"/>
        <v>45000</v>
      </c>
      <c r="AA36" s="91">
        <f t="shared" si="51"/>
        <v>0</v>
      </c>
      <c r="AB36" s="91">
        <f t="shared" si="52"/>
        <v>45000</v>
      </c>
      <c r="AC36" s="4">
        <f t="shared" si="52"/>
        <v>0</v>
      </c>
      <c r="AD36" s="92">
        <f t="shared" si="52"/>
        <v>818.18181818181813</v>
      </c>
      <c r="AE36" s="80" t="str">
        <f t="shared" si="53"/>
        <v>계</v>
      </c>
      <c r="AF36" s="80" t="str">
        <f t="shared" si="54"/>
        <v>4/2</v>
      </c>
      <c r="AH36" s="20" t="str">
        <f t="shared" si="1"/>
        <v>수송공원삼성쉐르빌</v>
      </c>
      <c r="AI36" s="88">
        <f t="shared" si="0"/>
        <v>55</v>
      </c>
      <c r="AJ36" s="80" t="str">
        <f t="shared" si="55"/>
        <v>A-</v>
      </c>
      <c r="AK36" s="80" t="s">
        <v>14</v>
      </c>
      <c r="AL36" s="80" t="s">
        <v>63</v>
      </c>
      <c r="AM36" s="80" t="s">
        <v>64</v>
      </c>
      <c r="AN36" s="80" t="str">
        <f t="shared" si="56"/>
        <v>C</v>
      </c>
      <c r="AO36" s="80" t="str">
        <f t="shared" si="57"/>
        <v>X</v>
      </c>
      <c r="AP36" s="80" t="str">
        <f t="shared" si="58"/>
        <v>O</v>
      </c>
      <c r="AQ36" s="80" t="str">
        <f t="shared" si="59"/>
        <v>O</v>
      </c>
      <c r="AR36" s="80" t="str">
        <f t="shared" si="60"/>
        <v>X</v>
      </c>
      <c r="AS36" s="80" t="s">
        <v>2</v>
      </c>
      <c r="AT36" s="80" t="str">
        <f t="shared" si="61"/>
        <v>X</v>
      </c>
      <c r="AU36" s="80" t="str">
        <f t="shared" si="62"/>
        <v>O</v>
      </c>
      <c r="AV36" s="80" t="str">
        <f t="shared" si="63"/>
        <v>X</v>
      </c>
    </row>
    <row r="37" spans="1:48" x14ac:dyDescent="0.3">
      <c r="A37" s="9" t="s">
        <v>780</v>
      </c>
      <c r="B37" s="10" t="s">
        <v>1324</v>
      </c>
      <c r="C37" s="89">
        <v>654</v>
      </c>
      <c r="D37" s="87">
        <v>209.2</v>
      </c>
      <c r="E37" s="88">
        <v>63</v>
      </c>
      <c r="F37" s="87">
        <v>160.1</v>
      </c>
      <c r="G37" s="17">
        <v>48</v>
      </c>
      <c r="H37" s="89">
        <v>4</v>
      </c>
      <c r="I37" s="90"/>
      <c r="J37" s="90"/>
      <c r="K37" s="90"/>
      <c r="L37" s="90"/>
      <c r="M37" s="91">
        <f t="shared" si="45"/>
        <v>0</v>
      </c>
      <c r="N37" s="4" t="str">
        <f t="shared" si="46"/>
        <v/>
      </c>
      <c r="O37" s="92">
        <f t="shared" si="47"/>
        <v>0</v>
      </c>
      <c r="P37" s="92">
        <f t="shared" si="48"/>
        <v>0</v>
      </c>
      <c r="Q37" s="80">
        <v>5</v>
      </c>
      <c r="R37" s="80">
        <v>2</v>
      </c>
      <c r="S37" s="80" t="s">
        <v>61</v>
      </c>
      <c r="T37" s="5">
        <v>209</v>
      </c>
      <c r="U37" s="9"/>
      <c r="W37" s="87">
        <f t="shared" si="49"/>
        <v>209.2</v>
      </c>
      <c r="X37" s="88">
        <f t="shared" si="49"/>
        <v>63</v>
      </c>
      <c r="Y37" s="93">
        <f t="shared" si="50"/>
        <v>4</v>
      </c>
      <c r="Z37" s="91">
        <f t="shared" si="50"/>
        <v>0</v>
      </c>
      <c r="AA37" s="91">
        <f t="shared" si="51"/>
        <v>0</v>
      </c>
      <c r="AB37" s="91">
        <f t="shared" si="52"/>
        <v>0</v>
      </c>
      <c r="AC37" s="4" t="str">
        <f t="shared" si="52"/>
        <v/>
      </c>
      <c r="AD37" s="92">
        <f t="shared" si="52"/>
        <v>0</v>
      </c>
      <c r="AE37" s="80" t="str">
        <f t="shared" si="53"/>
        <v>계</v>
      </c>
      <c r="AF37" s="80" t="str">
        <f t="shared" si="54"/>
        <v>5/2</v>
      </c>
      <c r="AH37" s="20" t="str">
        <f t="shared" si="1"/>
        <v>수송공원삼성쉐르빌</v>
      </c>
      <c r="AI37" s="88">
        <f t="shared" si="0"/>
        <v>63</v>
      </c>
      <c r="AJ37" s="80" t="str">
        <f t="shared" si="55"/>
        <v>A-</v>
      </c>
      <c r="AK37" s="80" t="s">
        <v>14</v>
      </c>
      <c r="AL37" s="80" t="s">
        <v>63</v>
      </c>
      <c r="AM37" s="80" t="s">
        <v>64</v>
      </c>
      <c r="AN37" s="80" t="str">
        <f t="shared" si="56"/>
        <v>C</v>
      </c>
      <c r="AO37" s="80" t="str">
        <f t="shared" si="57"/>
        <v/>
      </c>
      <c r="AP37" s="80" t="str">
        <f t="shared" si="58"/>
        <v/>
      </c>
      <c r="AQ37" s="80" t="str">
        <f t="shared" si="59"/>
        <v>O</v>
      </c>
      <c r="AR37" s="80" t="str">
        <f t="shared" si="60"/>
        <v>O</v>
      </c>
      <c r="AS37" s="80" t="s">
        <v>2</v>
      </c>
      <c r="AT37" s="80" t="str">
        <f t="shared" si="61"/>
        <v>X</v>
      </c>
      <c r="AU37" s="80" t="str">
        <f t="shared" si="62"/>
        <v>O</v>
      </c>
      <c r="AV37" s="80" t="str">
        <f t="shared" si="63"/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7" t="str">
        <f>$A$4&amp;" "&amp;A39&amp;"("&amp;B39&amp;","&amp;C39&amp;"^)"</f>
        <v>미장동 미장대원칸타빌('18.06.,805^)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"/>
        <v/>
      </c>
      <c r="AI38" s="112" t="str">
        <f t="shared" si="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786</v>
      </c>
      <c r="B39" s="10" t="s">
        <v>1325</v>
      </c>
      <c r="C39" s="89">
        <v>805</v>
      </c>
      <c r="D39" s="87">
        <v>80.3</v>
      </c>
      <c r="E39" s="88">
        <v>24</v>
      </c>
      <c r="F39" s="87">
        <v>59.9</v>
      </c>
      <c r="G39" s="17">
        <v>18</v>
      </c>
      <c r="H39" s="89">
        <v>78</v>
      </c>
      <c r="I39" s="90">
        <v>28500</v>
      </c>
      <c r="J39" s="90" t="s">
        <v>77</v>
      </c>
      <c r="K39" s="90"/>
      <c r="L39" s="90"/>
      <c r="M39" s="91">
        <f t="shared" ref="M39:M48" si="64">I39-K39</f>
        <v>28500</v>
      </c>
      <c r="N39" s="4">
        <f t="shared" ref="N39:N48" si="65">IF(ISERROR(K39/I39),"",K39/I39)</f>
        <v>0</v>
      </c>
      <c r="O39" s="92">
        <f t="shared" ref="O39:O48" si="66">I39/E39</f>
        <v>1187.5</v>
      </c>
      <c r="P39" s="92">
        <f t="shared" ref="P39:P48" si="67">K39/E39</f>
        <v>0</v>
      </c>
      <c r="Q39" s="80">
        <v>3</v>
      </c>
      <c r="R39" s="80">
        <v>1</v>
      </c>
      <c r="S39" s="80" t="s">
        <v>61</v>
      </c>
      <c r="T39" s="5">
        <v>80</v>
      </c>
      <c r="U39" s="9"/>
      <c r="W39" s="87">
        <f t="shared" ref="W39:W48" si="68">D39</f>
        <v>80.3</v>
      </c>
      <c r="X39" s="88">
        <f t="shared" ref="X39:X48" si="69">E39</f>
        <v>24</v>
      </c>
      <c r="Y39" s="93">
        <f t="shared" ref="Y39:Y48" si="70">H39</f>
        <v>78</v>
      </c>
      <c r="Z39" s="91">
        <f t="shared" ref="Z39:Z48" si="71">I39</f>
        <v>28500</v>
      </c>
      <c r="AA39" s="91">
        <f t="shared" ref="AA39:AA48" si="72">K39</f>
        <v>0</v>
      </c>
      <c r="AB39" s="91">
        <f t="shared" ref="AB39:AB48" si="73">M39</f>
        <v>28500</v>
      </c>
      <c r="AC39" s="4">
        <f t="shared" ref="AC39:AC48" si="74">N39</f>
        <v>0</v>
      </c>
      <c r="AD39" s="92">
        <f t="shared" ref="AD39:AD48" si="75">O39</f>
        <v>1187.5</v>
      </c>
      <c r="AE39" s="80" t="str">
        <f t="shared" ref="AE39:AE48" si="76">S39</f>
        <v>계</v>
      </c>
      <c r="AF39" s="80" t="str">
        <f t="shared" ref="AF39:AF48" si="77">Q39&amp;"/"&amp;R39</f>
        <v>3/1</v>
      </c>
      <c r="AH39" s="20" t="str">
        <f t="shared" si="1"/>
        <v>미장대원칸타빌</v>
      </c>
      <c r="AI39" s="88">
        <f t="shared" si="0"/>
        <v>24</v>
      </c>
      <c r="AJ39" s="80" t="str">
        <f t="shared" ref="AJ39:AJ48" si="78"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 t="shared" ref="AN39:AN48" si="79">IF(AI39="","",$AN$2)</f>
        <v>C</v>
      </c>
      <c r="AO39" s="80" t="str">
        <f t="shared" ref="AO39:AO48" si="80">IF(N39="","",IF(N39&gt;=$AO$1/100,"O","X"))</f>
        <v>X</v>
      </c>
      <c r="AP39" s="80" t="str">
        <f t="shared" ref="AP39:AP48" si="81">IF(I39="","",IF(I39&lt;=$AP$1,"O","X"))</f>
        <v>O</v>
      </c>
      <c r="AQ39" s="80" t="str">
        <f t="shared" ref="AQ39:AQ48" si="82">IF(O39="","",IF(O39&lt;=$AQ$1,"O","X"))</f>
        <v>O</v>
      </c>
      <c r="AR39" s="80" t="str">
        <f t="shared" ref="AR39:AR48" si="83">IF(M39="","",IF(M39&lt;=$AR$1,"O","X"))</f>
        <v>X</v>
      </c>
      <c r="AS39" s="80" t="s">
        <v>2</v>
      </c>
      <c r="AT39" s="80" t="str">
        <f t="shared" ref="AT39:AT48" si="84">IF(OR(F39="",AI39=""),"",IF(AND((F39&lt;=85),(AI39&gt;=15)),"O","X"))</f>
        <v>O</v>
      </c>
      <c r="AU39" s="80" t="str">
        <f t="shared" ref="AU39:AU48" si="85">IF(C39="","",IF(C39&gt;=$AU$1,"O","X"))</f>
        <v>O</v>
      </c>
      <c r="AV39" s="80" t="str">
        <f t="shared" ref="AV39:AV48" si="86">IF(AO39="","",IF(AND(AO39="O",AP39="O",AR39="O",AT39="O",AU39="O"),"후보","X"))</f>
        <v>X</v>
      </c>
    </row>
    <row r="40" spans="1:48" x14ac:dyDescent="0.3">
      <c r="A40" s="9" t="s">
        <v>786</v>
      </c>
      <c r="B40" s="10" t="s">
        <v>1325</v>
      </c>
      <c r="C40" s="89">
        <v>805</v>
      </c>
      <c r="D40" s="87">
        <v>87.9</v>
      </c>
      <c r="E40" s="88">
        <v>27</v>
      </c>
      <c r="F40" s="87">
        <v>65.900000000000006</v>
      </c>
      <c r="G40" s="17">
        <v>20</v>
      </c>
      <c r="H40" s="89">
        <v>47</v>
      </c>
      <c r="I40" s="90">
        <v>29000</v>
      </c>
      <c r="J40" s="90" t="s">
        <v>124</v>
      </c>
      <c r="K40" s="90"/>
      <c r="L40" s="90"/>
      <c r="M40" s="91">
        <f t="shared" si="64"/>
        <v>29000</v>
      </c>
      <c r="N40" s="4">
        <f t="shared" si="65"/>
        <v>0</v>
      </c>
      <c r="O40" s="92">
        <f t="shared" si="66"/>
        <v>1074.0740740740741</v>
      </c>
      <c r="P40" s="92">
        <f t="shared" si="67"/>
        <v>0</v>
      </c>
      <c r="Q40" s="80">
        <v>3</v>
      </c>
      <c r="R40" s="80">
        <v>2</v>
      </c>
      <c r="S40" s="80" t="s">
        <v>61</v>
      </c>
      <c r="T40" s="5" t="s">
        <v>125</v>
      </c>
      <c r="U40" s="9"/>
      <c r="W40" s="87">
        <f t="shared" si="68"/>
        <v>87.9</v>
      </c>
      <c r="X40" s="88">
        <f t="shared" si="69"/>
        <v>27</v>
      </c>
      <c r="Y40" s="93">
        <f t="shared" si="70"/>
        <v>47</v>
      </c>
      <c r="Z40" s="91">
        <f t="shared" si="71"/>
        <v>29000</v>
      </c>
      <c r="AA40" s="91">
        <f t="shared" si="72"/>
        <v>0</v>
      </c>
      <c r="AB40" s="91">
        <f t="shared" si="73"/>
        <v>29000</v>
      </c>
      <c r="AC40" s="4">
        <f t="shared" si="74"/>
        <v>0</v>
      </c>
      <c r="AD40" s="92">
        <f t="shared" si="75"/>
        <v>1074.0740740740741</v>
      </c>
      <c r="AE40" s="80" t="str">
        <f t="shared" si="76"/>
        <v>계</v>
      </c>
      <c r="AF40" s="80" t="str">
        <f t="shared" si="77"/>
        <v>3/2</v>
      </c>
      <c r="AH40" s="20" t="str">
        <f t="shared" si="1"/>
        <v>미장대원칸타빌</v>
      </c>
      <c r="AI40" s="88">
        <f t="shared" si="0"/>
        <v>27</v>
      </c>
      <c r="AJ40" s="80" t="str">
        <f t="shared" si="78"/>
        <v>A-</v>
      </c>
      <c r="AK40" s="80" t="s">
        <v>14</v>
      </c>
      <c r="AL40" s="80" t="s">
        <v>63</v>
      </c>
      <c r="AM40" s="80" t="s">
        <v>64</v>
      </c>
      <c r="AN40" s="80" t="str">
        <f t="shared" si="79"/>
        <v>C</v>
      </c>
      <c r="AO40" s="80" t="str">
        <f t="shared" si="80"/>
        <v>X</v>
      </c>
      <c r="AP40" s="80" t="str">
        <f t="shared" si="81"/>
        <v>O</v>
      </c>
      <c r="AQ40" s="80" t="str">
        <f t="shared" si="82"/>
        <v>O</v>
      </c>
      <c r="AR40" s="80" t="str">
        <f t="shared" si="83"/>
        <v>X</v>
      </c>
      <c r="AS40" s="80" t="s">
        <v>2</v>
      </c>
      <c r="AT40" s="80" t="str">
        <f t="shared" si="84"/>
        <v>O</v>
      </c>
      <c r="AU40" s="80" t="str">
        <f t="shared" si="85"/>
        <v>O</v>
      </c>
      <c r="AV40" s="80" t="str">
        <f t="shared" si="86"/>
        <v>X</v>
      </c>
    </row>
    <row r="41" spans="1:48" x14ac:dyDescent="0.3">
      <c r="A41" s="9" t="s">
        <v>786</v>
      </c>
      <c r="B41" s="10" t="s">
        <v>1325</v>
      </c>
      <c r="C41" s="89">
        <v>805</v>
      </c>
      <c r="D41" s="87">
        <v>88.7</v>
      </c>
      <c r="E41" s="88">
        <v>27</v>
      </c>
      <c r="F41" s="87">
        <v>65.900000000000006</v>
      </c>
      <c r="G41" s="17">
        <v>20</v>
      </c>
      <c r="H41" s="89">
        <v>44</v>
      </c>
      <c r="I41" s="90">
        <v>29000</v>
      </c>
      <c r="J41" s="90" t="s">
        <v>80</v>
      </c>
      <c r="K41" s="90">
        <v>22000</v>
      </c>
      <c r="L41" s="90" t="s">
        <v>80</v>
      </c>
      <c r="M41" s="91">
        <f t="shared" si="64"/>
        <v>7000</v>
      </c>
      <c r="N41" s="4">
        <f t="shared" si="65"/>
        <v>0.75862068965517238</v>
      </c>
      <c r="O41" s="92">
        <f t="shared" si="66"/>
        <v>1074.0740740740741</v>
      </c>
      <c r="P41" s="92">
        <f t="shared" si="67"/>
        <v>814.81481481481478</v>
      </c>
      <c r="Q41" s="80">
        <v>3</v>
      </c>
      <c r="R41" s="80">
        <v>2</v>
      </c>
      <c r="S41" s="80" t="s">
        <v>61</v>
      </c>
      <c r="T41" s="5" t="s">
        <v>791</v>
      </c>
      <c r="U41" s="9"/>
      <c r="W41" s="87">
        <f t="shared" si="68"/>
        <v>88.7</v>
      </c>
      <c r="X41" s="88">
        <f t="shared" si="69"/>
        <v>27</v>
      </c>
      <c r="Y41" s="93">
        <f t="shared" si="70"/>
        <v>44</v>
      </c>
      <c r="Z41" s="91">
        <f t="shared" si="71"/>
        <v>29000</v>
      </c>
      <c r="AA41" s="91">
        <f t="shared" si="72"/>
        <v>22000</v>
      </c>
      <c r="AB41" s="91">
        <f t="shared" si="73"/>
        <v>7000</v>
      </c>
      <c r="AC41" s="4">
        <f t="shared" si="74"/>
        <v>0.75862068965517238</v>
      </c>
      <c r="AD41" s="92">
        <f t="shared" si="75"/>
        <v>1074.0740740740741</v>
      </c>
      <c r="AE41" s="80" t="str">
        <f t="shared" si="76"/>
        <v>계</v>
      </c>
      <c r="AF41" s="80" t="str">
        <f t="shared" si="77"/>
        <v>3/2</v>
      </c>
      <c r="AH41" s="20" t="str">
        <f t="shared" si="1"/>
        <v>미장대원칸타빌</v>
      </c>
      <c r="AI41" s="88">
        <f t="shared" si="0"/>
        <v>27</v>
      </c>
      <c r="AJ41" s="80" t="str">
        <f t="shared" si="78"/>
        <v>A-</v>
      </c>
      <c r="AK41" s="80" t="s">
        <v>14</v>
      </c>
      <c r="AL41" s="80" t="s">
        <v>63</v>
      </c>
      <c r="AM41" s="80" t="s">
        <v>64</v>
      </c>
      <c r="AN41" s="80" t="str">
        <f t="shared" si="79"/>
        <v>C</v>
      </c>
      <c r="AO41" s="80" t="str">
        <f t="shared" si="80"/>
        <v>X</v>
      </c>
      <c r="AP41" s="80" t="str">
        <f t="shared" si="81"/>
        <v>O</v>
      </c>
      <c r="AQ41" s="80" t="str">
        <f t="shared" si="82"/>
        <v>O</v>
      </c>
      <c r="AR41" s="80" t="str">
        <f t="shared" si="83"/>
        <v>X</v>
      </c>
      <c r="AS41" s="80" t="s">
        <v>2</v>
      </c>
      <c r="AT41" s="80" t="str">
        <f t="shared" si="84"/>
        <v>O</v>
      </c>
      <c r="AU41" s="80" t="str">
        <f t="shared" si="85"/>
        <v>O</v>
      </c>
      <c r="AV41" s="80" t="str">
        <f t="shared" si="86"/>
        <v>X</v>
      </c>
    </row>
    <row r="42" spans="1:48" x14ac:dyDescent="0.3">
      <c r="A42" s="9" t="s">
        <v>786</v>
      </c>
      <c r="B42" s="10" t="s">
        <v>1325</v>
      </c>
      <c r="C42" s="89">
        <v>805</v>
      </c>
      <c r="D42" s="87">
        <v>100</v>
      </c>
      <c r="E42" s="88">
        <v>30</v>
      </c>
      <c r="F42" s="87">
        <v>74.900000000000006</v>
      </c>
      <c r="G42" s="17">
        <v>23</v>
      </c>
      <c r="H42" s="89">
        <v>186</v>
      </c>
      <c r="I42" s="90">
        <v>32000</v>
      </c>
      <c r="J42" s="90" t="s">
        <v>68</v>
      </c>
      <c r="K42" s="90">
        <v>28000</v>
      </c>
      <c r="L42" s="90" t="s">
        <v>120</v>
      </c>
      <c r="M42" s="91">
        <f t="shared" si="64"/>
        <v>4000</v>
      </c>
      <c r="N42" s="4">
        <f t="shared" si="65"/>
        <v>0.875</v>
      </c>
      <c r="O42" s="92">
        <f t="shared" si="66"/>
        <v>1066.6666666666667</v>
      </c>
      <c r="P42" s="92">
        <f t="shared" si="67"/>
        <v>933.33333333333337</v>
      </c>
      <c r="Q42" s="80">
        <v>3</v>
      </c>
      <c r="R42" s="80">
        <v>2</v>
      </c>
      <c r="S42" s="80" t="s">
        <v>61</v>
      </c>
      <c r="T42" s="5" t="s">
        <v>118</v>
      </c>
      <c r="U42" s="9"/>
      <c r="W42" s="87">
        <f t="shared" si="68"/>
        <v>100</v>
      </c>
      <c r="X42" s="88">
        <f t="shared" si="69"/>
        <v>30</v>
      </c>
      <c r="Y42" s="93">
        <f t="shared" si="70"/>
        <v>186</v>
      </c>
      <c r="Z42" s="91">
        <f t="shared" si="71"/>
        <v>32000</v>
      </c>
      <c r="AA42" s="91">
        <f t="shared" si="72"/>
        <v>28000</v>
      </c>
      <c r="AB42" s="91">
        <f t="shared" si="73"/>
        <v>4000</v>
      </c>
      <c r="AC42" s="4">
        <f t="shared" si="74"/>
        <v>0.875</v>
      </c>
      <c r="AD42" s="92">
        <f t="shared" si="75"/>
        <v>1066.6666666666667</v>
      </c>
      <c r="AE42" s="80" t="str">
        <f t="shared" si="76"/>
        <v>계</v>
      </c>
      <c r="AF42" s="80" t="str">
        <f t="shared" si="77"/>
        <v>3/2</v>
      </c>
      <c r="AH42" s="20" t="str">
        <f t="shared" si="1"/>
        <v>미장대원칸타빌</v>
      </c>
      <c r="AI42" s="88">
        <f t="shared" si="0"/>
        <v>30</v>
      </c>
      <c r="AJ42" s="80" t="str">
        <f t="shared" si="78"/>
        <v>A-</v>
      </c>
      <c r="AK42" s="80" t="s">
        <v>14</v>
      </c>
      <c r="AL42" s="80" t="s">
        <v>63</v>
      </c>
      <c r="AM42" s="80" t="s">
        <v>64</v>
      </c>
      <c r="AN42" s="80" t="str">
        <f t="shared" si="79"/>
        <v>C</v>
      </c>
      <c r="AO42" s="80" t="str">
        <f t="shared" si="80"/>
        <v>O</v>
      </c>
      <c r="AP42" s="80" t="str">
        <f t="shared" si="81"/>
        <v>O</v>
      </c>
      <c r="AQ42" s="80" t="str">
        <f t="shared" si="82"/>
        <v>O</v>
      </c>
      <c r="AR42" s="80" t="str">
        <f t="shared" si="83"/>
        <v>O</v>
      </c>
      <c r="AS42" s="80" t="s">
        <v>2</v>
      </c>
      <c r="AT42" s="80" t="str">
        <f t="shared" si="84"/>
        <v>O</v>
      </c>
      <c r="AU42" s="80" t="str">
        <f t="shared" si="85"/>
        <v>O</v>
      </c>
      <c r="AV42" s="80" t="str">
        <f t="shared" si="86"/>
        <v>후보</v>
      </c>
    </row>
    <row r="43" spans="1:48" x14ac:dyDescent="0.3">
      <c r="A43" s="9" t="s">
        <v>786</v>
      </c>
      <c r="B43" s="10" t="s">
        <v>1325</v>
      </c>
      <c r="C43" s="89">
        <v>805</v>
      </c>
      <c r="D43" s="87">
        <v>99.7</v>
      </c>
      <c r="E43" s="88">
        <v>30</v>
      </c>
      <c r="F43" s="87">
        <v>74.900000000000006</v>
      </c>
      <c r="G43" s="17">
        <v>23</v>
      </c>
      <c r="H43" s="89">
        <v>18</v>
      </c>
      <c r="I43" s="90"/>
      <c r="J43" s="90"/>
      <c r="K43" s="90"/>
      <c r="L43" s="90"/>
      <c r="M43" s="91">
        <f t="shared" si="64"/>
        <v>0</v>
      </c>
      <c r="N43" s="4" t="str">
        <f t="shared" si="65"/>
        <v/>
      </c>
      <c r="O43" s="92">
        <f t="shared" si="66"/>
        <v>0</v>
      </c>
      <c r="P43" s="92">
        <f t="shared" si="67"/>
        <v>0</v>
      </c>
      <c r="Q43" s="80">
        <v>3</v>
      </c>
      <c r="R43" s="80">
        <v>2</v>
      </c>
      <c r="S43" s="80" t="s">
        <v>61</v>
      </c>
      <c r="T43" s="5" t="s">
        <v>760</v>
      </c>
      <c r="U43" s="9"/>
      <c r="W43" s="87">
        <f t="shared" si="68"/>
        <v>99.7</v>
      </c>
      <c r="X43" s="88">
        <f t="shared" si="69"/>
        <v>30</v>
      </c>
      <c r="Y43" s="93">
        <f t="shared" si="70"/>
        <v>18</v>
      </c>
      <c r="Z43" s="91">
        <f t="shared" si="71"/>
        <v>0</v>
      </c>
      <c r="AA43" s="91">
        <f t="shared" si="72"/>
        <v>0</v>
      </c>
      <c r="AB43" s="91">
        <f t="shared" si="73"/>
        <v>0</v>
      </c>
      <c r="AC43" s="4" t="str">
        <f t="shared" si="74"/>
        <v/>
      </c>
      <c r="AD43" s="92">
        <f t="shared" si="75"/>
        <v>0</v>
      </c>
      <c r="AE43" s="80" t="str">
        <f t="shared" si="76"/>
        <v>계</v>
      </c>
      <c r="AF43" s="80" t="str">
        <f t="shared" si="77"/>
        <v>3/2</v>
      </c>
      <c r="AH43" s="20" t="str">
        <f t="shared" si="1"/>
        <v>미장대원칸타빌</v>
      </c>
      <c r="AI43" s="88">
        <f t="shared" si="0"/>
        <v>30</v>
      </c>
      <c r="AJ43" s="80" t="str">
        <f t="shared" si="78"/>
        <v>A-</v>
      </c>
      <c r="AK43" s="80" t="s">
        <v>14</v>
      </c>
      <c r="AL43" s="80" t="s">
        <v>63</v>
      </c>
      <c r="AM43" s="80" t="s">
        <v>64</v>
      </c>
      <c r="AN43" s="80" t="str">
        <f t="shared" si="79"/>
        <v>C</v>
      </c>
      <c r="AO43" s="80" t="str">
        <f t="shared" si="80"/>
        <v/>
      </c>
      <c r="AP43" s="80" t="str">
        <f t="shared" si="81"/>
        <v/>
      </c>
      <c r="AQ43" s="80" t="str">
        <f t="shared" si="82"/>
        <v>O</v>
      </c>
      <c r="AR43" s="80" t="str">
        <f t="shared" si="83"/>
        <v>O</v>
      </c>
      <c r="AS43" s="80" t="s">
        <v>2</v>
      </c>
      <c r="AT43" s="80" t="str">
        <f t="shared" si="84"/>
        <v>O</v>
      </c>
      <c r="AU43" s="80" t="str">
        <f t="shared" si="85"/>
        <v>O</v>
      </c>
      <c r="AV43" s="80" t="str">
        <f t="shared" si="86"/>
        <v/>
      </c>
    </row>
    <row r="44" spans="1:48" x14ac:dyDescent="0.3">
      <c r="A44" s="9" t="s">
        <v>786</v>
      </c>
      <c r="B44" s="10" t="s">
        <v>1325</v>
      </c>
      <c r="C44" s="89">
        <v>805</v>
      </c>
      <c r="D44" s="87">
        <v>100.4</v>
      </c>
      <c r="E44" s="88">
        <v>30</v>
      </c>
      <c r="F44" s="87">
        <v>74.900000000000006</v>
      </c>
      <c r="G44" s="17">
        <v>23</v>
      </c>
      <c r="H44" s="89">
        <v>44</v>
      </c>
      <c r="I44" s="90">
        <v>33000</v>
      </c>
      <c r="J44" s="90" t="s">
        <v>80</v>
      </c>
      <c r="K44" s="90"/>
      <c r="L44" s="90"/>
      <c r="M44" s="91">
        <f t="shared" si="64"/>
        <v>33000</v>
      </c>
      <c r="N44" s="4">
        <f t="shared" si="65"/>
        <v>0</v>
      </c>
      <c r="O44" s="92">
        <f t="shared" si="66"/>
        <v>1100</v>
      </c>
      <c r="P44" s="92">
        <f t="shared" si="67"/>
        <v>0</v>
      </c>
      <c r="Q44" s="80">
        <v>3</v>
      </c>
      <c r="R44" s="80">
        <v>2</v>
      </c>
      <c r="S44" s="80" t="s">
        <v>61</v>
      </c>
      <c r="T44" s="5" t="s">
        <v>792</v>
      </c>
      <c r="U44" s="9"/>
      <c r="W44" s="87">
        <f t="shared" si="68"/>
        <v>100.4</v>
      </c>
      <c r="X44" s="88">
        <f t="shared" si="69"/>
        <v>30</v>
      </c>
      <c r="Y44" s="93">
        <f t="shared" si="70"/>
        <v>44</v>
      </c>
      <c r="Z44" s="91">
        <f t="shared" si="71"/>
        <v>33000</v>
      </c>
      <c r="AA44" s="91">
        <f t="shared" si="72"/>
        <v>0</v>
      </c>
      <c r="AB44" s="91">
        <f t="shared" si="73"/>
        <v>33000</v>
      </c>
      <c r="AC44" s="4">
        <f t="shared" si="74"/>
        <v>0</v>
      </c>
      <c r="AD44" s="92">
        <f t="shared" si="75"/>
        <v>1100</v>
      </c>
      <c r="AE44" s="80" t="str">
        <f t="shared" si="76"/>
        <v>계</v>
      </c>
      <c r="AF44" s="80" t="str">
        <f t="shared" si="77"/>
        <v>3/2</v>
      </c>
      <c r="AH44" s="20" t="str">
        <f t="shared" si="1"/>
        <v>미장대원칸타빌</v>
      </c>
      <c r="AI44" s="88">
        <f t="shared" si="0"/>
        <v>30</v>
      </c>
      <c r="AJ44" s="80" t="str">
        <f t="shared" si="78"/>
        <v>A-</v>
      </c>
      <c r="AK44" s="80" t="s">
        <v>14</v>
      </c>
      <c r="AL44" s="80" t="s">
        <v>63</v>
      </c>
      <c r="AM44" s="80" t="s">
        <v>64</v>
      </c>
      <c r="AN44" s="80" t="str">
        <f t="shared" si="79"/>
        <v>C</v>
      </c>
      <c r="AO44" s="80" t="str">
        <f t="shared" si="80"/>
        <v>X</v>
      </c>
      <c r="AP44" s="80" t="str">
        <f t="shared" si="81"/>
        <v>O</v>
      </c>
      <c r="AQ44" s="80" t="str">
        <f t="shared" si="82"/>
        <v>O</v>
      </c>
      <c r="AR44" s="80" t="str">
        <f t="shared" si="83"/>
        <v>X</v>
      </c>
      <c r="AS44" s="80" t="s">
        <v>2</v>
      </c>
      <c r="AT44" s="80" t="str">
        <f t="shared" si="84"/>
        <v>O</v>
      </c>
      <c r="AU44" s="80" t="str">
        <f t="shared" si="85"/>
        <v>O</v>
      </c>
      <c r="AV44" s="80" t="str">
        <f t="shared" si="86"/>
        <v>X</v>
      </c>
    </row>
    <row r="45" spans="1:48" x14ac:dyDescent="0.3">
      <c r="A45" s="9" t="s">
        <v>786</v>
      </c>
      <c r="B45" s="10" t="s">
        <v>1325</v>
      </c>
      <c r="C45" s="89">
        <v>805</v>
      </c>
      <c r="D45" s="87">
        <v>100.1</v>
      </c>
      <c r="E45" s="88">
        <v>30</v>
      </c>
      <c r="F45" s="87">
        <v>75</v>
      </c>
      <c r="G45" s="17">
        <v>23</v>
      </c>
      <c r="H45" s="89">
        <v>40</v>
      </c>
      <c r="I45" s="90">
        <v>35500</v>
      </c>
      <c r="J45" s="90" t="s">
        <v>1280</v>
      </c>
      <c r="K45" s="90">
        <v>27000</v>
      </c>
      <c r="L45" s="90" t="s">
        <v>111</v>
      </c>
      <c r="M45" s="91">
        <f t="shared" si="64"/>
        <v>8500</v>
      </c>
      <c r="N45" s="4">
        <f t="shared" si="65"/>
        <v>0.76056338028169013</v>
      </c>
      <c r="O45" s="92">
        <f t="shared" si="66"/>
        <v>1183.3333333333333</v>
      </c>
      <c r="P45" s="92">
        <f t="shared" si="67"/>
        <v>900</v>
      </c>
      <c r="Q45" s="80">
        <v>3</v>
      </c>
      <c r="R45" s="80">
        <v>2</v>
      </c>
      <c r="S45" s="80" t="s">
        <v>61</v>
      </c>
      <c r="T45" s="5" t="s">
        <v>116</v>
      </c>
      <c r="U45" s="9"/>
      <c r="W45" s="87">
        <f t="shared" si="68"/>
        <v>100.1</v>
      </c>
      <c r="X45" s="88">
        <f t="shared" si="69"/>
        <v>30</v>
      </c>
      <c r="Y45" s="93">
        <f t="shared" si="70"/>
        <v>40</v>
      </c>
      <c r="Z45" s="91">
        <f t="shared" si="71"/>
        <v>35500</v>
      </c>
      <c r="AA45" s="91">
        <f t="shared" si="72"/>
        <v>27000</v>
      </c>
      <c r="AB45" s="91">
        <f t="shared" si="73"/>
        <v>8500</v>
      </c>
      <c r="AC45" s="4">
        <f t="shared" si="74"/>
        <v>0.76056338028169013</v>
      </c>
      <c r="AD45" s="92">
        <f t="shared" si="75"/>
        <v>1183.3333333333333</v>
      </c>
      <c r="AE45" s="80" t="str">
        <f t="shared" si="76"/>
        <v>계</v>
      </c>
      <c r="AF45" s="80" t="str">
        <f t="shared" si="77"/>
        <v>3/2</v>
      </c>
      <c r="AH45" s="20" t="str">
        <f t="shared" si="1"/>
        <v>미장대원칸타빌</v>
      </c>
      <c r="AI45" s="88">
        <f t="shared" si="0"/>
        <v>30</v>
      </c>
      <c r="AJ45" s="80" t="str">
        <f t="shared" si="78"/>
        <v>A-</v>
      </c>
      <c r="AK45" s="80" t="s">
        <v>14</v>
      </c>
      <c r="AL45" s="80" t="s">
        <v>63</v>
      </c>
      <c r="AM45" s="80" t="s">
        <v>64</v>
      </c>
      <c r="AN45" s="80" t="str">
        <f t="shared" si="79"/>
        <v>C</v>
      </c>
      <c r="AO45" s="80" t="str">
        <f t="shared" si="80"/>
        <v>X</v>
      </c>
      <c r="AP45" s="80" t="str">
        <f t="shared" si="81"/>
        <v>O</v>
      </c>
      <c r="AQ45" s="80" t="str">
        <f t="shared" si="82"/>
        <v>O</v>
      </c>
      <c r="AR45" s="80" t="str">
        <f t="shared" si="83"/>
        <v>X</v>
      </c>
      <c r="AS45" s="80" t="s">
        <v>2</v>
      </c>
      <c r="AT45" s="80" t="str">
        <f t="shared" si="84"/>
        <v>O</v>
      </c>
      <c r="AU45" s="80" t="str">
        <f t="shared" si="85"/>
        <v>O</v>
      </c>
      <c r="AV45" s="80" t="str">
        <f t="shared" si="86"/>
        <v>X</v>
      </c>
    </row>
    <row r="46" spans="1:48" x14ac:dyDescent="0.3">
      <c r="A46" s="9" t="s">
        <v>786</v>
      </c>
      <c r="B46" s="10" t="s">
        <v>1325</v>
      </c>
      <c r="C46" s="89">
        <v>805</v>
      </c>
      <c r="D46" s="87">
        <v>112.4</v>
      </c>
      <c r="E46" s="88">
        <v>34</v>
      </c>
      <c r="F46" s="87">
        <v>84.9</v>
      </c>
      <c r="G46" s="17">
        <v>26</v>
      </c>
      <c r="H46" s="89">
        <v>274</v>
      </c>
      <c r="I46" s="90">
        <v>36800</v>
      </c>
      <c r="J46" s="90" t="s">
        <v>68</v>
      </c>
      <c r="K46" s="90">
        <v>30000</v>
      </c>
      <c r="L46" s="90" t="s">
        <v>71</v>
      </c>
      <c r="M46" s="91">
        <f t="shared" si="64"/>
        <v>6800</v>
      </c>
      <c r="N46" s="4">
        <f t="shared" si="65"/>
        <v>0.81521739130434778</v>
      </c>
      <c r="O46" s="92">
        <f t="shared" si="66"/>
        <v>1082.3529411764705</v>
      </c>
      <c r="P46" s="92">
        <f t="shared" si="67"/>
        <v>882.35294117647061</v>
      </c>
      <c r="Q46" s="80">
        <v>4</v>
      </c>
      <c r="R46" s="80">
        <v>2</v>
      </c>
      <c r="S46" s="80" t="s">
        <v>61</v>
      </c>
      <c r="T46" s="5">
        <v>112</v>
      </c>
      <c r="U46" s="9"/>
      <c r="W46" s="87">
        <f t="shared" si="68"/>
        <v>112.4</v>
      </c>
      <c r="X46" s="88">
        <f t="shared" si="69"/>
        <v>34</v>
      </c>
      <c r="Y46" s="93">
        <f t="shared" si="70"/>
        <v>274</v>
      </c>
      <c r="Z46" s="91">
        <f t="shared" si="71"/>
        <v>36800</v>
      </c>
      <c r="AA46" s="91">
        <f t="shared" si="72"/>
        <v>30000</v>
      </c>
      <c r="AB46" s="91">
        <f t="shared" si="73"/>
        <v>6800</v>
      </c>
      <c r="AC46" s="4">
        <f t="shared" si="74"/>
        <v>0.81521739130434778</v>
      </c>
      <c r="AD46" s="92">
        <f t="shared" si="75"/>
        <v>1082.3529411764705</v>
      </c>
      <c r="AE46" s="80" t="str">
        <f t="shared" si="76"/>
        <v>계</v>
      </c>
      <c r="AF46" s="80" t="str">
        <f t="shared" si="77"/>
        <v>4/2</v>
      </c>
      <c r="AH46" s="20" t="str">
        <f t="shared" si="1"/>
        <v>미장대원칸타빌</v>
      </c>
      <c r="AI46" s="88">
        <f t="shared" si="0"/>
        <v>34</v>
      </c>
      <c r="AJ46" s="80" t="str">
        <f t="shared" si="78"/>
        <v>A-</v>
      </c>
      <c r="AK46" s="80" t="s">
        <v>14</v>
      </c>
      <c r="AL46" s="80" t="s">
        <v>63</v>
      </c>
      <c r="AM46" s="80" t="s">
        <v>64</v>
      </c>
      <c r="AN46" s="80" t="str">
        <f t="shared" si="79"/>
        <v>C</v>
      </c>
      <c r="AO46" s="80" t="str">
        <f t="shared" si="80"/>
        <v>O</v>
      </c>
      <c r="AP46" s="80" t="str">
        <f t="shared" si="81"/>
        <v>O</v>
      </c>
      <c r="AQ46" s="80" t="str">
        <f t="shared" si="82"/>
        <v>O</v>
      </c>
      <c r="AR46" s="80" t="str">
        <f t="shared" si="83"/>
        <v>X</v>
      </c>
      <c r="AS46" s="80" t="s">
        <v>2</v>
      </c>
      <c r="AT46" s="80" t="str">
        <f t="shared" si="84"/>
        <v>O</v>
      </c>
      <c r="AU46" s="80" t="str">
        <f t="shared" si="85"/>
        <v>O</v>
      </c>
      <c r="AV46" s="80" t="str">
        <f t="shared" si="86"/>
        <v>X</v>
      </c>
    </row>
    <row r="47" spans="1:48" x14ac:dyDescent="0.3">
      <c r="A47" s="9" t="s">
        <v>786</v>
      </c>
      <c r="B47" s="10" t="s">
        <v>1325</v>
      </c>
      <c r="C47" s="89">
        <v>805</v>
      </c>
      <c r="D47" s="87">
        <v>134.69999999999999</v>
      </c>
      <c r="E47" s="88">
        <v>41</v>
      </c>
      <c r="F47" s="87">
        <v>101.8</v>
      </c>
      <c r="G47" s="17">
        <v>31</v>
      </c>
      <c r="H47" s="89">
        <v>70</v>
      </c>
      <c r="I47" s="90">
        <v>51000</v>
      </c>
      <c r="J47" s="90" t="s">
        <v>84</v>
      </c>
      <c r="K47" s="90"/>
      <c r="L47" s="90"/>
      <c r="M47" s="91">
        <f t="shared" si="64"/>
        <v>51000</v>
      </c>
      <c r="N47" s="4">
        <f t="shared" si="65"/>
        <v>0</v>
      </c>
      <c r="O47" s="92">
        <f t="shared" si="66"/>
        <v>1243.9024390243903</v>
      </c>
      <c r="P47" s="92">
        <f t="shared" si="67"/>
        <v>0</v>
      </c>
      <c r="Q47" s="80">
        <v>4</v>
      </c>
      <c r="R47" s="80">
        <v>2</v>
      </c>
      <c r="S47" s="80" t="s">
        <v>61</v>
      </c>
      <c r="T47" s="5">
        <v>134</v>
      </c>
      <c r="U47" s="9"/>
      <c r="W47" s="87">
        <f t="shared" si="68"/>
        <v>134.69999999999999</v>
      </c>
      <c r="X47" s="88">
        <f t="shared" si="69"/>
        <v>41</v>
      </c>
      <c r="Y47" s="93">
        <f t="shared" si="70"/>
        <v>70</v>
      </c>
      <c r="Z47" s="91">
        <f t="shared" si="71"/>
        <v>51000</v>
      </c>
      <c r="AA47" s="91">
        <f t="shared" si="72"/>
        <v>0</v>
      </c>
      <c r="AB47" s="91">
        <f t="shared" si="73"/>
        <v>51000</v>
      </c>
      <c r="AC47" s="4">
        <f t="shared" si="74"/>
        <v>0</v>
      </c>
      <c r="AD47" s="92">
        <f t="shared" si="75"/>
        <v>1243.9024390243903</v>
      </c>
      <c r="AE47" s="80" t="str">
        <f t="shared" si="76"/>
        <v>계</v>
      </c>
      <c r="AF47" s="80" t="str">
        <f t="shared" si="77"/>
        <v>4/2</v>
      </c>
      <c r="AH47" s="20" t="str">
        <f t="shared" si="1"/>
        <v>미장대원칸타빌</v>
      </c>
      <c r="AI47" s="88">
        <f t="shared" si="0"/>
        <v>41</v>
      </c>
      <c r="AJ47" s="80" t="str">
        <f t="shared" si="78"/>
        <v>A-</v>
      </c>
      <c r="AK47" s="80" t="s">
        <v>14</v>
      </c>
      <c r="AL47" s="80" t="s">
        <v>63</v>
      </c>
      <c r="AM47" s="80" t="s">
        <v>64</v>
      </c>
      <c r="AN47" s="80" t="str">
        <f t="shared" si="79"/>
        <v>C</v>
      </c>
      <c r="AO47" s="80" t="str">
        <f t="shared" si="80"/>
        <v>X</v>
      </c>
      <c r="AP47" s="80" t="str">
        <f t="shared" si="81"/>
        <v>X</v>
      </c>
      <c r="AQ47" s="80" t="str">
        <f t="shared" si="82"/>
        <v>X</v>
      </c>
      <c r="AR47" s="80" t="str">
        <f t="shared" si="83"/>
        <v>X</v>
      </c>
      <c r="AS47" s="80" t="s">
        <v>2</v>
      </c>
      <c r="AT47" s="80" t="str">
        <f t="shared" si="84"/>
        <v>X</v>
      </c>
      <c r="AU47" s="80" t="str">
        <f t="shared" si="85"/>
        <v>O</v>
      </c>
      <c r="AV47" s="80" t="str">
        <f t="shared" si="86"/>
        <v>X</v>
      </c>
    </row>
    <row r="48" spans="1:48" x14ac:dyDescent="0.3">
      <c r="A48" s="9" t="s">
        <v>786</v>
      </c>
      <c r="B48" s="10" t="s">
        <v>1325</v>
      </c>
      <c r="C48" s="89">
        <v>805</v>
      </c>
      <c r="D48" s="87">
        <v>174.2</v>
      </c>
      <c r="E48" s="88">
        <v>53</v>
      </c>
      <c r="F48" s="87">
        <v>128.69999999999999</v>
      </c>
      <c r="G48" s="17">
        <v>39</v>
      </c>
      <c r="H48" s="89">
        <v>4</v>
      </c>
      <c r="I48" s="90">
        <v>90000</v>
      </c>
      <c r="J48" s="90" t="s">
        <v>154</v>
      </c>
      <c r="K48" s="90">
        <v>50000</v>
      </c>
      <c r="L48" s="90" t="s">
        <v>154</v>
      </c>
      <c r="M48" s="91">
        <f t="shared" si="64"/>
        <v>40000</v>
      </c>
      <c r="N48" s="4">
        <f t="shared" si="65"/>
        <v>0.55555555555555558</v>
      </c>
      <c r="O48" s="92">
        <f t="shared" si="66"/>
        <v>1698.1132075471698</v>
      </c>
      <c r="P48" s="92">
        <f t="shared" si="67"/>
        <v>943.39622641509436</v>
      </c>
      <c r="Q48" s="80">
        <v>4</v>
      </c>
      <c r="R48" s="80">
        <v>2</v>
      </c>
      <c r="S48" s="80" t="s">
        <v>61</v>
      </c>
      <c r="T48" s="5">
        <v>174</v>
      </c>
      <c r="U48" s="9"/>
      <c r="W48" s="87">
        <f t="shared" si="68"/>
        <v>174.2</v>
      </c>
      <c r="X48" s="88">
        <f t="shared" si="69"/>
        <v>53</v>
      </c>
      <c r="Y48" s="93">
        <f t="shared" si="70"/>
        <v>4</v>
      </c>
      <c r="Z48" s="91">
        <f t="shared" si="71"/>
        <v>90000</v>
      </c>
      <c r="AA48" s="91">
        <f t="shared" si="72"/>
        <v>50000</v>
      </c>
      <c r="AB48" s="91">
        <f t="shared" si="73"/>
        <v>40000</v>
      </c>
      <c r="AC48" s="4">
        <f t="shared" si="74"/>
        <v>0.55555555555555558</v>
      </c>
      <c r="AD48" s="92">
        <f t="shared" si="75"/>
        <v>1698.1132075471698</v>
      </c>
      <c r="AE48" s="80" t="str">
        <f t="shared" si="76"/>
        <v>계</v>
      </c>
      <c r="AF48" s="80" t="str">
        <f t="shared" si="77"/>
        <v>4/2</v>
      </c>
      <c r="AH48" s="20" t="str">
        <f t="shared" si="1"/>
        <v>미장대원칸타빌</v>
      </c>
      <c r="AI48" s="88">
        <f t="shared" si="0"/>
        <v>53</v>
      </c>
      <c r="AJ48" s="80" t="str">
        <f t="shared" si="78"/>
        <v>A-</v>
      </c>
      <c r="AK48" s="80" t="s">
        <v>14</v>
      </c>
      <c r="AL48" s="80" t="s">
        <v>63</v>
      </c>
      <c r="AM48" s="80" t="s">
        <v>64</v>
      </c>
      <c r="AN48" s="80" t="str">
        <f t="shared" si="79"/>
        <v>C</v>
      </c>
      <c r="AO48" s="80" t="str">
        <f t="shared" si="80"/>
        <v>X</v>
      </c>
      <c r="AP48" s="80" t="str">
        <f t="shared" si="81"/>
        <v>X</v>
      </c>
      <c r="AQ48" s="80" t="str">
        <f t="shared" si="82"/>
        <v>X</v>
      </c>
      <c r="AR48" s="80" t="str">
        <f t="shared" si="83"/>
        <v>X</v>
      </c>
      <c r="AS48" s="80" t="s">
        <v>2</v>
      </c>
      <c r="AT48" s="80" t="str">
        <f t="shared" si="84"/>
        <v>X</v>
      </c>
      <c r="AU48" s="80" t="str">
        <f t="shared" si="85"/>
        <v>O</v>
      </c>
      <c r="AV48" s="80" t="str">
        <f t="shared" si="86"/>
        <v>X</v>
      </c>
    </row>
  </sheetData>
  <mergeCells count="1">
    <mergeCell ref="AJ1:AN1"/>
  </mergeCells>
  <phoneticPr fontId="2" type="noConversion"/>
  <conditionalFormatting sqref="AV4:AV6">
    <cfRule type="expression" dxfId="4149" priority="691">
      <formula>AV4="X"</formula>
    </cfRule>
    <cfRule type="expression" dxfId="4148" priority="692">
      <formula>AV4="후보"</formula>
    </cfRule>
  </conditionalFormatting>
  <conditionalFormatting sqref="AC1:AC2 AC4:AC6 N4:N5">
    <cfRule type="cellIs" dxfId="4147" priority="689" operator="greaterThan">
      <formula>0.9</formula>
    </cfRule>
    <cfRule type="cellIs" dxfId="4146" priority="690" operator="greaterThan">
      <formula>0.85</formula>
    </cfRule>
  </conditionalFormatting>
  <conditionalFormatting sqref="N1:N2">
    <cfRule type="cellIs" dxfId="4145" priority="687" operator="greaterThan">
      <formula>0.9</formula>
    </cfRule>
    <cfRule type="cellIs" dxfId="4144" priority="688" operator="greaterThan">
      <formula>0.85</formula>
    </cfRule>
  </conditionalFormatting>
  <conditionalFormatting sqref="N6">
    <cfRule type="cellIs" dxfId="4143" priority="685" operator="greaterThan">
      <formula>0.9</formula>
    </cfRule>
    <cfRule type="cellIs" dxfId="4142" priority="686" operator="greaterThan">
      <formula>0.85</formula>
    </cfRule>
  </conditionalFormatting>
  <conditionalFormatting sqref="E6">
    <cfRule type="expression" dxfId="4141" priority="681">
      <formula>AND(IF(OR($Q6=1,$Q6=2),1,0),IF($X6&lt;=20,1,0))</formula>
    </cfRule>
    <cfRule type="expression" dxfId="4140" priority="682">
      <formula>AND(IF($Q6=2,1,0),IF($X6&lt;30,1,0))</formula>
    </cfRule>
    <cfRule type="expression" dxfId="4139" priority="683">
      <formula>AND(IF($Q6=3,1,0),IF($X6&lt;30,1,0))</formula>
    </cfRule>
    <cfRule type="expression" dxfId="4138" priority="684">
      <formula>AND(IF($Q6=3,1,IF($Q6=4,1,0)),IF($F6&lt;=85,1,0))</formula>
    </cfRule>
  </conditionalFormatting>
  <conditionalFormatting sqref="X6">
    <cfRule type="expression" dxfId="4137" priority="677">
      <formula>AND(IF(OR($Q6=1,$Q6=2),1,0),IF($X6&lt;=20,1,0))</formula>
    </cfRule>
    <cfRule type="expression" dxfId="4136" priority="678">
      <formula>AND(IF($Q6=2,1,0),IF($X6&lt;30,1,0))</formula>
    </cfRule>
    <cfRule type="expression" dxfId="4135" priority="679">
      <formula>AND(IF($Q6=3,1,0),IF($X6&lt;30,1,0))</formula>
    </cfRule>
    <cfRule type="expression" dxfId="4134" priority="680">
      <formula>AND(IF($Q6=3,1,IF($Q6=4,1,0)),IF($F6&lt;=85,1,0))</formula>
    </cfRule>
  </conditionalFormatting>
  <conditionalFormatting sqref="AI6">
    <cfRule type="expression" dxfId="4133" priority="673">
      <formula>AND(IF(OR($Q6=1,$Q6=2),1,0),IF($X6&lt;=20,1,0))</formula>
    </cfRule>
    <cfRule type="expression" dxfId="4132" priority="674">
      <formula>AND(IF($Q6=2,1,0),IF($X6&lt;30,1,0))</formula>
    </cfRule>
    <cfRule type="expression" dxfId="4131" priority="675">
      <formula>AND(IF($Q6=3,1,0),IF($X6&lt;30,1,0))</formula>
    </cfRule>
    <cfRule type="expression" dxfId="4130" priority="676">
      <formula>AND(IF($Q6=3,1,IF($Q6=4,1,0)),IF($F6&lt;=85,1,0))</formula>
    </cfRule>
  </conditionalFormatting>
  <conditionalFormatting sqref="AV7">
    <cfRule type="expression" dxfId="4129" priority="671">
      <formula>AV7="X"</formula>
    </cfRule>
    <cfRule type="expression" dxfId="4128" priority="672">
      <formula>AV7="후보"</formula>
    </cfRule>
  </conditionalFormatting>
  <conditionalFormatting sqref="AC7">
    <cfRule type="cellIs" dxfId="4127" priority="669" operator="greaterThan">
      <formula>0.9</formula>
    </cfRule>
    <cfRule type="cellIs" dxfId="4126" priority="670" operator="greaterThan">
      <formula>0.85</formula>
    </cfRule>
  </conditionalFormatting>
  <conditionalFormatting sqref="N7">
    <cfRule type="cellIs" dxfId="4125" priority="667" operator="greaterThan">
      <formula>0.9</formula>
    </cfRule>
    <cfRule type="cellIs" dxfId="4124" priority="668" operator="greaterThan">
      <formula>0.85</formula>
    </cfRule>
  </conditionalFormatting>
  <conditionalFormatting sqref="E7">
    <cfRule type="expression" dxfId="4123" priority="663">
      <formula>AND(IF(OR($Q7=1,$Q7=2),1,0),IF($X7&lt;=20,1,0))</formula>
    </cfRule>
    <cfRule type="expression" dxfId="4122" priority="664">
      <formula>AND(IF($Q7=2,1,0),IF($X7&lt;30,1,0))</formula>
    </cfRule>
    <cfRule type="expression" dxfId="4121" priority="665">
      <formula>AND(IF($Q7=3,1,0),IF($X7&lt;30,1,0))</formula>
    </cfRule>
    <cfRule type="expression" dxfId="4120" priority="666">
      <formula>AND(IF($Q7=3,1,IF($Q7=4,1,0)),IF($F7&lt;=85,1,0))</formula>
    </cfRule>
  </conditionalFormatting>
  <conditionalFormatting sqref="X7">
    <cfRule type="expression" dxfId="4119" priority="659">
      <formula>AND(IF(OR($Q7=1,$Q7=2),1,0),IF($X7&lt;=20,1,0))</formula>
    </cfRule>
    <cfRule type="expression" dxfId="4118" priority="660">
      <formula>AND(IF($Q7=2,1,0),IF($X7&lt;30,1,0))</formula>
    </cfRule>
    <cfRule type="expression" dxfId="4117" priority="661">
      <formula>AND(IF($Q7=3,1,0),IF($X7&lt;30,1,0))</formula>
    </cfRule>
    <cfRule type="expression" dxfId="4116" priority="662">
      <formula>AND(IF($Q7=3,1,IF($Q7=4,1,0)),IF($F7&lt;=85,1,0))</formula>
    </cfRule>
  </conditionalFormatting>
  <conditionalFormatting sqref="AI7">
    <cfRule type="expression" dxfId="4115" priority="655">
      <formula>AND(IF(OR($Q7=1,$Q7=2),1,0),IF($X7&lt;=20,1,0))</formula>
    </cfRule>
    <cfRule type="expression" dxfId="4114" priority="656">
      <formula>AND(IF($Q7=2,1,0),IF($X7&lt;30,1,0))</formula>
    </cfRule>
    <cfRule type="expression" dxfId="4113" priority="657">
      <formula>AND(IF($Q7=3,1,0),IF($X7&lt;30,1,0))</formula>
    </cfRule>
    <cfRule type="expression" dxfId="4112" priority="658">
      <formula>AND(IF($Q7=3,1,IF($Q7=4,1,0)),IF($F7&lt;=85,1,0))</formula>
    </cfRule>
  </conditionalFormatting>
  <conditionalFormatting sqref="AV8">
    <cfRule type="expression" dxfId="4111" priority="653">
      <formula>AV8="X"</formula>
    </cfRule>
    <cfRule type="expression" dxfId="4110" priority="654">
      <formula>AV8="후보"</formula>
    </cfRule>
  </conditionalFormatting>
  <conditionalFormatting sqref="AC8 N8">
    <cfRule type="cellIs" dxfId="4109" priority="651" operator="greaterThan">
      <formula>0.9</formula>
    </cfRule>
    <cfRule type="cellIs" dxfId="4108" priority="652" operator="greaterThan">
      <formula>0.85</formula>
    </cfRule>
  </conditionalFormatting>
  <conditionalFormatting sqref="AV9">
    <cfRule type="expression" dxfId="4107" priority="649">
      <formula>AV9="X"</formula>
    </cfRule>
    <cfRule type="expression" dxfId="4106" priority="650">
      <formula>AV9="후보"</formula>
    </cfRule>
  </conditionalFormatting>
  <conditionalFormatting sqref="AC9">
    <cfRule type="cellIs" dxfId="4105" priority="647" operator="greaterThan">
      <formula>0.9</formula>
    </cfRule>
    <cfRule type="cellIs" dxfId="4104" priority="648" operator="greaterThan">
      <formula>0.85</formula>
    </cfRule>
  </conditionalFormatting>
  <conditionalFormatting sqref="N9">
    <cfRule type="cellIs" dxfId="4103" priority="645" operator="greaterThan">
      <formula>0.9</formula>
    </cfRule>
    <cfRule type="cellIs" dxfId="4102" priority="646" operator="greaterThan">
      <formula>0.85</formula>
    </cfRule>
  </conditionalFormatting>
  <conditionalFormatting sqref="E9">
    <cfRule type="expression" dxfId="4101" priority="641">
      <formula>AND(IF(OR($Q9=1,$Q9=2),1,0),IF($X9&lt;=20,1,0))</formula>
    </cfRule>
    <cfRule type="expression" dxfId="4100" priority="642">
      <formula>AND(IF($Q9=2,1,0),IF($X9&lt;30,1,0))</formula>
    </cfRule>
    <cfRule type="expression" dxfId="4099" priority="643">
      <formula>AND(IF($Q9=3,1,0),IF($X9&lt;30,1,0))</formula>
    </cfRule>
    <cfRule type="expression" dxfId="4098" priority="644">
      <formula>AND(IF($Q9=3,1,IF($Q9=4,1,0)),IF($F9&lt;=85,1,0))</formula>
    </cfRule>
  </conditionalFormatting>
  <conditionalFormatting sqref="X9">
    <cfRule type="expression" dxfId="4097" priority="637">
      <formula>AND(IF(OR($Q9=1,$Q9=2),1,0),IF($X9&lt;=20,1,0))</formula>
    </cfRule>
    <cfRule type="expression" dxfId="4096" priority="638">
      <formula>AND(IF($Q9=2,1,0),IF($X9&lt;30,1,0))</formula>
    </cfRule>
    <cfRule type="expression" dxfId="4095" priority="639">
      <formula>AND(IF($Q9=3,1,0),IF($X9&lt;30,1,0))</formula>
    </cfRule>
    <cfRule type="expression" dxfId="4094" priority="640">
      <formula>AND(IF($Q9=3,1,IF($Q9=4,1,0)),IF($F9&lt;=85,1,0))</formula>
    </cfRule>
  </conditionalFormatting>
  <conditionalFormatting sqref="AI9">
    <cfRule type="expression" dxfId="4093" priority="633">
      <formula>AND(IF(OR($Q9=1,$Q9=2),1,0),IF($X9&lt;=20,1,0))</formula>
    </cfRule>
    <cfRule type="expression" dxfId="4092" priority="634">
      <formula>AND(IF($Q9=2,1,0),IF($X9&lt;30,1,0))</formula>
    </cfRule>
    <cfRule type="expression" dxfId="4091" priority="635">
      <formula>AND(IF($Q9=3,1,0),IF($X9&lt;30,1,0))</formula>
    </cfRule>
    <cfRule type="expression" dxfId="4090" priority="636">
      <formula>AND(IF($Q9=3,1,IF($Q9=4,1,0)),IF($F9&lt;=85,1,0))</formula>
    </cfRule>
  </conditionalFormatting>
  <conditionalFormatting sqref="AV10">
    <cfRule type="expression" dxfId="4089" priority="631">
      <formula>AV10="X"</formula>
    </cfRule>
    <cfRule type="expression" dxfId="4088" priority="632">
      <formula>AV10="후보"</formula>
    </cfRule>
  </conditionalFormatting>
  <conditionalFormatting sqref="AC10">
    <cfRule type="cellIs" dxfId="4087" priority="629" operator="greaterThan">
      <formula>0.9</formula>
    </cfRule>
    <cfRule type="cellIs" dxfId="4086" priority="630" operator="greaterThan">
      <formula>0.85</formula>
    </cfRule>
  </conditionalFormatting>
  <conditionalFormatting sqref="N10">
    <cfRule type="cellIs" dxfId="4085" priority="627" operator="greaterThan">
      <formula>0.9</formula>
    </cfRule>
    <cfRule type="cellIs" dxfId="4084" priority="628" operator="greaterThan">
      <formula>0.85</formula>
    </cfRule>
  </conditionalFormatting>
  <conditionalFormatting sqref="E10">
    <cfRule type="expression" dxfId="4083" priority="623">
      <formula>AND(IF(OR($Q10=1,$Q10=2),1,0),IF($X10&lt;=20,1,0))</formula>
    </cfRule>
    <cfRule type="expression" dxfId="4082" priority="624">
      <formula>AND(IF($Q10=2,1,0),IF($X10&lt;30,1,0))</formula>
    </cfRule>
    <cfRule type="expression" dxfId="4081" priority="625">
      <formula>AND(IF($Q10=3,1,0),IF($X10&lt;30,1,0))</formula>
    </cfRule>
    <cfRule type="expression" dxfId="4080" priority="626">
      <formula>AND(IF($Q10=3,1,IF($Q10=4,1,0)),IF($F10&lt;=85,1,0))</formula>
    </cfRule>
  </conditionalFormatting>
  <conditionalFormatting sqref="X10">
    <cfRule type="expression" dxfId="4079" priority="619">
      <formula>AND(IF(OR($Q10=1,$Q10=2),1,0),IF($X10&lt;=20,1,0))</formula>
    </cfRule>
    <cfRule type="expression" dxfId="4078" priority="620">
      <formula>AND(IF($Q10=2,1,0),IF($X10&lt;30,1,0))</formula>
    </cfRule>
    <cfRule type="expression" dxfId="4077" priority="621">
      <formula>AND(IF($Q10=3,1,0),IF($X10&lt;30,1,0))</formula>
    </cfRule>
    <cfRule type="expression" dxfId="4076" priority="622">
      <formula>AND(IF($Q10=3,1,IF($Q10=4,1,0)),IF($F10&lt;=85,1,0))</formula>
    </cfRule>
  </conditionalFormatting>
  <conditionalFormatting sqref="AI10">
    <cfRule type="expression" dxfId="4075" priority="615">
      <formula>AND(IF(OR($Q10=1,$Q10=2),1,0),IF($X10&lt;=20,1,0))</formula>
    </cfRule>
    <cfRule type="expression" dxfId="4074" priority="616">
      <formula>AND(IF($Q10=2,1,0),IF($X10&lt;30,1,0))</formula>
    </cfRule>
    <cfRule type="expression" dxfId="4073" priority="617">
      <formula>AND(IF($Q10=3,1,0),IF($X10&lt;30,1,0))</formula>
    </cfRule>
    <cfRule type="expression" dxfId="4072" priority="618">
      <formula>AND(IF($Q10=3,1,IF($Q10=4,1,0)),IF($F10&lt;=85,1,0))</formula>
    </cfRule>
  </conditionalFormatting>
  <conditionalFormatting sqref="AV11">
    <cfRule type="expression" dxfId="4071" priority="613">
      <formula>AV11="X"</formula>
    </cfRule>
    <cfRule type="expression" dxfId="4070" priority="614">
      <formula>AV11="후보"</formula>
    </cfRule>
  </conditionalFormatting>
  <conditionalFormatting sqref="AC11 N11">
    <cfRule type="cellIs" dxfId="4069" priority="611" operator="greaterThan">
      <formula>0.9</formula>
    </cfRule>
    <cfRule type="cellIs" dxfId="4068" priority="612" operator="greaterThan">
      <formula>0.85</formula>
    </cfRule>
  </conditionalFormatting>
  <conditionalFormatting sqref="AV12">
    <cfRule type="expression" dxfId="4067" priority="609">
      <formula>AV12="X"</formula>
    </cfRule>
    <cfRule type="expression" dxfId="4066" priority="610">
      <formula>AV12="후보"</formula>
    </cfRule>
  </conditionalFormatting>
  <conditionalFormatting sqref="AC12">
    <cfRule type="cellIs" dxfId="4065" priority="607" operator="greaterThan">
      <formula>0.9</formula>
    </cfRule>
    <cfRule type="cellIs" dxfId="4064" priority="608" operator="greaterThan">
      <formula>0.85</formula>
    </cfRule>
  </conditionalFormatting>
  <conditionalFormatting sqref="N12">
    <cfRule type="cellIs" dxfId="4063" priority="605" operator="greaterThan">
      <formula>0.9</formula>
    </cfRule>
    <cfRule type="cellIs" dxfId="4062" priority="606" operator="greaterThan">
      <formula>0.85</formula>
    </cfRule>
  </conditionalFormatting>
  <conditionalFormatting sqref="E12">
    <cfRule type="expression" dxfId="4061" priority="601">
      <formula>AND(IF(OR($Q12=1,$Q12=2),1,0),IF($X12&lt;=20,1,0))</formula>
    </cfRule>
    <cfRule type="expression" dxfId="4060" priority="602">
      <formula>AND(IF($Q12=2,1,0),IF($X12&lt;30,1,0))</formula>
    </cfRule>
    <cfRule type="expression" dxfId="4059" priority="603">
      <formula>AND(IF($Q12=3,1,0),IF($X12&lt;30,1,0))</formula>
    </cfRule>
    <cfRule type="expression" dxfId="4058" priority="604">
      <formula>AND(IF($Q12=3,1,IF($Q12=4,1,0)),IF($F12&lt;=85,1,0))</formula>
    </cfRule>
  </conditionalFormatting>
  <conditionalFormatting sqref="X12">
    <cfRule type="expression" dxfId="4057" priority="597">
      <formula>AND(IF(OR($Q12=1,$Q12=2),1,0),IF($X12&lt;=20,1,0))</formula>
    </cfRule>
    <cfRule type="expression" dxfId="4056" priority="598">
      <formula>AND(IF($Q12=2,1,0),IF($X12&lt;30,1,0))</formula>
    </cfRule>
    <cfRule type="expression" dxfId="4055" priority="599">
      <formula>AND(IF($Q12=3,1,0),IF($X12&lt;30,1,0))</formula>
    </cfRule>
    <cfRule type="expression" dxfId="4054" priority="600">
      <formula>AND(IF($Q12=3,1,IF($Q12=4,1,0)),IF($F12&lt;=85,1,0))</formula>
    </cfRule>
  </conditionalFormatting>
  <conditionalFormatting sqref="AI12">
    <cfRule type="expression" dxfId="4053" priority="593">
      <formula>AND(IF(OR($Q12=1,$Q12=2),1,0),IF($X12&lt;=20,1,0))</formula>
    </cfRule>
    <cfRule type="expression" dxfId="4052" priority="594">
      <formula>AND(IF($Q12=2,1,0),IF($X12&lt;30,1,0))</formula>
    </cfRule>
    <cfRule type="expression" dxfId="4051" priority="595">
      <formula>AND(IF($Q12=3,1,0),IF($X12&lt;30,1,0))</formula>
    </cfRule>
    <cfRule type="expression" dxfId="4050" priority="596">
      <formula>AND(IF($Q12=3,1,IF($Q12=4,1,0)),IF($F12&lt;=85,1,0))</formula>
    </cfRule>
  </conditionalFormatting>
  <conditionalFormatting sqref="AV13">
    <cfRule type="expression" dxfId="4049" priority="591">
      <formula>AV13="X"</formula>
    </cfRule>
    <cfRule type="expression" dxfId="4048" priority="592">
      <formula>AV13="후보"</formula>
    </cfRule>
  </conditionalFormatting>
  <conditionalFormatting sqref="AC13">
    <cfRule type="cellIs" dxfId="4047" priority="589" operator="greaterThan">
      <formula>0.9</formula>
    </cfRule>
    <cfRule type="cellIs" dxfId="4046" priority="590" operator="greaterThan">
      <formula>0.85</formula>
    </cfRule>
  </conditionalFormatting>
  <conditionalFormatting sqref="N13">
    <cfRule type="cellIs" dxfId="4045" priority="587" operator="greaterThan">
      <formula>0.9</formula>
    </cfRule>
    <cfRule type="cellIs" dxfId="4044" priority="588" operator="greaterThan">
      <formula>0.85</formula>
    </cfRule>
  </conditionalFormatting>
  <conditionalFormatting sqref="E13">
    <cfRule type="expression" dxfId="4043" priority="583">
      <formula>AND(IF(OR($Q13=1,$Q13=2),1,0),IF($X13&lt;=20,1,0))</formula>
    </cfRule>
    <cfRule type="expression" dxfId="4042" priority="584">
      <formula>AND(IF($Q13=2,1,0),IF($X13&lt;30,1,0))</formula>
    </cfRule>
    <cfRule type="expression" dxfId="4041" priority="585">
      <formula>AND(IF($Q13=3,1,0),IF($X13&lt;30,1,0))</formula>
    </cfRule>
    <cfRule type="expression" dxfId="4040" priority="586">
      <formula>AND(IF($Q13=3,1,IF($Q13=4,1,0)),IF($F13&lt;=85,1,0))</formula>
    </cfRule>
  </conditionalFormatting>
  <conditionalFormatting sqref="X13">
    <cfRule type="expression" dxfId="4039" priority="579">
      <formula>AND(IF(OR($Q13=1,$Q13=2),1,0),IF($X13&lt;=20,1,0))</formula>
    </cfRule>
    <cfRule type="expression" dxfId="4038" priority="580">
      <formula>AND(IF($Q13=2,1,0),IF($X13&lt;30,1,0))</formula>
    </cfRule>
    <cfRule type="expression" dxfId="4037" priority="581">
      <formula>AND(IF($Q13=3,1,0),IF($X13&lt;30,1,0))</formula>
    </cfRule>
    <cfRule type="expression" dxfId="4036" priority="582">
      <formula>AND(IF($Q13=3,1,IF($Q13=4,1,0)),IF($F13&lt;=85,1,0))</formula>
    </cfRule>
  </conditionalFormatting>
  <conditionalFormatting sqref="AI13">
    <cfRule type="expression" dxfId="4035" priority="575">
      <formula>AND(IF(OR($Q13=1,$Q13=2),1,0),IF($X13&lt;=20,1,0))</formula>
    </cfRule>
    <cfRule type="expression" dxfId="4034" priority="576">
      <formula>AND(IF($Q13=2,1,0),IF($X13&lt;30,1,0))</formula>
    </cfRule>
    <cfRule type="expression" dxfId="4033" priority="577">
      <formula>AND(IF($Q13=3,1,0),IF($X13&lt;30,1,0))</formula>
    </cfRule>
    <cfRule type="expression" dxfId="4032" priority="578">
      <formula>AND(IF($Q13=3,1,IF($Q13=4,1,0)),IF($F13&lt;=85,1,0))</formula>
    </cfRule>
  </conditionalFormatting>
  <conditionalFormatting sqref="AV14">
    <cfRule type="expression" dxfId="4031" priority="573">
      <formula>AV14="X"</formula>
    </cfRule>
    <cfRule type="expression" dxfId="4030" priority="574">
      <formula>AV14="후보"</formula>
    </cfRule>
  </conditionalFormatting>
  <conditionalFormatting sqref="AC14">
    <cfRule type="cellIs" dxfId="4029" priority="571" operator="greaterThan">
      <formula>0.9</formula>
    </cfRule>
    <cfRule type="cellIs" dxfId="4028" priority="572" operator="greaterThan">
      <formula>0.85</formula>
    </cfRule>
  </conditionalFormatting>
  <conditionalFormatting sqref="N14">
    <cfRule type="cellIs" dxfId="4027" priority="569" operator="greaterThan">
      <formula>0.9</formula>
    </cfRule>
    <cfRule type="cellIs" dxfId="4026" priority="570" operator="greaterThan">
      <formula>0.85</formula>
    </cfRule>
  </conditionalFormatting>
  <conditionalFormatting sqref="E14">
    <cfRule type="expression" dxfId="4025" priority="565">
      <formula>AND(IF(OR($Q14=1,$Q14=2),1,0),IF($X14&lt;=20,1,0))</formula>
    </cfRule>
    <cfRule type="expression" dxfId="4024" priority="566">
      <formula>AND(IF($Q14=2,1,0),IF($X14&lt;30,1,0))</formula>
    </cfRule>
    <cfRule type="expression" dxfId="4023" priority="567">
      <formula>AND(IF($Q14=3,1,0),IF($X14&lt;30,1,0))</formula>
    </cfRule>
    <cfRule type="expression" dxfId="4022" priority="568">
      <formula>AND(IF($Q14=3,1,IF($Q14=4,1,0)),IF($F14&lt;=85,1,0))</formula>
    </cfRule>
  </conditionalFormatting>
  <conditionalFormatting sqref="X14">
    <cfRule type="expression" dxfId="4021" priority="561">
      <formula>AND(IF(OR($Q14=1,$Q14=2),1,0),IF($X14&lt;=20,1,0))</formula>
    </cfRule>
    <cfRule type="expression" dxfId="4020" priority="562">
      <formula>AND(IF($Q14=2,1,0),IF($X14&lt;30,1,0))</formula>
    </cfRule>
    <cfRule type="expression" dxfId="4019" priority="563">
      <formula>AND(IF($Q14=3,1,0),IF($X14&lt;30,1,0))</formula>
    </cfRule>
    <cfRule type="expression" dxfId="4018" priority="564">
      <formula>AND(IF($Q14=3,1,IF($Q14=4,1,0)),IF($F14&lt;=85,1,0))</formula>
    </cfRule>
  </conditionalFormatting>
  <conditionalFormatting sqref="AI14">
    <cfRule type="expression" dxfId="4017" priority="557">
      <formula>AND(IF(OR($Q14=1,$Q14=2),1,0),IF($X14&lt;=20,1,0))</formula>
    </cfRule>
    <cfRule type="expression" dxfId="4016" priority="558">
      <formula>AND(IF($Q14=2,1,0),IF($X14&lt;30,1,0))</formula>
    </cfRule>
    <cfRule type="expression" dxfId="4015" priority="559">
      <formula>AND(IF($Q14=3,1,0),IF($X14&lt;30,1,0))</formula>
    </cfRule>
    <cfRule type="expression" dxfId="4014" priority="560">
      <formula>AND(IF($Q14=3,1,IF($Q14=4,1,0)),IF($F14&lt;=85,1,0))</formula>
    </cfRule>
  </conditionalFormatting>
  <conditionalFormatting sqref="AV15">
    <cfRule type="expression" dxfId="4013" priority="555">
      <formula>AV15="X"</formula>
    </cfRule>
    <cfRule type="expression" dxfId="4012" priority="556">
      <formula>AV15="후보"</formula>
    </cfRule>
  </conditionalFormatting>
  <conditionalFormatting sqref="AC15">
    <cfRule type="cellIs" dxfId="4011" priority="553" operator="greaterThan">
      <formula>0.9</formula>
    </cfRule>
    <cfRule type="cellIs" dxfId="4010" priority="554" operator="greaterThan">
      <formula>0.85</formula>
    </cfRule>
  </conditionalFormatting>
  <conditionalFormatting sqref="N15">
    <cfRule type="cellIs" dxfId="4009" priority="551" operator="greaterThan">
      <formula>0.9</formula>
    </cfRule>
    <cfRule type="cellIs" dxfId="4008" priority="552" operator="greaterThan">
      <formula>0.85</formula>
    </cfRule>
  </conditionalFormatting>
  <conditionalFormatting sqref="E15">
    <cfRule type="expression" dxfId="4007" priority="547">
      <formula>AND(IF(OR($Q15=1,$Q15=2),1,0),IF($X15&lt;=20,1,0))</formula>
    </cfRule>
    <cfRule type="expression" dxfId="4006" priority="548">
      <formula>AND(IF($Q15=2,1,0),IF($X15&lt;30,1,0))</formula>
    </cfRule>
    <cfRule type="expression" dxfId="4005" priority="549">
      <formula>AND(IF($Q15=3,1,0),IF($X15&lt;30,1,0))</formula>
    </cfRule>
    <cfRule type="expression" dxfId="4004" priority="550">
      <formula>AND(IF($Q15=3,1,IF($Q15=4,1,0)),IF($F15&lt;=85,1,0))</formula>
    </cfRule>
  </conditionalFormatting>
  <conditionalFormatting sqref="X15">
    <cfRule type="expression" dxfId="4003" priority="543">
      <formula>AND(IF(OR($Q15=1,$Q15=2),1,0),IF($X15&lt;=20,1,0))</formula>
    </cfRule>
    <cfRule type="expression" dxfId="4002" priority="544">
      <formula>AND(IF($Q15=2,1,0),IF($X15&lt;30,1,0))</formula>
    </cfRule>
    <cfRule type="expression" dxfId="4001" priority="545">
      <formula>AND(IF($Q15=3,1,0),IF($X15&lt;30,1,0))</formula>
    </cfRule>
    <cfRule type="expression" dxfId="4000" priority="546">
      <formula>AND(IF($Q15=3,1,IF($Q15=4,1,0)),IF($F15&lt;=85,1,0))</formula>
    </cfRule>
  </conditionalFormatting>
  <conditionalFormatting sqref="AI15">
    <cfRule type="expression" dxfId="3999" priority="539">
      <formula>AND(IF(OR($Q15=1,$Q15=2),1,0),IF($X15&lt;=20,1,0))</formula>
    </cfRule>
    <cfRule type="expression" dxfId="3998" priority="540">
      <formula>AND(IF($Q15=2,1,0),IF($X15&lt;30,1,0))</formula>
    </cfRule>
    <cfRule type="expression" dxfId="3997" priority="541">
      <formula>AND(IF($Q15=3,1,0),IF($X15&lt;30,1,0))</formula>
    </cfRule>
    <cfRule type="expression" dxfId="3996" priority="542">
      <formula>AND(IF($Q15=3,1,IF($Q15=4,1,0)),IF($F15&lt;=85,1,0))</formula>
    </cfRule>
  </conditionalFormatting>
  <conditionalFormatting sqref="AV16">
    <cfRule type="expression" dxfId="3995" priority="537">
      <formula>AV16="X"</formula>
    </cfRule>
    <cfRule type="expression" dxfId="3994" priority="538">
      <formula>AV16="후보"</formula>
    </cfRule>
  </conditionalFormatting>
  <conditionalFormatting sqref="AC16">
    <cfRule type="cellIs" dxfId="3993" priority="535" operator="greaterThan">
      <formula>0.9</formula>
    </cfRule>
    <cfRule type="cellIs" dxfId="3992" priority="536" operator="greaterThan">
      <formula>0.85</formula>
    </cfRule>
  </conditionalFormatting>
  <conditionalFormatting sqref="N16">
    <cfRule type="cellIs" dxfId="3991" priority="533" operator="greaterThan">
      <formula>0.9</formula>
    </cfRule>
    <cfRule type="cellIs" dxfId="3990" priority="534" operator="greaterThan">
      <formula>0.85</formula>
    </cfRule>
  </conditionalFormatting>
  <conditionalFormatting sqref="E16">
    <cfRule type="expression" dxfId="3989" priority="529">
      <formula>AND(IF(OR($Q16=1,$Q16=2),1,0),IF($X16&lt;=20,1,0))</formula>
    </cfRule>
    <cfRule type="expression" dxfId="3988" priority="530">
      <formula>AND(IF($Q16=2,1,0),IF($X16&lt;30,1,0))</formula>
    </cfRule>
    <cfRule type="expression" dxfId="3987" priority="531">
      <formula>AND(IF($Q16=3,1,0),IF($X16&lt;30,1,0))</formula>
    </cfRule>
    <cfRule type="expression" dxfId="3986" priority="532">
      <formula>AND(IF($Q16=3,1,IF($Q16=4,1,0)),IF($F16&lt;=85,1,0))</formula>
    </cfRule>
  </conditionalFormatting>
  <conditionalFormatting sqref="X16">
    <cfRule type="expression" dxfId="3985" priority="525">
      <formula>AND(IF(OR($Q16=1,$Q16=2),1,0),IF($X16&lt;=20,1,0))</formula>
    </cfRule>
    <cfRule type="expression" dxfId="3984" priority="526">
      <formula>AND(IF($Q16=2,1,0),IF($X16&lt;30,1,0))</formula>
    </cfRule>
    <cfRule type="expression" dxfId="3983" priority="527">
      <formula>AND(IF($Q16=3,1,0),IF($X16&lt;30,1,0))</formula>
    </cfRule>
    <cfRule type="expression" dxfId="3982" priority="528">
      <formula>AND(IF($Q16=3,1,IF($Q16=4,1,0)),IF($F16&lt;=85,1,0))</formula>
    </cfRule>
  </conditionalFormatting>
  <conditionalFormatting sqref="AI16">
    <cfRule type="expression" dxfId="3981" priority="521">
      <formula>AND(IF(OR($Q16=1,$Q16=2),1,0),IF($X16&lt;=20,1,0))</formula>
    </cfRule>
    <cfRule type="expression" dxfId="3980" priority="522">
      <formula>AND(IF($Q16=2,1,0),IF($X16&lt;30,1,0))</formula>
    </cfRule>
    <cfRule type="expression" dxfId="3979" priority="523">
      <formula>AND(IF($Q16=3,1,0),IF($X16&lt;30,1,0))</formula>
    </cfRule>
    <cfRule type="expression" dxfId="3978" priority="524">
      <formula>AND(IF($Q16=3,1,IF($Q16=4,1,0)),IF($F16&lt;=85,1,0))</formula>
    </cfRule>
  </conditionalFormatting>
  <conditionalFormatting sqref="AV17">
    <cfRule type="expression" dxfId="3977" priority="519">
      <formula>AV17="X"</formula>
    </cfRule>
    <cfRule type="expression" dxfId="3976" priority="520">
      <formula>AV17="후보"</formula>
    </cfRule>
  </conditionalFormatting>
  <conditionalFormatting sqref="AC17">
    <cfRule type="cellIs" dxfId="3975" priority="517" operator="greaterThan">
      <formula>0.9</formula>
    </cfRule>
    <cfRule type="cellIs" dxfId="3974" priority="518" operator="greaterThan">
      <formula>0.85</formula>
    </cfRule>
  </conditionalFormatting>
  <conditionalFormatting sqref="N17">
    <cfRule type="cellIs" dxfId="3973" priority="515" operator="greaterThan">
      <formula>0.9</formula>
    </cfRule>
    <cfRule type="cellIs" dxfId="3972" priority="516" operator="greaterThan">
      <formula>0.85</formula>
    </cfRule>
  </conditionalFormatting>
  <conditionalFormatting sqref="E17">
    <cfRule type="expression" dxfId="3971" priority="511">
      <formula>AND(IF(OR($Q17=1,$Q17=2),1,0),IF($X17&lt;=20,1,0))</formula>
    </cfRule>
    <cfRule type="expression" dxfId="3970" priority="512">
      <formula>AND(IF($Q17=2,1,0),IF($X17&lt;30,1,0))</formula>
    </cfRule>
    <cfRule type="expression" dxfId="3969" priority="513">
      <formula>AND(IF($Q17=3,1,0),IF($X17&lt;30,1,0))</formula>
    </cfRule>
    <cfRule type="expression" dxfId="3968" priority="514">
      <formula>AND(IF($Q17=3,1,IF($Q17=4,1,0)),IF($F17&lt;=85,1,0))</formula>
    </cfRule>
  </conditionalFormatting>
  <conditionalFormatting sqref="X17">
    <cfRule type="expression" dxfId="3967" priority="507">
      <formula>AND(IF(OR($Q17=1,$Q17=2),1,0),IF($X17&lt;=20,1,0))</formula>
    </cfRule>
    <cfRule type="expression" dxfId="3966" priority="508">
      <formula>AND(IF($Q17=2,1,0),IF($X17&lt;30,1,0))</formula>
    </cfRule>
    <cfRule type="expression" dxfId="3965" priority="509">
      <formula>AND(IF($Q17=3,1,0),IF($X17&lt;30,1,0))</formula>
    </cfRule>
    <cfRule type="expression" dxfId="3964" priority="510">
      <formula>AND(IF($Q17=3,1,IF($Q17=4,1,0)),IF($F17&lt;=85,1,0))</formula>
    </cfRule>
  </conditionalFormatting>
  <conditionalFormatting sqref="AI17">
    <cfRule type="expression" dxfId="3963" priority="503">
      <formula>AND(IF(OR($Q17=1,$Q17=2),1,0),IF($X17&lt;=20,1,0))</formula>
    </cfRule>
    <cfRule type="expression" dxfId="3962" priority="504">
      <formula>AND(IF($Q17=2,1,0),IF($X17&lt;30,1,0))</formula>
    </cfRule>
    <cfRule type="expression" dxfId="3961" priority="505">
      <formula>AND(IF($Q17=3,1,0),IF($X17&lt;30,1,0))</formula>
    </cfRule>
    <cfRule type="expression" dxfId="3960" priority="506">
      <formula>AND(IF($Q17=3,1,IF($Q17=4,1,0)),IF($F17&lt;=85,1,0))</formula>
    </cfRule>
  </conditionalFormatting>
  <conditionalFormatting sqref="AV18">
    <cfRule type="expression" dxfId="3959" priority="501">
      <formula>AV18="X"</formula>
    </cfRule>
    <cfRule type="expression" dxfId="3958" priority="502">
      <formula>AV18="후보"</formula>
    </cfRule>
  </conditionalFormatting>
  <conditionalFormatting sqref="AC18 N18">
    <cfRule type="cellIs" dxfId="3957" priority="499" operator="greaterThan">
      <formula>0.9</formula>
    </cfRule>
    <cfRule type="cellIs" dxfId="3956" priority="500" operator="greaterThan">
      <formula>0.85</formula>
    </cfRule>
  </conditionalFormatting>
  <conditionalFormatting sqref="AV19">
    <cfRule type="expression" dxfId="3955" priority="497">
      <formula>AV19="X"</formula>
    </cfRule>
    <cfRule type="expression" dxfId="3954" priority="498">
      <formula>AV19="후보"</formula>
    </cfRule>
  </conditionalFormatting>
  <conditionalFormatting sqref="AC19">
    <cfRule type="cellIs" dxfId="3953" priority="495" operator="greaterThan">
      <formula>0.9</formula>
    </cfRule>
    <cfRule type="cellIs" dxfId="3952" priority="496" operator="greaterThan">
      <formula>0.85</formula>
    </cfRule>
  </conditionalFormatting>
  <conditionalFormatting sqref="N19">
    <cfRule type="cellIs" dxfId="3951" priority="493" operator="greaterThan">
      <formula>0.9</formula>
    </cfRule>
    <cfRule type="cellIs" dxfId="3950" priority="494" operator="greaterThan">
      <formula>0.85</formula>
    </cfRule>
  </conditionalFormatting>
  <conditionalFormatting sqref="E19">
    <cfRule type="expression" dxfId="3949" priority="489">
      <formula>AND(IF(OR($Q19=1,$Q19=2),1,0),IF($X19&lt;=20,1,0))</formula>
    </cfRule>
    <cfRule type="expression" dxfId="3948" priority="490">
      <formula>AND(IF($Q19=2,1,0),IF($X19&lt;30,1,0))</formula>
    </cfRule>
    <cfRule type="expression" dxfId="3947" priority="491">
      <formula>AND(IF($Q19=3,1,0),IF($X19&lt;30,1,0))</formula>
    </cfRule>
    <cfRule type="expression" dxfId="3946" priority="492">
      <formula>AND(IF($Q19=3,1,IF($Q19=4,1,0)),IF($F19&lt;=85,1,0))</formula>
    </cfRule>
  </conditionalFormatting>
  <conditionalFormatting sqref="X19">
    <cfRule type="expression" dxfId="3945" priority="485">
      <formula>AND(IF(OR($Q19=1,$Q19=2),1,0),IF($X19&lt;=20,1,0))</formula>
    </cfRule>
    <cfRule type="expression" dxfId="3944" priority="486">
      <formula>AND(IF($Q19=2,1,0),IF($X19&lt;30,1,0))</formula>
    </cfRule>
    <cfRule type="expression" dxfId="3943" priority="487">
      <formula>AND(IF($Q19=3,1,0),IF($X19&lt;30,1,0))</formula>
    </cfRule>
    <cfRule type="expression" dxfId="3942" priority="488">
      <formula>AND(IF($Q19=3,1,IF($Q19=4,1,0)),IF($F19&lt;=85,1,0))</formula>
    </cfRule>
  </conditionalFormatting>
  <conditionalFormatting sqref="AI19">
    <cfRule type="expression" dxfId="3941" priority="481">
      <formula>AND(IF(OR($Q19=1,$Q19=2),1,0),IF($X19&lt;=20,1,0))</formula>
    </cfRule>
    <cfRule type="expression" dxfId="3940" priority="482">
      <formula>AND(IF($Q19=2,1,0),IF($X19&lt;30,1,0))</formula>
    </cfRule>
    <cfRule type="expression" dxfId="3939" priority="483">
      <formula>AND(IF($Q19=3,1,0),IF($X19&lt;30,1,0))</formula>
    </cfRule>
    <cfRule type="expression" dxfId="3938" priority="484">
      <formula>AND(IF($Q19=3,1,IF($Q19=4,1,0)),IF($F19&lt;=85,1,0))</formula>
    </cfRule>
  </conditionalFormatting>
  <conditionalFormatting sqref="AV20">
    <cfRule type="expression" dxfId="3937" priority="479">
      <formula>AV20="X"</formula>
    </cfRule>
    <cfRule type="expression" dxfId="3936" priority="480">
      <formula>AV20="후보"</formula>
    </cfRule>
  </conditionalFormatting>
  <conditionalFormatting sqref="AC20">
    <cfRule type="cellIs" dxfId="3935" priority="477" operator="greaterThan">
      <formula>0.9</formula>
    </cfRule>
    <cfRule type="cellIs" dxfId="3934" priority="478" operator="greaterThan">
      <formula>0.85</formula>
    </cfRule>
  </conditionalFormatting>
  <conditionalFormatting sqref="N20">
    <cfRule type="cellIs" dxfId="3933" priority="475" operator="greaterThan">
      <formula>0.9</formula>
    </cfRule>
    <cfRule type="cellIs" dxfId="3932" priority="476" operator="greaterThan">
      <formula>0.85</formula>
    </cfRule>
  </conditionalFormatting>
  <conditionalFormatting sqref="E20">
    <cfRule type="expression" dxfId="3931" priority="471">
      <formula>AND(IF(OR($Q20=1,$Q20=2),1,0),IF($X20&lt;=20,1,0))</formula>
    </cfRule>
    <cfRule type="expression" dxfId="3930" priority="472">
      <formula>AND(IF($Q20=2,1,0),IF($X20&lt;30,1,0))</formula>
    </cfRule>
    <cfRule type="expression" dxfId="3929" priority="473">
      <formula>AND(IF($Q20=3,1,0),IF($X20&lt;30,1,0))</formula>
    </cfRule>
    <cfRule type="expression" dxfId="3928" priority="474">
      <formula>AND(IF($Q20=3,1,IF($Q20=4,1,0)),IF($F20&lt;=85,1,0))</formula>
    </cfRule>
  </conditionalFormatting>
  <conditionalFormatting sqref="X20">
    <cfRule type="expression" dxfId="3927" priority="467">
      <formula>AND(IF(OR($Q20=1,$Q20=2),1,0),IF($X20&lt;=20,1,0))</formula>
    </cfRule>
    <cfRule type="expression" dxfId="3926" priority="468">
      <formula>AND(IF($Q20=2,1,0),IF($X20&lt;30,1,0))</formula>
    </cfRule>
    <cfRule type="expression" dxfId="3925" priority="469">
      <formula>AND(IF($Q20=3,1,0),IF($X20&lt;30,1,0))</formula>
    </cfRule>
    <cfRule type="expression" dxfId="3924" priority="470">
      <formula>AND(IF($Q20=3,1,IF($Q20=4,1,0)),IF($F20&lt;=85,1,0))</formula>
    </cfRule>
  </conditionalFormatting>
  <conditionalFormatting sqref="AI20">
    <cfRule type="expression" dxfId="3923" priority="463">
      <formula>AND(IF(OR($Q20=1,$Q20=2),1,0),IF($X20&lt;=20,1,0))</formula>
    </cfRule>
    <cfRule type="expression" dxfId="3922" priority="464">
      <formula>AND(IF($Q20=2,1,0),IF($X20&lt;30,1,0))</formula>
    </cfRule>
    <cfRule type="expression" dxfId="3921" priority="465">
      <formula>AND(IF($Q20=3,1,0),IF($X20&lt;30,1,0))</formula>
    </cfRule>
    <cfRule type="expression" dxfId="3920" priority="466">
      <formula>AND(IF($Q20=3,1,IF($Q20=4,1,0)),IF($F20&lt;=85,1,0))</formula>
    </cfRule>
  </conditionalFormatting>
  <conditionalFormatting sqref="AV21">
    <cfRule type="expression" dxfId="3919" priority="461">
      <formula>AV21="X"</formula>
    </cfRule>
    <cfRule type="expression" dxfId="3918" priority="462">
      <formula>AV21="후보"</formula>
    </cfRule>
  </conditionalFormatting>
  <conditionalFormatting sqref="AC21">
    <cfRule type="cellIs" dxfId="3917" priority="459" operator="greaterThan">
      <formula>0.9</formula>
    </cfRule>
    <cfRule type="cellIs" dxfId="3916" priority="460" operator="greaterThan">
      <formula>0.85</formula>
    </cfRule>
  </conditionalFormatting>
  <conditionalFormatting sqref="N21">
    <cfRule type="cellIs" dxfId="3915" priority="457" operator="greaterThan">
      <formula>0.9</formula>
    </cfRule>
    <cfRule type="cellIs" dxfId="3914" priority="458" operator="greaterThan">
      <formula>0.85</formula>
    </cfRule>
  </conditionalFormatting>
  <conditionalFormatting sqref="E21">
    <cfRule type="expression" dxfId="3913" priority="453">
      <formula>AND(IF(OR($Q21=1,$Q21=2),1,0),IF($X21&lt;=20,1,0))</formula>
    </cfRule>
    <cfRule type="expression" dxfId="3912" priority="454">
      <formula>AND(IF($Q21=2,1,0),IF($X21&lt;30,1,0))</formula>
    </cfRule>
    <cfRule type="expression" dxfId="3911" priority="455">
      <formula>AND(IF($Q21=3,1,0),IF($X21&lt;30,1,0))</formula>
    </cfRule>
    <cfRule type="expression" dxfId="3910" priority="456">
      <formula>AND(IF($Q21=3,1,IF($Q21=4,1,0)),IF($F21&lt;=85,1,0))</formula>
    </cfRule>
  </conditionalFormatting>
  <conditionalFormatting sqref="X21">
    <cfRule type="expression" dxfId="3909" priority="449">
      <formula>AND(IF(OR($Q21=1,$Q21=2),1,0),IF($X21&lt;=20,1,0))</formula>
    </cfRule>
    <cfRule type="expression" dxfId="3908" priority="450">
      <formula>AND(IF($Q21=2,1,0),IF($X21&lt;30,1,0))</formula>
    </cfRule>
    <cfRule type="expression" dxfId="3907" priority="451">
      <formula>AND(IF($Q21=3,1,0),IF($X21&lt;30,1,0))</formula>
    </cfRule>
    <cfRule type="expression" dxfId="3906" priority="452">
      <formula>AND(IF($Q21=3,1,IF($Q21=4,1,0)),IF($F21&lt;=85,1,0))</formula>
    </cfRule>
  </conditionalFormatting>
  <conditionalFormatting sqref="AI21">
    <cfRule type="expression" dxfId="3905" priority="445">
      <formula>AND(IF(OR($Q21=1,$Q21=2),1,0),IF($X21&lt;=20,1,0))</formula>
    </cfRule>
    <cfRule type="expression" dxfId="3904" priority="446">
      <formula>AND(IF($Q21=2,1,0),IF($X21&lt;30,1,0))</formula>
    </cfRule>
    <cfRule type="expression" dxfId="3903" priority="447">
      <formula>AND(IF($Q21=3,1,0),IF($X21&lt;30,1,0))</formula>
    </cfRule>
    <cfRule type="expression" dxfId="3902" priority="448">
      <formula>AND(IF($Q21=3,1,IF($Q21=4,1,0)),IF($F21&lt;=85,1,0))</formula>
    </cfRule>
  </conditionalFormatting>
  <conditionalFormatting sqref="AV22">
    <cfRule type="expression" dxfId="3901" priority="443">
      <formula>AV22="X"</formula>
    </cfRule>
    <cfRule type="expression" dxfId="3900" priority="444">
      <formula>AV22="후보"</formula>
    </cfRule>
  </conditionalFormatting>
  <conditionalFormatting sqref="AC22">
    <cfRule type="cellIs" dxfId="3899" priority="441" operator="greaterThan">
      <formula>0.9</formula>
    </cfRule>
    <cfRule type="cellIs" dxfId="3898" priority="442" operator="greaterThan">
      <formula>0.85</formula>
    </cfRule>
  </conditionalFormatting>
  <conditionalFormatting sqref="N22">
    <cfRule type="cellIs" dxfId="3897" priority="439" operator="greaterThan">
      <formula>0.9</formula>
    </cfRule>
    <cfRule type="cellIs" dxfId="3896" priority="440" operator="greaterThan">
      <formula>0.85</formula>
    </cfRule>
  </conditionalFormatting>
  <conditionalFormatting sqref="E22">
    <cfRule type="expression" dxfId="3895" priority="435">
      <formula>AND(IF(OR($Q22=1,$Q22=2),1,0),IF($X22&lt;=20,1,0))</formula>
    </cfRule>
    <cfRule type="expression" dxfId="3894" priority="436">
      <formula>AND(IF($Q22=2,1,0),IF($X22&lt;30,1,0))</formula>
    </cfRule>
    <cfRule type="expression" dxfId="3893" priority="437">
      <formula>AND(IF($Q22=3,1,0),IF($X22&lt;30,1,0))</formula>
    </cfRule>
    <cfRule type="expression" dxfId="3892" priority="438">
      <formula>AND(IF($Q22=3,1,IF($Q22=4,1,0)),IF($F22&lt;=85,1,0))</formula>
    </cfRule>
  </conditionalFormatting>
  <conditionalFormatting sqref="X22">
    <cfRule type="expression" dxfId="3891" priority="431">
      <formula>AND(IF(OR($Q22=1,$Q22=2),1,0),IF($X22&lt;=20,1,0))</formula>
    </cfRule>
    <cfRule type="expression" dxfId="3890" priority="432">
      <formula>AND(IF($Q22=2,1,0),IF($X22&lt;30,1,0))</formula>
    </cfRule>
    <cfRule type="expression" dxfId="3889" priority="433">
      <formula>AND(IF($Q22=3,1,0),IF($X22&lt;30,1,0))</formula>
    </cfRule>
    <cfRule type="expression" dxfId="3888" priority="434">
      <formula>AND(IF($Q22=3,1,IF($Q22=4,1,0)),IF($F22&lt;=85,1,0))</formula>
    </cfRule>
  </conditionalFormatting>
  <conditionalFormatting sqref="AI22">
    <cfRule type="expression" dxfId="3887" priority="427">
      <formula>AND(IF(OR($Q22=1,$Q22=2),1,0),IF($X22&lt;=20,1,0))</formula>
    </cfRule>
    <cfRule type="expression" dxfId="3886" priority="428">
      <formula>AND(IF($Q22=2,1,0),IF($X22&lt;30,1,0))</formula>
    </cfRule>
    <cfRule type="expression" dxfId="3885" priority="429">
      <formula>AND(IF($Q22=3,1,0),IF($X22&lt;30,1,0))</formula>
    </cfRule>
    <cfRule type="expression" dxfId="3884" priority="430">
      <formula>AND(IF($Q22=3,1,IF($Q22=4,1,0)),IF($F22&lt;=85,1,0))</formula>
    </cfRule>
  </conditionalFormatting>
  <conditionalFormatting sqref="AV23">
    <cfRule type="expression" dxfId="3883" priority="425">
      <formula>AV23="X"</formula>
    </cfRule>
    <cfRule type="expression" dxfId="3882" priority="426">
      <formula>AV23="후보"</formula>
    </cfRule>
  </conditionalFormatting>
  <conditionalFormatting sqref="AC23">
    <cfRule type="cellIs" dxfId="3881" priority="423" operator="greaterThan">
      <formula>0.9</formula>
    </cfRule>
    <cfRule type="cellIs" dxfId="3880" priority="424" operator="greaterThan">
      <formula>0.85</formula>
    </cfRule>
  </conditionalFormatting>
  <conditionalFormatting sqref="N23">
    <cfRule type="cellIs" dxfId="3879" priority="421" operator="greaterThan">
      <formula>0.9</formula>
    </cfRule>
    <cfRule type="cellIs" dxfId="3878" priority="422" operator="greaterThan">
      <formula>0.85</formula>
    </cfRule>
  </conditionalFormatting>
  <conditionalFormatting sqref="E23">
    <cfRule type="expression" dxfId="3877" priority="417">
      <formula>AND(IF(OR($Q23=1,$Q23=2),1,0),IF($X23&lt;=20,1,0))</formula>
    </cfRule>
    <cfRule type="expression" dxfId="3876" priority="418">
      <formula>AND(IF($Q23=2,1,0),IF($X23&lt;30,1,0))</formula>
    </cfRule>
    <cfRule type="expression" dxfId="3875" priority="419">
      <formula>AND(IF($Q23=3,1,0),IF($X23&lt;30,1,0))</formula>
    </cfRule>
    <cfRule type="expression" dxfId="3874" priority="420">
      <formula>AND(IF($Q23=3,1,IF($Q23=4,1,0)),IF($F23&lt;=85,1,0))</formula>
    </cfRule>
  </conditionalFormatting>
  <conditionalFormatting sqref="X23">
    <cfRule type="expression" dxfId="3873" priority="413">
      <formula>AND(IF(OR($Q23=1,$Q23=2),1,0),IF($X23&lt;=20,1,0))</formula>
    </cfRule>
    <cfRule type="expression" dxfId="3872" priority="414">
      <formula>AND(IF($Q23=2,1,0),IF($X23&lt;30,1,0))</formula>
    </cfRule>
    <cfRule type="expression" dxfId="3871" priority="415">
      <formula>AND(IF($Q23=3,1,0),IF($X23&lt;30,1,0))</formula>
    </cfRule>
    <cfRule type="expression" dxfId="3870" priority="416">
      <formula>AND(IF($Q23=3,1,IF($Q23=4,1,0)),IF($F23&lt;=85,1,0))</formula>
    </cfRule>
  </conditionalFormatting>
  <conditionalFormatting sqref="AI23">
    <cfRule type="expression" dxfId="3869" priority="409">
      <formula>AND(IF(OR($Q23=1,$Q23=2),1,0),IF($X23&lt;=20,1,0))</formula>
    </cfRule>
    <cfRule type="expression" dxfId="3868" priority="410">
      <formula>AND(IF($Q23=2,1,0),IF($X23&lt;30,1,0))</formula>
    </cfRule>
    <cfRule type="expression" dxfId="3867" priority="411">
      <formula>AND(IF($Q23=3,1,0),IF($X23&lt;30,1,0))</formula>
    </cfRule>
    <cfRule type="expression" dxfId="3866" priority="412">
      <formula>AND(IF($Q23=3,1,IF($Q23=4,1,0)),IF($F23&lt;=85,1,0))</formula>
    </cfRule>
  </conditionalFormatting>
  <conditionalFormatting sqref="AV24">
    <cfRule type="expression" dxfId="3865" priority="407">
      <formula>AV24="X"</formula>
    </cfRule>
    <cfRule type="expression" dxfId="3864" priority="408">
      <formula>AV24="후보"</formula>
    </cfRule>
  </conditionalFormatting>
  <conditionalFormatting sqref="AC24">
    <cfRule type="cellIs" dxfId="3863" priority="405" operator="greaterThan">
      <formula>0.9</formula>
    </cfRule>
    <cfRule type="cellIs" dxfId="3862" priority="406" operator="greaterThan">
      <formula>0.85</formula>
    </cfRule>
  </conditionalFormatting>
  <conditionalFormatting sqref="N24">
    <cfRule type="cellIs" dxfId="3861" priority="403" operator="greaterThan">
      <formula>0.9</formula>
    </cfRule>
    <cfRule type="cellIs" dxfId="3860" priority="404" operator="greaterThan">
      <formula>0.85</formula>
    </cfRule>
  </conditionalFormatting>
  <conditionalFormatting sqref="E24">
    <cfRule type="expression" dxfId="3859" priority="399">
      <formula>AND(IF(OR($Q24=1,$Q24=2),1,0),IF($X24&lt;=20,1,0))</formula>
    </cfRule>
    <cfRule type="expression" dxfId="3858" priority="400">
      <formula>AND(IF($Q24=2,1,0),IF($X24&lt;30,1,0))</formula>
    </cfRule>
    <cfRule type="expression" dxfId="3857" priority="401">
      <formula>AND(IF($Q24=3,1,0),IF($X24&lt;30,1,0))</formula>
    </cfRule>
    <cfRule type="expression" dxfId="3856" priority="402">
      <formula>AND(IF($Q24=3,1,IF($Q24=4,1,0)),IF($F24&lt;=85,1,0))</formula>
    </cfRule>
  </conditionalFormatting>
  <conditionalFormatting sqref="X24">
    <cfRule type="expression" dxfId="3855" priority="395">
      <formula>AND(IF(OR($Q24=1,$Q24=2),1,0),IF($X24&lt;=20,1,0))</formula>
    </cfRule>
    <cfRule type="expression" dxfId="3854" priority="396">
      <formula>AND(IF($Q24=2,1,0),IF($X24&lt;30,1,0))</formula>
    </cfRule>
    <cfRule type="expression" dxfId="3853" priority="397">
      <formula>AND(IF($Q24=3,1,0),IF($X24&lt;30,1,0))</formula>
    </cfRule>
    <cfRule type="expression" dxfId="3852" priority="398">
      <formula>AND(IF($Q24=3,1,IF($Q24=4,1,0)),IF($F24&lt;=85,1,0))</formula>
    </cfRule>
  </conditionalFormatting>
  <conditionalFormatting sqref="AI24">
    <cfRule type="expression" dxfId="3851" priority="391">
      <formula>AND(IF(OR($Q24=1,$Q24=2),1,0),IF($X24&lt;=20,1,0))</formula>
    </cfRule>
    <cfRule type="expression" dxfId="3850" priority="392">
      <formula>AND(IF($Q24=2,1,0),IF($X24&lt;30,1,0))</formula>
    </cfRule>
    <cfRule type="expression" dxfId="3849" priority="393">
      <formula>AND(IF($Q24=3,1,0),IF($X24&lt;30,1,0))</formula>
    </cfRule>
    <cfRule type="expression" dxfId="3848" priority="394">
      <formula>AND(IF($Q24=3,1,IF($Q24=4,1,0)),IF($F24&lt;=85,1,0))</formula>
    </cfRule>
  </conditionalFormatting>
  <conditionalFormatting sqref="AV25">
    <cfRule type="expression" dxfId="3847" priority="389">
      <formula>AV25="X"</formula>
    </cfRule>
    <cfRule type="expression" dxfId="3846" priority="390">
      <formula>AV25="후보"</formula>
    </cfRule>
  </conditionalFormatting>
  <conditionalFormatting sqref="AC25">
    <cfRule type="cellIs" dxfId="3845" priority="387" operator="greaterThan">
      <formula>0.9</formula>
    </cfRule>
    <cfRule type="cellIs" dxfId="3844" priority="388" operator="greaterThan">
      <formula>0.85</formula>
    </cfRule>
  </conditionalFormatting>
  <conditionalFormatting sqref="N25">
    <cfRule type="cellIs" dxfId="3843" priority="385" operator="greaterThan">
      <formula>0.9</formula>
    </cfRule>
    <cfRule type="cellIs" dxfId="3842" priority="386" operator="greaterThan">
      <formula>0.85</formula>
    </cfRule>
  </conditionalFormatting>
  <conditionalFormatting sqref="E25">
    <cfRule type="expression" dxfId="3841" priority="381">
      <formula>AND(IF(OR($Q25=1,$Q25=2),1,0),IF($X25&lt;=20,1,0))</formula>
    </cfRule>
    <cfRule type="expression" dxfId="3840" priority="382">
      <formula>AND(IF($Q25=2,1,0),IF($X25&lt;30,1,0))</formula>
    </cfRule>
    <cfRule type="expression" dxfId="3839" priority="383">
      <formula>AND(IF($Q25=3,1,0),IF($X25&lt;30,1,0))</formula>
    </cfRule>
    <cfRule type="expression" dxfId="3838" priority="384">
      <formula>AND(IF($Q25=3,1,IF($Q25=4,1,0)),IF($F25&lt;=85,1,0))</formula>
    </cfRule>
  </conditionalFormatting>
  <conditionalFormatting sqref="X25">
    <cfRule type="expression" dxfId="3837" priority="377">
      <formula>AND(IF(OR($Q25=1,$Q25=2),1,0),IF($X25&lt;=20,1,0))</formula>
    </cfRule>
    <cfRule type="expression" dxfId="3836" priority="378">
      <formula>AND(IF($Q25=2,1,0),IF($X25&lt;30,1,0))</formula>
    </cfRule>
    <cfRule type="expression" dxfId="3835" priority="379">
      <formula>AND(IF($Q25=3,1,0),IF($X25&lt;30,1,0))</formula>
    </cfRule>
    <cfRule type="expression" dxfId="3834" priority="380">
      <formula>AND(IF($Q25=3,1,IF($Q25=4,1,0)),IF($F25&lt;=85,1,0))</formula>
    </cfRule>
  </conditionalFormatting>
  <conditionalFormatting sqref="AI25">
    <cfRule type="expression" dxfId="3833" priority="373">
      <formula>AND(IF(OR($Q25=1,$Q25=2),1,0),IF($X25&lt;=20,1,0))</formula>
    </cfRule>
    <cfRule type="expression" dxfId="3832" priority="374">
      <formula>AND(IF($Q25=2,1,0),IF($X25&lt;30,1,0))</formula>
    </cfRule>
    <cfRule type="expression" dxfId="3831" priority="375">
      <formula>AND(IF($Q25=3,1,0),IF($X25&lt;30,1,0))</formula>
    </cfRule>
    <cfRule type="expression" dxfId="3830" priority="376">
      <formula>AND(IF($Q25=3,1,IF($Q25=4,1,0)),IF($F25&lt;=85,1,0))</formula>
    </cfRule>
  </conditionalFormatting>
  <conditionalFormatting sqref="AV26">
    <cfRule type="expression" dxfId="3829" priority="371">
      <formula>AV26="X"</formula>
    </cfRule>
    <cfRule type="expression" dxfId="3828" priority="372">
      <formula>AV26="후보"</formula>
    </cfRule>
  </conditionalFormatting>
  <conditionalFormatting sqref="AC26 N26">
    <cfRule type="cellIs" dxfId="3827" priority="369" operator="greaterThan">
      <formula>0.9</formula>
    </cfRule>
    <cfRule type="cellIs" dxfId="3826" priority="370" operator="greaterThan">
      <formula>0.85</formula>
    </cfRule>
  </conditionalFormatting>
  <conditionalFormatting sqref="AV27">
    <cfRule type="expression" dxfId="3825" priority="367">
      <formula>AV27="X"</formula>
    </cfRule>
    <cfRule type="expression" dxfId="3824" priority="368">
      <formula>AV27="후보"</formula>
    </cfRule>
  </conditionalFormatting>
  <conditionalFormatting sqref="AC27">
    <cfRule type="cellIs" dxfId="3823" priority="365" operator="greaterThan">
      <formula>0.9</formula>
    </cfRule>
    <cfRule type="cellIs" dxfId="3822" priority="366" operator="greaterThan">
      <formula>0.85</formula>
    </cfRule>
  </conditionalFormatting>
  <conditionalFormatting sqref="N27">
    <cfRule type="cellIs" dxfId="3821" priority="363" operator="greaterThan">
      <formula>0.9</formula>
    </cfRule>
    <cfRule type="cellIs" dxfId="3820" priority="364" operator="greaterThan">
      <formula>0.85</formula>
    </cfRule>
  </conditionalFormatting>
  <conditionalFormatting sqref="E27">
    <cfRule type="expression" dxfId="3819" priority="359">
      <formula>AND(IF(OR($Q27=1,$Q27=2),1,0),IF($X27&lt;=20,1,0))</formula>
    </cfRule>
    <cfRule type="expression" dxfId="3818" priority="360">
      <formula>AND(IF($Q27=2,1,0),IF($X27&lt;30,1,0))</formula>
    </cfRule>
    <cfRule type="expression" dxfId="3817" priority="361">
      <formula>AND(IF($Q27=3,1,0),IF($X27&lt;30,1,0))</formula>
    </cfRule>
    <cfRule type="expression" dxfId="3816" priority="362">
      <formula>AND(IF($Q27=3,1,IF($Q27=4,1,0)),IF($F27&lt;=85,1,0))</formula>
    </cfRule>
  </conditionalFormatting>
  <conditionalFormatting sqref="X27">
    <cfRule type="expression" dxfId="3815" priority="355">
      <formula>AND(IF(OR($Q27=1,$Q27=2),1,0),IF($X27&lt;=20,1,0))</formula>
    </cfRule>
    <cfRule type="expression" dxfId="3814" priority="356">
      <formula>AND(IF($Q27=2,1,0),IF($X27&lt;30,1,0))</formula>
    </cfRule>
    <cfRule type="expression" dxfId="3813" priority="357">
      <formula>AND(IF($Q27=3,1,0),IF($X27&lt;30,1,0))</formula>
    </cfRule>
    <cfRule type="expression" dxfId="3812" priority="358">
      <formula>AND(IF($Q27=3,1,IF($Q27=4,1,0)),IF($F27&lt;=85,1,0))</formula>
    </cfRule>
  </conditionalFormatting>
  <conditionalFormatting sqref="AI27">
    <cfRule type="expression" dxfId="3811" priority="351">
      <formula>AND(IF(OR($Q27=1,$Q27=2),1,0),IF($X27&lt;=20,1,0))</formula>
    </cfRule>
    <cfRule type="expression" dxfId="3810" priority="352">
      <formula>AND(IF($Q27=2,1,0),IF($X27&lt;30,1,0))</formula>
    </cfRule>
    <cfRule type="expression" dxfId="3809" priority="353">
      <formula>AND(IF($Q27=3,1,0),IF($X27&lt;30,1,0))</formula>
    </cfRule>
    <cfRule type="expression" dxfId="3808" priority="354">
      <formula>AND(IF($Q27=3,1,IF($Q27=4,1,0)),IF($F27&lt;=85,1,0))</formula>
    </cfRule>
  </conditionalFormatting>
  <conditionalFormatting sqref="AV28">
    <cfRule type="expression" dxfId="3807" priority="349">
      <formula>AV28="X"</formula>
    </cfRule>
    <cfRule type="expression" dxfId="3806" priority="350">
      <formula>AV28="후보"</formula>
    </cfRule>
  </conditionalFormatting>
  <conditionalFormatting sqref="AC28">
    <cfRule type="cellIs" dxfId="3805" priority="347" operator="greaterThan">
      <formula>0.9</formula>
    </cfRule>
    <cfRule type="cellIs" dxfId="3804" priority="348" operator="greaterThan">
      <formula>0.85</formula>
    </cfRule>
  </conditionalFormatting>
  <conditionalFormatting sqref="N28">
    <cfRule type="cellIs" dxfId="3803" priority="345" operator="greaterThan">
      <formula>0.9</formula>
    </cfRule>
    <cfRule type="cellIs" dxfId="3802" priority="346" operator="greaterThan">
      <formula>0.85</formula>
    </cfRule>
  </conditionalFormatting>
  <conditionalFormatting sqref="E28">
    <cfRule type="expression" dxfId="3801" priority="341">
      <formula>AND(IF(OR($Q28=1,$Q28=2),1,0),IF($X28&lt;=20,1,0))</formula>
    </cfRule>
    <cfRule type="expression" dxfId="3800" priority="342">
      <formula>AND(IF($Q28=2,1,0),IF($X28&lt;30,1,0))</formula>
    </cfRule>
    <cfRule type="expression" dxfId="3799" priority="343">
      <formula>AND(IF($Q28=3,1,0),IF($X28&lt;30,1,0))</formula>
    </cfRule>
    <cfRule type="expression" dxfId="3798" priority="344">
      <formula>AND(IF($Q28=3,1,IF($Q28=4,1,0)),IF($F28&lt;=85,1,0))</formula>
    </cfRule>
  </conditionalFormatting>
  <conditionalFormatting sqref="X28">
    <cfRule type="expression" dxfId="3797" priority="337">
      <formula>AND(IF(OR($Q28=1,$Q28=2),1,0),IF($X28&lt;=20,1,0))</formula>
    </cfRule>
    <cfRule type="expression" dxfId="3796" priority="338">
      <formula>AND(IF($Q28=2,1,0),IF($X28&lt;30,1,0))</formula>
    </cfRule>
    <cfRule type="expression" dxfId="3795" priority="339">
      <formula>AND(IF($Q28=3,1,0),IF($X28&lt;30,1,0))</formula>
    </cfRule>
    <cfRule type="expression" dxfId="3794" priority="340">
      <formula>AND(IF($Q28=3,1,IF($Q28=4,1,0)),IF($F28&lt;=85,1,0))</formula>
    </cfRule>
  </conditionalFormatting>
  <conditionalFormatting sqref="AI28">
    <cfRule type="expression" dxfId="3793" priority="333">
      <formula>AND(IF(OR($Q28=1,$Q28=2),1,0),IF($X28&lt;=20,1,0))</formula>
    </cfRule>
    <cfRule type="expression" dxfId="3792" priority="334">
      <formula>AND(IF($Q28=2,1,0),IF($X28&lt;30,1,0))</formula>
    </cfRule>
    <cfRule type="expression" dxfId="3791" priority="335">
      <formula>AND(IF($Q28=3,1,0),IF($X28&lt;30,1,0))</formula>
    </cfRule>
    <cfRule type="expression" dxfId="3790" priority="336">
      <formula>AND(IF($Q28=3,1,IF($Q28=4,1,0)),IF($F28&lt;=85,1,0))</formula>
    </cfRule>
  </conditionalFormatting>
  <conditionalFormatting sqref="AV29">
    <cfRule type="expression" dxfId="3789" priority="331">
      <formula>AV29="X"</formula>
    </cfRule>
    <cfRule type="expression" dxfId="3788" priority="332">
      <formula>AV29="후보"</formula>
    </cfRule>
  </conditionalFormatting>
  <conditionalFormatting sqref="AC29">
    <cfRule type="cellIs" dxfId="3787" priority="329" operator="greaterThan">
      <formula>0.9</formula>
    </cfRule>
    <cfRule type="cellIs" dxfId="3786" priority="330" operator="greaterThan">
      <formula>0.85</formula>
    </cfRule>
  </conditionalFormatting>
  <conditionalFormatting sqref="N29">
    <cfRule type="cellIs" dxfId="3785" priority="327" operator="greaterThan">
      <formula>0.9</formula>
    </cfRule>
    <cfRule type="cellIs" dxfId="3784" priority="328" operator="greaterThan">
      <formula>0.85</formula>
    </cfRule>
  </conditionalFormatting>
  <conditionalFormatting sqref="E29">
    <cfRule type="expression" dxfId="3783" priority="323">
      <formula>AND(IF(OR($Q29=1,$Q29=2),1,0),IF($X29&lt;=20,1,0))</formula>
    </cfRule>
    <cfRule type="expression" dxfId="3782" priority="324">
      <formula>AND(IF($Q29=2,1,0),IF($X29&lt;30,1,0))</formula>
    </cfRule>
    <cfRule type="expression" dxfId="3781" priority="325">
      <formula>AND(IF($Q29=3,1,0),IF($X29&lt;30,1,0))</formula>
    </cfRule>
    <cfRule type="expression" dxfId="3780" priority="326">
      <formula>AND(IF($Q29=3,1,IF($Q29=4,1,0)),IF($F29&lt;=85,1,0))</formula>
    </cfRule>
  </conditionalFormatting>
  <conditionalFormatting sqref="X29">
    <cfRule type="expression" dxfId="3779" priority="319">
      <formula>AND(IF(OR($Q29=1,$Q29=2),1,0),IF($X29&lt;=20,1,0))</formula>
    </cfRule>
    <cfRule type="expression" dxfId="3778" priority="320">
      <formula>AND(IF($Q29=2,1,0),IF($X29&lt;30,1,0))</formula>
    </cfRule>
    <cfRule type="expression" dxfId="3777" priority="321">
      <formula>AND(IF($Q29=3,1,0),IF($X29&lt;30,1,0))</formula>
    </cfRule>
    <cfRule type="expression" dxfId="3776" priority="322">
      <formula>AND(IF($Q29=3,1,IF($Q29=4,1,0)),IF($F29&lt;=85,1,0))</formula>
    </cfRule>
  </conditionalFormatting>
  <conditionalFormatting sqref="AI29">
    <cfRule type="expression" dxfId="3775" priority="315">
      <formula>AND(IF(OR($Q29=1,$Q29=2),1,0),IF($X29&lt;=20,1,0))</formula>
    </cfRule>
    <cfRule type="expression" dxfId="3774" priority="316">
      <formula>AND(IF($Q29=2,1,0),IF($X29&lt;30,1,0))</formula>
    </cfRule>
    <cfRule type="expression" dxfId="3773" priority="317">
      <formula>AND(IF($Q29=3,1,0),IF($X29&lt;30,1,0))</formula>
    </cfRule>
    <cfRule type="expression" dxfId="3772" priority="318">
      <formula>AND(IF($Q29=3,1,IF($Q29=4,1,0)),IF($F29&lt;=85,1,0))</formula>
    </cfRule>
  </conditionalFormatting>
  <conditionalFormatting sqref="AV30">
    <cfRule type="expression" dxfId="3771" priority="313">
      <formula>AV30="X"</formula>
    </cfRule>
    <cfRule type="expression" dxfId="3770" priority="314">
      <formula>AV30="후보"</formula>
    </cfRule>
  </conditionalFormatting>
  <conditionalFormatting sqref="AC30 N30">
    <cfRule type="cellIs" dxfId="3769" priority="311" operator="greaterThan">
      <formula>0.9</formula>
    </cfRule>
    <cfRule type="cellIs" dxfId="3768" priority="312" operator="greaterThan">
      <formula>0.85</formula>
    </cfRule>
  </conditionalFormatting>
  <conditionalFormatting sqref="AV31">
    <cfRule type="expression" dxfId="3767" priority="309">
      <formula>AV31="X"</formula>
    </cfRule>
    <cfRule type="expression" dxfId="3766" priority="310">
      <formula>AV31="후보"</formula>
    </cfRule>
  </conditionalFormatting>
  <conditionalFormatting sqref="AC31">
    <cfRule type="cellIs" dxfId="3765" priority="307" operator="greaterThan">
      <formula>0.9</formula>
    </cfRule>
    <cfRule type="cellIs" dxfId="3764" priority="308" operator="greaterThan">
      <formula>0.85</formula>
    </cfRule>
  </conditionalFormatting>
  <conditionalFormatting sqref="N31">
    <cfRule type="cellIs" dxfId="3763" priority="305" operator="greaterThan">
      <formula>0.9</formula>
    </cfRule>
    <cfRule type="cellIs" dxfId="3762" priority="306" operator="greaterThan">
      <formula>0.85</formula>
    </cfRule>
  </conditionalFormatting>
  <conditionalFormatting sqref="E31">
    <cfRule type="expression" dxfId="3761" priority="301">
      <formula>AND(IF(OR($Q31=1,$Q31=2),1,0),IF($X31&lt;=20,1,0))</formula>
    </cfRule>
    <cfRule type="expression" dxfId="3760" priority="302">
      <formula>AND(IF($Q31=2,1,0),IF($X31&lt;30,1,0))</formula>
    </cfRule>
    <cfRule type="expression" dxfId="3759" priority="303">
      <formula>AND(IF($Q31=3,1,0),IF($X31&lt;30,1,0))</formula>
    </cfRule>
    <cfRule type="expression" dxfId="3758" priority="304">
      <formula>AND(IF($Q31=3,1,IF($Q31=4,1,0)),IF($F31&lt;=85,1,0))</formula>
    </cfRule>
  </conditionalFormatting>
  <conditionalFormatting sqref="X31">
    <cfRule type="expression" dxfId="3757" priority="297">
      <formula>AND(IF(OR($Q31=1,$Q31=2),1,0),IF($X31&lt;=20,1,0))</formula>
    </cfRule>
    <cfRule type="expression" dxfId="3756" priority="298">
      <formula>AND(IF($Q31=2,1,0),IF($X31&lt;30,1,0))</formula>
    </cfRule>
    <cfRule type="expression" dxfId="3755" priority="299">
      <formula>AND(IF($Q31=3,1,0),IF($X31&lt;30,1,0))</formula>
    </cfRule>
    <cfRule type="expression" dxfId="3754" priority="300">
      <formula>AND(IF($Q31=3,1,IF($Q31=4,1,0)),IF($F31&lt;=85,1,0))</formula>
    </cfRule>
  </conditionalFormatting>
  <conditionalFormatting sqref="AI31">
    <cfRule type="expression" dxfId="3753" priority="293">
      <formula>AND(IF(OR($Q31=1,$Q31=2),1,0),IF($X31&lt;=20,1,0))</formula>
    </cfRule>
    <cfRule type="expression" dxfId="3752" priority="294">
      <formula>AND(IF($Q31=2,1,0),IF($X31&lt;30,1,0))</formula>
    </cfRule>
    <cfRule type="expression" dxfId="3751" priority="295">
      <formula>AND(IF($Q31=3,1,0),IF($X31&lt;30,1,0))</formula>
    </cfRule>
    <cfRule type="expression" dxfId="3750" priority="296">
      <formula>AND(IF($Q31=3,1,IF($Q31=4,1,0)),IF($F31&lt;=85,1,0))</formula>
    </cfRule>
  </conditionalFormatting>
  <conditionalFormatting sqref="AV32">
    <cfRule type="expression" dxfId="3749" priority="291">
      <formula>AV32="X"</formula>
    </cfRule>
    <cfRule type="expression" dxfId="3748" priority="292">
      <formula>AV32="후보"</formula>
    </cfRule>
  </conditionalFormatting>
  <conditionalFormatting sqref="AC32">
    <cfRule type="cellIs" dxfId="3747" priority="289" operator="greaterThan">
      <formula>0.9</formula>
    </cfRule>
    <cfRule type="cellIs" dxfId="3746" priority="290" operator="greaterThan">
      <formula>0.85</formula>
    </cfRule>
  </conditionalFormatting>
  <conditionalFormatting sqref="N32">
    <cfRule type="cellIs" dxfId="3745" priority="287" operator="greaterThan">
      <formula>0.9</formula>
    </cfRule>
    <cfRule type="cellIs" dxfId="3744" priority="288" operator="greaterThan">
      <formula>0.85</formula>
    </cfRule>
  </conditionalFormatting>
  <conditionalFormatting sqref="E32">
    <cfRule type="expression" dxfId="3743" priority="283">
      <formula>AND(IF(OR($Q32=1,$Q32=2),1,0),IF($X32&lt;=20,1,0))</formula>
    </cfRule>
    <cfRule type="expression" dxfId="3742" priority="284">
      <formula>AND(IF($Q32=2,1,0),IF($X32&lt;30,1,0))</formula>
    </cfRule>
    <cfRule type="expression" dxfId="3741" priority="285">
      <formula>AND(IF($Q32=3,1,0),IF($X32&lt;30,1,0))</formula>
    </cfRule>
    <cfRule type="expression" dxfId="3740" priority="286">
      <formula>AND(IF($Q32=3,1,IF($Q32=4,1,0)),IF($F32&lt;=85,1,0))</formula>
    </cfRule>
  </conditionalFormatting>
  <conditionalFormatting sqref="X32">
    <cfRule type="expression" dxfId="3739" priority="279">
      <formula>AND(IF(OR($Q32=1,$Q32=2),1,0),IF($X32&lt;=20,1,0))</formula>
    </cfRule>
    <cfRule type="expression" dxfId="3738" priority="280">
      <formula>AND(IF($Q32=2,1,0),IF($X32&lt;30,1,0))</formula>
    </cfRule>
    <cfRule type="expression" dxfId="3737" priority="281">
      <formula>AND(IF($Q32=3,1,0),IF($X32&lt;30,1,0))</formula>
    </cfRule>
    <cfRule type="expression" dxfId="3736" priority="282">
      <formula>AND(IF($Q32=3,1,IF($Q32=4,1,0)),IF($F32&lt;=85,1,0))</formula>
    </cfRule>
  </conditionalFormatting>
  <conditionalFormatting sqref="AI32">
    <cfRule type="expression" dxfId="3735" priority="275">
      <formula>AND(IF(OR($Q32=1,$Q32=2),1,0),IF($X32&lt;=20,1,0))</formula>
    </cfRule>
    <cfRule type="expression" dxfId="3734" priority="276">
      <formula>AND(IF($Q32=2,1,0),IF($X32&lt;30,1,0))</formula>
    </cfRule>
    <cfRule type="expression" dxfId="3733" priority="277">
      <formula>AND(IF($Q32=3,1,0),IF($X32&lt;30,1,0))</formula>
    </cfRule>
    <cfRule type="expression" dxfId="3732" priority="278">
      <formula>AND(IF($Q32=3,1,IF($Q32=4,1,0)),IF($F32&lt;=85,1,0))</formula>
    </cfRule>
  </conditionalFormatting>
  <conditionalFormatting sqref="AV33">
    <cfRule type="expression" dxfId="3731" priority="273">
      <formula>AV33="X"</formula>
    </cfRule>
    <cfRule type="expression" dxfId="3730" priority="274">
      <formula>AV33="후보"</formula>
    </cfRule>
  </conditionalFormatting>
  <conditionalFormatting sqref="AC33">
    <cfRule type="cellIs" dxfId="3729" priority="271" operator="greaterThan">
      <formula>0.9</formula>
    </cfRule>
    <cfRule type="cellIs" dxfId="3728" priority="272" operator="greaterThan">
      <formula>0.85</formula>
    </cfRule>
  </conditionalFormatting>
  <conditionalFormatting sqref="N33">
    <cfRule type="cellIs" dxfId="3727" priority="269" operator="greaterThan">
      <formula>0.9</formula>
    </cfRule>
    <cfRule type="cellIs" dxfId="3726" priority="270" operator="greaterThan">
      <formula>0.85</formula>
    </cfRule>
  </conditionalFormatting>
  <conditionalFormatting sqref="E33">
    <cfRule type="expression" dxfId="3725" priority="265">
      <formula>AND(IF(OR($Q33=1,$Q33=2),1,0),IF($X33&lt;=20,1,0))</formula>
    </cfRule>
    <cfRule type="expression" dxfId="3724" priority="266">
      <formula>AND(IF($Q33=2,1,0),IF($X33&lt;30,1,0))</formula>
    </cfRule>
    <cfRule type="expression" dxfId="3723" priority="267">
      <formula>AND(IF($Q33=3,1,0),IF($X33&lt;30,1,0))</formula>
    </cfRule>
    <cfRule type="expression" dxfId="3722" priority="268">
      <formula>AND(IF($Q33=3,1,IF($Q33=4,1,0)),IF($F33&lt;=85,1,0))</formula>
    </cfRule>
  </conditionalFormatting>
  <conditionalFormatting sqref="X33">
    <cfRule type="expression" dxfId="3721" priority="261">
      <formula>AND(IF(OR($Q33=1,$Q33=2),1,0),IF($X33&lt;=20,1,0))</formula>
    </cfRule>
    <cfRule type="expression" dxfId="3720" priority="262">
      <formula>AND(IF($Q33=2,1,0),IF($X33&lt;30,1,0))</formula>
    </cfRule>
    <cfRule type="expression" dxfId="3719" priority="263">
      <formula>AND(IF($Q33=3,1,0),IF($X33&lt;30,1,0))</formula>
    </cfRule>
    <cfRule type="expression" dxfId="3718" priority="264">
      <formula>AND(IF($Q33=3,1,IF($Q33=4,1,0)),IF($F33&lt;=85,1,0))</formula>
    </cfRule>
  </conditionalFormatting>
  <conditionalFormatting sqref="AI33">
    <cfRule type="expression" dxfId="3717" priority="257">
      <formula>AND(IF(OR($Q33=1,$Q33=2),1,0),IF($X33&lt;=20,1,0))</formula>
    </cfRule>
    <cfRule type="expression" dxfId="3716" priority="258">
      <formula>AND(IF($Q33=2,1,0),IF($X33&lt;30,1,0))</formula>
    </cfRule>
    <cfRule type="expression" dxfId="3715" priority="259">
      <formula>AND(IF($Q33=3,1,0),IF($X33&lt;30,1,0))</formula>
    </cfRule>
    <cfRule type="expression" dxfId="3714" priority="260">
      <formula>AND(IF($Q33=3,1,IF($Q33=4,1,0)),IF($F33&lt;=85,1,0))</formula>
    </cfRule>
  </conditionalFormatting>
  <conditionalFormatting sqref="AV34">
    <cfRule type="expression" dxfId="3713" priority="255">
      <formula>AV34="X"</formula>
    </cfRule>
    <cfRule type="expression" dxfId="3712" priority="256">
      <formula>AV34="후보"</formula>
    </cfRule>
  </conditionalFormatting>
  <conditionalFormatting sqref="AC34">
    <cfRule type="cellIs" dxfId="3711" priority="253" operator="greaterThan">
      <formula>0.9</formula>
    </cfRule>
    <cfRule type="cellIs" dxfId="3710" priority="254" operator="greaterThan">
      <formula>0.85</formula>
    </cfRule>
  </conditionalFormatting>
  <conditionalFormatting sqref="N34">
    <cfRule type="cellIs" dxfId="3709" priority="251" operator="greaterThan">
      <formula>0.9</formula>
    </cfRule>
    <cfRule type="cellIs" dxfId="3708" priority="252" operator="greaterThan">
      <formula>0.85</formula>
    </cfRule>
  </conditionalFormatting>
  <conditionalFormatting sqref="E34">
    <cfRule type="expression" dxfId="3707" priority="247">
      <formula>AND(IF(OR($Q34=1,$Q34=2),1,0),IF($X34&lt;=20,1,0))</formula>
    </cfRule>
    <cfRule type="expression" dxfId="3706" priority="248">
      <formula>AND(IF($Q34=2,1,0),IF($X34&lt;30,1,0))</formula>
    </cfRule>
    <cfRule type="expression" dxfId="3705" priority="249">
      <formula>AND(IF($Q34=3,1,0),IF($X34&lt;30,1,0))</formula>
    </cfRule>
    <cfRule type="expression" dxfId="3704" priority="250">
      <formula>AND(IF($Q34=3,1,IF($Q34=4,1,0)),IF($F34&lt;=85,1,0))</formula>
    </cfRule>
  </conditionalFormatting>
  <conditionalFormatting sqref="X34">
    <cfRule type="expression" dxfId="3703" priority="243">
      <formula>AND(IF(OR($Q34=1,$Q34=2),1,0),IF($X34&lt;=20,1,0))</formula>
    </cfRule>
    <cfRule type="expression" dxfId="3702" priority="244">
      <formula>AND(IF($Q34=2,1,0),IF($X34&lt;30,1,0))</formula>
    </cfRule>
    <cfRule type="expression" dxfId="3701" priority="245">
      <formula>AND(IF($Q34=3,1,0),IF($X34&lt;30,1,0))</formula>
    </cfRule>
    <cfRule type="expression" dxfId="3700" priority="246">
      <formula>AND(IF($Q34=3,1,IF($Q34=4,1,0)),IF($F34&lt;=85,1,0))</formula>
    </cfRule>
  </conditionalFormatting>
  <conditionalFormatting sqref="AI34">
    <cfRule type="expression" dxfId="3699" priority="239">
      <formula>AND(IF(OR($Q34=1,$Q34=2),1,0),IF($X34&lt;=20,1,0))</formula>
    </cfRule>
    <cfRule type="expression" dxfId="3698" priority="240">
      <formula>AND(IF($Q34=2,1,0),IF($X34&lt;30,1,0))</formula>
    </cfRule>
    <cfRule type="expression" dxfId="3697" priority="241">
      <formula>AND(IF($Q34=3,1,0),IF($X34&lt;30,1,0))</formula>
    </cfRule>
    <cfRule type="expression" dxfId="3696" priority="242">
      <formula>AND(IF($Q34=3,1,IF($Q34=4,1,0)),IF($F34&lt;=85,1,0))</formula>
    </cfRule>
  </conditionalFormatting>
  <conditionalFormatting sqref="AV35">
    <cfRule type="expression" dxfId="3695" priority="237">
      <formula>AV35="X"</formula>
    </cfRule>
    <cfRule type="expression" dxfId="3694" priority="238">
      <formula>AV35="후보"</formula>
    </cfRule>
  </conditionalFormatting>
  <conditionalFormatting sqref="AC35">
    <cfRule type="cellIs" dxfId="3693" priority="235" operator="greaterThan">
      <formula>0.9</formula>
    </cfRule>
    <cfRule type="cellIs" dxfId="3692" priority="236" operator="greaterThan">
      <formula>0.85</formula>
    </cfRule>
  </conditionalFormatting>
  <conditionalFormatting sqref="N35">
    <cfRule type="cellIs" dxfId="3691" priority="233" operator="greaterThan">
      <formula>0.9</formula>
    </cfRule>
    <cfRule type="cellIs" dxfId="3690" priority="234" operator="greaterThan">
      <formula>0.85</formula>
    </cfRule>
  </conditionalFormatting>
  <conditionalFormatting sqref="E35">
    <cfRule type="expression" dxfId="3689" priority="229">
      <formula>AND(IF(OR($Q35=1,$Q35=2),1,0),IF($X35&lt;=20,1,0))</formula>
    </cfRule>
    <cfRule type="expression" dxfId="3688" priority="230">
      <formula>AND(IF($Q35=2,1,0),IF($X35&lt;30,1,0))</formula>
    </cfRule>
    <cfRule type="expression" dxfId="3687" priority="231">
      <formula>AND(IF($Q35=3,1,0),IF($X35&lt;30,1,0))</formula>
    </cfRule>
    <cfRule type="expression" dxfId="3686" priority="232">
      <formula>AND(IF($Q35=3,1,IF($Q35=4,1,0)),IF($F35&lt;=85,1,0))</formula>
    </cfRule>
  </conditionalFormatting>
  <conditionalFormatting sqref="X35">
    <cfRule type="expression" dxfId="3685" priority="225">
      <formula>AND(IF(OR($Q35=1,$Q35=2),1,0),IF($X35&lt;=20,1,0))</formula>
    </cfRule>
    <cfRule type="expression" dxfId="3684" priority="226">
      <formula>AND(IF($Q35=2,1,0),IF($X35&lt;30,1,0))</formula>
    </cfRule>
    <cfRule type="expression" dxfId="3683" priority="227">
      <formula>AND(IF($Q35=3,1,0),IF($X35&lt;30,1,0))</formula>
    </cfRule>
    <cfRule type="expression" dxfId="3682" priority="228">
      <formula>AND(IF($Q35=3,1,IF($Q35=4,1,0)),IF($F35&lt;=85,1,0))</formula>
    </cfRule>
  </conditionalFormatting>
  <conditionalFormatting sqref="AI35">
    <cfRule type="expression" dxfId="3681" priority="221">
      <formula>AND(IF(OR($Q35=1,$Q35=2),1,0),IF($X35&lt;=20,1,0))</formula>
    </cfRule>
    <cfRule type="expression" dxfId="3680" priority="222">
      <formula>AND(IF($Q35=2,1,0),IF($X35&lt;30,1,0))</formula>
    </cfRule>
    <cfRule type="expression" dxfId="3679" priority="223">
      <formula>AND(IF($Q35=3,1,0),IF($X35&lt;30,1,0))</formula>
    </cfRule>
    <cfRule type="expression" dxfId="3678" priority="224">
      <formula>AND(IF($Q35=3,1,IF($Q35=4,1,0)),IF($F35&lt;=85,1,0))</formula>
    </cfRule>
  </conditionalFormatting>
  <conditionalFormatting sqref="AV36">
    <cfRule type="expression" dxfId="3677" priority="219">
      <formula>AV36="X"</formula>
    </cfRule>
    <cfRule type="expression" dxfId="3676" priority="220">
      <formula>AV36="후보"</formula>
    </cfRule>
  </conditionalFormatting>
  <conditionalFormatting sqref="AC36">
    <cfRule type="cellIs" dxfId="3675" priority="217" operator="greaterThan">
      <formula>0.9</formula>
    </cfRule>
    <cfRule type="cellIs" dxfId="3674" priority="218" operator="greaterThan">
      <formula>0.85</formula>
    </cfRule>
  </conditionalFormatting>
  <conditionalFormatting sqref="N36">
    <cfRule type="cellIs" dxfId="3673" priority="215" operator="greaterThan">
      <formula>0.9</formula>
    </cfRule>
    <cfRule type="cellIs" dxfId="3672" priority="216" operator="greaterThan">
      <formula>0.85</formula>
    </cfRule>
  </conditionalFormatting>
  <conditionalFormatting sqref="E36">
    <cfRule type="expression" dxfId="3671" priority="211">
      <formula>AND(IF(OR($Q36=1,$Q36=2),1,0),IF($X36&lt;=20,1,0))</formula>
    </cfRule>
    <cfRule type="expression" dxfId="3670" priority="212">
      <formula>AND(IF($Q36=2,1,0),IF($X36&lt;30,1,0))</formula>
    </cfRule>
    <cfRule type="expression" dxfId="3669" priority="213">
      <formula>AND(IF($Q36=3,1,0),IF($X36&lt;30,1,0))</formula>
    </cfRule>
    <cfRule type="expression" dxfId="3668" priority="214">
      <formula>AND(IF($Q36=3,1,IF($Q36=4,1,0)),IF($F36&lt;=85,1,0))</formula>
    </cfRule>
  </conditionalFormatting>
  <conditionalFormatting sqref="X36">
    <cfRule type="expression" dxfId="3667" priority="207">
      <formula>AND(IF(OR($Q36=1,$Q36=2),1,0),IF($X36&lt;=20,1,0))</formula>
    </cfRule>
    <cfRule type="expression" dxfId="3666" priority="208">
      <formula>AND(IF($Q36=2,1,0),IF($X36&lt;30,1,0))</formula>
    </cfRule>
    <cfRule type="expression" dxfId="3665" priority="209">
      <formula>AND(IF($Q36=3,1,0),IF($X36&lt;30,1,0))</formula>
    </cfRule>
    <cfRule type="expression" dxfId="3664" priority="210">
      <formula>AND(IF($Q36=3,1,IF($Q36=4,1,0)),IF($F36&lt;=85,1,0))</formula>
    </cfRule>
  </conditionalFormatting>
  <conditionalFormatting sqref="AI36">
    <cfRule type="expression" dxfId="3663" priority="203">
      <formula>AND(IF(OR($Q36=1,$Q36=2),1,0),IF($X36&lt;=20,1,0))</formula>
    </cfRule>
    <cfRule type="expression" dxfId="3662" priority="204">
      <formula>AND(IF($Q36=2,1,0),IF($X36&lt;30,1,0))</formula>
    </cfRule>
    <cfRule type="expression" dxfId="3661" priority="205">
      <formula>AND(IF($Q36=3,1,0),IF($X36&lt;30,1,0))</formula>
    </cfRule>
    <cfRule type="expression" dxfId="3660" priority="206">
      <formula>AND(IF($Q36=3,1,IF($Q36=4,1,0)),IF($F36&lt;=85,1,0))</formula>
    </cfRule>
  </conditionalFormatting>
  <conditionalFormatting sqref="AV37">
    <cfRule type="expression" dxfId="3659" priority="201">
      <formula>AV37="X"</formula>
    </cfRule>
    <cfRule type="expression" dxfId="3658" priority="202">
      <formula>AV37="후보"</formula>
    </cfRule>
  </conditionalFormatting>
  <conditionalFormatting sqref="AC37">
    <cfRule type="cellIs" dxfId="3657" priority="199" operator="greaterThan">
      <formula>0.9</formula>
    </cfRule>
    <cfRule type="cellIs" dxfId="3656" priority="200" operator="greaterThan">
      <formula>0.85</formula>
    </cfRule>
  </conditionalFormatting>
  <conditionalFormatting sqref="N37">
    <cfRule type="cellIs" dxfId="3655" priority="197" operator="greaterThan">
      <formula>0.9</formula>
    </cfRule>
    <cfRule type="cellIs" dxfId="3654" priority="198" operator="greaterThan">
      <formula>0.85</formula>
    </cfRule>
  </conditionalFormatting>
  <conditionalFormatting sqref="E37">
    <cfRule type="expression" dxfId="3653" priority="193">
      <formula>AND(IF(OR($Q37=1,$Q37=2),1,0),IF($X37&lt;=20,1,0))</formula>
    </cfRule>
    <cfRule type="expression" dxfId="3652" priority="194">
      <formula>AND(IF($Q37=2,1,0),IF($X37&lt;30,1,0))</formula>
    </cfRule>
    <cfRule type="expression" dxfId="3651" priority="195">
      <formula>AND(IF($Q37=3,1,0),IF($X37&lt;30,1,0))</formula>
    </cfRule>
    <cfRule type="expression" dxfId="3650" priority="196">
      <formula>AND(IF($Q37=3,1,IF($Q37=4,1,0)),IF($F37&lt;=85,1,0))</formula>
    </cfRule>
  </conditionalFormatting>
  <conditionalFormatting sqref="X37">
    <cfRule type="expression" dxfId="3649" priority="189">
      <formula>AND(IF(OR($Q37=1,$Q37=2),1,0),IF($X37&lt;=20,1,0))</formula>
    </cfRule>
    <cfRule type="expression" dxfId="3648" priority="190">
      <formula>AND(IF($Q37=2,1,0),IF($X37&lt;30,1,0))</formula>
    </cfRule>
    <cfRule type="expression" dxfId="3647" priority="191">
      <formula>AND(IF($Q37=3,1,0),IF($X37&lt;30,1,0))</formula>
    </cfRule>
    <cfRule type="expression" dxfId="3646" priority="192">
      <formula>AND(IF($Q37=3,1,IF($Q37=4,1,0)),IF($F37&lt;=85,1,0))</formula>
    </cfRule>
  </conditionalFormatting>
  <conditionalFormatting sqref="AI37">
    <cfRule type="expression" dxfId="3645" priority="185">
      <formula>AND(IF(OR($Q37=1,$Q37=2),1,0),IF($X37&lt;=20,1,0))</formula>
    </cfRule>
    <cfRule type="expression" dxfId="3644" priority="186">
      <formula>AND(IF($Q37=2,1,0),IF($X37&lt;30,1,0))</formula>
    </cfRule>
    <cfRule type="expression" dxfId="3643" priority="187">
      <formula>AND(IF($Q37=3,1,0),IF($X37&lt;30,1,0))</formula>
    </cfRule>
    <cfRule type="expression" dxfId="3642" priority="188">
      <formula>AND(IF($Q37=3,1,IF($Q37=4,1,0)),IF($F37&lt;=85,1,0))</formula>
    </cfRule>
  </conditionalFormatting>
  <conditionalFormatting sqref="AV38">
    <cfRule type="expression" dxfId="3641" priority="183">
      <formula>AV38="X"</formula>
    </cfRule>
    <cfRule type="expression" dxfId="3640" priority="184">
      <formula>AV38="후보"</formula>
    </cfRule>
  </conditionalFormatting>
  <conditionalFormatting sqref="AC38 N38">
    <cfRule type="cellIs" dxfId="3639" priority="181" operator="greaterThan">
      <formula>0.9</formula>
    </cfRule>
    <cfRule type="cellIs" dxfId="3638" priority="182" operator="greaterThan">
      <formula>0.85</formula>
    </cfRule>
  </conditionalFormatting>
  <conditionalFormatting sqref="AV39">
    <cfRule type="expression" dxfId="3637" priority="179">
      <formula>AV39="X"</formula>
    </cfRule>
    <cfRule type="expression" dxfId="3636" priority="180">
      <formula>AV39="후보"</formula>
    </cfRule>
  </conditionalFormatting>
  <conditionalFormatting sqref="AC39">
    <cfRule type="cellIs" dxfId="3635" priority="177" operator="greaterThan">
      <formula>0.9</formula>
    </cfRule>
    <cfRule type="cellIs" dxfId="3634" priority="178" operator="greaterThan">
      <formula>0.85</formula>
    </cfRule>
  </conditionalFormatting>
  <conditionalFormatting sqref="N39">
    <cfRule type="cellIs" dxfId="3633" priority="175" operator="greaterThan">
      <formula>0.9</formula>
    </cfRule>
    <cfRule type="cellIs" dxfId="3632" priority="176" operator="greaterThan">
      <formula>0.85</formula>
    </cfRule>
  </conditionalFormatting>
  <conditionalFormatting sqref="E39">
    <cfRule type="expression" dxfId="3631" priority="171">
      <formula>AND(IF(OR($Q39=1,$Q39=2),1,0),IF($X39&lt;=20,1,0))</formula>
    </cfRule>
    <cfRule type="expression" dxfId="3630" priority="172">
      <formula>AND(IF($Q39=2,1,0),IF($X39&lt;30,1,0))</formula>
    </cfRule>
    <cfRule type="expression" dxfId="3629" priority="173">
      <formula>AND(IF($Q39=3,1,0),IF($X39&lt;30,1,0))</formula>
    </cfRule>
    <cfRule type="expression" dxfId="3628" priority="174">
      <formula>AND(IF($Q39=3,1,IF($Q39=4,1,0)),IF($F39&lt;=85,1,0))</formula>
    </cfRule>
  </conditionalFormatting>
  <conditionalFormatting sqref="X39">
    <cfRule type="expression" dxfId="3627" priority="167">
      <formula>AND(IF(OR($Q39=1,$Q39=2),1,0),IF($X39&lt;=20,1,0))</formula>
    </cfRule>
    <cfRule type="expression" dxfId="3626" priority="168">
      <formula>AND(IF($Q39=2,1,0),IF($X39&lt;30,1,0))</formula>
    </cfRule>
    <cfRule type="expression" dxfId="3625" priority="169">
      <formula>AND(IF($Q39=3,1,0),IF($X39&lt;30,1,0))</formula>
    </cfRule>
    <cfRule type="expression" dxfId="3624" priority="170">
      <formula>AND(IF($Q39=3,1,IF($Q39=4,1,0)),IF($F39&lt;=85,1,0))</formula>
    </cfRule>
  </conditionalFormatting>
  <conditionalFormatting sqref="AI39">
    <cfRule type="expression" dxfId="3623" priority="163">
      <formula>AND(IF(OR($Q39=1,$Q39=2),1,0),IF($X39&lt;=20,1,0))</formula>
    </cfRule>
    <cfRule type="expression" dxfId="3622" priority="164">
      <formula>AND(IF($Q39=2,1,0),IF($X39&lt;30,1,0))</formula>
    </cfRule>
    <cfRule type="expression" dxfId="3621" priority="165">
      <formula>AND(IF($Q39=3,1,0),IF($X39&lt;30,1,0))</formula>
    </cfRule>
    <cfRule type="expression" dxfId="3620" priority="166">
      <formula>AND(IF($Q39=3,1,IF($Q39=4,1,0)),IF($F39&lt;=85,1,0))</formula>
    </cfRule>
  </conditionalFormatting>
  <conditionalFormatting sqref="AV40">
    <cfRule type="expression" dxfId="3619" priority="161">
      <formula>AV40="X"</formula>
    </cfRule>
    <cfRule type="expression" dxfId="3618" priority="162">
      <formula>AV40="후보"</formula>
    </cfRule>
  </conditionalFormatting>
  <conditionalFormatting sqref="AC40">
    <cfRule type="cellIs" dxfId="3617" priority="159" operator="greaterThan">
      <formula>0.9</formula>
    </cfRule>
    <cfRule type="cellIs" dxfId="3616" priority="160" operator="greaterThan">
      <formula>0.85</formula>
    </cfRule>
  </conditionalFormatting>
  <conditionalFormatting sqref="N40">
    <cfRule type="cellIs" dxfId="3615" priority="157" operator="greaterThan">
      <formula>0.9</formula>
    </cfRule>
    <cfRule type="cellIs" dxfId="3614" priority="158" operator="greaterThan">
      <formula>0.85</formula>
    </cfRule>
  </conditionalFormatting>
  <conditionalFormatting sqref="E40">
    <cfRule type="expression" dxfId="3613" priority="153">
      <formula>AND(IF(OR($Q40=1,$Q40=2),1,0),IF($X40&lt;=20,1,0))</formula>
    </cfRule>
    <cfRule type="expression" dxfId="3612" priority="154">
      <formula>AND(IF($Q40=2,1,0),IF($X40&lt;30,1,0))</formula>
    </cfRule>
    <cfRule type="expression" dxfId="3611" priority="155">
      <formula>AND(IF($Q40=3,1,0),IF($X40&lt;30,1,0))</formula>
    </cfRule>
    <cfRule type="expression" dxfId="3610" priority="156">
      <formula>AND(IF($Q40=3,1,IF($Q40=4,1,0)),IF($F40&lt;=85,1,0))</formula>
    </cfRule>
  </conditionalFormatting>
  <conditionalFormatting sqref="X40">
    <cfRule type="expression" dxfId="3609" priority="149">
      <formula>AND(IF(OR($Q40=1,$Q40=2),1,0),IF($X40&lt;=20,1,0))</formula>
    </cfRule>
    <cfRule type="expression" dxfId="3608" priority="150">
      <formula>AND(IF($Q40=2,1,0),IF($X40&lt;30,1,0))</formula>
    </cfRule>
    <cfRule type="expression" dxfId="3607" priority="151">
      <formula>AND(IF($Q40=3,1,0),IF($X40&lt;30,1,0))</formula>
    </cfRule>
    <cfRule type="expression" dxfId="3606" priority="152">
      <formula>AND(IF($Q40=3,1,IF($Q40=4,1,0)),IF($F40&lt;=85,1,0))</formula>
    </cfRule>
  </conditionalFormatting>
  <conditionalFormatting sqref="AI40">
    <cfRule type="expression" dxfId="3605" priority="145">
      <formula>AND(IF(OR($Q40=1,$Q40=2),1,0),IF($X40&lt;=20,1,0))</formula>
    </cfRule>
    <cfRule type="expression" dxfId="3604" priority="146">
      <formula>AND(IF($Q40=2,1,0),IF($X40&lt;30,1,0))</formula>
    </cfRule>
    <cfRule type="expression" dxfId="3603" priority="147">
      <formula>AND(IF($Q40=3,1,0),IF($X40&lt;30,1,0))</formula>
    </cfRule>
    <cfRule type="expression" dxfId="3602" priority="148">
      <formula>AND(IF($Q40=3,1,IF($Q40=4,1,0)),IF($F40&lt;=85,1,0))</formula>
    </cfRule>
  </conditionalFormatting>
  <conditionalFormatting sqref="AV41">
    <cfRule type="expression" dxfId="3601" priority="143">
      <formula>AV41="X"</formula>
    </cfRule>
    <cfRule type="expression" dxfId="3600" priority="144">
      <formula>AV41="후보"</formula>
    </cfRule>
  </conditionalFormatting>
  <conditionalFormatting sqref="AC41">
    <cfRule type="cellIs" dxfId="3599" priority="141" operator="greaterThan">
      <formula>0.9</formula>
    </cfRule>
    <cfRule type="cellIs" dxfId="3598" priority="142" operator="greaterThan">
      <formula>0.85</formula>
    </cfRule>
  </conditionalFormatting>
  <conditionalFormatting sqref="N41">
    <cfRule type="cellIs" dxfId="3597" priority="139" operator="greaterThan">
      <formula>0.9</formula>
    </cfRule>
    <cfRule type="cellIs" dxfId="3596" priority="140" operator="greaterThan">
      <formula>0.85</formula>
    </cfRule>
  </conditionalFormatting>
  <conditionalFormatting sqref="E41">
    <cfRule type="expression" dxfId="3595" priority="135">
      <formula>AND(IF(OR($Q41=1,$Q41=2),1,0),IF($X41&lt;=20,1,0))</formula>
    </cfRule>
    <cfRule type="expression" dxfId="3594" priority="136">
      <formula>AND(IF($Q41=2,1,0),IF($X41&lt;30,1,0))</formula>
    </cfRule>
    <cfRule type="expression" dxfId="3593" priority="137">
      <formula>AND(IF($Q41=3,1,0),IF($X41&lt;30,1,0))</formula>
    </cfRule>
    <cfRule type="expression" dxfId="3592" priority="138">
      <formula>AND(IF($Q41=3,1,IF($Q41=4,1,0)),IF($F41&lt;=85,1,0))</formula>
    </cfRule>
  </conditionalFormatting>
  <conditionalFormatting sqref="X41">
    <cfRule type="expression" dxfId="3591" priority="131">
      <formula>AND(IF(OR($Q41=1,$Q41=2),1,0),IF($X41&lt;=20,1,0))</formula>
    </cfRule>
    <cfRule type="expression" dxfId="3590" priority="132">
      <formula>AND(IF($Q41=2,1,0),IF($X41&lt;30,1,0))</formula>
    </cfRule>
    <cfRule type="expression" dxfId="3589" priority="133">
      <formula>AND(IF($Q41=3,1,0),IF($X41&lt;30,1,0))</formula>
    </cfRule>
    <cfRule type="expression" dxfId="3588" priority="134">
      <formula>AND(IF($Q41=3,1,IF($Q41=4,1,0)),IF($F41&lt;=85,1,0))</formula>
    </cfRule>
  </conditionalFormatting>
  <conditionalFormatting sqref="AI41">
    <cfRule type="expression" dxfId="3587" priority="127">
      <formula>AND(IF(OR($Q41=1,$Q41=2),1,0),IF($X41&lt;=20,1,0))</formula>
    </cfRule>
    <cfRule type="expression" dxfId="3586" priority="128">
      <formula>AND(IF($Q41=2,1,0),IF($X41&lt;30,1,0))</formula>
    </cfRule>
    <cfRule type="expression" dxfId="3585" priority="129">
      <formula>AND(IF($Q41=3,1,0),IF($X41&lt;30,1,0))</formula>
    </cfRule>
    <cfRule type="expression" dxfId="3584" priority="130">
      <formula>AND(IF($Q41=3,1,IF($Q41=4,1,0)),IF($F41&lt;=85,1,0))</formula>
    </cfRule>
  </conditionalFormatting>
  <conditionalFormatting sqref="AV42">
    <cfRule type="expression" dxfId="3583" priority="125">
      <formula>AV42="X"</formula>
    </cfRule>
    <cfRule type="expression" dxfId="3582" priority="126">
      <formula>AV42="후보"</formula>
    </cfRule>
  </conditionalFormatting>
  <conditionalFormatting sqref="AC42">
    <cfRule type="cellIs" dxfId="3581" priority="123" operator="greaterThan">
      <formula>0.9</formula>
    </cfRule>
    <cfRule type="cellIs" dxfId="3580" priority="124" operator="greaterThan">
      <formula>0.85</formula>
    </cfRule>
  </conditionalFormatting>
  <conditionalFormatting sqref="N42">
    <cfRule type="cellIs" dxfId="3579" priority="121" operator="greaterThan">
      <formula>0.9</formula>
    </cfRule>
    <cfRule type="cellIs" dxfId="3578" priority="122" operator="greaterThan">
      <formula>0.85</formula>
    </cfRule>
  </conditionalFormatting>
  <conditionalFormatting sqref="E42">
    <cfRule type="expression" dxfId="3577" priority="117">
      <formula>AND(IF(OR($Q42=1,$Q42=2),1,0),IF($X42&lt;=20,1,0))</formula>
    </cfRule>
    <cfRule type="expression" dxfId="3576" priority="118">
      <formula>AND(IF($Q42=2,1,0),IF($X42&lt;30,1,0))</formula>
    </cfRule>
    <cfRule type="expression" dxfId="3575" priority="119">
      <formula>AND(IF($Q42=3,1,0),IF($X42&lt;30,1,0))</formula>
    </cfRule>
    <cfRule type="expression" dxfId="3574" priority="120">
      <formula>AND(IF($Q42=3,1,IF($Q42=4,1,0)),IF($F42&lt;=85,1,0))</formula>
    </cfRule>
  </conditionalFormatting>
  <conditionalFormatting sqref="X42">
    <cfRule type="expression" dxfId="3573" priority="113">
      <formula>AND(IF(OR($Q42=1,$Q42=2),1,0),IF($X42&lt;=20,1,0))</formula>
    </cfRule>
    <cfRule type="expression" dxfId="3572" priority="114">
      <formula>AND(IF($Q42=2,1,0),IF($X42&lt;30,1,0))</formula>
    </cfRule>
    <cfRule type="expression" dxfId="3571" priority="115">
      <formula>AND(IF($Q42=3,1,0),IF($X42&lt;30,1,0))</formula>
    </cfRule>
    <cfRule type="expression" dxfId="3570" priority="116">
      <formula>AND(IF($Q42=3,1,IF($Q42=4,1,0)),IF($F42&lt;=85,1,0))</formula>
    </cfRule>
  </conditionalFormatting>
  <conditionalFormatting sqref="AI42">
    <cfRule type="expression" dxfId="3569" priority="109">
      <formula>AND(IF(OR($Q42=1,$Q42=2),1,0),IF($X42&lt;=20,1,0))</formula>
    </cfRule>
    <cfRule type="expression" dxfId="3568" priority="110">
      <formula>AND(IF($Q42=2,1,0),IF($X42&lt;30,1,0))</formula>
    </cfRule>
    <cfRule type="expression" dxfId="3567" priority="111">
      <formula>AND(IF($Q42=3,1,0),IF($X42&lt;30,1,0))</formula>
    </cfRule>
    <cfRule type="expression" dxfId="3566" priority="112">
      <formula>AND(IF($Q42=3,1,IF($Q42=4,1,0)),IF($F42&lt;=85,1,0))</formula>
    </cfRule>
  </conditionalFormatting>
  <conditionalFormatting sqref="AV43">
    <cfRule type="expression" dxfId="3565" priority="107">
      <formula>AV43="X"</formula>
    </cfRule>
    <cfRule type="expression" dxfId="3564" priority="108">
      <formula>AV43="후보"</formula>
    </cfRule>
  </conditionalFormatting>
  <conditionalFormatting sqref="AC43">
    <cfRule type="cellIs" dxfId="3563" priority="105" operator="greaterThan">
      <formula>0.9</formula>
    </cfRule>
    <cfRule type="cellIs" dxfId="3562" priority="106" operator="greaterThan">
      <formula>0.85</formula>
    </cfRule>
  </conditionalFormatting>
  <conditionalFormatting sqref="N43">
    <cfRule type="cellIs" dxfId="3561" priority="103" operator="greaterThan">
      <formula>0.9</formula>
    </cfRule>
    <cfRule type="cellIs" dxfId="3560" priority="104" operator="greaterThan">
      <formula>0.85</formula>
    </cfRule>
  </conditionalFormatting>
  <conditionalFormatting sqref="E43">
    <cfRule type="expression" dxfId="3559" priority="99">
      <formula>AND(IF(OR($Q43=1,$Q43=2),1,0),IF($X43&lt;=20,1,0))</formula>
    </cfRule>
    <cfRule type="expression" dxfId="3558" priority="100">
      <formula>AND(IF($Q43=2,1,0),IF($X43&lt;30,1,0))</formula>
    </cfRule>
    <cfRule type="expression" dxfId="3557" priority="101">
      <formula>AND(IF($Q43=3,1,0),IF($X43&lt;30,1,0))</formula>
    </cfRule>
    <cfRule type="expression" dxfId="3556" priority="102">
      <formula>AND(IF($Q43=3,1,IF($Q43=4,1,0)),IF($F43&lt;=85,1,0))</formula>
    </cfRule>
  </conditionalFormatting>
  <conditionalFormatting sqref="X43">
    <cfRule type="expression" dxfId="3555" priority="95">
      <formula>AND(IF(OR($Q43=1,$Q43=2),1,0),IF($X43&lt;=20,1,0))</formula>
    </cfRule>
    <cfRule type="expression" dxfId="3554" priority="96">
      <formula>AND(IF($Q43=2,1,0),IF($X43&lt;30,1,0))</formula>
    </cfRule>
    <cfRule type="expression" dxfId="3553" priority="97">
      <formula>AND(IF($Q43=3,1,0),IF($X43&lt;30,1,0))</formula>
    </cfRule>
    <cfRule type="expression" dxfId="3552" priority="98">
      <formula>AND(IF($Q43=3,1,IF($Q43=4,1,0)),IF($F43&lt;=85,1,0))</formula>
    </cfRule>
  </conditionalFormatting>
  <conditionalFormatting sqref="AI43">
    <cfRule type="expression" dxfId="3551" priority="91">
      <formula>AND(IF(OR($Q43=1,$Q43=2),1,0),IF($X43&lt;=20,1,0))</formula>
    </cfRule>
    <cfRule type="expression" dxfId="3550" priority="92">
      <formula>AND(IF($Q43=2,1,0),IF($X43&lt;30,1,0))</formula>
    </cfRule>
    <cfRule type="expression" dxfId="3549" priority="93">
      <formula>AND(IF($Q43=3,1,0),IF($X43&lt;30,1,0))</formula>
    </cfRule>
    <cfRule type="expression" dxfId="3548" priority="94">
      <formula>AND(IF($Q43=3,1,IF($Q43=4,1,0)),IF($F43&lt;=85,1,0))</formula>
    </cfRule>
  </conditionalFormatting>
  <conditionalFormatting sqref="AV44">
    <cfRule type="expression" dxfId="3547" priority="89">
      <formula>AV44="X"</formula>
    </cfRule>
    <cfRule type="expression" dxfId="3546" priority="90">
      <formula>AV44="후보"</formula>
    </cfRule>
  </conditionalFormatting>
  <conditionalFormatting sqref="AC44">
    <cfRule type="cellIs" dxfId="3545" priority="87" operator="greaterThan">
      <formula>0.9</formula>
    </cfRule>
    <cfRule type="cellIs" dxfId="3544" priority="88" operator="greaterThan">
      <formula>0.85</formula>
    </cfRule>
  </conditionalFormatting>
  <conditionalFormatting sqref="N44">
    <cfRule type="cellIs" dxfId="3543" priority="85" operator="greaterThan">
      <formula>0.9</formula>
    </cfRule>
    <cfRule type="cellIs" dxfId="3542" priority="86" operator="greaterThan">
      <formula>0.85</formula>
    </cfRule>
  </conditionalFormatting>
  <conditionalFormatting sqref="E44">
    <cfRule type="expression" dxfId="3541" priority="81">
      <formula>AND(IF(OR($Q44=1,$Q44=2),1,0),IF($X44&lt;=20,1,0))</formula>
    </cfRule>
    <cfRule type="expression" dxfId="3540" priority="82">
      <formula>AND(IF($Q44=2,1,0),IF($X44&lt;30,1,0))</formula>
    </cfRule>
    <cfRule type="expression" dxfId="3539" priority="83">
      <formula>AND(IF($Q44=3,1,0),IF($X44&lt;30,1,0))</formula>
    </cfRule>
    <cfRule type="expression" dxfId="3538" priority="84">
      <formula>AND(IF($Q44=3,1,IF($Q44=4,1,0)),IF($F44&lt;=85,1,0))</formula>
    </cfRule>
  </conditionalFormatting>
  <conditionalFormatting sqref="X44">
    <cfRule type="expression" dxfId="3537" priority="77">
      <formula>AND(IF(OR($Q44=1,$Q44=2),1,0),IF($X44&lt;=20,1,0))</formula>
    </cfRule>
    <cfRule type="expression" dxfId="3536" priority="78">
      <formula>AND(IF($Q44=2,1,0),IF($X44&lt;30,1,0))</formula>
    </cfRule>
    <cfRule type="expression" dxfId="3535" priority="79">
      <formula>AND(IF($Q44=3,1,0),IF($X44&lt;30,1,0))</formula>
    </cfRule>
    <cfRule type="expression" dxfId="3534" priority="80">
      <formula>AND(IF($Q44=3,1,IF($Q44=4,1,0)),IF($F44&lt;=85,1,0))</formula>
    </cfRule>
  </conditionalFormatting>
  <conditionalFormatting sqref="AI44">
    <cfRule type="expression" dxfId="3533" priority="73">
      <formula>AND(IF(OR($Q44=1,$Q44=2),1,0),IF($X44&lt;=20,1,0))</formula>
    </cfRule>
    <cfRule type="expression" dxfId="3532" priority="74">
      <formula>AND(IF($Q44=2,1,0),IF($X44&lt;30,1,0))</formula>
    </cfRule>
    <cfRule type="expression" dxfId="3531" priority="75">
      <formula>AND(IF($Q44=3,1,0),IF($X44&lt;30,1,0))</formula>
    </cfRule>
    <cfRule type="expression" dxfId="3530" priority="76">
      <formula>AND(IF($Q44=3,1,IF($Q44=4,1,0)),IF($F44&lt;=85,1,0))</formula>
    </cfRule>
  </conditionalFormatting>
  <conditionalFormatting sqref="AV45">
    <cfRule type="expression" dxfId="3529" priority="71">
      <formula>AV45="X"</formula>
    </cfRule>
    <cfRule type="expression" dxfId="3528" priority="72">
      <formula>AV45="후보"</formula>
    </cfRule>
  </conditionalFormatting>
  <conditionalFormatting sqref="AC45">
    <cfRule type="cellIs" dxfId="3527" priority="69" operator="greaterThan">
      <formula>0.9</formula>
    </cfRule>
    <cfRule type="cellIs" dxfId="3526" priority="70" operator="greaterThan">
      <formula>0.85</formula>
    </cfRule>
  </conditionalFormatting>
  <conditionalFormatting sqref="N45">
    <cfRule type="cellIs" dxfId="3525" priority="67" operator="greaterThan">
      <formula>0.9</formula>
    </cfRule>
    <cfRule type="cellIs" dxfId="3524" priority="68" operator="greaterThan">
      <formula>0.85</formula>
    </cfRule>
  </conditionalFormatting>
  <conditionalFormatting sqref="E45">
    <cfRule type="expression" dxfId="3523" priority="63">
      <formula>AND(IF(OR($Q45=1,$Q45=2),1,0),IF($X45&lt;=20,1,0))</formula>
    </cfRule>
    <cfRule type="expression" dxfId="3522" priority="64">
      <formula>AND(IF($Q45=2,1,0),IF($X45&lt;30,1,0))</formula>
    </cfRule>
    <cfRule type="expression" dxfId="3521" priority="65">
      <formula>AND(IF($Q45=3,1,0),IF($X45&lt;30,1,0))</formula>
    </cfRule>
    <cfRule type="expression" dxfId="3520" priority="66">
      <formula>AND(IF($Q45=3,1,IF($Q45=4,1,0)),IF($F45&lt;=85,1,0))</formula>
    </cfRule>
  </conditionalFormatting>
  <conditionalFormatting sqref="X45">
    <cfRule type="expression" dxfId="3519" priority="59">
      <formula>AND(IF(OR($Q45=1,$Q45=2),1,0),IF($X45&lt;=20,1,0))</formula>
    </cfRule>
    <cfRule type="expression" dxfId="3518" priority="60">
      <formula>AND(IF($Q45=2,1,0),IF($X45&lt;30,1,0))</formula>
    </cfRule>
    <cfRule type="expression" dxfId="3517" priority="61">
      <formula>AND(IF($Q45=3,1,0),IF($X45&lt;30,1,0))</formula>
    </cfRule>
    <cfRule type="expression" dxfId="3516" priority="62">
      <formula>AND(IF($Q45=3,1,IF($Q45=4,1,0)),IF($F45&lt;=85,1,0))</formula>
    </cfRule>
  </conditionalFormatting>
  <conditionalFormatting sqref="AI45">
    <cfRule type="expression" dxfId="3515" priority="55">
      <formula>AND(IF(OR($Q45=1,$Q45=2),1,0),IF($X45&lt;=20,1,0))</formula>
    </cfRule>
    <cfRule type="expression" dxfId="3514" priority="56">
      <formula>AND(IF($Q45=2,1,0),IF($X45&lt;30,1,0))</formula>
    </cfRule>
    <cfRule type="expression" dxfId="3513" priority="57">
      <formula>AND(IF($Q45=3,1,0),IF($X45&lt;30,1,0))</formula>
    </cfRule>
    <cfRule type="expression" dxfId="3512" priority="58">
      <formula>AND(IF($Q45=3,1,IF($Q45=4,1,0)),IF($F45&lt;=85,1,0))</formula>
    </cfRule>
  </conditionalFormatting>
  <conditionalFormatting sqref="AV46">
    <cfRule type="expression" dxfId="3511" priority="53">
      <formula>AV46="X"</formula>
    </cfRule>
    <cfRule type="expression" dxfId="3510" priority="54">
      <formula>AV46="후보"</formula>
    </cfRule>
  </conditionalFormatting>
  <conditionalFormatting sqref="AC46">
    <cfRule type="cellIs" dxfId="3509" priority="51" operator="greaterThan">
      <formula>0.9</formula>
    </cfRule>
    <cfRule type="cellIs" dxfId="3508" priority="52" operator="greaterThan">
      <formula>0.85</formula>
    </cfRule>
  </conditionalFormatting>
  <conditionalFormatting sqref="N46">
    <cfRule type="cellIs" dxfId="3507" priority="49" operator="greaterThan">
      <formula>0.9</formula>
    </cfRule>
    <cfRule type="cellIs" dxfId="3506" priority="50" operator="greaterThan">
      <formula>0.85</formula>
    </cfRule>
  </conditionalFormatting>
  <conditionalFormatting sqref="E46">
    <cfRule type="expression" dxfId="3505" priority="45">
      <formula>AND(IF(OR($Q46=1,$Q46=2),1,0),IF($X46&lt;=20,1,0))</formula>
    </cfRule>
    <cfRule type="expression" dxfId="3504" priority="46">
      <formula>AND(IF($Q46=2,1,0),IF($X46&lt;30,1,0))</formula>
    </cfRule>
    <cfRule type="expression" dxfId="3503" priority="47">
      <formula>AND(IF($Q46=3,1,0),IF($X46&lt;30,1,0))</formula>
    </cfRule>
    <cfRule type="expression" dxfId="3502" priority="48">
      <formula>AND(IF($Q46=3,1,IF($Q46=4,1,0)),IF($F46&lt;=85,1,0))</formula>
    </cfRule>
  </conditionalFormatting>
  <conditionalFormatting sqref="X46">
    <cfRule type="expression" dxfId="3501" priority="41">
      <formula>AND(IF(OR($Q46=1,$Q46=2),1,0),IF($X46&lt;=20,1,0))</formula>
    </cfRule>
    <cfRule type="expression" dxfId="3500" priority="42">
      <formula>AND(IF($Q46=2,1,0),IF($X46&lt;30,1,0))</formula>
    </cfRule>
    <cfRule type="expression" dxfId="3499" priority="43">
      <formula>AND(IF($Q46=3,1,0),IF($X46&lt;30,1,0))</formula>
    </cfRule>
    <cfRule type="expression" dxfId="3498" priority="44">
      <formula>AND(IF($Q46=3,1,IF($Q46=4,1,0)),IF($F46&lt;=85,1,0))</formula>
    </cfRule>
  </conditionalFormatting>
  <conditionalFormatting sqref="AI46">
    <cfRule type="expression" dxfId="3497" priority="37">
      <formula>AND(IF(OR($Q46=1,$Q46=2),1,0),IF($X46&lt;=20,1,0))</formula>
    </cfRule>
    <cfRule type="expression" dxfId="3496" priority="38">
      <formula>AND(IF($Q46=2,1,0),IF($X46&lt;30,1,0))</formula>
    </cfRule>
    <cfRule type="expression" dxfId="3495" priority="39">
      <formula>AND(IF($Q46=3,1,0),IF($X46&lt;30,1,0))</formula>
    </cfRule>
    <cfRule type="expression" dxfId="3494" priority="40">
      <formula>AND(IF($Q46=3,1,IF($Q46=4,1,0)),IF($F46&lt;=85,1,0))</formula>
    </cfRule>
  </conditionalFormatting>
  <conditionalFormatting sqref="AV47">
    <cfRule type="expression" dxfId="3493" priority="35">
      <formula>AV47="X"</formula>
    </cfRule>
    <cfRule type="expression" dxfId="3492" priority="36">
      <formula>AV47="후보"</formula>
    </cfRule>
  </conditionalFormatting>
  <conditionalFormatting sqref="AC47">
    <cfRule type="cellIs" dxfId="3491" priority="33" operator="greaterThan">
      <formula>0.9</formula>
    </cfRule>
    <cfRule type="cellIs" dxfId="3490" priority="34" operator="greaterThan">
      <formula>0.85</formula>
    </cfRule>
  </conditionalFormatting>
  <conditionalFormatting sqref="N47">
    <cfRule type="cellIs" dxfId="3489" priority="31" operator="greaterThan">
      <formula>0.9</formula>
    </cfRule>
    <cfRule type="cellIs" dxfId="3488" priority="32" operator="greaterThan">
      <formula>0.85</formula>
    </cfRule>
  </conditionalFormatting>
  <conditionalFormatting sqref="E47">
    <cfRule type="expression" dxfId="3487" priority="27">
      <formula>AND(IF(OR($Q47=1,$Q47=2),1,0),IF($X47&lt;=20,1,0))</formula>
    </cfRule>
    <cfRule type="expression" dxfId="3486" priority="28">
      <formula>AND(IF($Q47=2,1,0),IF($X47&lt;30,1,0))</formula>
    </cfRule>
    <cfRule type="expression" dxfId="3485" priority="29">
      <formula>AND(IF($Q47=3,1,0),IF($X47&lt;30,1,0))</formula>
    </cfRule>
    <cfRule type="expression" dxfId="3484" priority="30">
      <formula>AND(IF($Q47=3,1,IF($Q47=4,1,0)),IF($F47&lt;=85,1,0))</formula>
    </cfRule>
  </conditionalFormatting>
  <conditionalFormatting sqref="X47">
    <cfRule type="expression" dxfId="3483" priority="23">
      <formula>AND(IF(OR($Q47=1,$Q47=2),1,0),IF($X47&lt;=20,1,0))</formula>
    </cfRule>
    <cfRule type="expression" dxfId="3482" priority="24">
      <formula>AND(IF($Q47=2,1,0),IF($X47&lt;30,1,0))</formula>
    </cfRule>
    <cfRule type="expression" dxfId="3481" priority="25">
      <formula>AND(IF($Q47=3,1,0),IF($X47&lt;30,1,0))</formula>
    </cfRule>
    <cfRule type="expression" dxfId="3480" priority="26">
      <formula>AND(IF($Q47=3,1,IF($Q47=4,1,0)),IF($F47&lt;=85,1,0))</formula>
    </cfRule>
  </conditionalFormatting>
  <conditionalFormatting sqref="AI47">
    <cfRule type="expression" dxfId="3479" priority="19">
      <formula>AND(IF(OR($Q47=1,$Q47=2),1,0),IF($X47&lt;=20,1,0))</formula>
    </cfRule>
    <cfRule type="expression" dxfId="3478" priority="20">
      <formula>AND(IF($Q47=2,1,0),IF($X47&lt;30,1,0))</formula>
    </cfRule>
    <cfRule type="expression" dxfId="3477" priority="21">
      <formula>AND(IF($Q47=3,1,0),IF($X47&lt;30,1,0))</formula>
    </cfRule>
    <cfRule type="expression" dxfId="3476" priority="22">
      <formula>AND(IF($Q47=3,1,IF($Q47=4,1,0)),IF($F47&lt;=85,1,0))</formula>
    </cfRule>
  </conditionalFormatting>
  <conditionalFormatting sqref="AV48">
    <cfRule type="expression" dxfId="3475" priority="17">
      <formula>AV48="X"</formula>
    </cfRule>
    <cfRule type="expression" dxfId="3474" priority="18">
      <formula>AV48="후보"</formula>
    </cfRule>
  </conditionalFormatting>
  <conditionalFormatting sqref="AC48">
    <cfRule type="cellIs" dxfId="3473" priority="15" operator="greaterThan">
      <formula>0.9</formula>
    </cfRule>
    <cfRule type="cellIs" dxfId="3472" priority="16" operator="greaterThan">
      <formula>0.85</formula>
    </cfRule>
  </conditionalFormatting>
  <conditionalFormatting sqref="N48">
    <cfRule type="cellIs" dxfId="3471" priority="13" operator="greaterThan">
      <formula>0.9</formula>
    </cfRule>
    <cfRule type="cellIs" dxfId="3470" priority="14" operator="greaterThan">
      <formula>0.85</formula>
    </cfRule>
  </conditionalFormatting>
  <conditionalFormatting sqref="E48">
    <cfRule type="expression" dxfId="3469" priority="9">
      <formula>AND(IF(OR($Q48=1,$Q48=2),1,0),IF($X48&lt;=20,1,0))</formula>
    </cfRule>
    <cfRule type="expression" dxfId="3468" priority="10">
      <formula>AND(IF($Q48=2,1,0),IF($X48&lt;30,1,0))</formula>
    </cfRule>
    <cfRule type="expression" dxfId="3467" priority="11">
      <formula>AND(IF($Q48=3,1,0),IF($X48&lt;30,1,0))</formula>
    </cfRule>
    <cfRule type="expression" dxfId="3466" priority="12">
      <formula>AND(IF($Q48=3,1,IF($Q48=4,1,0)),IF($F48&lt;=85,1,0))</formula>
    </cfRule>
  </conditionalFormatting>
  <conditionalFormatting sqref="X48">
    <cfRule type="expression" dxfId="3465" priority="5">
      <formula>AND(IF(OR($Q48=1,$Q48=2),1,0),IF($X48&lt;=20,1,0))</formula>
    </cfRule>
    <cfRule type="expression" dxfId="3464" priority="6">
      <formula>AND(IF($Q48=2,1,0),IF($X48&lt;30,1,0))</formula>
    </cfRule>
    <cfRule type="expression" dxfId="3463" priority="7">
      <formula>AND(IF($Q48=3,1,0),IF($X48&lt;30,1,0))</formula>
    </cfRule>
    <cfRule type="expression" dxfId="3462" priority="8">
      <formula>AND(IF($Q48=3,1,IF($Q48=4,1,0)),IF($F48&lt;=85,1,0))</formula>
    </cfRule>
  </conditionalFormatting>
  <conditionalFormatting sqref="AI48">
    <cfRule type="expression" dxfId="3461" priority="1">
      <formula>AND(IF(OR($Q48=1,$Q48=2),1,0),IF($X48&lt;=20,1,0))</formula>
    </cfRule>
    <cfRule type="expression" dxfId="3460" priority="2">
      <formula>AND(IF($Q48=2,1,0),IF($X48&lt;30,1,0))</formula>
    </cfRule>
    <cfRule type="expression" dxfId="3459" priority="3">
      <formula>AND(IF($Q48=3,1,0),IF($X48&lt;30,1,0))</formula>
    </cfRule>
    <cfRule type="expression" dxfId="3458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사정동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798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사정동 금호타운2단지('96.11.,358^)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794</v>
      </c>
      <c r="B6" s="10" t="s">
        <v>1326</v>
      </c>
      <c r="C6" s="89">
        <v>358</v>
      </c>
      <c r="D6" s="87">
        <v>76.2</v>
      </c>
      <c r="E6" s="88">
        <v>23</v>
      </c>
      <c r="F6" s="87">
        <v>59.6</v>
      </c>
      <c r="G6" s="17">
        <v>18</v>
      </c>
      <c r="H6" s="89">
        <v>150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1</v>
      </c>
      <c r="S6" s="80" t="s">
        <v>61</v>
      </c>
      <c r="T6" s="5">
        <v>76</v>
      </c>
      <c r="U6" s="9"/>
      <c r="W6" s="87">
        <f>D6</f>
        <v>76.2</v>
      </c>
      <c r="X6" s="88">
        <f>E6</f>
        <v>23</v>
      </c>
      <c r="Y6" s="93">
        <f>H6</f>
        <v>150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3/1</v>
      </c>
      <c r="AH6" s="20" t="str">
        <f t="shared" si="1"/>
        <v>금호타운2단지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794</v>
      </c>
      <c r="B7" s="10" t="s">
        <v>1326</v>
      </c>
      <c r="C7" s="89">
        <v>358</v>
      </c>
      <c r="D7" s="87">
        <v>103</v>
      </c>
      <c r="E7" s="88">
        <v>31</v>
      </c>
      <c r="F7" s="87">
        <v>84.6</v>
      </c>
      <c r="G7" s="17">
        <v>26</v>
      </c>
      <c r="H7" s="89">
        <v>208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61</v>
      </c>
      <c r="T7" s="5">
        <v>102</v>
      </c>
      <c r="U7" s="9"/>
      <c r="W7" s="87">
        <f>D7</f>
        <v>103</v>
      </c>
      <c r="X7" s="88">
        <f>E7</f>
        <v>31</v>
      </c>
      <c r="Y7" s="93">
        <f>H7</f>
        <v>208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금호타운2단지</v>
      </c>
      <c r="AI7" s="88">
        <f t="shared" si="0"/>
        <v>31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7" t="str">
        <f>$A$4&amp;" "&amp;A9&amp;"("&amp;B9&amp;","&amp;C9&amp;"^)"</f>
        <v>사정동 금호타운1단지('93.02.,342^)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800</v>
      </c>
      <c r="B9" s="10" t="s">
        <v>1327</v>
      </c>
      <c r="C9" s="89">
        <v>342</v>
      </c>
      <c r="D9" s="87">
        <v>89.4</v>
      </c>
      <c r="E9" s="88">
        <v>27</v>
      </c>
      <c r="F9" s="87">
        <v>73.099999999999994</v>
      </c>
      <c r="G9" s="17">
        <v>22</v>
      </c>
      <c r="H9" s="89">
        <v>138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61</v>
      </c>
      <c r="T9" s="5">
        <v>89</v>
      </c>
      <c r="U9" s="9"/>
      <c r="W9" s="87">
        <f>D9</f>
        <v>89.4</v>
      </c>
      <c r="X9" s="88">
        <f>E9</f>
        <v>27</v>
      </c>
      <c r="Y9" s="93">
        <f>H9</f>
        <v>138</v>
      </c>
      <c r="Z9" s="91">
        <f>I9</f>
        <v>0</v>
      </c>
      <c r="AA9" s="91">
        <f>K9</f>
        <v>0</v>
      </c>
      <c r="AB9" s="91">
        <f t="shared" ref="AB9:AD10" si="3">M9</f>
        <v>0</v>
      </c>
      <c r="AC9" s="4" t="str">
        <f t="shared" si="3"/>
        <v/>
      </c>
      <c r="AD9" s="92">
        <f t="shared" si="3"/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금호타운1단지</v>
      </c>
      <c r="AI9" s="88">
        <f t="shared" si="0"/>
        <v>27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/>
      </c>
    </row>
    <row r="10" spans="1:48" x14ac:dyDescent="0.3">
      <c r="A10" s="9" t="s">
        <v>800</v>
      </c>
      <c r="B10" s="10" t="s">
        <v>1327</v>
      </c>
      <c r="C10" s="89">
        <v>342</v>
      </c>
      <c r="D10" s="87">
        <v>102</v>
      </c>
      <c r="E10" s="88">
        <v>31</v>
      </c>
      <c r="F10" s="87">
        <v>84.8</v>
      </c>
      <c r="G10" s="17">
        <v>26</v>
      </c>
      <c r="H10" s="89">
        <v>204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61</v>
      </c>
      <c r="T10" s="5">
        <v>102</v>
      </c>
      <c r="U10" s="9"/>
      <c r="W10" s="87">
        <f>D10</f>
        <v>102</v>
      </c>
      <c r="X10" s="88">
        <f>E10</f>
        <v>31</v>
      </c>
      <c r="Y10" s="93">
        <f>H10</f>
        <v>204</v>
      </c>
      <c r="Z10" s="91">
        <f>I10</f>
        <v>0</v>
      </c>
      <c r="AA10" s="91">
        <f>K10</f>
        <v>0</v>
      </c>
      <c r="AB10" s="91">
        <f t="shared" si="3"/>
        <v>0</v>
      </c>
      <c r="AC10" s="4" t="str">
        <f t="shared" si="3"/>
        <v/>
      </c>
      <c r="AD10" s="92">
        <f t="shared" si="3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금호타운1단지</v>
      </c>
      <c r="AI10" s="88">
        <f t="shared" si="0"/>
        <v>31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3457" priority="77">
      <formula>AV4="X"</formula>
    </cfRule>
    <cfRule type="expression" dxfId="3456" priority="78">
      <formula>AV4="후보"</formula>
    </cfRule>
  </conditionalFormatting>
  <conditionalFormatting sqref="AC1:AC2 AC4:AC6 N4:N5">
    <cfRule type="cellIs" dxfId="3455" priority="75" operator="greaterThan">
      <formula>0.9</formula>
    </cfRule>
    <cfRule type="cellIs" dxfId="3454" priority="76" operator="greaterThan">
      <formula>0.85</formula>
    </cfRule>
  </conditionalFormatting>
  <conditionalFormatting sqref="N1:N2">
    <cfRule type="cellIs" dxfId="3453" priority="73" operator="greaterThan">
      <formula>0.9</formula>
    </cfRule>
    <cfRule type="cellIs" dxfId="3452" priority="74" operator="greaterThan">
      <formula>0.85</formula>
    </cfRule>
  </conditionalFormatting>
  <conditionalFormatting sqref="N6">
    <cfRule type="cellIs" dxfId="3451" priority="71" operator="greaterThan">
      <formula>0.9</formula>
    </cfRule>
    <cfRule type="cellIs" dxfId="3450" priority="72" operator="greaterThan">
      <formula>0.85</formula>
    </cfRule>
  </conditionalFormatting>
  <conditionalFormatting sqref="E6">
    <cfRule type="expression" dxfId="3449" priority="67">
      <formula>AND(IF(OR($Q6=1,$Q6=2),1,0),IF($X6&lt;=20,1,0))</formula>
    </cfRule>
    <cfRule type="expression" dxfId="3448" priority="68">
      <formula>AND(IF($Q6=2,1,0),IF($X6&lt;30,1,0))</formula>
    </cfRule>
    <cfRule type="expression" dxfId="3447" priority="69">
      <formula>AND(IF($Q6=3,1,0),IF($X6&lt;30,1,0))</formula>
    </cfRule>
    <cfRule type="expression" dxfId="3446" priority="70">
      <formula>AND(IF($Q6=3,1,IF($Q6=4,1,0)),IF($F6&lt;=85,1,0))</formula>
    </cfRule>
  </conditionalFormatting>
  <conditionalFormatting sqref="X6">
    <cfRule type="expression" dxfId="3445" priority="63">
      <formula>AND(IF(OR($Q6=1,$Q6=2),1,0),IF($X6&lt;=20,1,0))</formula>
    </cfRule>
    <cfRule type="expression" dxfId="3444" priority="64">
      <formula>AND(IF($Q6=2,1,0),IF($X6&lt;30,1,0))</formula>
    </cfRule>
    <cfRule type="expression" dxfId="3443" priority="65">
      <formula>AND(IF($Q6=3,1,0),IF($X6&lt;30,1,0))</formula>
    </cfRule>
    <cfRule type="expression" dxfId="3442" priority="66">
      <formula>AND(IF($Q6=3,1,IF($Q6=4,1,0)),IF($F6&lt;=85,1,0))</formula>
    </cfRule>
  </conditionalFormatting>
  <conditionalFormatting sqref="AI6">
    <cfRule type="expression" dxfId="3441" priority="59">
      <formula>AND(IF(OR($Q6=1,$Q6=2),1,0),IF($X6&lt;=20,1,0))</formula>
    </cfRule>
    <cfRule type="expression" dxfId="3440" priority="60">
      <formula>AND(IF($Q6=2,1,0),IF($X6&lt;30,1,0))</formula>
    </cfRule>
    <cfRule type="expression" dxfId="3439" priority="61">
      <formula>AND(IF($Q6=3,1,0),IF($X6&lt;30,1,0))</formula>
    </cfRule>
    <cfRule type="expression" dxfId="3438" priority="62">
      <formula>AND(IF($Q6=3,1,IF($Q6=4,1,0)),IF($F6&lt;=85,1,0))</formula>
    </cfRule>
  </conditionalFormatting>
  <conditionalFormatting sqref="AV7">
    <cfRule type="expression" dxfId="3437" priority="57">
      <formula>AV7="X"</formula>
    </cfRule>
    <cfRule type="expression" dxfId="3436" priority="58">
      <formula>AV7="후보"</formula>
    </cfRule>
  </conditionalFormatting>
  <conditionalFormatting sqref="AC7">
    <cfRule type="cellIs" dxfId="3435" priority="55" operator="greaterThan">
      <formula>0.9</formula>
    </cfRule>
    <cfRule type="cellIs" dxfId="3434" priority="56" operator="greaterThan">
      <formula>0.85</formula>
    </cfRule>
  </conditionalFormatting>
  <conditionalFormatting sqref="N7">
    <cfRule type="cellIs" dxfId="3433" priority="53" operator="greaterThan">
      <formula>0.9</formula>
    </cfRule>
    <cfRule type="cellIs" dxfId="3432" priority="54" operator="greaterThan">
      <formula>0.85</formula>
    </cfRule>
  </conditionalFormatting>
  <conditionalFormatting sqref="E7">
    <cfRule type="expression" dxfId="3431" priority="49">
      <formula>AND(IF(OR($Q7=1,$Q7=2),1,0),IF($X7&lt;=20,1,0))</formula>
    </cfRule>
    <cfRule type="expression" dxfId="3430" priority="50">
      <formula>AND(IF($Q7=2,1,0),IF($X7&lt;30,1,0))</formula>
    </cfRule>
    <cfRule type="expression" dxfId="3429" priority="51">
      <formula>AND(IF($Q7=3,1,0),IF($X7&lt;30,1,0))</formula>
    </cfRule>
    <cfRule type="expression" dxfId="3428" priority="52">
      <formula>AND(IF($Q7=3,1,IF($Q7=4,1,0)),IF($F7&lt;=85,1,0))</formula>
    </cfRule>
  </conditionalFormatting>
  <conditionalFormatting sqref="X7">
    <cfRule type="expression" dxfId="3427" priority="45">
      <formula>AND(IF(OR($Q7=1,$Q7=2),1,0),IF($X7&lt;=20,1,0))</formula>
    </cfRule>
    <cfRule type="expression" dxfId="3426" priority="46">
      <formula>AND(IF($Q7=2,1,0),IF($X7&lt;30,1,0))</formula>
    </cfRule>
    <cfRule type="expression" dxfId="3425" priority="47">
      <formula>AND(IF($Q7=3,1,0),IF($X7&lt;30,1,0))</formula>
    </cfRule>
    <cfRule type="expression" dxfId="3424" priority="48">
      <formula>AND(IF($Q7=3,1,IF($Q7=4,1,0)),IF($F7&lt;=85,1,0))</formula>
    </cfRule>
  </conditionalFormatting>
  <conditionalFormatting sqref="AI7">
    <cfRule type="expression" dxfId="3423" priority="41">
      <formula>AND(IF(OR($Q7=1,$Q7=2),1,0),IF($X7&lt;=20,1,0))</formula>
    </cfRule>
    <cfRule type="expression" dxfId="3422" priority="42">
      <formula>AND(IF($Q7=2,1,0),IF($X7&lt;30,1,0))</formula>
    </cfRule>
    <cfRule type="expression" dxfId="3421" priority="43">
      <formula>AND(IF($Q7=3,1,0),IF($X7&lt;30,1,0))</formula>
    </cfRule>
    <cfRule type="expression" dxfId="3420" priority="44">
      <formula>AND(IF($Q7=3,1,IF($Q7=4,1,0)),IF($F7&lt;=85,1,0))</formula>
    </cfRule>
  </conditionalFormatting>
  <conditionalFormatting sqref="AV8">
    <cfRule type="expression" dxfId="3419" priority="39">
      <formula>AV8="X"</formula>
    </cfRule>
    <cfRule type="expression" dxfId="3418" priority="40">
      <formula>AV8="후보"</formula>
    </cfRule>
  </conditionalFormatting>
  <conditionalFormatting sqref="AC8 N8">
    <cfRule type="cellIs" dxfId="3417" priority="37" operator="greaterThan">
      <formula>0.9</formula>
    </cfRule>
    <cfRule type="cellIs" dxfId="3416" priority="38" operator="greaterThan">
      <formula>0.85</formula>
    </cfRule>
  </conditionalFormatting>
  <conditionalFormatting sqref="AV9">
    <cfRule type="expression" dxfId="3415" priority="35">
      <formula>AV9="X"</formula>
    </cfRule>
    <cfRule type="expression" dxfId="3414" priority="36">
      <formula>AV9="후보"</formula>
    </cfRule>
  </conditionalFormatting>
  <conditionalFormatting sqref="AC9">
    <cfRule type="cellIs" dxfId="3413" priority="33" operator="greaterThan">
      <formula>0.9</formula>
    </cfRule>
    <cfRule type="cellIs" dxfId="3412" priority="34" operator="greaterThan">
      <formula>0.85</formula>
    </cfRule>
  </conditionalFormatting>
  <conditionalFormatting sqref="N9">
    <cfRule type="cellIs" dxfId="3411" priority="31" operator="greaterThan">
      <formula>0.9</formula>
    </cfRule>
    <cfRule type="cellIs" dxfId="3410" priority="32" operator="greaterThan">
      <formula>0.85</formula>
    </cfRule>
  </conditionalFormatting>
  <conditionalFormatting sqref="E9">
    <cfRule type="expression" dxfId="3409" priority="27">
      <formula>AND(IF(OR($Q9=1,$Q9=2),1,0),IF($X9&lt;=20,1,0))</formula>
    </cfRule>
    <cfRule type="expression" dxfId="3408" priority="28">
      <formula>AND(IF($Q9=2,1,0),IF($X9&lt;30,1,0))</formula>
    </cfRule>
    <cfRule type="expression" dxfId="3407" priority="29">
      <formula>AND(IF($Q9=3,1,0),IF($X9&lt;30,1,0))</formula>
    </cfRule>
    <cfRule type="expression" dxfId="3406" priority="30">
      <formula>AND(IF($Q9=3,1,IF($Q9=4,1,0)),IF($F9&lt;=85,1,0))</formula>
    </cfRule>
  </conditionalFormatting>
  <conditionalFormatting sqref="X9">
    <cfRule type="expression" dxfId="3405" priority="23">
      <formula>AND(IF(OR($Q9=1,$Q9=2),1,0),IF($X9&lt;=20,1,0))</formula>
    </cfRule>
    <cfRule type="expression" dxfId="3404" priority="24">
      <formula>AND(IF($Q9=2,1,0),IF($X9&lt;30,1,0))</formula>
    </cfRule>
    <cfRule type="expression" dxfId="3403" priority="25">
      <formula>AND(IF($Q9=3,1,0),IF($X9&lt;30,1,0))</formula>
    </cfRule>
    <cfRule type="expression" dxfId="3402" priority="26">
      <formula>AND(IF($Q9=3,1,IF($Q9=4,1,0)),IF($F9&lt;=85,1,0))</formula>
    </cfRule>
  </conditionalFormatting>
  <conditionalFormatting sqref="AI9">
    <cfRule type="expression" dxfId="3401" priority="19">
      <formula>AND(IF(OR($Q9=1,$Q9=2),1,0),IF($X9&lt;=20,1,0))</formula>
    </cfRule>
    <cfRule type="expression" dxfId="3400" priority="20">
      <formula>AND(IF($Q9=2,1,0),IF($X9&lt;30,1,0))</formula>
    </cfRule>
    <cfRule type="expression" dxfId="3399" priority="21">
      <formula>AND(IF($Q9=3,1,0),IF($X9&lt;30,1,0))</formula>
    </cfRule>
    <cfRule type="expression" dxfId="3398" priority="22">
      <formula>AND(IF($Q9=3,1,IF($Q9=4,1,0)),IF($F9&lt;=85,1,0))</formula>
    </cfRule>
  </conditionalFormatting>
  <conditionalFormatting sqref="AV10">
    <cfRule type="expression" dxfId="3397" priority="17">
      <formula>AV10="X"</formula>
    </cfRule>
    <cfRule type="expression" dxfId="3396" priority="18">
      <formula>AV10="후보"</formula>
    </cfRule>
  </conditionalFormatting>
  <conditionalFormatting sqref="AC10">
    <cfRule type="cellIs" dxfId="3395" priority="15" operator="greaterThan">
      <formula>0.9</formula>
    </cfRule>
    <cfRule type="cellIs" dxfId="3394" priority="16" operator="greaterThan">
      <formula>0.85</formula>
    </cfRule>
  </conditionalFormatting>
  <conditionalFormatting sqref="N10">
    <cfRule type="cellIs" dxfId="3393" priority="13" operator="greaterThan">
      <formula>0.9</formula>
    </cfRule>
    <cfRule type="cellIs" dxfId="3392" priority="14" operator="greaterThan">
      <formula>0.85</formula>
    </cfRule>
  </conditionalFormatting>
  <conditionalFormatting sqref="E10">
    <cfRule type="expression" dxfId="3391" priority="9">
      <formula>AND(IF(OR($Q10=1,$Q10=2),1,0),IF($X10&lt;=20,1,0))</formula>
    </cfRule>
    <cfRule type="expression" dxfId="3390" priority="10">
      <formula>AND(IF($Q10=2,1,0),IF($X10&lt;30,1,0))</formula>
    </cfRule>
    <cfRule type="expression" dxfId="3389" priority="11">
      <formula>AND(IF($Q10=3,1,0),IF($X10&lt;30,1,0))</formula>
    </cfRule>
    <cfRule type="expression" dxfId="3388" priority="12">
      <formula>AND(IF($Q10=3,1,IF($Q10=4,1,0)),IF($F10&lt;=85,1,0))</formula>
    </cfRule>
  </conditionalFormatting>
  <conditionalFormatting sqref="X10">
    <cfRule type="expression" dxfId="3387" priority="5">
      <formula>AND(IF(OR($Q10=1,$Q10=2),1,0),IF($X10&lt;=20,1,0))</formula>
    </cfRule>
    <cfRule type="expression" dxfId="3386" priority="6">
      <formula>AND(IF($Q10=2,1,0),IF($X10&lt;30,1,0))</formula>
    </cfRule>
    <cfRule type="expression" dxfId="3385" priority="7">
      <formula>AND(IF($Q10=3,1,0),IF($X10&lt;30,1,0))</formula>
    </cfRule>
    <cfRule type="expression" dxfId="3384" priority="8">
      <formula>AND(IF($Q10=3,1,IF($Q10=4,1,0)),IF($F10&lt;=85,1,0))</formula>
    </cfRule>
  </conditionalFormatting>
  <conditionalFormatting sqref="AI10">
    <cfRule type="expression" dxfId="3383" priority="1">
      <formula>AND(IF(OR($Q10=1,$Q10=2),1,0),IF($X10&lt;=20,1,0))</formula>
    </cfRule>
    <cfRule type="expression" dxfId="3382" priority="2">
      <formula>AND(IF($Q10=2,1,0),IF($X10&lt;30,1,0))</formula>
    </cfRule>
    <cfRule type="expression" dxfId="3381" priority="3">
      <formula>AND(IF($Q10=3,1,0),IF($X10&lt;30,1,0))</formula>
    </cfRule>
    <cfRule type="expression" dxfId="338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산북동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816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산북동 시영1단지('90.12.,280^)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811</v>
      </c>
      <c r="B6" s="10" t="s">
        <v>1328</v>
      </c>
      <c r="C6" s="89">
        <v>280</v>
      </c>
      <c r="D6" s="87">
        <v>43.9</v>
      </c>
      <c r="E6" s="88">
        <v>13</v>
      </c>
      <c r="F6" s="87">
        <v>34.4</v>
      </c>
      <c r="G6" s="17">
        <v>10</v>
      </c>
      <c r="H6" s="89">
        <v>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61</v>
      </c>
      <c r="T6" s="5" t="s">
        <v>813</v>
      </c>
      <c r="U6" s="9"/>
      <c r="W6" s="87">
        <f t="shared" ref="W6:X9" si="2">D6</f>
        <v>43.9</v>
      </c>
      <c r="X6" s="88">
        <f t="shared" si="2"/>
        <v>13</v>
      </c>
      <c r="Y6" s="93">
        <f t="shared" ref="Y6:Z9" si="3">H6</f>
        <v>40</v>
      </c>
      <c r="Z6" s="91">
        <f t="shared" si="3"/>
        <v>0</v>
      </c>
      <c r="AA6" s="91">
        <f>K6</f>
        <v>0</v>
      </c>
      <c r="AB6" s="91">
        <f t="shared" ref="AB6:AD9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2/1</v>
      </c>
      <c r="AH6" s="20" t="str">
        <f t="shared" si="1"/>
        <v>시영1단지</v>
      </c>
      <c r="AI6" s="88">
        <f t="shared" si="0"/>
        <v>13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811</v>
      </c>
      <c r="B7" s="10" t="s">
        <v>1328</v>
      </c>
      <c r="C7" s="89">
        <v>280</v>
      </c>
      <c r="D7" s="87">
        <v>44.1</v>
      </c>
      <c r="E7" s="88">
        <v>13</v>
      </c>
      <c r="F7" s="87">
        <v>34.700000000000003</v>
      </c>
      <c r="G7" s="17">
        <v>10</v>
      </c>
      <c r="H7" s="89">
        <v>40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2</v>
      </c>
      <c r="R7" s="80">
        <v>1</v>
      </c>
      <c r="S7" s="80" t="s">
        <v>61</v>
      </c>
      <c r="T7" s="5" t="s">
        <v>145</v>
      </c>
      <c r="U7" s="9"/>
      <c r="W7" s="87">
        <f t="shared" si="2"/>
        <v>44.1</v>
      </c>
      <c r="X7" s="88">
        <f t="shared" si="2"/>
        <v>13</v>
      </c>
      <c r="Y7" s="93">
        <f t="shared" si="3"/>
        <v>40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계</v>
      </c>
      <c r="AF7" s="80" t="str">
        <f>Q7&amp;"/"&amp;R7</f>
        <v>2/1</v>
      </c>
      <c r="AH7" s="20" t="str">
        <f t="shared" si="1"/>
        <v>시영1단지</v>
      </c>
      <c r="AI7" s="88">
        <f t="shared" si="0"/>
        <v>13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811</v>
      </c>
      <c r="B8" s="10" t="s">
        <v>1328</v>
      </c>
      <c r="C8" s="89">
        <v>280</v>
      </c>
      <c r="D8" s="87">
        <v>53.4</v>
      </c>
      <c r="E8" s="88">
        <v>16</v>
      </c>
      <c r="F8" s="87">
        <v>43.5</v>
      </c>
      <c r="G8" s="17">
        <v>13</v>
      </c>
      <c r="H8" s="89">
        <v>150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3</v>
      </c>
      <c r="R8" s="80">
        <v>1</v>
      </c>
      <c r="S8" s="80" t="s">
        <v>61</v>
      </c>
      <c r="T8" s="5" t="s">
        <v>129</v>
      </c>
      <c r="U8" s="9"/>
      <c r="W8" s="87">
        <f t="shared" si="2"/>
        <v>53.4</v>
      </c>
      <c r="X8" s="88">
        <f t="shared" si="2"/>
        <v>16</v>
      </c>
      <c r="Y8" s="93">
        <f t="shared" si="3"/>
        <v>150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계</v>
      </c>
      <c r="AF8" s="80" t="str">
        <f>Q8&amp;"/"&amp;R8</f>
        <v>3/1</v>
      </c>
      <c r="AH8" s="20" t="str">
        <f t="shared" si="1"/>
        <v>시영1단지</v>
      </c>
      <c r="AI8" s="88">
        <f t="shared" si="0"/>
        <v>16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 t="s">
        <v>811</v>
      </c>
      <c r="B9" s="10" t="s">
        <v>1328</v>
      </c>
      <c r="C9" s="89">
        <v>280</v>
      </c>
      <c r="D9" s="87">
        <v>54</v>
      </c>
      <c r="E9" s="88">
        <v>16</v>
      </c>
      <c r="F9" s="87">
        <v>44.1</v>
      </c>
      <c r="G9" s="17">
        <v>13</v>
      </c>
      <c r="H9" s="89">
        <v>50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1</v>
      </c>
      <c r="S9" s="80" t="s">
        <v>61</v>
      </c>
      <c r="T9" s="5" t="s">
        <v>128</v>
      </c>
      <c r="U9" s="9"/>
      <c r="W9" s="87">
        <f t="shared" si="2"/>
        <v>54</v>
      </c>
      <c r="X9" s="88">
        <f t="shared" si="2"/>
        <v>16</v>
      </c>
      <c r="Y9" s="93">
        <f t="shared" si="3"/>
        <v>50</v>
      </c>
      <c r="Z9" s="91">
        <f t="shared" si="3"/>
        <v>0</v>
      </c>
      <c r="AA9" s="91">
        <f>K9</f>
        <v>0</v>
      </c>
      <c r="AB9" s="91">
        <f t="shared" si="4"/>
        <v>0</v>
      </c>
      <c r="AC9" s="4" t="str">
        <f t="shared" si="4"/>
        <v/>
      </c>
      <c r="AD9" s="92">
        <f t="shared" si="4"/>
        <v>0</v>
      </c>
      <c r="AE9" s="80" t="str">
        <f>S9</f>
        <v>계</v>
      </c>
      <c r="AF9" s="80" t="str">
        <f>Q9&amp;"/"&amp;R9</f>
        <v>3/1</v>
      </c>
      <c r="AH9" s="20" t="str">
        <f t="shared" si="1"/>
        <v>시영1단지</v>
      </c>
      <c r="AI9" s="88">
        <f t="shared" si="0"/>
        <v>16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7" t="str">
        <f>$A$4&amp;" "&amp;A11&amp;"("&amp;B11&amp;","&amp;C11&amp;"^)"</f>
        <v>산북동 산북대명1차('97.09.,225^)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825</v>
      </c>
      <c r="B11" s="10" t="s">
        <v>1329</v>
      </c>
      <c r="C11" s="89">
        <v>225</v>
      </c>
      <c r="D11" s="87">
        <v>56.1</v>
      </c>
      <c r="E11" s="88">
        <v>17</v>
      </c>
      <c r="F11" s="87">
        <v>40</v>
      </c>
      <c r="G11" s="17">
        <v>12</v>
      </c>
      <c r="H11" s="89">
        <v>225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2</v>
      </c>
      <c r="R11" s="80">
        <v>1</v>
      </c>
      <c r="S11" s="80" t="s">
        <v>76</v>
      </c>
      <c r="T11" s="5">
        <v>56</v>
      </c>
      <c r="U11" s="9"/>
      <c r="W11" s="87">
        <f>D11</f>
        <v>56.1</v>
      </c>
      <c r="X11" s="88">
        <f>E11</f>
        <v>17</v>
      </c>
      <c r="Y11" s="93">
        <f>H11</f>
        <v>225</v>
      </c>
      <c r="Z11" s="91">
        <f>I11</f>
        <v>0</v>
      </c>
      <c r="AA11" s="91">
        <f>K11</f>
        <v>0</v>
      </c>
      <c r="AB11" s="91">
        <f>M11</f>
        <v>0</v>
      </c>
      <c r="AC11" s="4" t="str">
        <f>N11</f>
        <v/>
      </c>
      <c r="AD11" s="92">
        <f>O11</f>
        <v>0</v>
      </c>
      <c r="AE11" s="80" t="str">
        <f>S11</f>
        <v>복</v>
      </c>
      <c r="AF11" s="80" t="str">
        <f>Q11&amp;"/"&amp;R11</f>
        <v>2/1</v>
      </c>
      <c r="AH11" s="20" t="str">
        <f t="shared" si="1"/>
        <v>산북대명1차</v>
      </c>
      <c r="AI11" s="88">
        <f t="shared" si="0"/>
        <v>17</v>
      </c>
      <c r="AJ11" s="80" t="str">
        <f>IF(AI11="","",$AJ$2)</f>
        <v>A-</v>
      </c>
      <c r="AK11" s="80" t="s">
        <v>14</v>
      </c>
      <c r="AL11" s="80" t="s">
        <v>63</v>
      </c>
      <c r="AM11" s="80" t="s">
        <v>64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X</v>
      </c>
      <c r="AV11" s="80" t="str">
        <f>IF(AO11="","",IF(AND(AO11="O",AP11="O",AR11="O",AT11="O",AU11="O"),"후보","X"))</f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7" t="str">
        <f>$A$4&amp;" "&amp;A13&amp;"("&amp;B13&amp;","&amp;C13&amp;"^)"</f>
        <v>산북동 시영2단지('91.11.,200^)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830</v>
      </c>
      <c r="B13" s="10" t="s">
        <v>1330</v>
      </c>
      <c r="C13" s="89">
        <v>200</v>
      </c>
      <c r="D13" s="87">
        <v>44.5</v>
      </c>
      <c r="E13" s="88">
        <v>13</v>
      </c>
      <c r="F13" s="87">
        <v>35.4</v>
      </c>
      <c r="G13" s="17">
        <v>11</v>
      </c>
      <c r="H13" s="89">
        <v>100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2</v>
      </c>
      <c r="R13" s="80">
        <v>1</v>
      </c>
      <c r="S13" s="80" t="s">
        <v>61</v>
      </c>
      <c r="T13" s="5">
        <v>44</v>
      </c>
      <c r="U13" s="9"/>
      <c r="W13" s="87">
        <f>D13</f>
        <v>44.5</v>
      </c>
      <c r="X13" s="88">
        <f>E13</f>
        <v>13</v>
      </c>
      <c r="Y13" s="93">
        <f>H13</f>
        <v>100</v>
      </c>
      <c r="Z13" s="91">
        <f>I13</f>
        <v>0</v>
      </c>
      <c r="AA13" s="91">
        <f>K13</f>
        <v>0</v>
      </c>
      <c r="AB13" s="91">
        <f t="shared" ref="AB13:AD14" si="5">M13</f>
        <v>0</v>
      </c>
      <c r="AC13" s="4" t="str">
        <f t="shared" si="5"/>
        <v/>
      </c>
      <c r="AD13" s="92">
        <f t="shared" si="5"/>
        <v>0</v>
      </c>
      <c r="AE13" s="80" t="str">
        <f>S13</f>
        <v>계</v>
      </c>
      <c r="AF13" s="80" t="str">
        <f>Q13&amp;"/"&amp;R13</f>
        <v>2/1</v>
      </c>
      <c r="AH13" s="20" t="str">
        <f t="shared" si="1"/>
        <v>시영2단지</v>
      </c>
      <c r="AI13" s="88">
        <f t="shared" si="0"/>
        <v>13</v>
      </c>
      <c r="AJ13" s="80" t="str">
        <f>IF(AI13="","",$AJ$2)</f>
        <v>A-</v>
      </c>
      <c r="AK13" s="80" t="s">
        <v>14</v>
      </c>
      <c r="AL13" s="80" t="s">
        <v>63</v>
      </c>
      <c r="AM13" s="80" t="s">
        <v>64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X</v>
      </c>
      <c r="AV13" s="80" t="str">
        <f>IF(AO13="","",IF(AND(AO13="O",AP13="O",AR13="O",AT13="O",AU13="O"),"후보","X"))</f>
        <v/>
      </c>
    </row>
    <row r="14" spans="1:48" x14ac:dyDescent="0.3">
      <c r="A14" s="9" t="s">
        <v>830</v>
      </c>
      <c r="B14" s="10" t="s">
        <v>1330</v>
      </c>
      <c r="C14" s="89">
        <v>200</v>
      </c>
      <c r="D14" s="87">
        <v>59.9</v>
      </c>
      <c r="E14" s="88">
        <v>18</v>
      </c>
      <c r="F14" s="87">
        <v>48.5</v>
      </c>
      <c r="G14" s="17">
        <v>15</v>
      </c>
      <c r="H14" s="89">
        <v>100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1</v>
      </c>
      <c r="S14" s="80" t="s">
        <v>61</v>
      </c>
      <c r="T14" s="5">
        <v>59</v>
      </c>
      <c r="U14" s="9"/>
      <c r="W14" s="87">
        <f>D14</f>
        <v>59.9</v>
      </c>
      <c r="X14" s="88">
        <f>E14</f>
        <v>18</v>
      </c>
      <c r="Y14" s="93">
        <f>H14</f>
        <v>100</v>
      </c>
      <c r="Z14" s="91">
        <f>I14</f>
        <v>0</v>
      </c>
      <c r="AA14" s="91">
        <f>K14</f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80" t="str">
        <f>S14</f>
        <v>계</v>
      </c>
      <c r="AF14" s="80" t="str">
        <f>Q14&amp;"/"&amp;R14</f>
        <v>3/1</v>
      </c>
      <c r="AH14" s="20" t="str">
        <f t="shared" si="1"/>
        <v>시영2단지</v>
      </c>
      <c r="AI14" s="88">
        <f t="shared" si="0"/>
        <v>18</v>
      </c>
      <c r="AJ14" s="80" t="str">
        <f>IF(AI14="","",$AJ$2)</f>
        <v>A-</v>
      </c>
      <c r="AK14" s="80" t="s">
        <v>14</v>
      </c>
      <c r="AL14" s="80" t="s">
        <v>63</v>
      </c>
      <c r="AM14" s="80" t="s">
        <v>64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X</v>
      </c>
      <c r="AV14" s="80" t="str">
        <f>IF(AO14="","",IF(AND(AO14="O",AP14="O",AR14="O",AT14="O",AU14="O"),"후보","X"))</f>
        <v/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7" t="str">
        <f>$A$4&amp;" "&amp;A16&amp;"("&amp;B16&amp;","&amp;C16&amp;"^)"</f>
        <v>산북동 코오롱('94.11.,380^)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842</v>
      </c>
      <c r="B16" s="10" t="s">
        <v>1331</v>
      </c>
      <c r="C16" s="89">
        <v>380</v>
      </c>
      <c r="D16" s="87">
        <v>75.900000000000006</v>
      </c>
      <c r="E16" s="88">
        <v>23</v>
      </c>
      <c r="F16" s="87">
        <v>59.4</v>
      </c>
      <c r="G16" s="17">
        <v>18</v>
      </c>
      <c r="H16" s="89">
        <v>254</v>
      </c>
      <c r="I16" s="90">
        <v>8000</v>
      </c>
      <c r="J16" s="90" t="s">
        <v>72</v>
      </c>
      <c r="K16" s="90">
        <v>8000</v>
      </c>
      <c r="L16" s="90" t="s">
        <v>84</v>
      </c>
      <c r="M16" s="91">
        <f>I16-K16</f>
        <v>0</v>
      </c>
      <c r="N16" s="4">
        <f>IF(ISERROR(K16/I16),"",K16/I16)</f>
        <v>1</v>
      </c>
      <c r="O16" s="92">
        <f>I16/E16</f>
        <v>347.82608695652175</v>
      </c>
      <c r="P16" s="92">
        <f>K16/E16</f>
        <v>347.82608695652175</v>
      </c>
      <c r="Q16" s="80">
        <v>3</v>
      </c>
      <c r="R16" s="80">
        <v>1</v>
      </c>
      <c r="S16" s="80" t="s">
        <v>61</v>
      </c>
      <c r="T16" s="5">
        <v>75</v>
      </c>
      <c r="U16" s="9"/>
      <c r="W16" s="87">
        <f>D16</f>
        <v>75.900000000000006</v>
      </c>
      <c r="X16" s="88">
        <f>E16</f>
        <v>23</v>
      </c>
      <c r="Y16" s="93">
        <f>H16</f>
        <v>254</v>
      </c>
      <c r="Z16" s="91">
        <f>I16</f>
        <v>8000</v>
      </c>
      <c r="AA16" s="91">
        <f>K16</f>
        <v>8000</v>
      </c>
      <c r="AB16" s="91">
        <f t="shared" ref="AB16:AD17" si="6">M16</f>
        <v>0</v>
      </c>
      <c r="AC16" s="4">
        <f t="shared" si="6"/>
        <v>1</v>
      </c>
      <c r="AD16" s="92">
        <f t="shared" si="6"/>
        <v>347.82608695652175</v>
      </c>
      <c r="AE16" s="80" t="str">
        <f>S16</f>
        <v>계</v>
      </c>
      <c r="AF16" s="80" t="str">
        <f>Q16&amp;"/"&amp;R16</f>
        <v>3/1</v>
      </c>
      <c r="AH16" s="20" t="str">
        <f t="shared" si="1"/>
        <v>코오롱</v>
      </c>
      <c r="AI16" s="88">
        <f t="shared" si="0"/>
        <v>23</v>
      </c>
      <c r="AJ16" s="80" t="str">
        <f>IF(AI16="","",$AJ$2)</f>
        <v>A-</v>
      </c>
      <c r="AK16" s="80" t="s">
        <v>14</v>
      </c>
      <c r="AL16" s="80" t="s">
        <v>63</v>
      </c>
      <c r="AM16" s="80" t="s">
        <v>64</v>
      </c>
      <c r="AN16" s="80" t="str">
        <f>IF(AI16="","",$AN$2)</f>
        <v>C</v>
      </c>
      <c r="AO16" s="80" t="str">
        <f>IF(N16="","",IF(N16&gt;=$AO$1/100,"O","X"))</f>
        <v>O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후보</v>
      </c>
    </row>
    <row r="17" spans="1:48" x14ac:dyDescent="0.3">
      <c r="A17" s="9" t="s">
        <v>842</v>
      </c>
      <c r="B17" s="10" t="s">
        <v>1331</v>
      </c>
      <c r="C17" s="89">
        <v>380</v>
      </c>
      <c r="D17" s="87">
        <v>102.9</v>
      </c>
      <c r="E17" s="88">
        <v>31</v>
      </c>
      <c r="F17" s="87">
        <v>84.5</v>
      </c>
      <c r="G17" s="17">
        <v>26</v>
      </c>
      <c r="H17" s="89">
        <v>126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3</v>
      </c>
      <c r="R17" s="80">
        <v>2</v>
      </c>
      <c r="S17" s="80" t="s">
        <v>61</v>
      </c>
      <c r="T17" s="5">
        <v>102</v>
      </c>
      <c r="U17" s="9"/>
      <c r="W17" s="87">
        <f>D17</f>
        <v>102.9</v>
      </c>
      <c r="X17" s="88">
        <f>E17</f>
        <v>31</v>
      </c>
      <c r="Y17" s="93">
        <f>H17</f>
        <v>126</v>
      </c>
      <c r="Z17" s="91">
        <f>I17</f>
        <v>0</v>
      </c>
      <c r="AA17" s="91">
        <f>K17</f>
        <v>0</v>
      </c>
      <c r="AB17" s="91">
        <f t="shared" si="6"/>
        <v>0</v>
      </c>
      <c r="AC17" s="4" t="str">
        <f t="shared" si="6"/>
        <v/>
      </c>
      <c r="AD17" s="92">
        <f t="shared" si="6"/>
        <v>0</v>
      </c>
      <c r="AE17" s="80" t="str">
        <f>S17</f>
        <v>계</v>
      </c>
      <c r="AF17" s="80" t="str">
        <f>Q17&amp;"/"&amp;R17</f>
        <v>3/2</v>
      </c>
      <c r="AH17" s="20" t="str">
        <f t="shared" si="1"/>
        <v>코오롱</v>
      </c>
      <c r="AI17" s="88">
        <f t="shared" si="0"/>
        <v>31</v>
      </c>
      <c r="AJ17" s="80" t="str">
        <f>IF(AI17="","",$AJ$2)</f>
        <v>A-</v>
      </c>
      <c r="AK17" s="80" t="s">
        <v>14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/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7" t="str">
        <f>$A$4&amp;" "&amp;A19&amp;"("&amp;B19&amp;","&amp;C19&amp;"^)"</f>
        <v>산북동 산북주공('89.04.,750^)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847</v>
      </c>
      <c r="B19" s="10" t="s">
        <v>1332</v>
      </c>
      <c r="C19" s="89">
        <v>750</v>
      </c>
      <c r="D19" s="87">
        <v>49.9</v>
      </c>
      <c r="E19" s="88">
        <v>15</v>
      </c>
      <c r="F19" s="87">
        <v>39.700000000000003</v>
      </c>
      <c r="G19" s="17">
        <v>12</v>
      </c>
      <c r="H19" s="89">
        <v>110</v>
      </c>
      <c r="I19" s="90">
        <v>7400</v>
      </c>
      <c r="J19" s="90" t="s">
        <v>68</v>
      </c>
      <c r="K19" s="90"/>
      <c r="L19" s="90"/>
      <c r="M19" s="91">
        <f>I19-K19</f>
        <v>7400</v>
      </c>
      <c r="N19" s="4">
        <f>IF(ISERROR(K19/I19),"",K19/I19)</f>
        <v>0</v>
      </c>
      <c r="O19" s="92">
        <f>I19/E19</f>
        <v>493.33333333333331</v>
      </c>
      <c r="P19" s="92">
        <f>K19/E19</f>
        <v>0</v>
      </c>
      <c r="Q19" s="80">
        <v>2</v>
      </c>
      <c r="R19" s="80">
        <v>1</v>
      </c>
      <c r="S19" s="80" t="s">
        <v>61</v>
      </c>
      <c r="T19" s="5" t="s">
        <v>848</v>
      </c>
      <c r="U19" s="9"/>
      <c r="W19" s="87">
        <f t="shared" ref="W19:X22" si="7">D19</f>
        <v>49.9</v>
      </c>
      <c r="X19" s="88">
        <f t="shared" si="7"/>
        <v>15</v>
      </c>
      <c r="Y19" s="93">
        <f t="shared" ref="Y19:Z22" si="8">H19</f>
        <v>110</v>
      </c>
      <c r="Z19" s="91">
        <f t="shared" si="8"/>
        <v>7400</v>
      </c>
      <c r="AA19" s="91">
        <f>K19</f>
        <v>0</v>
      </c>
      <c r="AB19" s="91">
        <f t="shared" ref="AB19:AD22" si="9">M19</f>
        <v>7400</v>
      </c>
      <c r="AC19" s="4">
        <f t="shared" si="9"/>
        <v>0</v>
      </c>
      <c r="AD19" s="92">
        <f t="shared" si="9"/>
        <v>493.33333333333331</v>
      </c>
      <c r="AE19" s="80" t="str">
        <f>S19</f>
        <v>계</v>
      </c>
      <c r="AF19" s="80" t="str">
        <f>Q19&amp;"/"&amp;R19</f>
        <v>2/1</v>
      </c>
      <c r="AH19" s="20" t="str">
        <f t="shared" si="1"/>
        <v>산북주공</v>
      </c>
      <c r="AI19" s="88">
        <f t="shared" si="0"/>
        <v>15</v>
      </c>
      <c r="AJ19" s="80" t="str">
        <f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847</v>
      </c>
      <c r="B20" s="10" t="s">
        <v>1332</v>
      </c>
      <c r="C20" s="89">
        <v>750</v>
      </c>
      <c r="D20" s="87">
        <v>49.5</v>
      </c>
      <c r="E20" s="88">
        <v>15</v>
      </c>
      <c r="F20" s="87">
        <v>39.299999999999997</v>
      </c>
      <c r="G20" s="17">
        <v>12</v>
      </c>
      <c r="H20" s="89">
        <v>110</v>
      </c>
      <c r="I20" s="90"/>
      <c r="J20" s="90"/>
      <c r="K20" s="90"/>
      <c r="L20" s="90"/>
      <c r="M20" s="91">
        <f>I20-K20</f>
        <v>0</v>
      </c>
      <c r="N20" s="4" t="str">
        <f>IF(ISERROR(K20/I20),"",K20/I20)</f>
        <v/>
      </c>
      <c r="O20" s="92">
        <f>I20/E20</f>
        <v>0</v>
      </c>
      <c r="P20" s="92">
        <f>K20/E20</f>
        <v>0</v>
      </c>
      <c r="Q20" s="80">
        <v>2</v>
      </c>
      <c r="R20" s="80">
        <v>1</v>
      </c>
      <c r="S20" s="80" t="s">
        <v>61</v>
      </c>
      <c r="T20" s="5" t="s">
        <v>146</v>
      </c>
      <c r="U20" s="9"/>
      <c r="W20" s="87">
        <f t="shared" si="7"/>
        <v>49.5</v>
      </c>
      <c r="X20" s="88">
        <f t="shared" si="7"/>
        <v>15</v>
      </c>
      <c r="Y20" s="93">
        <f t="shared" si="8"/>
        <v>110</v>
      </c>
      <c r="Z20" s="91">
        <f t="shared" si="8"/>
        <v>0</v>
      </c>
      <c r="AA20" s="91">
        <f>K20</f>
        <v>0</v>
      </c>
      <c r="AB20" s="91">
        <f t="shared" si="9"/>
        <v>0</v>
      </c>
      <c r="AC20" s="4" t="str">
        <f t="shared" si="9"/>
        <v/>
      </c>
      <c r="AD20" s="92">
        <f t="shared" si="9"/>
        <v>0</v>
      </c>
      <c r="AE20" s="80" t="str">
        <f>S20</f>
        <v>계</v>
      </c>
      <c r="AF20" s="80" t="str">
        <f>Q20&amp;"/"&amp;R20</f>
        <v>2/1</v>
      </c>
      <c r="AH20" s="20" t="str">
        <f t="shared" si="1"/>
        <v>산북주공</v>
      </c>
      <c r="AI20" s="88">
        <f t="shared" si="0"/>
        <v>15</v>
      </c>
      <c r="AJ20" s="80" t="str">
        <f>IF(AI20="","",$AJ$2)</f>
        <v>A-</v>
      </c>
      <c r="AK20" s="80" t="s">
        <v>14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/>
      </c>
      <c r="AP20" s="80" t="str">
        <f>IF(I20="","",IF(I20&lt;=$AP$1,"O","X"))</f>
        <v/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/>
      </c>
    </row>
    <row r="21" spans="1:48" x14ac:dyDescent="0.3">
      <c r="A21" s="9" t="s">
        <v>847</v>
      </c>
      <c r="B21" s="10" t="s">
        <v>1332</v>
      </c>
      <c r="C21" s="89">
        <v>750</v>
      </c>
      <c r="D21" s="87">
        <v>57.9</v>
      </c>
      <c r="E21" s="88">
        <v>18</v>
      </c>
      <c r="F21" s="87">
        <v>47</v>
      </c>
      <c r="G21" s="17">
        <v>14</v>
      </c>
      <c r="H21" s="89">
        <v>290</v>
      </c>
      <c r="I21" s="90">
        <v>8500</v>
      </c>
      <c r="J21" s="90" t="s">
        <v>68</v>
      </c>
      <c r="K21" s="90"/>
      <c r="L21" s="90"/>
      <c r="M21" s="91">
        <f>I21-K21</f>
        <v>8500</v>
      </c>
      <c r="N21" s="4">
        <f>IF(ISERROR(K21/I21),"",K21/I21)</f>
        <v>0</v>
      </c>
      <c r="O21" s="92">
        <f>I21/E21</f>
        <v>472.22222222222223</v>
      </c>
      <c r="P21" s="92">
        <f>K21/E21</f>
        <v>0</v>
      </c>
      <c r="Q21" s="80">
        <v>2</v>
      </c>
      <c r="R21" s="80">
        <v>1</v>
      </c>
      <c r="S21" s="80" t="s">
        <v>61</v>
      </c>
      <c r="T21" s="5">
        <v>57</v>
      </c>
      <c r="U21" s="9"/>
      <c r="W21" s="87">
        <f t="shared" si="7"/>
        <v>57.9</v>
      </c>
      <c r="X21" s="88">
        <f t="shared" si="7"/>
        <v>18</v>
      </c>
      <c r="Y21" s="93">
        <f t="shared" si="8"/>
        <v>290</v>
      </c>
      <c r="Z21" s="91">
        <f t="shared" si="8"/>
        <v>8500</v>
      </c>
      <c r="AA21" s="91">
        <f>K21</f>
        <v>0</v>
      </c>
      <c r="AB21" s="91">
        <f t="shared" si="9"/>
        <v>8500</v>
      </c>
      <c r="AC21" s="4">
        <f t="shared" si="9"/>
        <v>0</v>
      </c>
      <c r="AD21" s="92">
        <f t="shared" si="9"/>
        <v>472.22222222222223</v>
      </c>
      <c r="AE21" s="80" t="str">
        <f>S21</f>
        <v>계</v>
      </c>
      <c r="AF21" s="80" t="str">
        <f>Q21&amp;"/"&amp;R21</f>
        <v>2/1</v>
      </c>
      <c r="AH21" s="20" t="str">
        <f t="shared" si="1"/>
        <v>산북주공</v>
      </c>
      <c r="AI21" s="88">
        <f t="shared" si="0"/>
        <v>18</v>
      </c>
      <c r="AJ21" s="80" t="str">
        <f>IF(AI21="","",$AJ$2)</f>
        <v>A-</v>
      </c>
      <c r="AK21" s="80" t="s">
        <v>14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x14ac:dyDescent="0.3">
      <c r="A22" s="9" t="s">
        <v>847</v>
      </c>
      <c r="B22" s="10" t="s">
        <v>1332</v>
      </c>
      <c r="C22" s="89">
        <v>750</v>
      </c>
      <c r="D22" s="87">
        <v>57.6</v>
      </c>
      <c r="E22" s="88">
        <v>17</v>
      </c>
      <c r="F22" s="87">
        <v>46.7</v>
      </c>
      <c r="G22" s="17">
        <v>14</v>
      </c>
      <c r="H22" s="89">
        <v>240</v>
      </c>
      <c r="I22" s="90">
        <v>8500</v>
      </c>
      <c r="J22" s="90" t="s">
        <v>68</v>
      </c>
      <c r="K22" s="90">
        <v>2500</v>
      </c>
      <c r="L22" s="90" t="s">
        <v>68</v>
      </c>
      <c r="M22" s="91">
        <f>I22-K22</f>
        <v>6000</v>
      </c>
      <c r="N22" s="4">
        <f>IF(ISERROR(K22/I22),"",K22/I22)</f>
        <v>0.29411764705882354</v>
      </c>
      <c r="O22" s="92">
        <f>I22/E22</f>
        <v>500</v>
      </c>
      <c r="P22" s="92">
        <f>K22/E22</f>
        <v>147.05882352941177</v>
      </c>
      <c r="Q22" s="80">
        <v>2</v>
      </c>
      <c r="R22" s="80">
        <v>1</v>
      </c>
      <c r="S22" s="80" t="s">
        <v>61</v>
      </c>
      <c r="T22" s="5">
        <v>57</v>
      </c>
      <c r="U22" s="9"/>
      <c r="W22" s="87">
        <f t="shared" si="7"/>
        <v>57.6</v>
      </c>
      <c r="X22" s="88">
        <f t="shared" si="7"/>
        <v>17</v>
      </c>
      <c r="Y22" s="93">
        <f t="shared" si="8"/>
        <v>240</v>
      </c>
      <c r="Z22" s="91">
        <f t="shared" si="8"/>
        <v>8500</v>
      </c>
      <c r="AA22" s="91">
        <f>K22</f>
        <v>2500</v>
      </c>
      <c r="AB22" s="91">
        <f t="shared" si="9"/>
        <v>6000</v>
      </c>
      <c r="AC22" s="4">
        <f t="shared" si="9"/>
        <v>0.29411764705882354</v>
      </c>
      <c r="AD22" s="92">
        <f t="shared" si="9"/>
        <v>500</v>
      </c>
      <c r="AE22" s="80" t="str">
        <f>S22</f>
        <v>계</v>
      </c>
      <c r="AF22" s="80" t="str">
        <f>Q22&amp;"/"&amp;R22</f>
        <v>2/1</v>
      </c>
      <c r="AH22" s="20" t="str">
        <f t="shared" si="1"/>
        <v>산북주공</v>
      </c>
      <c r="AI22" s="88">
        <f t="shared" si="0"/>
        <v>17</v>
      </c>
      <c r="AJ22" s="80" t="str">
        <f>IF(AI22="","",$AJ$2)</f>
        <v>A-</v>
      </c>
      <c r="AK22" s="80" t="s">
        <v>14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7" t="str">
        <f>$A$4&amp;" "&amp;A24&amp;"("&amp;B24&amp;","&amp;C24&amp;"^)"</f>
        <v>산북동 산북하늘가201동('07.02.,220^)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852</v>
      </c>
      <c r="B24" s="10" t="s">
        <v>1316</v>
      </c>
      <c r="C24" s="89">
        <v>220</v>
      </c>
      <c r="D24" s="87">
        <v>49</v>
      </c>
      <c r="E24" s="88">
        <v>15</v>
      </c>
      <c r="F24" s="87">
        <v>35.9</v>
      </c>
      <c r="G24" s="17">
        <v>11</v>
      </c>
      <c r="H24" s="89">
        <v>220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1</v>
      </c>
      <c r="R24" s="80">
        <v>1</v>
      </c>
      <c r="S24" s="80" t="s">
        <v>61</v>
      </c>
      <c r="T24" s="5">
        <v>48</v>
      </c>
      <c r="U24" s="9"/>
      <c r="W24" s="87">
        <f>D24</f>
        <v>49</v>
      </c>
      <c r="X24" s="88">
        <f>E24</f>
        <v>15</v>
      </c>
      <c r="Y24" s="93">
        <f>H24</f>
        <v>220</v>
      </c>
      <c r="Z24" s="91">
        <f>I24</f>
        <v>0</v>
      </c>
      <c r="AA24" s="91">
        <f>K24</f>
        <v>0</v>
      </c>
      <c r="AB24" s="91">
        <f>M24</f>
        <v>0</v>
      </c>
      <c r="AC24" s="4" t="str">
        <f>N24</f>
        <v/>
      </c>
      <c r="AD24" s="92">
        <f>O24</f>
        <v>0</v>
      </c>
      <c r="AE24" s="80" t="str">
        <f>S24</f>
        <v>계</v>
      </c>
      <c r="AF24" s="80" t="str">
        <f>Q24&amp;"/"&amp;R24</f>
        <v>1/1</v>
      </c>
      <c r="AH24" s="20" t="str">
        <f t="shared" si="1"/>
        <v>산북하늘가201동</v>
      </c>
      <c r="AI24" s="88">
        <f t="shared" si="0"/>
        <v>15</v>
      </c>
      <c r="AJ24" s="80" t="str">
        <f>IF(AI24="","",$AJ$2)</f>
        <v>A-</v>
      </c>
      <c r="AK24" s="80" t="s">
        <v>14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7" t="str">
        <f>$A$4&amp;" "&amp;A26&amp;"("&amp;B26&amp;","&amp;C26&amp;"^)"</f>
        <v>산북동 하늘가1차('01.08.,221^)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856</v>
      </c>
      <c r="B26" s="10" t="s">
        <v>1333</v>
      </c>
      <c r="C26" s="89">
        <v>221</v>
      </c>
      <c r="D26" s="87">
        <v>52</v>
      </c>
      <c r="E26" s="88">
        <v>16</v>
      </c>
      <c r="F26" s="87">
        <v>40</v>
      </c>
      <c r="G26" s="17">
        <v>12</v>
      </c>
      <c r="H26" s="89">
        <v>221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2</v>
      </c>
      <c r="R26" s="80">
        <v>1</v>
      </c>
      <c r="S26" s="80" t="s">
        <v>76</v>
      </c>
      <c r="T26" s="5">
        <v>52</v>
      </c>
      <c r="U26" s="9"/>
      <c r="W26" s="87">
        <f>D26</f>
        <v>52</v>
      </c>
      <c r="X26" s="88">
        <f>E26</f>
        <v>16</v>
      </c>
      <c r="Y26" s="93">
        <f>H26</f>
        <v>221</v>
      </c>
      <c r="Z26" s="91">
        <f>I26</f>
        <v>0</v>
      </c>
      <c r="AA26" s="91">
        <f>K26</f>
        <v>0</v>
      </c>
      <c r="AB26" s="91">
        <f>M26</f>
        <v>0</v>
      </c>
      <c r="AC26" s="4" t="str">
        <f>N26</f>
        <v/>
      </c>
      <c r="AD26" s="92">
        <f>O26</f>
        <v>0</v>
      </c>
      <c r="AE26" s="80" t="str">
        <f>S26</f>
        <v>복</v>
      </c>
      <c r="AF26" s="80" t="str">
        <f>Q26&amp;"/"&amp;R26</f>
        <v>2/1</v>
      </c>
      <c r="AH26" s="20" t="str">
        <f t="shared" si="1"/>
        <v>하늘가1차</v>
      </c>
      <c r="AI26" s="88">
        <f t="shared" si="0"/>
        <v>16</v>
      </c>
      <c r="AJ26" s="80" t="str">
        <f>IF(AI26="","",$AJ$2)</f>
        <v>A-</v>
      </c>
      <c r="AK26" s="80" t="s">
        <v>14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X</v>
      </c>
      <c r="AV26" s="80" t="str">
        <f>IF(AO26="","",IF(AND(AO26="O",AP26="O",AR26="O",AT26="O",AU26="O"),"후보","X"))</f>
        <v/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7" t="str">
        <f>$A$4&amp;" "&amp;A28&amp;"("&amp;B28&amp;","&amp;C28&amp;"^)"</f>
        <v>산북동 산북부향하나로4차('97.12.,404^)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865</v>
      </c>
      <c r="B28" s="10" t="s">
        <v>1297</v>
      </c>
      <c r="C28" s="89">
        <v>404</v>
      </c>
      <c r="D28" s="87">
        <v>40.299999999999997</v>
      </c>
      <c r="E28" s="88">
        <v>12</v>
      </c>
      <c r="F28" s="87">
        <v>30.3</v>
      </c>
      <c r="G28" s="17">
        <v>9</v>
      </c>
      <c r="H28" s="89">
        <v>9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1</v>
      </c>
      <c r="R28" s="80">
        <v>1</v>
      </c>
      <c r="S28" s="80" t="s">
        <v>61</v>
      </c>
      <c r="T28" s="5">
        <v>40</v>
      </c>
      <c r="U28" s="9"/>
      <c r="W28" s="87">
        <f>D28</f>
        <v>40.299999999999997</v>
      </c>
      <c r="X28" s="88">
        <f>E28</f>
        <v>12</v>
      </c>
      <c r="Y28" s="93">
        <f>H28</f>
        <v>9</v>
      </c>
      <c r="Z28" s="91">
        <f>I28</f>
        <v>0</v>
      </c>
      <c r="AA28" s="91">
        <f>K28</f>
        <v>0</v>
      </c>
      <c r="AB28" s="91">
        <f t="shared" ref="AB28:AD29" si="10">M28</f>
        <v>0</v>
      </c>
      <c r="AC28" s="4" t="str">
        <f t="shared" si="10"/>
        <v/>
      </c>
      <c r="AD28" s="92">
        <f t="shared" si="10"/>
        <v>0</v>
      </c>
      <c r="AE28" s="80" t="str">
        <f>S28</f>
        <v>계</v>
      </c>
      <c r="AF28" s="80" t="str">
        <f>Q28&amp;"/"&amp;R28</f>
        <v>1/1</v>
      </c>
      <c r="AH28" s="20" t="str">
        <f t="shared" si="1"/>
        <v>산북부향하나로4차</v>
      </c>
      <c r="AI28" s="88">
        <f t="shared" si="0"/>
        <v>12</v>
      </c>
      <c r="AJ28" s="80" t="str">
        <f>IF(AI28="","",$AJ$2)</f>
        <v>A-</v>
      </c>
      <c r="AK28" s="80" t="s">
        <v>14</v>
      </c>
      <c r="AL28" s="80" t="s">
        <v>63</v>
      </c>
      <c r="AM28" s="80" t="s">
        <v>64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 t="s">
        <v>865</v>
      </c>
      <c r="B29" s="10" t="s">
        <v>1297</v>
      </c>
      <c r="C29" s="89">
        <v>404</v>
      </c>
      <c r="D29" s="87">
        <v>52.1</v>
      </c>
      <c r="E29" s="88">
        <v>16</v>
      </c>
      <c r="F29" s="87">
        <v>39.1</v>
      </c>
      <c r="G29" s="17">
        <v>12</v>
      </c>
      <c r="H29" s="89">
        <v>105</v>
      </c>
      <c r="I29" s="90">
        <v>1900</v>
      </c>
      <c r="J29" s="90" t="s">
        <v>81</v>
      </c>
      <c r="K29" s="90"/>
      <c r="L29" s="90"/>
      <c r="M29" s="91">
        <f>I29-K29</f>
        <v>1900</v>
      </c>
      <c r="N29" s="4">
        <f>IF(ISERROR(K29/I29),"",K29/I29)</f>
        <v>0</v>
      </c>
      <c r="O29" s="92">
        <f>I29/E29</f>
        <v>118.75</v>
      </c>
      <c r="P29" s="92">
        <f>K29/E29</f>
        <v>0</v>
      </c>
      <c r="Q29" s="80">
        <v>1</v>
      </c>
      <c r="R29" s="80">
        <v>1</v>
      </c>
      <c r="S29" s="80" t="s">
        <v>61</v>
      </c>
      <c r="T29" s="5">
        <v>52</v>
      </c>
      <c r="U29" s="9"/>
      <c r="W29" s="87">
        <f>D29</f>
        <v>52.1</v>
      </c>
      <c r="X29" s="88">
        <f>E29</f>
        <v>16</v>
      </c>
      <c r="Y29" s="93">
        <f>H29</f>
        <v>105</v>
      </c>
      <c r="Z29" s="91">
        <f>I29</f>
        <v>1900</v>
      </c>
      <c r="AA29" s="91">
        <f>K29</f>
        <v>0</v>
      </c>
      <c r="AB29" s="91">
        <f t="shared" si="10"/>
        <v>1900</v>
      </c>
      <c r="AC29" s="4">
        <f t="shared" si="10"/>
        <v>0</v>
      </c>
      <c r="AD29" s="92">
        <f t="shared" si="10"/>
        <v>118.75</v>
      </c>
      <c r="AE29" s="80" t="str">
        <f>S29</f>
        <v>계</v>
      </c>
      <c r="AF29" s="80" t="str">
        <f>Q29&amp;"/"&amp;R29</f>
        <v>1/1</v>
      </c>
      <c r="AH29" s="20" t="str">
        <f t="shared" si="1"/>
        <v>산북부향하나로4차</v>
      </c>
      <c r="AI29" s="88">
        <f t="shared" si="0"/>
        <v>16</v>
      </c>
      <c r="AJ29" s="80" t="str">
        <f>IF(AI29="","",$AJ$2)</f>
        <v>A-</v>
      </c>
      <c r="AK29" s="80" t="s">
        <v>14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산북동 부향하나로1차('97.03.,349^)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889</v>
      </c>
      <c r="B31" s="10" t="s">
        <v>1334</v>
      </c>
      <c r="C31" s="89">
        <v>349</v>
      </c>
      <c r="D31" s="87">
        <v>35.6</v>
      </c>
      <c r="E31" s="88">
        <v>11</v>
      </c>
      <c r="F31" s="87">
        <v>27</v>
      </c>
      <c r="G31" s="17">
        <v>8</v>
      </c>
      <c r="H31" s="89">
        <v>54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1</v>
      </c>
      <c r="R31" s="80">
        <v>1</v>
      </c>
      <c r="S31" s="80" t="s">
        <v>76</v>
      </c>
      <c r="T31" s="5">
        <v>35</v>
      </c>
      <c r="U31" s="9"/>
      <c r="W31" s="87">
        <f>D31</f>
        <v>35.6</v>
      </c>
      <c r="X31" s="88">
        <f>E31</f>
        <v>11</v>
      </c>
      <c r="Y31" s="93">
        <f>H31</f>
        <v>54</v>
      </c>
      <c r="Z31" s="91">
        <f>I31</f>
        <v>0</v>
      </c>
      <c r="AA31" s="91">
        <f>K31</f>
        <v>0</v>
      </c>
      <c r="AB31" s="91">
        <f t="shared" ref="AB31:AD32" si="11">M31</f>
        <v>0</v>
      </c>
      <c r="AC31" s="4" t="str">
        <f t="shared" si="11"/>
        <v/>
      </c>
      <c r="AD31" s="92">
        <f t="shared" si="11"/>
        <v>0</v>
      </c>
      <c r="AE31" s="80" t="str">
        <f>S31</f>
        <v>복</v>
      </c>
      <c r="AF31" s="80" t="str">
        <f>Q31&amp;"/"&amp;R31</f>
        <v>1/1</v>
      </c>
      <c r="AH31" s="20" t="str">
        <f t="shared" si="1"/>
        <v>부향하나로1차</v>
      </c>
      <c r="AI31" s="88">
        <f t="shared" si="0"/>
        <v>11</v>
      </c>
      <c r="AJ31" s="80" t="str">
        <f>IF(AI31="","",$AJ$2)</f>
        <v>A-</v>
      </c>
      <c r="AK31" s="80" t="s">
        <v>14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x14ac:dyDescent="0.3">
      <c r="A32" s="9" t="s">
        <v>889</v>
      </c>
      <c r="B32" s="10" t="s">
        <v>1334</v>
      </c>
      <c r="C32" s="89">
        <v>349</v>
      </c>
      <c r="D32" s="87">
        <v>51.5</v>
      </c>
      <c r="E32" s="88">
        <v>16</v>
      </c>
      <c r="F32" s="87">
        <v>39</v>
      </c>
      <c r="G32" s="17">
        <v>12</v>
      </c>
      <c r="H32" s="89">
        <v>295</v>
      </c>
      <c r="I32" s="90">
        <v>2100</v>
      </c>
      <c r="J32" s="90" t="s">
        <v>71</v>
      </c>
      <c r="K32" s="90"/>
      <c r="L32" s="90"/>
      <c r="M32" s="91">
        <f>I32-K32</f>
        <v>2100</v>
      </c>
      <c r="N32" s="4">
        <f>IF(ISERROR(K32/I32),"",K32/I32)</f>
        <v>0</v>
      </c>
      <c r="O32" s="92">
        <f>I32/E32</f>
        <v>131.25</v>
      </c>
      <c r="P32" s="92">
        <f>K32/E32</f>
        <v>0</v>
      </c>
      <c r="Q32" s="80">
        <v>2</v>
      </c>
      <c r="R32" s="80">
        <v>1</v>
      </c>
      <c r="S32" s="80" t="s">
        <v>76</v>
      </c>
      <c r="T32" s="5">
        <v>51</v>
      </c>
      <c r="U32" s="9"/>
      <c r="W32" s="87">
        <f>D32</f>
        <v>51.5</v>
      </c>
      <c r="X32" s="88">
        <f>E32</f>
        <v>16</v>
      </c>
      <c r="Y32" s="93">
        <f>H32</f>
        <v>295</v>
      </c>
      <c r="Z32" s="91">
        <f>I32</f>
        <v>2100</v>
      </c>
      <c r="AA32" s="91">
        <f>K32</f>
        <v>0</v>
      </c>
      <c r="AB32" s="91">
        <f t="shared" si="11"/>
        <v>2100</v>
      </c>
      <c r="AC32" s="4">
        <f t="shared" si="11"/>
        <v>0</v>
      </c>
      <c r="AD32" s="92">
        <f t="shared" si="11"/>
        <v>131.25</v>
      </c>
      <c r="AE32" s="80" t="str">
        <f>S32</f>
        <v>복</v>
      </c>
      <c r="AF32" s="80" t="str">
        <f>Q32&amp;"/"&amp;R32</f>
        <v>2/1</v>
      </c>
      <c r="AH32" s="20" t="str">
        <f t="shared" si="1"/>
        <v>부향하나로1차</v>
      </c>
      <c r="AI32" s="88">
        <f t="shared" si="0"/>
        <v>16</v>
      </c>
      <c r="AJ32" s="80" t="str">
        <f>IF(AI32="","",$AJ$2)</f>
        <v>A-</v>
      </c>
      <c r="AK32" s="80" t="s">
        <v>14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</sheetData>
  <mergeCells count="1">
    <mergeCell ref="AJ1:AN1"/>
  </mergeCells>
  <phoneticPr fontId="2" type="noConversion"/>
  <conditionalFormatting sqref="AV4:AV6">
    <cfRule type="expression" dxfId="3379" priority="375">
      <formula>AV4="X"</formula>
    </cfRule>
    <cfRule type="expression" dxfId="3378" priority="376">
      <formula>AV4="후보"</formula>
    </cfRule>
  </conditionalFormatting>
  <conditionalFormatting sqref="AC1:AC2 AC4:AC6 N4:N5">
    <cfRule type="cellIs" dxfId="3377" priority="373" operator="greaterThan">
      <formula>0.9</formula>
    </cfRule>
    <cfRule type="cellIs" dxfId="3376" priority="374" operator="greaterThan">
      <formula>0.85</formula>
    </cfRule>
  </conditionalFormatting>
  <conditionalFormatting sqref="N1:N2">
    <cfRule type="cellIs" dxfId="3375" priority="371" operator="greaterThan">
      <formula>0.9</formula>
    </cfRule>
    <cfRule type="cellIs" dxfId="3374" priority="372" operator="greaterThan">
      <formula>0.85</formula>
    </cfRule>
  </conditionalFormatting>
  <conditionalFormatting sqref="N6">
    <cfRule type="cellIs" dxfId="3373" priority="369" operator="greaterThan">
      <formula>0.9</formula>
    </cfRule>
    <cfRule type="cellIs" dxfId="3372" priority="370" operator="greaterThan">
      <formula>0.85</formula>
    </cfRule>
  </conditionalFormatting>
  <conditionalFormatting sqref="E6">
    <cfRule type="expression" dxfId="3371" priority="365">
      <formula>AND(IF(OR($Q6=1,$Q6=2),1,0),IF($X6&lt;=20,1,0))</formula>
    </cfRule>
    <cfRule type="expression" dxfId="3370" priority="366">
      <formula>AND(IF($Q6=2,1,0),IF($X6&lt;30,1,0))</formula>
    </cfRule>
    <cfRule type="expression" dxfId="3369" priority="367">
      <formula>AND(IF($Q6=3,1,0),IF($X6&lt;30,1,0))</formula>
    </cfRule>
    <cfRule type="expression" dxfId="3368" priority="368">
      <formula>AND(IF($Q6=3,1,IF($Q6=4,1,0)),IF($F6&lt;=85,1,0))</formula>
    </cfRule>
  </conditionalFormatting>
  <conditionalFormatting sqref="X6">
    <cfRule type="expression" dxfId="3367" priority="361">
      <formula>AND(IF(OR($Q6=1,$Q6=2),1,0),IF($X6&lt;=20,1,0))</formula>
    </cfRule>
    <cfRule type="expression" dxfId="3366" priority="362">
      <formula>AND(IF($Q6=2,1,0),IF($X6&lt;30,1,0))</formula>
    </cfRule>
    <cfRule type="expression" dxfId="3365" priority="363">
      <formula>AND(IF($Q6=3,1,0),IF($X6&lt;30,1,0))</formula>
    </cfRule>
    <cfRule type="expression" dxfId="3364" priority="364">
      <formula>AND(IF($Q6=3,1,IF($Q6=4,1,0)),IF($F6&lt;=85,1,0))</formula>
    </cfRule>
  </conditionalFormatting>
  <conditionalFormatting sqref="AI6">
    <cfRule type="expression" dxfId="3363" priority="357">
      <formula>AND(IF(OR($Q6=1,$Q6=2),1,0),IF($X6&lt;=20,1,0))</formula>
    </cfRule>
    <cfRule type="expression" dxfId="3362" priority="358">
      <formula>AND(IF($Q6=2,1,0),IF($X6&lt;30,1,0))</formula>
    </cfRule>
    <cfRule type="expression" dxfId="3361" priority="359">
      <formula>AND(IF($Q6=3,1,0),IF($X6&lt;30,1,0))</formula>
    </cfRule>
    <cfRule type="expression" dxfId="3360" priority="360">
      <formula>AND(IF($Q6=3,1,IF($Q6=4,1,0)),IF($F6&lt;=85,1,0))</formula>
    </cfRule>
  </conditionalFormatting>
  <conditionalFormatting sqref="AV7">
    <cfRule type="expression" dxfId="3359" priority="355">
      <formula>AV7="X"</formula>
    </cfRule>
    <cfRule type="expression" dxfId="3358" priority="356">
      <formula>AV7="후보"</formula>
    </cfRule>
  </conditionalFormatting>
  <conditionalFormatting sqref="AC7">
    <cfRule type="cellIs" dxfId="3357" priority="353" operator="greaterThan">
      <formula>0.9</formula>
    </cfRule>
    <cfRule type="cellIs" dxfId="3356" priority="354" operator="greaterThan">
      <formula>0.85</formula>
    </cfRule>
  </conditionalFormatting>
  <conditionalFormatting sqref="N7">
    <cfRule type="cellIs" dxfId="3355" priority="351" operator="greaterThan">
      <formula>0.9</formula>
    </cfRule>
    <cfRule type="cellIs" dxfId="3354" priority="352" operator="greaterThan">
      <formula>0.85</formula>
    </cfRule>
  </conditionalFormatting>
  <conditionalFormatting sqref="E7">
    <cfRule type="expression" dxfId="3353" priority="347">
      <formula>AND(IF(OR($Q7=1,$Q7=2),1,0),IF($X7&lt;=20,1,0))</formula>
    </cfRule>
    <cfRule type="expression" dxfId="3352" priority="348">
      <formula>AND(IF($Q7=2,1,0),IF($X7&lt;30,1,0))</formula>
    </cfRule>
    <cfRule type="expression" dxfId="3351" priority="349">
      <formula>AND(IF($Q7=3,1,0),IF($X7&lt;30,1,0))</formula>
    </cfRule>
    <cfRule type="expression" dxfId="3350" priority="350">
      <formula>AND(IF($Q7=3,1,IF($Q7=4,1,0)),IF($F7&lt;=85,1,0))</formula>
    </cfRule>
  </conditionalFormatting>
  <conditionalFormatting sqref="X7">
    <cfRule type="expression" dxfId="3349" priority="343">
      <formula>AND(IF(OR($Q7=1,$Q7=2),1,0),IF($X7&lt;=20,1,0))</formula>
    </cfRule>
    <cfRule type="expression" dxfId="3348" priority="344">
      <formula>AND(IF($Q7=2,1,0),IF($X7&lt;30,1,0))</formula>
    </cfRule>
    <cfRule type="expression" dxfId="3347" priority="345">
      <formula>AND(IF($Q7=3,1,0),IF($X7&lt;30,1,0))</formula>
    </cfRule>
    <cfRule type="expression" dxfId="3346" priority="346">
      <formula>AND(IF($Q7=3,1,IF($Q7=4,1,0)),IF($F7&lt;=85,1,0))</formula>
    </cfRule>
  </conditionalFormatting>
  <conditionalFormatting sqref="AI7">
    <cfRule type="expression" dxfId="3345" priority="339">
      <formula>AND(IF(OR($Q7=1,$Q7=2),1,0),IF($X7&lt;=20,1,0))</formula>
    </cfRule>
    <cfRule type="expression" dxfId="3344" priority="340">
      <formula>AND(IF($Q7=2,1,0),IF($X7&lt;30,1,0))</formula>
    </cfRule>
    <cfRule type="expression" dxfId="3343" priority="341">
      <formula>AND(IF($Q7=3,1,0),IF($X7&lt;30,1,0))</formula>
    </cfRule>
    <cfRule type="expression" dxfId="3342" priority="342">
      <formula>AND(IF($Q7=3,1,IF($Q7=4,1,0)),IF($F7&lt;=85,1,0))</formula>
    </cfRule>
  </conditionalFormatting>
  <conditionalFormatting sqref="AV8">
    <cfRule type="expression" dxfId="3341" priority="337">
      <formula>AV8="X"</formula>
    </cfRule>
    <cfRule type="expression" dxfId="3340" priority="338">
      <formula>AV8="후보"</formula>
    </cfRule>
  </conditionalFormatting>
  <conditionalFormatting sqref="AC8">
    <cfRule type="cellIs" dxfId="3339" priority="335" operator="greaterThan">
      <formula>0.9</formula>
    </cfRule>
    <cfRule type="cellIs" dxfId="3338" priority="336" operator="greaterThan">
      <formula>0.85</formula>
    </cfRule>
  </conditionalFormatting>
  <conditionalFormatting sqref="N8">
    <cfRule type="cellIs" dxfId="3337" priority="333" operator="greaterThan">
      <formula>0.9</formula>
    </cfRule>
    <cfRule type="cellIs" dxfId="3336" priority="334" operator="greaterThan">
      <formula>0.85</formula>
    </cfRule>
  </conditionalFormatting>
  <conditionalFormatting sqref="E8">
    <cfRule type="expression" dxfId="3335" priority="329">
      <formula>AND(IF(OR($Q8=1,$Q8=2),1,0),IF($X8&lt;=20,1,0))</formula>
    </cfRule>
    <cfRule type="expression" dxfId="3334" priority="330">
      <formula>AND(IF($Q8=2,1,0),IF($X8&lt;30,1,0))</formula>
    </cfRule>
    <cfRule type="expression" dxfId="3333" priority="331">
      <formula>AND(IF($Q8=3,1,0),IF($X8&lt;30,1,0))</formula>
    </cfRule>
    <cfRule type="expression" dxfId="3332" priority="332">
      <formula>AND(IF($Q8=3,1,IF($Q8=4,1,0)),IF($F8&lt;=85,1,0))</formula>
    </cfRule>
  </conditionalFormatting>
  <conditionalFormatting sqref="X8">
    <cfRule type="expression" dxfId="3331" priority="325">
      <formula>AND(IF(OR($Q8=1,$Q8=2),1,0),IF($X8&lt;=20,1,0))</formula>
    </cfRule>
    <cfRule type="expression" dxfId="3330" priority="326">
      <formula>AND(IF($Q8=2,1,0),IF($X8&lt;30,1,0))</formula>
    </cfRule>
    <cfRule type="expression" dxfId="3329" priority="327">
      <formula>AND(IF($Q8=3,1,0),IF($X8&lt;30,1,0))</formula>
    </cfRule>
    <cfRule type="expression" dxfId="3328" priority="328">
      <formula>AND(IF($Q8=3,1,IF($Q8=4,1,0)),IF($F8&lt;=85,1,0))</formula>
    </cfRule>
  </conditionalFormatting>
  <conditionalFormatting sqref="AI8">
    <cfRule type="expression" dxfId="3327" priority="321">
      <formula>AND(IF(OR($Q8=1,$Q8=2),1,0),IF($X8&lt;=20,1,0))</formula>
    </cfRule>
    <cfRule type="expression" dxfId="3326" priority="322">
      <formula>AND(IF($Q8=2,1,0),IF($X8&lt;30,1,0))</formula>
    </cfRule>
    <cfRule type="expression" dxfId="3325" priority="323">
      <formula>AND(IF($Q8=3,1,0),IF($X8&lt;30,1,0))</formula>
    </cfRule>
    <cfRule type="expression" dxfId="3324" priority="324">
      <formula>AND(IF($Q8=3,1,IF($Q8=4,1,0)),IF($F8&lt;=85,1,0))</formula>
    </cfRule>
  </conditionalFormatting>
  <conditionalFormatting sqref="AV9">
    <cfRule type="expression" dxfId="3323" priority="319">
      <formula>AV9="X"</formula>
    </cfRule>
    <cfRule type="expression" dxfId="3322" priority="320">
      <formula>AV9="후보"</formula>
    </cfRule>
  </conditionalFormatting>
  <conditionalFormatting sqref="AC9">
    <cfRule type="cellIs" dxfId="3321" priority="317" operator="greaterThan">
      <formula>0.9</formula>
    </cfRule>
    <cfRule type="cellIs" dxfId="3320" priority="318" operator="greaterThan">
      <formula>0.85</formula>
    </cfRule>
  </conditionalFormatting>
  <conditionalFormatting sqref="N9">
    <cfRule type="cellIs" dxfId="3319" priority="315" operator="greaterThan">
      <formula>0.9</formula>
    </cfRule>
    <cfRule type="cellIs" dxfId="3318" priority="316" operator="greaterThan">
      <formula>0.85</formula>
    </cfRule>
  </conditionalFormatting>
  <conditionalFormatting sqref="E9">
    <cfRule type="expression" dxfId="3317" priority="311">
      <formula>AND(IF(OR($Q9=1,$Q9=2),1,0),IF($X9&lt;=20,1,0))</formula>
    </cfRule>
    <cfRule type="expression" dxfId="3316" priority="312">
      <formula>AND(IF($Q9=2,1,0),IF($X9&lt;30,1,0))</formula>
    </cfRule>
    <cfRule type="expression" dxfId="3315" priority="313">
      <formula>AND(IF($Q9=3,1,0),IF($X9&lt;30,1,0))</formula>
    </cfRule>
    <cfRule type="expression" dxfId="3314" priority="314">
      <formula>AND(IF($Q9=3,1,IF($Q9=4,1,0)),IF($F9&lt;=85,1,0))</formula>
    </cfRule>
  </conditionalFormatting>
  <conditionalFormatting sqref="X9">
    <cfRule type="expression" dxfId="3313" priority="307">
      <formula>AND(IF(OR($Q9=1,$Q9=2),1,0),IF($X9&lt;=20,1,0))</formula>
    </cfRule>
    <cfRule type="expression" dxfId="3312" priority="308">
      <formula>AND(IF($Q9=2,1,0),IF($X9&lt;30,1,0))</formula>
    </cfRule>
    <cfRule type="expression" dxfId="3311" priority="309">
      <formula>AND(IF($Q9=3,1,0),IF($X9&lt;30,1,0))</formula>
    </cfRule>
    <cfRule type="expression" dxfId="3310" priority="310">
      <formula>AND(IF($Q9=3,1,IF($Q9=4,1,0)),IF($F9&lt;=85,1,0))</formula>
    </cfRule>
  </conditionalFormatting>
  <conditionalFormatting sqref="AI9">
    <cfRule type="expression" dxfId="3309" priority="303">
      <formula>AND(IF(OR($Q9=1,$Q9=2),1,0),IF($X9&lt;=20,1,0))</formula>
    </cfRule>
    <cfRule type="expression" dxfId="3308" priority="304">
      <formula>AND(IF($Q9=2,1,0),IF($X9&lt;30,1,0))</formula>
    </cfRule>
    <cfRule type="expression" dxfId="3307" priority="305">
      <formula>AND(IF($Q9=3,1,0),IF($X9&lt;30,1,0))</formula>
    </cfRule>
    <cfRule type="expression" dxfId="3306" priority="306">
      <formula>AND(IF($Q9=3,1,IF($Q9=4,1,0)),IF($F9&lt;=85,1,0))</formula>
    </cfRule>
  </conditionalFormatting>
  <conditionalFormatting sqref="AV10">
    <cfRule type="expression" dxfId="3305" priority="301">
      <formula>AV10="X"</formula>
    </cfRule>
    <cfRule type="expression" dxfId="3304" priority="302">
      <formula>AV10="후보"</formula>
    </cfRule>
  </conditionalFormatting>
  <conditionalFormatting sqref="AC10 N10">
    <cfRule type="cellIs" dxfId="3303" priority="299" operator="greaterThan">
      <formula>0.9</formula>
    </cfRule>
    <cfRule type="cellIs" dxfId="3302" priority="300" operator="greaterThan">
      <formula>0.85</formula>
    </cfRule>
  </conditionalFormatting>
  <conditionalFormatting sqref="AV11">
    <cfRule type="expression" dxfId="3301" priority="297">
      <formula>AV11="X"</formula>
    </cfRule>
    <cfRule type="expression" dxfId="3300" priority="298">
      <formula>AV11="후보"</formula>
    </cfRule>
  </conditionalFormatting>
  <conditionalFormatting sqref="AC11">
    <cfRule type="cellIs" dxfId="3299" priority="295" operator="greaterThan">
      <formula>0.9</formula>
    </cfRule>
    <cfRule type="cellIs" dxfId="3298" priority="296" operator="greaterThan">
      <formula>0.85</formula>
    </cfRule>
  </conditionalFormatting>
  <conditionalFormatting sqref="N11">
    <cfRule type="cellIs" dxfId="3297" priority="293" operator="greaterThan">
      <formula>0.9</formula>
    </cfRule>
    <cfRule type="cellIs" dxfId="3296" priority="294" operator="greaterThan">
      <formula>0.85</formula>
    </cfRule>
  </conditionalFormatting>
  <conditionalFormatting sqref="E11">
    <cfRule type="expression" dxfId="3295" priority="289">
      <formula>AND(IF(OR($Q11=1,$Q11=2),1,0),IF($X11&lt;=20,1,0))</formula>
    </cfRule>
    <cfRule type="expression" dxfId="3294" priority="290">
      <formula>AND(IF($Q11=2,1,0),IF($X11&lt;30,1,0))</formula>
    </cfRule>
    <cfRule type="expression" dxfId="3293" priority="291">
      <formula>AND(IF($Q11=3,1,0),IF($X11&lt;30,1,0))</formula>
    </cfRule>
    <cfRule type="expression" dxfId="3292" priority="292">
      <formula>AND(IF($Q11=3,1,IF($Q11=4,1,0)),IF($F11&lt;=85,1,0))</formula>
    </cfRule>
  </conditionalFormatting>
  <conditionalFormatting sqref="X11">
    <cfRule type="expression" dxfId="3291" priority="285">
      <formula>AND(IF(OR($Q11=1,$Q11=2),1,0),IF($X11&lt;=20,1,0))</formula>
    </cfRule>
    <cfRule type="expression" dxfId="3290" priority="286">
      <formula>AND(IF($Q11=2,1,0),IF($X11&lt;30,1,0))</formula>
    </cfRule>
    <cfRule type="expression" dxfId="3289" priority="287">
      <formula>AND(IF($Q11=3,1,0),IF($X11&lt;30,1,0))</formula>
    </cfRule>
    <cfRule type="expression" dxfId="3288" priority="288">
      <formula>AND(IF($Q11=3,1,IF($Q11=4,1,0)),IF($F11&lt;=85,1,0))</formula>
    </cfRule>
  </conditionalFormatting>
  <conditionalFormatting sqref="AI11">
    <cfRule type="expression" dxfId="3287" priority="281">
      <formula>AND(IF(OR($Q11=1,$Q11=2),1,0),IF($X11&lt;=20,1,0))</formula>
    </cfRule>
    <cfRule type="expression" dxfId="3286" priority="282">
      <formula>AND(IF($Q11=2,1,0),IF($X11&lt;30,1,0))</formula>
    </cfRule>
    <cfRule type="expression" dxfId="3285" priority="283">
      <formula>AND(IF($Q11=3,1,0),IF($X11&lt;30,1,0))</formula>
    </cfRule>
    <cfRule type="expression" dxfId="3284" priority="284">
      <formula>AND(IF($Q11=3,1,IF($Q11=4,1,0)),IF($F11&lt;=85,1,0))</formula>
    </cfRule>
  </conditionalFormatting>
  <conditionalFormatting sqref="AV12">
    <cfRule type="expression" dxfId="3283" priority="279">
      <formula>AV12="X"</formula>
    </cfRule>
    <cfRule type="expression" dxfId="3282" priority="280">
      <formula>AV12="후보"</formula>
    </cfRule>
  </conditionalFormatting>
  <conditionalFormatting sqref="AC12 N12">
    <cfRule type="cellIs" dxfId="3281" priority="277" operator="greaterThan">
      <formula>0.9</formula>
    </cfRule>
    <cfRule type="cellIs" dxfId="3280" priority="278" operator="greaterThan">
      <formula>0.85</formula>
    </cfRule>
  </conditionalFormatting>
  <conditionalFormatting sqref="AV13">
    <cfRule type="expression" dxfId="3279" priority="275">
      <formula>AV13="X"</formula>
    </cfRule>
    <cfRule type="expression" dxfId="3278" priority="276">
      <formula>AV13="후보"</formula>
    </cfRule>
  </conditionalFormatting>
  <conditionalFormatting sqref="AC13">
    <cfRule type="cellIs" dxfId="3277" priority="273" operator="greaterThan">
      <formula>0.9</formula>
    </cfRule>
    <cfRule type="cellIs" dxfId="3276" priority="274" operator="greaterThan">
      <formula>0.85</formula>
    </cfRule>
  </conditionalFormatting>
  <conditionalFormatting sqref="N13">
    <cfRule type="cellIs" dxfId="3275" priority="271" operator="greaterThan">
      <formula>0.9</formula>
    </cfRule>
    <cfRule type="cellIs" dxfId="3274" priority="272" operator="greaterThan">
      <formula>0.85</formula>
    </cfRule>
  </conditionalFormatting>
  <conditionalFormatting sqref="E13">
    <cfRule type="expression" dxfId="3273" priority="267">
      <formula>AND(IF(OR($Q13=1,$Q13=2),1,0),IF($X13&lt;=20,1,0))</formula>
    </cfRule>
    <cfRule type="expression" dxfId="3272" priority="268">
      <formula>AND(IF($Q13=2,1,0),IF($X13&lt;30,1,0))</formula>
    </cfRule>
    <cfRule type="expression" dxfId="3271" priority="269">
      <formula>AND(IF($Q13=3,1,0),IF($X13&lt;30,1,0))</formula>
    </cfRule>
    <cfRule type="expression" dxfId="3270" priority="270">
      <formula>AND(IF($Q13=3,1,IF($Q13=4,1,0)),IF($F13&lt;=85,1,0))</formula>
    </cfRule>
  </conditionalFormatting>
  <conditionalFormatting sqref="X13">
    <cfRule type="expression" dxfId="3269" priority="263">
      <formula>AND(IF(OR($Q13=1,$Q13=2),1,0),IF($X13&lt;=20,1,0))</formula>
    </cfRule>
    <cfRule type="expression" dxfId="3268" priority="264">
      <formula>AND(IF($Q13=2,1,0),IF($X13&lt;30,1,0))</formula>
    </cfRule>
    <cfRule type="expression" dxfId="3267" priority="265">
      <formula>AND(IF($Q13=3,1,0),IF($X13&lt;30,1,0))</formula>
    </cfRule>
    <cfRule type="expression" dxfId="3266" priority="266">
      <formula>AND(IF($Q13=3,1,IF($Q13=4,1,0)),IF($F13&lt;=85,1,0))</formula>
    </cfRule>
  </conditionalFormatting>
  <conditionalFormatting sqref="AI13">
    <cfRule type="expression" dxfId="3265" priority="259">
      <formula>AND(IF(OR($Q13=1,$Q13=2),1,0),IF($X13&lt;=20,1,0))</formula>
    </cfRule>
    <cfRule type="expression" dxfId="3264" priority="260">
      <formula>AND(IF($Q13=2,1,0),IF($X13&lt;30,1,0))</formula>
    </cfRule>
    <cfRule type="expression" dxfId="3263" priority="261">
      <formula>AND(IF($Q13=3,1,0),IF($X13&lt;30,1,0))</formula>
    </cfRule>
    <cfRule type="expression" dxfId="3262" priority="262">
      <formula>AND(IF($Q13=3,1,IF($Q13=4,1,0)),IF($F13&lt;=85,1,0))</formula>
    </cfRule>
  </conditionalFormatting>
  <conditionalFormatting sqref="AV14">
    <cfRule type="expression" dxfId="3261" priority="257">
      <formula>AV14="X"</formula>
    </cfRule>
    <cfRule type="expression" dxfId="3260" priority="258">
      <formula>AV14="후보"</formula>
    </cfRule>
  </conditionalFormatting>
  <conditionalFormatting sqref="AC14">
    <cfRule type="cellIs" dxfId="3259" priority="255" operator="greaterThan">
      <formula>0.9</formula>
    </cfRule>
    <cfRule type="cellIs" dxfId="3258" priority="256" operator="greaterThan">
      <formula>0.85</formula>
    </cfRule>
  </conditionalFormatting>
  <conditionalFormatting sqref="N14">
    <cfRule type="cellIs" dxfId="3257" priority="253" operator="greaterThan">
      <formula>0.9</formula>
    </cfRule>
    <cfRule type="cellIs" dxfId="3256" priority="254" operator="greaterThan">
      <formula>0.85</formula>
    </cfRule>
  </conditionalFormatting>
  <conditionalFormatting sqref="E14">
    <cfRule type="expression" dxfId="3255" priority="249">
      <formula>AND(IF(OR($Q14=1,$Q14=2),1,0),IF($X14&lt;=20,1,0))</formula>
    </cfRule>
    <cfRule type="expression" dxfId="3254" priority="250">
      <formula>AND(IF($Q14=2,1,0),IF($X14&lt;30,1,0))</formula>
    </cfRule>
    <cfRule type="expression" dxfId="3253" priority="251">
      <formula>AND(IF($Q14=3,1,0),IF($X14&lt;30,1,0))</formula>
    </cfRule>
    <cfRule type="expression" dxfId="3252" priority="252">
      <formula>AND(IF($Q14=3,1,IF($Q14=4,1,0)),IF($F14&lt;=85,1,0))</formula>
    </cfRule>
  </conditionalFormatting>
  <conditionalFormatting sqref="X14">
    <cfRule type="expression" dxfId="3251" priority="245">
      <formula>AND(IF(OR($Q14=1,$Q14=2),1,0),IF($X14&lt;=20,1,0))</formula>
    </cfRule>
    <cfRule type="expression" dxfId="3250" priority="246">
      <formula>AND(IF($Q14=2,1,0),IF($X14&lt;30,1,0))</formula>
    </cfRule>
    <cfRule type="expression" dxfId="3249" priority="247">
      <formula>AND(IF($Q14=3,1,0),IF($X14&lt;30,1,0))</formula>
    </cfRule>
    <cfRule type="expression" dxfId="3248" priority="248">
      <formula>AND(IF($Q14=3,1,IF($Q14=4,1,0)),IF($F14&lt;=85,1,0))</formula>
    </cfRule>
  </conditionalFormatting>
  <conditionalFormatting sqref="AI14">
    <cfRule type="expression" dxfId="3247" priority="241">
      <formula>AND(IF(OR($Q14=1,$Q14=2),1,0),IF($X14&lt;=20,1,0))</formula>
    </cfRule>
    <cfRule type="expression" dxfId="3246" priority="242">
      <formula>AND(IF($Q14=2,1,0),IF($X14&lt;30,1,0))</formula>
    </cfRule>
    <cfRule type="expression" dxfId="3245" priority="243">
      <formula>AND(IF($Q14=3,1,0),IF($X14&lt;30,1,0))</formula>
    </cfRule>
    <cfRule type="expression" dxfId="3244" priority="244">
      <formula>AND(IF($Q14=3,1,IF($Q14=4,1,0)),IF($F14&lt;=85,1,0))</formula>
    </cfRule>
  </conditionalFormatting>
  <conditionalFormatting sqref="AV15">
    <cfRule type="expression" dxfId="3243" priority="239">
      <formula>AV15="X"</formula>
    </cfRule>
    <cfRule type="expression" dxfId="3242" priority="240">
      <formula>AV15="후보"</formula>
    </cfRule>
  </conditionalFormatting>
  <conditionalFormatting sqref="AC15 N15">
    <cfRule type="cellIs" dxfId="3241" priority="237" operator="greaterThan">
      <formula>0.9</formula>
    </cfRule>
    <cfRule type="cellIs" dxfId="3240" priority="238" operator="greaterThan">
      <formula>0.85</formula>
    </cfRule>
  </conditionalFormatting>
  <conditionalFormatting sqref="AV16">
    <cfRule type="expression" dxfId="3239" priority="235">
      <formula>AV16="X"</formula>
    </cfRule>
    <cfRule type="expression" dxfId="3238" priority="236">
      <formula>AV16="후보"</formula>
    </cfRule>
  </conditionalFormatting>
  <conditionalFormatting sqref="AC16">
    <cfRule type="cellIs" dxfId="3237" priority="233" operator="greaterThan">
      <formula>0.9</formula>
    </cfRule>
    <cfRule type="cellIs" dxfId="3236" priority="234" operator="greaterThan">
      <formula>0.85</formula>
    </cfRule>
  </conditionalFormatting>
  <conditionalFormatting sqref="N16">
    <cfRule type="cellIs" dxfId="3235" priority="231" operator="greaterThan">
      <formula>0.9</formula>
    </cfRule>
    <cfRule type="cellIs" dxfId="3234" priority="232" operator="greaterThan">
      <formula>0.85</formula>
    </cfRule>
  </conditionalFormatting>
  <conditionalFormatting sqref="E16">
    <cfRule type="expression" dxfId="3233" priority="227">
      <formula>AND(IF(OR($Q16=1,$Q16=2),1,0),IF($X16&lt;=20,1,0))</formula>
    </cfRule>
    <cfRule type="expression" dxfId="3232" priority="228">
      <formula>AND(IF($Q16=2,1,0),IF($X16&lt;30,1,0))</formula>
    </cfRule>
    <cfRule type="expression" dxfId="3231" priority="229">
      <formula>AND(IF($Q16=3,1,0),IF($X16&lt;30,1,0))</formula>
    </cfRule>
    <cfRule type="expression" dxfId="3230" priority="230">
      <formula>AND(IF($Q16=3,1,IF($Q16=4,1,0)),IF($F16&lt;=85,1,0))</formula>
    </cfRule>
  </conditionalFormatting>
  <conditionalFormatting sqref="X16">
    <cfRule type="expression" dxfId="3229" priority="223">
      <formula>AND(IF(OR($Q16=1,$Q16=2),1,0),IF($X16&lt;=20,1,0))</formula>
    </cfRule>
    <cfRule type="expression" dxfId="3228" priority="224">
      <formula>AND(IF($Q16=2,1,0),IF($X16&lt;30,1,0))</formula>
    </cfRule>
    <cfRule type="expression" dxfId="3227" priority="225">
      <formula>AND(IF($Q16=3,1,0),IF($X16&lt;30,1,0))</formula>
    </cfRule>
    <cfRule type="expression" dxfId="3226" priority="226">
      <formula>AND(IF($Q16=3,1,IF($Q16=4,1,0)),IF($F16&lt;=85,1,0))</formula>
    </cfRule>
  </conditionalFormatting>
  <conditionalFormatting sqref="AI16">
    <cfRule type="expression" dxfId="3225" priority="219">
      <formula>AND(IF(OR($Q16=1,$Q16=2),1,0),IF($X16&lt;=20,1,0))</formula>
    </cfRule>
    <cfRule type="expression" dxfId="3224" priority="220">
      <formula>AND(IF($Q16=2,1,0),IF($X16&lt;30,1,0))</formula>
    </cfRule>
    <cfRule type="expression" dxfId="3223" priority="221">
      <formula>AND(IF($Q16=3,1,0),IF($X16&lt;30,1,0))</formula>
    </cfRule>
    <cfRule type="expression" dxfId="3222" priority="222">
      <formula>AND(IF($Q16=3,1,IF($Q16=4,1,0)),IF($F16&lt;=85,1,0))</formula>
    </cfRule>
  </conditionalFormatting>
  <conditionalFormatting sqref="AV17">
    <cfRule type="expression" dxfId="3221" priority="217">
      <formula>AV17="X"</formula>
    </cfRule>
    <cfRule type="expression" dxfId="3220" priority="218">
      <formula>AV17="후보"</formula>
    </cfRule>
  </conditionalFormatting>
  <conditionalFormatting sqref="AC17">
    <cfRule type="cellIs" dxfId="3219" priority="215" operator="greaterThan">
      <formula>0.9</formula>
    </cfRule>
    <cfRule type="cellIs" dxfId="3218" priority="216" operator="greaterThan">
      <formula>0.85</formula>
    </cfRule>
  </conditionalFormatting>
  <conditionalFormatting sqref="N17">
    <cfRule type="cellIs" dxfId="3217" priority="213" operator="greaterThan">
      <formula>0.9</formula>
    </cfRule>
    <cfRule type="cellIs" dxfId="3216" priority="214" operator="greaterThan">
      <formula>0.85</formula>
    </cfRule>
  </conditionalFormatting>
  <conditionalFormatting sqref="E17">
    <cfRule type="expression" dxfId="3215" priority="209">
      <formula>AND(IF(OR($Q17=1,$Q17=2),1,0),IF($X17&lt;=20,1,0))</formula>
    </cfRule>
    <cfRule type="expression" dxfId="3214" priority="210">
      <formula>AND(IF($Q17=2,1,0),IF($X17&lt;30,1,0))</formula>
    </cfRule>
    <cfRule type="expression" dxfId="3213" priority="211">
      <formula>AND(IF($Q17=3,1,0),IF($X17&lt;30,1,0))</formula>
    </cfRule>
    <cfRule type="expression" dxfId="3212" priority="212">
      <formula>AND(IF($Q17=3,1,IF($Q17=4,1,0)),IF($F17&lt;=85,1,0))</formula>
    </cfRule>
  </conditionalFormatting>
  <conditionalFormatting sqref="X17">
    <cfRule type="expression" dxfId="3211" priority="205">
      <formula>AND(IF(OR($Q17=1,$Q17=2),1,0),IF($X17&lt;=20,1,0))</formula>
    </cfRule>
    <cfRule type="expression" dxfId="3210" priority="206">
      <formula>AND(IF($Q17=2,1,0),IF($X17&lt;30,1,0))</formula>
    </cfRule>
    <cfRule type="expression" dxfId="3209" priority="207">
      <formula>AND(IF($Q17=3,1,0),IF($X17&lt;30,1,0))</formula>
    </cfRule>
    <cfRule type="expression" dxfId="3208" priority="208">
      <formula>AND(IF($Q17=3,1,IF($Q17=4,1,0)),IF($F17&lt;=85,1,0))</formula>
    </cfRule>
  </conditionalFormatting>
  <conditionalFormatting sqref="AI17">
    <cfRule type="expression" dxfId="3207" priority="201">
      <formula>AND(IF(OR($Q17=1,$Q17=2),1,0),IF($X17&lt;=20,1,0))</formula>
    </cfRule>
    <cfRule type="expression" dxfId="3206" priority="202">
      <formula>AND(IF($Q17=2,1,0),IF($X17&lt;30,1,0))</formula>
    </cfRule>
    <cfRule type="expression" dxfId="3205" priority="203">
      <formula>AND(IF($Q17=3,1,0),IF($X17&lt;30,1,0))</formula>
    </cfRule>
    <cfRule type="expression" dxfId="3204" priority="204">
      <formula>AND(IF($Q17=3,1,IF($Q17=4,1,0)),IF($F17&lt;=85,1,0))</formula>
    </cfRule>
  </conditionalFormatting>
  <conditionalFormatting sqref="AV18">
    <cfRule type="expression" dxfId="3203" priority="199">
      <formula>AV18="X"</formula>
    </cfRule>
    <cfRule type="expression" dxfId="3202" priority="200">
      <formula>AV18="후보"</formula>
    </cfRule>
  </conditionalFormatting>
  <conditionalFormatting sqref="AC18 N18">
    <cfRule type="cellIs" dxfId="3201" priority="197" operator="greaterThan">
      <formula>0.9</formula>
    </cfRule>
    <cfRule type="cellIs" dxfId="3200" priority="198" operator="greaterThan">
      <formula>0.85</formula>
    </cfRule>
  </conditionalFormatting>
  <conditionalFormatting sqref="AV19">
    <cfRule type="expression" dxfId="3199" priority="195">
      <formula>AV19="X"</formula>
    </cfRule>
    <cfRule type="expression" dxfId="3198" priority="196">
      <formula>AV19="후보"</formula>
    </cfRule>
  </conditionalFormatting>
  <conditionalFormatting sqref="AC19">
    <cfRule type="cellIs" dxfId="3197" priority="193" operator="greaterThan">
      <formula>0.9</formula>
    </cfRule>
    <cfRule type="cellIs" dxfId="3196" priority="194" operator="greaterThan">
      <formula>0.85</formula>
    </cfRule>
  </conditionalFormatting>
  <conditionalFormatting sqref="N19">
    <cfRule type="cellIs" dxfId="3195" priority="191" operator="greaterThan">
      <formula>0.9</formula>
    </cfRule>
    <cfRule type="cellIs" dxfId="3194" priority="192" operator="greaterThan">
      <formula>0.85</formula>
    </cfRule>
  </conditionalFormatting>
  <conditionalFormatting sqref="E19">
    <cfRule type="expression" dxfId="3193" priority="187">
      <formula>AND(IF(OR($Q19=1,$Q19=2),1,0),IF($X19&lt;=20,1,0))</formula>
    </cfRule>
    <cfRule type="expression" dxfId="3192" priority="188">
      <formula>AND(IF($Q19=2,1,0),IF($X19&lt;30,1,0))</formula>
    </cfRule>
    <cfRule type="expression" dxfId="3191" priority="189">
      <formula>AND(IF($Q19=3,1,0),IF($X19&lt;30,1,0))</formula>
    </cfRule>
    <cfRule type="expression" dxfId="3190" priority="190">
      <formula>AND(IF($Q19=3,1,IF($Q19=4,1,0)),IF($F19&lt;=85,1,0))</formula>
    </cfRule>
  </conditionalFormatting>
  <conditionalFormatting sqref="X19">
    <cfRule type="expression" dxfId="3189" priority="183">
      <formula>AND(IF(OR($Q19=1,$Q19=2),1,0),IF($X19&lt;=20,1,0))</formula>
    </cfRule>
    <cfRule type="expression" dxfId="3188" priority="184">
      <formula>AND(IF($Q19=2,1,0),IF($X19&lt;30,1,0))</formula>
    </cfRule>
    <cfRule type="expression" dxfId="3187" priority="185">
      <formula>AND(IF($Q19=3,1,0),IF($X19&lt;30,1,0))</formula>
    </cfRule>
    <cfRule type="expression" dxfId="3186" priority="186">
      <formula>AND(IF($Q19=3,1,IF($Q19=4,1,0)),IF($F19&lt;=85,1,0))</formula>
    </cfRule>
  </conditionalFormatting>
  <conditionalFormatting sqref="AI19">
    <cfRule type="expression" dxfId="3185" priority="179">
      <formula>AND(IF(OR($Q19=1,$Q19=2),1,0),IF($X19&lt;=20,1,0))</formula>
    </cfRule>
    <cfRule type="expression" dxfId="3184" priority="180">
      <formula>AND(IF($Q19=2,1,0),IF($X19&lt;30,1,0))</formula>
    </cfRule>
    <cfRule type="expression" dxfId="3183" priority="181">
      <formula>AND(IF($Q19=3,1,0),IF($X19&lt;30,1,0))</formula>
    </cfRule>
    <cfRule type="expression" dxfId="3182" priority="182">
      <formula>AND(IF($Q19=3,1,IF($Q19=4,1,0)),IF($F19&lt;=85,1,0))</formula>
    </cfRule>
  </conditionalFormatting>
  <conditionalFormatting sqref="AV20">
    <cfRule type="expression" dxfId="3181" priority="177">
      <formula>AV20="X"</formula>
    </cfRule>
    <cfRule type="expression" dxfId="3180" priority="178">
      <formula>AV20="후보"</formula>
    </cfRule>
  </conditionalFormatting>
  <conditionalFormatting sqref="AC20">
    <cfRule type="cellIs" dxfId="3179" priority="175" operator="greaterThan">
      <formula>0.9</formula>
    </cfRule>
    <cfRule type="cellIs" dxfId="3178" priority="176" operator="greaterThan">
      <formula>0.85</formula>
    </cfRule>
  </conditionalFormatting>
  <conditionalFormatting sqref="N20">
    <cfRule type="cellIs" dxfId="3177" priority="173" operator="greaterThan">
      <formula>0.9</formula>
    </cfRule>
    <cfRule type="cellIs" dxfId="3176" priority="174" operator="greaterThan">
      <formula>0.85</formula>
    </cfRule>
  </conditionalFormatting>
  <conditionalFormatting sqref="E20">
    <cfRule type="expression" dxfId="3175" priority="169">
      <formula>AND(IF(OR($Q20=1,$Q20=2),1,0),IF($X20&lt;=20,1,0))</formula>
    </cfRule>
    <cfRule type="expression" dxfId="3174" priority="170">
      <formula>AND(IF($Q20=2,1,0),IF($X20&lt;30,1,0))</formula>
    </cfRule>
    <cfRule type="expression" dxfId="3173" priority="171">
      <formula>AND(IF($Q20=3,1,0),IF($X20&lt;30,1,0))</formula>
    </cfRule>
    <cfRule type="expression" dxfId="3172" priority="172">
      <formula>AND(IF($Q20=3,1,IF($Q20=4,1,0)),IF($F20&lt;=85,1,0))</formula>
    </cfRule>
  </conditionalFormatting>
  <conditionalFormatting sqref="X20">
    <cfRule type="expression" dxfId="3171" priority="165">
      <formula>AND(IF(OR($Q20=1,$Q20=2),1,0),IF($X20&lt;=20,1,0))</formula>
    </cfRule>
    <cfRule type="expression" dxfId="3170" priority="166">
      <formula>AND(IF($Q20=2,1,0),IF($X20&lt;30,1,0))</formula>
    </cfRule>
    <cfRule type="expression" dxfId="3169" priority="167">
      <formula>AND(IF($Q20=3,1,0),IF($X20&lt;30,1,0))</formula>
    </cfRule>
    <cfRule type="expression" dxfId="3168" priority="168">
      <formula>AND(IF($Q20=3,1,IF($Q20=4,1,0)),IF($F20&lt;=85,1,0))</formula>
    </cfRule>
  </conditionalFormatting>
  <conditionalFormatting sqref="AI20">
    <cfRule type="expression" dxfId="3167" priority="161">
      <formula>AND(IF(OR($Q20=1,$Q20=2),1,0),IF($X20&lt;=20,1,0))</formula>
    </cfRule>
    <cfRule type="expression" dxfId="3166" priority="162">
      <formula>AND(IF($Q20=2,1,0),IF($X20&lt;30,1,0))</formula>
    </cfRule>
    <cfRule type="expression" dxfId="3165" priority="163">
      <formula>AND(IF($Q20=3,1,0),IF($X20&lt;30,1,0))</formula>
    </cfRule>
    <cfRule type="expression" dxfId="3164" priority="164">
      <formula>AND(IF($Q20=3,1,IF($Q20=4,1,0)),IF($F20&lt;=85,1,0))</formula>
    </cfRule>
  </conditionalFormatting>
  <conditionalFormatting sqref="AV21">
    <cfRule type="expression" dxfId="3163" priority="159">
      <formula>AV21="X"</formula>
    </cfRule>
    <cfRule type="expression" dxfId="3162" priority="160">
      <formula>AV21="후보"</formula>
    </cfRule>
  </conditionalFormatting>
  <conditionalFormatting sqref="AC21">
    <cfRule type="cellIs" dxfId="3161" priority="157" operator="greaterThan">
      <formula>0.9</formula>
    </cfRule>
    <cfRule type="cellIs" dxfId="3160" priority="158" operator="greaterThan">
      <formula>0.85</formula>
    </cfRule>
  </conditionalFormatting>
  <conditionalFormatting sqref="N21">
    <cfRule type="cellIs" dxfId="3159" priority="155" operator="greaterThan">
      <formula>0.9</formula>
    </cfRule>
    <cfRule type="cellIs" dxfId="3158" priority="156" operator="greaterThan">
      <formula>0.85</formula>
    </cfRule>
  </conditionalFormatting>
  <conditionalFormatting sqref="E21">
    <cfRule type="expression" dxfId="3157" priority="151">
      <formula>AND(IF(OR($Q21=1,$Q21=2),1,0),IF($X21&lt;=20,1,0))</formula>
    </cfRule>
    <cfRule type="expression" dxfId="3156" priority="152">
      <formula>AND(IF($Q21=2,1,0),IF($X21&lt;30,1,0))</formula>
    </cfRule>
    <cfRule type="expression" dxfId="3155" priority="153">
      <formula>AND(IF($Q21=3,1,0),IF($X21&lt;30,1,0))</formula>
    </cfRule>
    <cfRule type="expression" dxfId="3154" priority="154">
      <formula>AND(IF($Q21=3,1,IF($Q21=4,1,0)),IF($F21&lt;=85,1,0))</formula>
    </cfRule>
  </conditionalFormatting>
  <conditionalFormatting sqref="X21">
    <cfRule type="expression" dxfId="3153" priority="147">
      <formula>AND(IF(OR($Q21=1,$Q21=2),1,0),IF($X21&lt;=20,1,0))</formula>
    </cfRule>
    <cfRule type="expression" dxfId="3152" priority="148">
      <formula>AND(IF($Q21=2,1,0),IF($X21&lt;30,1,0))</formula>
    </cfRule>
    <cfRule type="expression" dxfId="3151" priority="149">
      <formula>AND(IF($Q21=3,1,0),IF($X21&lt;30,1,0))</formula>
    </cfRule>
    <cfRule type="expression" dxfId="3150" priority="150">
      <formula>AND(IF($Q21=3,1,IF($Q21=4,1,0)),IF($F21&lt;=85,1,0))</formula>
    </cfRule>
  </conditionalFormatting>
  <conditionalFormatting sqref="AI21">
    <cfRule type="expression" dxfId="3149" priority="143">
      <formula>AND(IF(OR($Q21=1,$Q21=2),1,0),IF($X21&lt;=20,1,0))</formula>
    </cfRule>
    <cfRule type="expression" dxfId="3148" priority="144">
      <formula>AND(IF($Q21=2,1,0),IF($X21&lt;30,1,0))</formula>
    </cfRule>
    <cfRule type="expression" dxfId="3147" priority="145">
      <formula>AND(IF($Q21=3,1,0),IF($X21&lt;30,1,0))</formula>
    </cfRule>
    <cfRule type="expression" dxfId="3146" priority="146">
      <formula>AND(IF($Q21=3,1,IF($Q21=4,1,0)),IF($F21&lt;=85,1,0))</formula>
    </cfRule>
  </conditionalFormatting>
  <conditionalFormatting sqref="AV22">
    <cfRule type="expression" dxfId="3145" priority="141">
      <formula>AV22="X"</formula>
    </cfRule>
    <cfRule type="expression" dxfId="3144" priority="142">
      <formula>AV22="후보"</formula>
    </cfRule>
  </conditionalFormatting>
  <conditionalFormatting sqref="AC22">
    <cfRule type="cellIs" dxfId="3143" priority="139" operator="greaterThan">
      <formula>0.9</formula>
    </cfRule>
    <cfRule type="cellIs" dxfId="3142" priority="140" operator="greaterThan">
      <formula>0.85</formula>
    </cfRule>
  </conditionalFormatting>
  <conditionalFormatting sqref="N22">
    <cfRule type="cellIs" dxfId="3141" priority="137" operator="greaterThan">
      <formula>0.9</formula>
    </cfRule>
    <cfRule type="cellIs" dxfId="3140" priority="138" operator="greaterThan">
      <formula>0.85</formula>
    </cfRule>
  </conditionalFormatting>
  <conditionalFormatting sqref="E22">
    <cfRule type="expression" dxfId="3139" priority="133">
      <formula>AND(IF(OR($Q22=1,$Q22=2),1,0),IF($X22&lt;=20,1,0))</formula>
    </cfRule>
    <cfRule type="expression" dxfId="3138" priority="134">
      <formula>AND(IF($Q22=2,1,0),IF($X22&lt;30,1,0))</formula>
    </cfRule>
    <cfRule type="expression" dxfId="3137" priority="135">
      <formula>AND(IF($Q22=3,1,0),IF($X22&lt;30,1,0))</formula>
    </cfRule>
    <cfRule type="expression" dxfId="3136" priority="136">
      <formula>AND(IF($Q22=3,1,IF($Q22=4,1,0)),IF($F22&lt;=85,1,0))</formula>
    </cfRule>
  </conditionalFormatting>
  <conditionalFormatting sqref="X22">
    <cfRule type="expression" dxfId="3135" priority="129">
      <formula>AND(IF(OR($Q22=1,$Q22=2),1,0),IF($X22&lt;=20,1,0))</formula>
    </cfRule>
    <cfRule type="expression" dxfId="3134" priority="130">
      <formula>AND(IF($Q22=2,1,0),IF($X22&lt;30,1,0))</formula>
    </cfRule>
    <cfRule type="expression" dxfId="3133" priority="131">
      <formula>AND(IF($Q22=3,1,0),IF($X22&lt;30,1,0))</formula>
    </cfRule>
    <cfRule type="expression" dxfId="3132" priority="132">
      <formula>AND(IF($Q22=3,1,IF($Q22=4,1,0)),IF($F22&lt;=85,1,0))</formula>
    </cfRule>
  </conditionalFormatting>
  <conditionalFormatting sqref="AI22">
    <cfRule type="expression" dxfId="3131" priority="125">
      <formula>AND(IF(OR($Q22=1,$Q22=2),1,0),IF($X22&lt;=20,1,0))</formula>
    </cfRule>
    <cfRule type="expression" dxfId="3130" priority="126">
      <formula>AND(IF($Q22=2,1,0),IF($X22&lt;30,1,0))</formula>
    </cfRule>
    <cfRule type="expression" dxfId="3129" priority="127">
      <formula>AND(IF($Q22=3,1,0),IF($X22&lt;30,1,0))</formula>
    </cfRule>
    <cfRule type="expression" dxfId="3128" priority="128">
      <formula>AND(IF($Q22=3,1,IF($Q22=4,1,0)),IF($F22&lt;=85,1,0))</formula>
    </cfRule>
  </conditionalFormatting>
  <conditionalFormatting sqref="AV23">
    <cfRule type="expression" dxfId="3127" priority="123">
      <formula>AV23="X"</formula>
    </cfRule>
    <cfRule type="expression" dxfId="3126" priority="124">
      <formula>AV23="후보"</formula>
    </cfRule>
  </conditionalFormatting>
  <conditionalFormatting sqref="AC23 N23">
    <cfRule type="cellIs" dxfId="3125" priority="121" operator="greaterThan">
      <formula>0.9</formula>
    </cfRule>
    <cfRule type="cellIs" dxfId="3124" priority="122" operator="greaterThan">
      <formula>0.85</formula>
    </cfRule>
  </conditionalFormatting>
  <conditionalFormatting sqref="AV24">
    <cfRule type="expression" dxfId="3123" priority="119">
      <formula>AV24="X"</formula>
    </cfRule>
    <cfRule type="expression" dxfId="3122" priority="120">
      <formula>AV24="후보"</formula>
    </cfRule>
  </conditionalFormatting>
  <conditionalFormatting sqref="AC24">
    <cfRule type="cellIs" dxfId="3121" priority="117" operator="greaterThan">
      <formula>0.9</formula>
    </cfRule>
    <cfRule type="cellIs" dxfId="3120" priority="118" operator="greaterThan">
      <formula>0.85</formula>
    </cfRule>
  </conditionalFormatting>
  <conditionalFormatting sqref="N24">
    <cfRule type="cellIs" dxfId="3119" priority="115" operator="greaterThan">
      <formula>0.9</formula>
    </cfRule>
    <cfRule type="cellIs" dxfId="3118" priority="116" operator="greaterThan">
      <formula>0.85</formula>
    </cfRule>
  </conditionalFormatting>
  <conditionalFormatting sqref="E24">
    <cfRule type="expression" dxfId="3117" priority="111">
      <formula>AND(IF(OR($Q24=1,$Q24=2),1,0),IF($X24&lt;=20,1,0))</formula>
    </cfRule>
    <cfRule type="expression" dxfId="3116" priority="112">
      <formula>AND(IF($Q24=2,1,0),IF($X24&lt;30,1,0))</formula>
    </cfRule>
    <cfRule type="expression" dxfId="3115" priority="113">
      <formula>AND(IF($Q24=3,1,0),IF($X24&lt;30,1,0))</formula>
    </cfRule>
    <cfRule type="expression" dxfId="3114" priority="114">
      <formula>AND(IF($Q24=3,1,IF($Q24=4,1,0)),IF($F24&lt;=85,1,0))</formula>
    </cfRule>
  </conditionalFormatting>
  <conditionalFormatting sqref="X24">
    <cfRule type="expression" dxfId="3113" priority="107">
      <formula>AND(IF(OR($Q24=1,$Q24=2),1,0),IF($X24&lt;=20,1,0))</formula>
    </cfRule>
    <cfRule type="expression" dxfId="3112" priority="108">
      <formula>AND(IF($Q24=2,1,0),IF($X24&lt;30,1,0))</formula>
    </cfRule>
    <cfRule type="expression" dxfId="3111" priority="109">
      <formula>AND(IF($Q24=3,1,0),IF($X24&lt;30,1,0))</formula>
    </cfRule>
    <cfRule type="expression" dxfId="3110" priority="110">
      <formula>AND(IF($Q24=3,1,IF($Q24=4,1,0)),IF($F24&lt;=85,1,0))</formula>
    </cfRule>
  </conditionalFormatting>
  <conditionalFormatting sqref="AI24">
    <cfRule type="expression" dxfId="3109" priority="103">
      <formula>AND(IF(OR($Q24=1,$Q24=2),1,0),IF($X24&lt;=20,1,0))</formula>
    </cfRule>
    <cfRule type="expression" dxfId="3108" priority="104">
      <formula>AND(IF($Q24=2,1,0),IF($X24&lt;30,1,0))</formula>
    </cfRule>
    <cfRule type="expression" dxfId="3107" priority="105">
      <formula>AND(IF($Q24=3,1,0),IF($X24&lt;30,1,0))</formula>
    </cfRule>
    <cfRule type="expression" dxfId="3106" priority="106">
      <formula>AND(IF($Q24=3,1,IF($Q24=4,1,0)),IF($F24&lt;=85,1,0))</formula>
    </cfRule>
  </conditionalFormatting>
  <conditionalFormatting sqref="AV25">
    <cfRule type="expression" dxfId="3105" priority="101">
      <formula>AV25="X"</formula>
    </cfRule>
    <cfRule type="expression" dxfId="3104" priority="102">
      <formula>AV25="후보"</formula>
    </cfRule>
  </conditionalFormatting>
  <conditionalFormatting sqref="AC25 N25">
    <cfRule type="cellIs" dxfId="3103" priority="99" operator="greaterThan">
      <formula>0.9</formula>
    </cfRule>
    <cfRule type="cellIs" dxfId="3102" priority="100" operator="greaterThan">
      <formula>0.85</formula>
    </cfRule>
  </conditionalFormatting>
  <conditionalFormatting sqref="AV26">
    <cfRule type="expression" dxfId="3101" priority="97">
      <formula>AV26="X"</formula>
    </cfRule>
    <cfRule type="expression" dxfId="3100" priority="98">
      <formula>AV26="후보"</formula>
    </cfRule>
  </conditionalFormatting>
  <conditionalFormatting sqref="AC26">
    <cfRule type="cellIs" dxfId="3099" priority="95" operator="greaterThan">
      <formula>0.9</formula>
    </cfRule>
    <cfRule type="cellIs" dxfId="3098" priority="96" operator="greaterThan">
      <formula>0.85</formula>
    </cfRule>
  </conditionalFormatting>
  <conditionalFormatting sqref="N26">
    <cfRule type="cellIs" dxfId="3097" priority="93" operator="greaterThan">
      <formula>0.9</formula>
    </cfRule>
    <cfRule type="cellIs" dxfId="3096" priority="94" operator="greaterThan">
      <formula>0.85</formula>
    </cfRule>
  </conditionalFormatting>
  <conditionalFormatting sqref="E26">
    <cfRule type="expression" dxfId="3095" priority="89">
      <formula>AND(IF(OR($Q26=1,$Q26=2),1,0),IF($X26&lt;=20,1,0))</formula>
    </cfRule>
    <cfRule type="expression" dxfId="3094" priority="90">
      <formula>AND(IF($Q26=2,1,0),IF($X26&lt;30,1,0))</formula>
    </cfRule>
    <cfRule type="expression" dxfId="3093" priority="91">
      <formula>AND(IF($Q26=3,1,0),IF($X26&lt;30,1,0))</formula>
    </cfRule>
    <cfRule type="expression" dxfId="3092" priority="92">
      <formula>AND(IF($Q26=3,1,IF($Q26=4,1,0)),IF($F26&lt;=85,1,0))</formula>
    </cfRule>
  </conditionalFormatting>
  <conditionalFormatting sqref="X26">
    <cfRule type="expression" dxfId="3091" priority="85">
      <formula>AND(IF(OR($Q26=1,$Q26=2),1,0),IF($X26&lt;=20,1,0))</formula>
    </cfRule>
    <cfRule type="expression" dxfId="3090" priority="86">
      <formula>AND(IF($Q26=2,1,0),IF($X26&lt;30,1,0))</formula>
    </cfRule>
    <cfRule type="expression" dxfId="3089" priority="87">
      <formula>AND(IF($Q26=3,1,0),IF($X26&lt;30,1,0))</formula>
    </cfRule>
    <cfRule type="expression" dxfId="3088" priority="88">
      <formula>AND(IF($Q26=3,1,IF($Q26=4,1,0)),IF($F26&lt;=85,1,0))</formula>
    </cfRule>
  </conditionalFormatting>
  <conditionalFormatting sqref="AI26">
    <cfRule type="expression" dxfId="3087" priority="81">
      <formula>AND(IF(OR($Q26=1,$Q26=2),1,0),IF($X26&lt;=20,1,0))</formula>
    </cfRule>
    <cfRule type="expression" dxfId="3086" priority="82">
      <formula>AND(IF($Q26=2,1,0),IF($X26&lt;30,1,0))</formula>
    </cfRule>
    <cfRule type="expression" dxfId="3085" priority="83">
      <formula>AND(IF($Q26=3,1,0),IF($X26&lt;30,1,0))</formula>
    </cfRule>
    <cfRule type="expression" dxfId="3084" priority="84">
      <formula>AND(IF($Q26=3,1,IF($Q26=4,1,0)),IF($F26&lt;=85,1,0))</formula>
    </cfRule>
  </conditionalFormatting>
  <conditionalFormatting sqref="AV27">
    <cfRule type="expression" dxfId="3083" priority="79">
      <formula>AV27="X"</formula>
    </cfRule>
    <cfRule type="expression" dxfId="3082" priority="80">
      <formula>AV27="후보"</formula>
    </cfRule>
  </conditionalFormatting>
  <conditionalFormatting sqref="AC27 N27">
    <cfRule type="cellIs" dxfId="3081" priority="77" operator="greaterThan">
      <formula>0.9</formula>
    </cfRule>
    <cfRule type="cellIs" dxfId="3080" priority="78" operator="greaterThan">
      <formula>0.85</formula>
    </cfRule>
  </conditionalFormatting>
  <conditionalFormatting sqref="AV28">
    <cfRule type="expression" dxfId="3079" priority="75">
      <formula>AV28="X"</formula>
    </cfRule>
    <cfRule type="expression" dxfId="3078" priority="76">
      <formula>AV28="후보"</formula>
    </cfRule>
  </conditionalFormatting>
  <conditionalFormatting sqref="AC28">
    <cfRule type="cellIs" dxfId="3077" priority="73" operator="greaterThan">
      <formula>0.9</formula>
    </cfRule>
    <cfRule type="cellIs" dxfId="3076" priority="74" operator="greaterThan">
      <formula>0.85</formula>
    </cfRule>
  </conditionalFormatting>
  <conditionalFormatting sqref="N28">
    <cfRule type="cellIs" dxfId="3075" priority="71" operator="greaterThan">
      <formula>0.9</formula>
    </cfRule>
    <cfRule type="cellIs" dxfId="3074" priority="72" operator="greaterThan">
      <formula>0.85</formula>
    </cfRule>
  </conditionalFormatting>
  <conditionalFormatting sqref="E28">
    <cfRule type="expression" dxfId="3073" priority="67">
      <formula>AND(IF(OR($Q28=1,$Q28=2),1,0),IF($X28&lt;=20,1,0))</formula>
    </cfRule>
    <cfRule type="expression" dxfId="3072" priority="68">
      <formula>AND(IF($Q28=2,1,0),IF($X28&lt;30,1,0))</formula>
    </cfRule>
    <cfRule type="expression" dxfId="3071" priority="69">
      <formula>AND(IF($Q28=3,1,0),IF($X28&lt;30,1,0))</formula>
    </cfRule>
    <cfRule type="expression" dxfId="3070" priority="70">
      <formula>AND(IF($Q28=3,1,IF($Q28=4,1,0)),IF($F28&lt;=85,1,0))</formula>
    </cfRule>
  </conditionalFormatting>
  <conditionalFormatting sqref="X28">
    <cfRule type="expression" dxfId="3069" priority="63">
      <formula>AND(IF(OR($Q28=1,$Q28=2),1,0),IF($X28&lt;=20,1,0))</formula>
    </cfRule>
    <cfRule type="expression" dxfId="3068" priority="64">
      <formula>AND(IF($Q28=2,1,0),IF($X28&lt;30,1,0))</formula>
    </cfRule>
    <cfRule type="expression" dxfId="3067" priority="65">
      <formula>AND(IF($Q28=3,1,0),IF($X28&lt;30,1,0))</formula>
    </cfRule>
    <cfRule type="expression" dxfId="3066" priority="66">
      <formula>AND(IF($Q28=3,1,IF($Q28=4,1,0)),IF($F28&lt;=85,1,0))</formula>
    </cfRule>
  </conditionalFormatting>
  <conditionalFormatting sqref="AI28">
    <cfRule type="expression" dxfId="3065" priority="59">
      <formula>AND(IF(OR($Q28=1,$Q28=2),1,0),IF($X28&lt;=20,1,0))</formula>
    </cfRule>
    <cfRule type="expression" dxfId="3064" priority="60">
      <formula>AND(IF($Q28=2,1,0),IF($X28&lt;30,1,0))</formula>
    </cfRule>
    <cfRule type="expression" dxfId="3063" priority="61">
      <formula>AND(IF($Q28=3,1,0),IF($X28&lt;30,1,0))</formula>
    </cfRule>
    <cfRule type="expression" dxfId="3062" priority="62">
      <formula>AND(IF($Q28=3,1,IF($Q28=4,1,0)),IF($F28&lt;=85,1,0))</formula>
    </cfRule>
  </conditionalFormatting>
  <conditionalFormatting sqref="AV29">
    <cfRule type="expression" dxfId="3061" priority="57">
      <formula>AV29="X"</formula>
    </cfRule>
    <cfRule type="expression" dxfId="3060" priority="58">
      <formula>AV29="후보"</formula>
    </cfRule>
  </conditionalFormatting>
  <conditionalFormatting sqref="AC29">
    <cfRule type="cellIs" dxfId="3059" priority="55" operator="greaterThan">
      <formula>0.9</formula>
    </cfRule>
    <cfRule type="cellIs" dxfId="3058" priority="56" operator="greaterThan">
      <formula>0.85</formula>
    </cfRule>
  </conditionalFormatting>
  <conditionalFormatting sqref="N29">
    <cfRule type="cellIs" dxfId="3057" priority="53" operator="greaterThan">
      <formula>0.9</formula>
    </cfRule>
    <cfRule type="cellIs" dxfId="3056" priority="54" operator="greaterThan">
      <formula>0.85</formula>
    </cfRule>
  </conditionalFormatting>
  <conditionalFormatting sqref="E29">
    <cfRule type="expression" dxfId="3055" priority="49">
      <formula>AND(IF(OR($Q29=1,$Q29=2),1,0),IF($X29&lt;=20,1,0))</formula>
    </cfRule>
    <cfRule type="expression" dxfId="3054" priority="50">
      <formula>AND(IF($Q29=2,1,0),IF($X29&lt;30,1,0))</formula>
    </cfRule>
    <cfRule type="expression" dxfId="3053" priority="51">
      <formula>AND(IF($Q29=3,1,0),IF($X29&lt;30,1,0))</formula>
    </cfRule>
    <cfRule type="expression" dxfId="3052" priority="52">
      <formula>AND(IF($Q29=3,1,IF($Q29=4,1,0)),IF($F29&lt;=85,1,0))</formula>
    </cfRule>
  </conditionalFormatting>
  <conditionalFormatting sqref="X29">
    <cfRule type="expression" dxfId="3051" priority="45">
      <formula>AND(IF(OR($Q29=1,$Q29=2),1,0),IF($X29&lt;=20,1,0))</formula>
    </cfRule>
    <cfRule type="expression" dxfId="3050" priority="46">
      <formula>AND(IF($Q29=2,1,0),IF($X29&lt;30,1,0))</formula>
    </cfRule>
    <cfRule type="expression" dxfId="3049" priority="47">
      <formula>AND(IF($Q29=3,1,0),IF($X29&lt;30,1,0))</formula>
    </cfRule>
    <cfRule type="expression" dxfId="3048" priority="48">
      <formula>AND(IF($Q29=3,1,IF($Q29=4,1,0)),IF($F29&lt;=85,1,0))</formula>
    </cfRule>
  </conditionalFormatting>
  <conditionalFormatting sqref="AI29">
    <cfRule type="expression" dxfId="3047" priority="41">
      <formula>AND(IF(OR($Q29=1,$Q29=2),1,0),IF($X29&lt;=20,1,0))</formula>
    </cfRule>
    <cfRule type="expression" dxfId="3046" priority="42">
      <formula>AND(IF($Q29=2,1,0),IF($X29&lt;30,1,0))</formula>
    </cfRule>
    <cfRule type="expression" dxfId="3045" priority="43">
      <formula>AND(IF($Q29=3,1,0),IF($X29&lt;30,1,0))</formula>
    </cfRule>
    <cfRule type="expression" dxfId="3044" priority="44">
      <formula>AND(IF($Q29=3,1,IF($Q29=4,1,0)),IF($F29&lt;=85,1,0))</formula>
    </cfRule>
  </conditionalFormatting>
  <conditionalFormatting sqref="AV30">
    <cfRule type="expression" dxfId="3043" priority="39">
      <formula>AV30="X"</formula>
    </cfRule>
    <cfRule type="expression" dxfId="3042" priority="40">
      <formula>AV30="후보"</formula>
    </cfRule>
  </conditionalFormatting>
  <conditionalFormatting sqref="AC30 N30">
    <cfRule type="cellIs" dxfId="3041" priority="37" operator="greaterThan">
      <formula>0.9</formula>
    </cfRule>
    <cfRule type="cellIs" dxfId="3040" priority="38" operator="greaterThan">
      <formula>0.85</formula>
    </cfRule>
  </conditionalFormatting>
  <conditionalFormatting sqref="AV31">
    <cfRule type="expression" dxfId="3039" priority="35">
      <formula>AV31="X"</formula>
    </cfRule>
    <cfRule type="expression" dxfId="3038" priority="36">
      <formula>AV31="후보"</formula>
    </cfRule>
  </conditionalFormatting>
  <conditionalFormatting sqref="AC31">
    <cfRule type="cellIs" dxfId="3037" priority="33" operator="greaterThan">
      <formula>0.9</formula>
    </cfRule>
    <cfRule type="cellIs" dxfId="3036" priority="34" operator="greaterThan">
      <formula>0.85</formula>
    </cfRule>
  </conditionalFormatting>
  <conditionalFormatting sqref="N31">
    <cfRule type="cellIs" dxfId="3035" priority="31" operator="greaterThan">
      <formula>0.9</formula>
    </cfRule>
    <cfRule type="cellIs" dxfId="3034" priority="32" operator="greaterThan">
      <formula>0.85</formula>
    </cfRule>
  </conditionalFormatting>
  <conditionalFormatting sqref="E31">
    <cfRule type="expression" dxfId="3033" priority="27">
      <formula>AND(IF(OR($Q31=1,$Q31=2),1,0),IF($X31&lt;=20,1,0))</formula>
    </cfRule>
    <cfRule type="expression" dxfId="3032" priority="28">
      <formula>AND(IF($Q31=2,1,0),IF($X31&lt;30,1,0))</formula>
    </cfRule>
    <cfRule type="expression" dxfId="3031" priority="29">
      <formula>AND(IF($Q31=3,1,0),IF($X31&lt;30,1,0))</formula>
    </cfRule>
    <cfRule type="expression" dxfId="3030" priority="30">
      <formula>AND(IF($Q31=3,1,IF($Q31=4,1,0)),IF($F31&lt;=85,1,0))</formula>
    </cfRule>
  </conditionalFormatting>
  <conditionalFormatting sqref="X31">
    <cfRule type="expression" dxfId="3029" priority="23">
      <formula>AND(IF(OR($Q31=1,$Q31=2),1,0),IF($X31&lt;=20,1,0))</formula>
    </cfRule>
    <cfRule type="expression" dxfId="3028" priority="24">
      <formula>AND(IF($Q31=2,1,0),IF($X31&lt;30,1,0))</formula>
    </cfRule>
    <cfRule type="expression" dxfId="3027" priority="25">
      <formula>AND(IF($Q31=3,1,0),IF($X31&lt;30,1,0))</formula>
    </cfRule>
    <cfRule type="expression" dxfId="3026" priority="26">
      <formula>AND(IF($Q31=3,1,IF($Q31=4,1,0)),IF($F31&lt;=85,1,0))</formula>
    </cfRule>
  </conditionalFormatting>
  <conditionalFormatting sqref="AI31">
    <cfRule type="expression" dxfId="3025" priority="19">
      <formula>AND(IF(OR($Q31=1,$Q31=2),1,0),IF($X31&lt;=20,1,0))</formula>
    </cfRule>
    <cfRule type="expression" dxfId="3024" priority="20">
      <formula>AND(IF($Q31=2,1,0),IF($X31&lt;30,1,0))</formula>
    </cfRule>
    <cfRule type="expression" dxfId="3023" priority="21">
      <formula>AND(IF($Q31=3,1,0),IF($X31&lt;30,1,0))</formula>
    </cfRule>
    <cfRule type="expression" dxfId="3022" priority="22">
      <formula>AND(IF($Q31=3,1,IF($Q31=4,1,0)),IF($F31&lt;=85,1,0))</formula>
    </cfRule>
  </conditionalFormatting>
  <conditionalFormatting sqref="AV32">
    <cfRule type="expression" dxfId="3021" priority="17">
      <formula>AV32="X"</formula>
    </cfRule>
    <cfRule type="expression" dxfId="3020" priority="18">
      <formula>AV32="후보"</formula>
    </cfRule>
  </conditionalFormatting>
  <conditionalFormatting sqref="AC32">
    <cfRule type="cellIs" dxfId="3019" priority="15" operator="greaterThan">
      <formula>0.9</formula>
    </cfRule>
    <cfRule type="cellIs" dxfId="3018" priority="16" operator="greaterThan">
      <formula>0.85</formula>
    </cfRule>
  </conditionalFormatting>
  <conditionalFormatting sqref="N32">
    <cfRule type="cellIs" dxfId="3017" priority="13" operator="greaterThan">
      <formula>0.9</formula>
    </cfRule>
    <cfRule type="cellIs" dxfId="3016" priority="14" operator="greaterThan">
      <formula>0.85</formula>
    </cfRule>
  </conditionalFormatting>
  <conditionalFormatting sqref="E32">
    <cfRule type="expression" dxfId="3015" priority="9">
      <formula>AND(IF(OR($Q32=1,$Q32=2),1,0),IF($X32&lt;=20,1,0))</formula>
    </cfRule>
    <cfRule type="expression" dxfId="3014" priority="10">
      <formula>AND(IF($Q32=2,1,0),IF($X32&lt;30,1,0))</formula>
    </cfRule>
    <cfRule type="expression" dxfId="3013" priority="11">
      <formula>AND(IF($Q32=3,1,0),IF($X32&lt;30,1,0))</formula>
    </cfRule>
    <cfRule type="expression" dxfId="3012" priority="12">
      <formula>AND(IF($Q32=3,1,IF($Q32=4,1,0)),IF($F32&lt;=85,1,0))</formula>
    </cfRule>
  </conditionalFormatting>
  <conditionalFormatting sqref="X32">
    <cfRule type="expression" dxfId="3011" priority="5">
      <formula>AND(IF(OR($Q32=1,$Q32=2),1,0),IF($X32&lt;=20,1,0))</formula>
    </cfRule>
    <cfRule type="expression" dxfId="3010" priority="6">
      <formula>AND(IF($Q32=2,1,0),IF($X32&lt;30,1,0))</formula>
    </cfRule>
    <cfRule type="expression" dxfId="3009" priority="7">
      <formula>AND(IF($Q32=3,1,0),IF($X32&lt;30,1,0))</formula>
    </cfRule>
    <cfRule type="expression" dxfId="3008" priority="8">
      <formula>AND(IF($Q32=3,1,IF($Q32=4,1,0)),IF($F32&lt;=85,1,0))</formula>
    </cfRule>
  </conditionalFormatting>
  <conditionalFormatting sqref="AI32">
    <cfRule type="expression" dxfId="3007" priority="1">
      <formula>AND(IF(OR($Q32=1,$Q32=2),1,0),IF($X32&lt;=20,1,0))</formula>
    </cfRule>
    <cfRule type="expression" dxfId="3006" priority="2">
      <formula>AND(IF($Q32=2,1,0),IF($X32&lt;30,1,0))</formula>
    </cfRule>
    <cfRule type="expression" dxfId="3005" priority="3">
      <formula>AND(IF($Q32=3,1,0),IF($X32&lt;30,1,0))</formula>
    </cfRule>
    <cfRule type="expression" dxfId="3004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삼학동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898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삼학동 군산삼학대우('96.07.,381^)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895</v>
      </c>
      <c r="B6" s="10" t="s">
        <v>1300</v>
      </c>
      <c r="C6" s="89">
        <v>381</v>
      </c>
      <c r="D6" s="87">
        <v>81.099999999999994</v>
      </c>
      <c r="E6" s="88">
        <v>25</v>
      </c>
      <c r="F6" s="87">
        <v>59.9</v>
      </c>
      <c r="G6" s="17">
        <v>18</v>
      </c>
      <c r="H6" s="89">
        <v>159</v>
      </c>
      <c r="I6" s="90">
        <v>8500</v>
      </c>
      <c r="J6" s="90" t="s">
        <v>66</v>
      </c>
      <c r="K6" s="90"/>
      <c r="L6" s="90"/>
      <c r="M6" s="91">
        <f>I6-K6</f>
        <v>8500</v>
      </c>
      <c r="N6" s="4">
        <f>IF(ISERROR(K6/I6),"",K6/I6)</f>
        <v>0</v>
      </c>
      <c r="O6" s="92">
        <f>I6/E6</f>
        <v>340</v>
      </c>
      <c r="P6" s="92">
        <f>K6/E6</f>
        <v>0</v>
      </c>
      <c r="Q6" s="80">
        <v>3</v>
      </c>
      <c r="R6" s="80">
        <v>1</v>
      </c>
      <c r="S6" s="80" t="s">
        <v>76</v>
      </c>
      <c r="T6" s="5">
        <v>81</v>
      </c>
      <c r="U6" s="9"/>
      <c r="W6" s="87">
        <f t="shared" ref="W6:X8" si="1">D6</f>
        <v>81.099999999999994</v>
      </c>
      <c r="X6" s="88">
        <f t="shared" si="1"/>
        <v>25</v>
      </c>
      <c r="Y6" s="93">
        <f t="shared" ref="Y6:Z8" si="2">H6</f>
        <v>159</v>
      </c>
      <c r="Z6" s="91">
        <f t="shared" si="2"/>
        <v>8500</v>
      </c>
      <c r="AA6" s="91">
        <f>K6</f>
        <v>0</v>
      </c>
      <c r="AB6" s="91">
        <f t="shared" ref="AB6:AD8" si="3">M6</f>
        <v>8500</v>
      </c>
      <c r="AC6" s="4">
        <f t="shared" si="3"/>
        <v>0</v>
      </c>
      <c r="AD6" s="92">
        <f t="shared" si="3"/>
        <v>340</v>
      </c>
      <c r="AE6" s="80" t="str">
        <f>S6</f>
        <v>복</v>
      </c>
      <c r="AF6" s="80" t="str">
        <f>Q6&amp;"/"&amp;R6</f>
        <v>3/1</v>
      </c>
      <c r="AH6" s="20" t="str">
        <f>IF(A6="","",A6)</f>
        <v>군산삼학대우</v>
      </c>
      <c r="AI6" s="88">
        <f t="shared" si="0"/>
        <v>25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895</v>
      </c>
      <c r="B7" s="10" t="s">
        <v>1300</v>
      </c>
      <c r="C7" s="89">
        <v>381</v>
      </c>
      <c r="D7" s="87">
        <v>104.4</v>
      </c>
      <c r="E7" s="88">
        <v>32</v>
      </c>
      <c r="F7" s="87">
        <v>84.9</v>
      </c>
      <c r="G7" s="17">
        <v>26</v>
      </c>
      <c r="H7" s="89">
        <v>132</v>
      </c>
      <c r="I7" s="90">
        <v>16500</v>
      </c>
      <c r="J7" s="90" t="s">
        <v>84</v>
      </c>
      <c r="K7" s="90"/>
      <c r="L7" s="90"/>
      <c r="M7" s="91">
        <f>I7-K7</f>
        <v>16500</v>
      </c>
      <c r="N7" s="4">
        <f>IF(ISERROR(K7/I7),"",K7/I7)</f>
        <v>0</v>
      </c>
      <c r="O7" s="92">
        <f>I7/E7</f>
        <v>515.625</v>
      </c>
      <c r="P7" s="92">
        <f>K7/E7</f>
        <v>0</v>
      </c>
      <c r="Q7" s="80">
        <v>3</v>
      </c>
      <c r="R7" s="80">
        <v>2</v>
      </c>
      <c r="S7" s="80" t="s">
        <v>61</v>
      </c>
      <c r="T7" s="5">
        <v>104</v>
      </c>
      <c r="U7" s="9"/>
      <c r="W7" s="87">
        <f t="shared" si="1"/>
        <v>104.4</v>
      </c>
      <c r="X7" s="88">
        <f t="shared" si="1"/>
        <v>32</v>
      </c>
      <c r="Y7" s="93">
        <f t="shared" si="2"/>
        <v>132</v>
      </c>
      <c r="Z7" s="91">
        <f t="shared" si="2"/>
        <v>16500</v>
      </c>
      <c r="AA7" s="91">
        <f>K7</f>
        <v>0</v>
      </c>
      <c r="AB7" s="91">
        <f t="shared" si="3"/>
        <v>16500</v>
      </c>
      <c r="AC7" s="4">
        <f t="shared" si="3"/>
        <v>0</v>
      </c>
      <c r="AD7" s="92">
        <f t="shared" si="3"/>
        <v>515.625</v>
      </c>
      <c r="AE7" s="80" t="str">
        <f>S7</f>
        <v>계</v>
      </c>
      <c r="AF7" s="80" t="str">
        <f>Q7&amp;"/"&amp;R7</f>
        <v>3/2</v>
      </c>
      <c r="AH7" s="20" t="str">
        <f>IF(A7="","",A7)</f>
        <v>군산삼학대우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895</v>
      </c>
      <c r="B8" s="10" t="s">
        <v>1300</v>
      </c>
      <c r="C8" s="89">
        <v>381</v>
      </c>
      <c r="D8" s="87">
        <v>155.19999999999999</v>
      </c>
      <c r="E8" s="88">
        <v>47</v>
      </c>
      <c r="F8" s="87">
        <v>131.4</v>
      </c>
      <c r="G8" s="17">
        <v>40</v>
      </c>
      <c r="H8" s="89">
        <v>90</v>
      </c>
      <c r="I8" s="90">
        <v>16000</v>
      </c>
      <c r="J8" s="90" t="s">
        <v>81</v>
      </c>
      <c r="K8" s="90"/>
      <c r="L8" s="90"/>
      <c r="M8" s="91">
        <f>I8-K8</f>
        <v>16000</v>
      </c>
      <c r="N8" s="4">
        <f>IF(ISERROR(K8/I8),"",K8/I8)</f>
        <v>0</v>
      </c>
      <c r="O8" s="92">
        <f>I8/E8</f>
        <v>340.42553191489361</v>
      </c>
      <c r="P8" s="92">
        <f>K8/E8</f>
        <v>0</v>
      </c>
      <c r="Q8" s="80">
        <v>4</v>
      </c>
      <c r="R8" s="80">
        <v>2</v>
      </c>
      <c r="S8" s="80" t="s">
        <v>61</v>
      </c>
      <c r="T8" s="5">
        <v>155</v>
      </c>
      <c r="U8" s="9"/>
      <c r="W8" s="87">
        <f t="shared" si="1"/>
        <v>155.19999999999999</v>
      </c>
      <c r="X8" s="88">
        <f t="shared" si="1"/>
        <v>47</v>
      </c>
      <c r="Y8" s="93">
        <f t="shared" si="2"/>
        <v>90</v>
      </c>
      <c r="Z8" s="91">
        <f t="shared" si="2"/>
        <v>16000</v>
      </c>
      <c r="AA8" s="91">
        <f>K8</f>
        <v>0</v>
      </c>
      <c r="AB8" s="91">
        <f t="shared" si="3"/>
        <v>16000</v>
      </c>
      <c r="AC8" s="4">
        <f t="shared" si="3"/>
        <v>0</v>
      </c>
      <c r="AD8" s="92">
        <f t="shared" si="3"/>
        <v>340.42553191489361</v>
      </c>
      <c r="AE8" s="80" t="str">
        <f>S8</f>
        <v>계</v>
      </c>
      <c r="AF8" s="80" t="str">
        <f>Q8&amp;"/"&amp;R8</f>
        <v>4/2</v>
      </c>
      <c r="AH8" s="20" t="str">
        <f>IF(A8="","",A8)</f>
        <v>군산삼학대우</v>
      </c>
      <c r="AI8" s="88">
        <f t="shared" si="0"/>
        <v>47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3003" priority="55">
      <formula>AV4="X"</formula>
    </cfRule>
    <cfRule type="expression" dxfId="3002" priority="56">
      <formula>AV4="후보"</formula>
    </cfRule>
  </conditionalFormatting>
  <conditionalFormatting sqref="AC1:AC2 AC4:AC6 N4:N5">
    <cfRule type="cellIs" dxfId="3001" priority="53" operator="greaterThan">
      <formula>0.9</formula>
    </cfRule>
    <cfRule type="cellIs" dxfId="3000" priority="54" operator="greaterThan">
      <formula>0.85</formula>
    </cfRule>
  </conditionalFormatting>
  <conditionalFormatting sqref="N1:N2">
    <cfRule type="cellIs" dxfId="2999" priority="51" operator="greaterThan">
      <formula>0.9</formula>
    </cfRule>
    <cfRule type="cellIs" dxfId="2998" priority="52" operator="greaterThan">
      <formula>0.85</formula>
    </cfRule>
  </conditionalFormatting>
  <conditionalFormatting sqref="N6">
    <cfRule type="cellIs" dxfId="2997" priority="49" operator="greaterThan">
      <formula>0.9</formula>
    </cfRule>
    <cfRule type="cellIs" dxfId="2996" priority="50" operator="greaterThan">
      <formula>0.85</formula>
    </cfRule>
  </conditionalFormatting>
  <conditionalFormatting sqref="E6">
    <cfRule type="expression" dxfId="2995" priority="45">
      <formula>AND(IF(OR($Q6=1,$Q6=2),1,0),IF($X6&lt;=20,1,0))</formula>
    </cfRule>
    <cfRule type="expression" dxfId="2994" priority="46">
      <formula>AND(IF($Q6=2,1,0),IF($X6&lt;30,1,0))</formula>
    </cfRule>
    <cfRule type="expression" dxfId="2993" priority="47">
      <formula>AND(IF($Q6=3,1,0),IF($X6&lt;30,1,0))</formula>
    </cfRule>
    <cfRule type="expression" dxfId="2992" priority="48">
      <formula>AND(IF($Q6=3,1,IF($Q6=4,1,0)),IF($F6&lt;=85,1,0))</formula>
    </cfRule>
  </conditionalFormatting>
  <conditionalFormatting sqref="X6">
    <cfRule type="expression" dxfId="2991" priority="41">
      <formula>AND(IF(OR($Q6=1,$Q6=2),1,0),IF($X6&lt;=20,1,0))</formula>
    </cfRule>
    <cfRule type="expression" dxfId="2990" priority="42">
      <formula>AND(IF($Q6=2,1,0),IF($X6&lt;30,1,0))</formula>
    </cfRule>
    <cfRule type="expression" dxfId="2989" priority="43">
      <formula>AND(IF($Q6=3,1,0),IF($X6&lt;30,1,0))</formula>
    </cfRule>
    <cfRule type="expression" dxfId="2988" priority="44">
      <formula>AND(IF($Q6=3,1,IF($Q6=4,1,0)),IF($F6&lt;=85,1,0))</formula>
    </cfRule>
  </conditionalFormatting>
  <conditionalFormatting sqref="AI6">
    <cfRule type="expression" dxfId="2987" priority="37">
      <formula>AND(IF(OR($Q6=1,$Q6=2),1,0),IF($X6&lt;=20,1,0))</formula>
    </cfRule>
    <cfRule type="expression" dxfId="2986" priority="38">
      <formula>AND(IF($Q6=2,1,0),IF($X6&lt;30,1,0))</formula>
    </cfRule>
    <cfRule type="expression" dxfId="2985" priority="39">
      <formula>AND(IF($Q6=3,1,0),IF($X6&lt;30,1,0))</formula>
    </cfRule>
    <cfRule type="expression" dxfId="2984" priority="40">
      <formula>AND(IF($Q6=3,1,IF($Q6=4,1,0)),IF($F6&lt;=85,1,0))</formula>
    </cfRule>
  </conditionalFormatting>
  <conditionalFormatting sqref="AV7">
    <cfRule type="expression" dxfId="2983" priority="35">
      <formula>AV7="X"</formula>
    </cfRule>
    <cfRule type="expression" dxfId="2982" priority="36">
      <formula>AV7="후보"</formula>
    </cfRule>
  </conditionalFormatting>
  <conditionalFormatting sqref="AC7">
    <cfRule type="cellIs" dxfId="2981" priority="33" operator="greaterThan">
      <formula>0.9</formula>
    </cfRule>
    <cfRule type="cellIs" dxfId="2980" priority="34" operator="greaterThan">
      <formula>0.85</formula>
    </cfRule>
  </conditionalFormatting>
  <conditionalFormatting sqref="N7">
    <cfRule type="cellIs" dxfId="2979" priority="31" operator="greaterThan">
      <formula>0.9</formula>
    </cfRule>
    <cfRule type="cellIs" dxfId="2978" priority="32" operator="greaterThan">
      <formula>0.85</formula>
    </cfRule>
  </conditionalFormatting>
  <conditionalFormatting sqref="E7">
    <cfRule type="expression" dxfId="2977" priority="27">
      <formula>AND(IF(OR($Q7=1,$Q7=2),1,0),IF($X7&lt;=20,1,0))</formula>
    </cfRule>
    <cfRule type="expression" dxfId="2976" priority="28">
      <formula>AND(IF($Q7=2,1,0),IF($X7&lt;30,1,0))</formula>
    </cfRule>
    <cfRule type="expression" dxfId="2975" priority="29">
      <formula>AND(IF($Q7=3,1,0),IF($X7&lt;30,1,0))</formula>
    </cfRule>
    <cfRule type="expression" dxfId="2974" priority="30">
      <formula>AND(IF($Q7=3,1,IF($Q7=4,1,0)),IF($F7&lt;=85,1,0))</formula>
    </cfRule>
  </conditionalFormatting>
  <conditionalFormatting sqref="X7">
    <cfRule type="expression" dxfId="2973" priority="23">
      <formula>AND(IF(OR($Q7=1,$Q7=2),1,0),IF($X7&lt;=20,1,0))</formula>
    </cfRule>
    <cfRule type="expression" dxfId="2972" priority="24">
      <formula>AND(IF($Q7=2,1,0),IF($X7&lt;30,1,0))</formula>
    </cfRule>
    <cfRule type="expression" dxfId="2971" priority="25">
      <formula>AND(IF($Q7=3,1,0),IF($X7&lt;30,1,0))</formula>
    </cfRule>
    <cfRule type="expression" dxfId="2970" priority="26">
      <formula>AND(IF($Q7=3,1,IF($Q7=4,1,0)),IF($F7&lt;=85,1,0))</formula>
    </cfRule>
  </conditionalFormatting>
  <conditionalFormatting sqref="AI7">
    <cfRule type="expression" dxfId="2969" priority="19">
      <formula>AND(IF(OR($Q7=1,$Q7=2),1,0),IF($X7&lt;=20,1,0))</formula>
    </cfRule>
    <cfRule type="expression" dxfId="2968" priority="20">
      <formula>AND(IF($Q7=2,1,0),IF($X7&lt;30,1,0))</formula>
    </cfRule>
    <cfRule type="expression" dxfId="2967" priority="21">
      <formula>AND(IF($Q7=3,1,0),IF($X7&lt;30,1,0))</formula>
    </cfRule>
    <cfRule type="expression" dxfId="2966" priority="22">
      <formula>AND(IF($Q7=3,1,IF($Q7=4,1,0)),IF($F7&lt;=85,1,0))</formula>
    </cfRule>
  </conditionalFormatting>
  <conditionalFormatting sqref="AV8">
    <cfRule type="expression" dxfId="2965" priority="17">
      <formula>AV8="X"</formula>
    </cfRule>
    <cfRule type="expression" dxfId="2964" priority="18">
      <formula>AV8="후보"</formula>
    </cfRule>
  </conditionalFormatting>
  <conditionalFormatting sqref="AC8">
    <cfRule type="cellIs" dxfId="2963" priority="15" operator="greaterThan">
      <formula>0.9</formula>
    </cfRule>
    <cfRule type="cellIs" dxfId="2962" priority="16" operator="greaterThan">
      <formula>0.85</formula>
    </cfRule>
  </conditionalFormatting>
  <conditionalFormatting sqref="N8">
    <cfRule type="cellIs" dxfId="2961" priority="13" operator="greaterThan">
      <formula>0.9</formula>
    </cfRule>
    <cfRule type="cellIs" dxfId="2960" priority="14" operator="greaterThan">
      <formula>0.85</formula>
    </cfRule>
  </conditionalFormatting>
  <conditionalFormatting sqref="E8">
    <cfRule type="expression" dxfId="2959" priority="9">
      <formula>AND(IF(OR($Q8=1,$Q8=2),1,0),IF($X8&lt;=20,1,0))</formula>
    </cfRule>
    <cfRule type="expression" dxfId="2958" priority="10">
      <formula>AND(IF($Q8=2,1,0),IF($X8&lt;30,1,0))</formula>
    </cfRule>
    <cfRule type="expression" dxfId="2957" priority="11">
      <formula>AND(IF($Q8=3,1,0),IF($X8&lt;30,1,0))</formula>
    </cfRule>
    <cfRule type="expression" dxfId="2956" priority="12">
      <formula>AND(IF($Q8=3,1,IF($Q8=4,1,0)),IF($F8&lt;=85,1,0))</formula>
    </cfRule>
  </conditionalFormatting>
  <conditionalFormatting sqref="X8">
    <cfRule type="expression" dxfId="2955" priority="5">
      <formula>AND(IF(OR($Q8=1,$Q8=2),1,0),IF($X8&lt;=20,1,0))</formula>
    </cfRule>
    <cfRule type="expression" dxfId="2954" priority="6">
      <formula>AND(IF($Q8=2,1,0),IF($X8&lt;30,1,0))</formula>
    </cfRule>
    <cfRule type="expression" dxfId="2953" priority="7">
      <formula>AND(IF($Q8=3,1,0),IF($X8&lt;30,1,0))</formula>
    </cfRule>
    <cfRule type="expression" dxfId="2952" priority="8">
      <formula>AND(IF($Q8=3,1,IF($Q8=4,1,0)),IF($F8&lt;=85,1,0))</formula>
    </cfRule>
  </conditionalFormatting>
  <conditionalFormatting sqref="AI8">
    <cfRule type="expression" dxfId="2951" priority="1">
      <formula>AND(IF(OR($Q8=1,$Q8=2),1,0),IF($X8&lt;=20,1,0))</formula>
    </cfRule>
    <cfRule type="expression" dxfId="2950" priority="2">
      <formula>AND(IF($Q8=2,1,0),IF($X8&lt;30,1,0))</formula>
    </cfRule>
    <cfRule type="expression" dxfId="2949" priority="3">
      <formula>AND(IF($Q8=3,1,0),IF($X8&lt;30,1,0))</formula>
    </cfRule>
    <cfRule type="expression" dxfId="2948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서흥남동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920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서흥남동 고려타운('92.05.,226^)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933</v>
      </c>
      <c r="B6" s="10" t="s">
        <v>1335</v>
      </c>
      <c r="C6" s="89">
        <v>226</v>
      </c>
      <c r="D6" s="87">
        <v>56.3</v>
      </c>
      <c r="E6" s="88">
        <v>17</v>
      </c>
      <c r="F6" s="87">
        <v>43.1</v>
      </c>
      <c r="G6" s="17">
        <v>13</v>
      </c>
      <c r="H6" s="89">
        <v>12</v>
      </c>
      <c r="I6" s="90"/>
      <c r="J6" s="90"/>
      <c r="K6" s="90"/>
      <c r="L6" s="90"/>
      <c r="M6" s="91">
        <f t="shared" ref="M6:M15" si="2">I6-K6</f>
        <v>0</v>
      </c>
      <c r="N6" s="4" t="str">
        <f t="shared" ref="N6:N15" si="3">IF(ISERROR(K6/I6),"",K6/I6)</f>
        <v/>
      </c>
      <c r="O6" s="92">
        <f t="shared" ref="O6:O15" si="4">I6/E6</f>
        <v>0</v>
      </c>
      <c r="P6" s="92">
        <f t="shared" ref="P6:P15" si="5">K6/E6</f>
        <v>0</v>
      </c>
      <c r="Q6" s="80">
        <v>2</v>
      </c>
      <c r="R6" s="80">
        <v>1</v>
      </c>
      <c r="S6" s="80" t="s">
        <v>61</v>
      </c>
      <c r="T6" s="5">
        <v>56</v>
      </c>
      <c r="U6" s="9"/>
      <c r="W6" s="87">
        <f t="shared" ref="W6:W15" si="6">D6</f>
        <v>56.3</v>
      </c>
      <c r="X6" s="88">
        <f t="shared" ref="X6:X15" si="7">E6</f>
        <v>17</v>
      </c>
      <c r="Y6" s="93">
        <f t="shared" ref="Y6:Y15" si="8">H6</f>
        <v>12</v>
      </c>
      <c r="Z6" s="91">
        <f t="shared" ref="Z6:Z15" si="9">I6</f>
        <v>0</v>
      </c>
      <c r="AA6" s="91">
        <f t="shared" ref="AA6:AA15" si="10">K6</f>
        <v>0</v>
      </c>
      <c r="AB6" s="91">
        <f t="shared" ref="AB6:AB15" si="11">M6</f>
        <v>0</v>
      </c>
      <c r="AC6" s="4" t="str">
        <f t="shared" ref="AC6:AC15" si="12">N6</f>
        <v/>
      </c>
      <c r="AD6" s="92">
        <f t="shared" ref="AD6:AD15" si="13">O6</f>
        <v>0</v>
      </c>
      <c r="AE6" s="80" t="str">
        <f t="shared" ref="AE6:AE15" si="14">S6</f>
        <v>계</v>
      </c>
      <c r="AF6" s="80" t="str">
        <f t="shared" ref="AF6:AF15" si="15">Q6&amp;"/"&amp;R6</f>
        <v>2/1</v>
      </c>
      <c r="AH6" s="20" t="str">
        <f t="shared" si="1"/>
        <v>고려타운</v>
      </c>
      <c r="AI6" s="88">
        <f t="shared" si="0"/>
        <v>17</v>
      </c>
      <c r="AJ6" s="80" t="str">
        <f t="shared" ref="AJ6:AJ15" si="16">IF(AI6="","",$AJ$2)</f>
        <v>A-</v>
      </c>
      <c r="AK6" s="80" t="s">
        <v>14</v>
      </c>
      <c r="AL6" s="80" t="s">
        <v>63</v>
      </c>
      <c r="AM6" s="80" t="s">
        <v>64</v>
      </c>
      <c r="AN6" s="80" t="str">
        <f t="shared" ref="AN6:AN15" si="17">IF(AI6="","",$AN$2)</f>
        <v>C</v>
      </c>
      <c r="AO6" s="80" t="str">
        <f t="shared" ref="AO6:AO15" si="18">IF(N6="","",IF(N6&gt;=$AO$1/100,"O","X"))</f>
        <v/>
      </c>
      <c r="AP6" s="80" t="str">
        <f t="shared" ref="AP6:AP15" si="19">IF(I6="","",IF(I6&lt;=$AP$1,"O","X"))</f>
        <v/>
      </c>
      <c r="AQ6" s="80" t="str">
        <f t="shared" ref="AQ6:AQ15" si="20">IF(O6="","",IF(O6&lt;=$AQ$1,"O","X"))</f>
        <v>O</v>
      </c>
      <c r="AR6" s="80" t="str">
        <f t="shared" ref="AR6:AR15" si="21">IF(M6="","",IF(M6&lt;=$AR$1,"O","X"))</f>
        <v>O</v>
      </c>
      <c r="AS6" s="80" t="s">
        <v>2</v>
      </c>
      <c r="AT6" s="80" t="str">
        <f t="shared" ref="AT6:AT15" si="22">IF(OR(F6="",AI6=""),"",IF(AND((F6&lt;=85),(AI6&gt;=15)),"O","X"))</f>
        <v>O</v>
      </c>
      <c r="AU6" s="80" t="str">
        <f t="shared" ref="AU6:AU15" si="23">IF(C6="","",IF(C6&gt;=$AU$1,"O","X"))</f>
        <v>X</v>
      </c>
      <c r="AV6" s="80" t="str">
        <f t="shared" ref="AV6:AV15" si="24">IF(AO6="","",IF(AND(AO6="O",AP6="O",AR6="O",AT6="O",AU6="O"),"후보","X"))</f>
        <v/>
      </c>
    </row>
    <row r="7" spans="1:48" x14ac:dyDescent="0.3">
      <c r="A7" s="9" t="s">
        <v>933</v>
      </c>
      <c r="B7" s="10" t="s">
        <v>1335</v>
      </c>
      <c r="C7" s="89">
        <v>226</v>
      </c>
      <c r="D7" s="87">
        <v>64.8</v>
      </c>
      <c r="E7" s="88">
        <v>20</v>
      </c>
      <c r="F7" s="87">
        <v>49</v>
      </c>
      <c r="G7" s="17">
        <v>15</v>
      </c>
      <c r="H7" s="89">
        <v>20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2</v>
      </c>
      <c r="R7" s="80">
        <v>1</v>
      </c>
      <c r="S7" s="80" t="s">
        <v>61</v>
      </c>
      <c r="T7" s="5">
        <v>64</v>
      </c>
      <c r="U7" s="9"/>
      <c r="W7" s="87">
        <f t="shared" si="6"/>
        <v>64.8</v>
      </c>
      <c r="X7" s="88">
        <f t="shared" si="7"/>
        <v>20</v>
      </c>
      <c r="Y7" s="93">
        <f t="shared" si="8"/>
        <v>20</v>
      </c>
      <c r="Z7" s="91">
        <f t="shared" si="9"/>
        <v>0</v>
      </c>
      <c r="AA7" s="91">
        <f t="shared" si="10"/>
        <v>0</v>
      </c>
      <c r="AB7" s="91">
        <f t="shared" si="11"/>
        <v>0</v>
      </c>
      <c r="AC7" s="4" t="str">
        <f t="shared" si="12"/>
        <v/>
      </c>
      <c r="AD7" s="92">
        <f t="shared" si="13"/>
        <v>0</v>
      </c>
      <c r="AE7" s="80" t="str">
        <f t="shared" si="14"/>
        <v>계</v>
      </c>
      <c r="AF7" s="80" t="str">
        <f t="shared" si="15"/>
        <v>2/1</v>
      </c>
      <c r="AH7" s="20" t="str">
        <f t="shared" si="1"/>
        <v>고려타운</v>
      </c>
      <c r="AI7" s="88">
        <f t="shared" si="0"/>
        <v>20</v>
      </c>
      <c r="AJ7" s="80" t="str">
        <f t="shared" si="16"/>
        <v>A-</v>
      </c>
      <c r="AK7" s="80" t="s">
        <v>14</v>
      </c>
      <c r="AL7" s="80" t="s">
        <v>63</v>
      </c>
      <c r="AM7" s="80" t="s">
        <v>64</v>
      </c>
      <c r="AN7" s="80" t="str">
        <f t="shared" si="17"/>
        <v>C</v>
      </c>
      <c r="AO7" s="80" t="str">
        <f t="shared" si="18"/>
        <v/>
      </c>
      <c r="AP7" s="80" t="str">
        <f t="shared" si="19"/>
        <v/>
      </c>
      <c r="AQ7" s="80" t="str">
        <f t="shared" si="20"/>
        <v>O</v>
      </c>
      <c r="AR7" s="80" t="str">
        <f t="shared" si="21"/>
        <v>O</v>
      </c>
      <c r="AS7" s="80" t="s">
        <v>2</v>
      </c>
      <c r="AT7" s="80" t="str">
        <f t="shared" si="22"/>
        <v>O</v>
      </c>
      <c r="AU7" s="80" t="str">
        <f t="shared" si="23"/>
        <v>X</v>
      </c>
      <c r="AV7" s="80" t="str">
        <f t="shared" si="24"/>
        <v/>
      </c>
    </row>
    <row r="8" spans="1:48" x14ac:dyDescent="0.3">
      <c r="A8" s="9" t="s">
        <v>933</v>
      </c>
      <c r="B8" s="10" t="s">
        <v>1335</v>
      </c>
      <c r="C8" s="89">
        <v>226</v>
      </c>
      <c r="D8" s="87">
        <v>74.599999999999994</v>
      </c>
      <c r="E8" s="88">
        <v>23</v>
      </c>
      <c r="F8" s="87">
        <v>58.8</v>
      </c>
      <c r="G8" s="17">
        <v>18</v>
      </c>
      <c r="H8" s="89">
        <v>18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2</v>
      </c>
      <c r="S8" s="80" t="s">
        <v>61</v>
      </c>
      <c r="T8" s="5" t="s">
        <v>228</v>
      </c>
      <c r="U8" s="9"/>
      <c r="W8" s="87">
        <f t="shared" si="6"/>
        <v>74.599999999999994</v>
      </c>
      <c r="X8" s="88">
        <f t="shared" si="7"/>
        <v>23</v>
      </c>
      <c r="Y8" s="93">
        <f t="shared" si="8"/>
        <v>18</v>
      </c>
      <c r="Z8" s="91">
        <f t="shared" si="9"/>
        <v>0</v>
      </c>
      <c r="AA8" s="91">
        <f t="shared" si="10"/>
        <v>0</v>
      </c>
      <c r="AB8" s="91">
        <f t="shared" si="11"/>
        <v>0</v>
      </c>
      <c r="AC8" s="4" t="str">
        <f t="shared" si="12"/>
        <v/>
      </c>
      <c r="AD8" s="92">
        <f t="shared" si="13"/>
        <v>0</v>
      </c>
      <c r="AE8" s="80" t="str">
        <f t="shared" si="14"/>
        <v>계</v>
      </c>
      <c r="AF8" s="80" t="str">
        <f t="shared" si="15"/>
        <v>3/2</v>
      </c>
      <c r="AH8" s="20" t="str">
        <f t="shared" si="1"/>
        <v>고려타운</v>
      </c>
      <c r="AI8" s="88">
        <f t="shared" si="0"/>
        <v>23</v>
      </c>
      <c r="AJ8" s="80" t="str">
        <f t="shared" si="16"/>
        <v>A-</v>
      </c>
      <c r="AK8" s="80" t="s">
        <v>14</v>
      </c>
      <c r="AL8" s="80" t="s">
        <v>63</v>
      </c>
      <c r="AM8" s="80" t="s">
        <v>64</v>
      </c>
      <c r="AN8" s="80" t="str">
        <f t="shared" si="17"/>
        <v>C</v>
      </c>
      <c r="AO8" s="80" t="str">
        <f t="shared" si="18"/>
        <v/>
      </c>
      <c r="AP8" s="80" t="str">
        <f t="shared" si="19"/>
        <v/>
      </c>
      <c r="AQ8" s="80" t="str">
        <f t="shared" si="20"/>
        <v>O</v>
      </c>
      <c r="AR8" s="80" t="str">
        <f t="shared" si="21"/>
        <v>O</v>
      </c>
      <c r="AS8" s="80" t="s">
        <v>2</v>
      </c>
      <c r="AT8" s="80" t="str">
        <f t="shared" si="22"/>
        <v>O</v>
      </c>
      <c r="AU8" s="80" t="str">
        <f t="shared" si="23"/>
        <v>X</v>
      </c>
      <c r="AV8" s="80" t="str">
        <f t="shared" si="24"/>
        <v/>
      </c>
    </row>
    <row r="9" spans="1:48" x14ac:dyDescent="0.3">
      <c r="A9" s="9" t="s">
        <v>933</v>
      </c>
      <c r="B9" s="10" t="s">
        <v>1335</v>
      </c>
      <c r="C9" s="89">
        <v>226</v>
      </c>
      <c r="D9" s="87">
        <v>76.900000000000006</v>
      </c>
      <c r="E9" s="88">
        <v>23</v>
      </c>
      <c r="F9" s="87">
        <v>59.5</v>
      </c>
      <c r="G9" s="17">
        <v>18</v>
      </c>
      <c r="H9" s="89">
        <v>56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61</v>
      </c>
      <c r="T9" s="5" t="s">
        <v>938</v>
      </c>
      <c r="U9" s="9"/>
      <c r="W9" s="87">
        <f t="shared" si="6"/>
        <v>76.900000000000006</v>
      </c>
      <c r="X9" s="88">
        <f t="shared" si="7"/>
        <v>23</v>
      </c>
      <c r="Y9" s="93">
        <f t="shared" si="8"/>
        <v>56</v>
      </c>
      <c r="Z9" s="91">
        <f t="shared" si="9"/>
        <v>0</v>
      </c>
      <c r="AA9" s="91">
        <f t="shared" si="10"/>
        <v>0</v>
      </c>
      <c r="AB9" s="91">
        <f t="shared" si="11"/>
        <v>0</v>
      </c>
      <c r="AC9" s="4" t="str">
        <f t="shared" si="12"/>
        <v/>
      </c>
      <c r="AD9" s="92">
        <f t="shared" si="13"/>
        <v>0</v>
      </c>
      <c r="AE9" s="80" t="str">
        <f t="shared" si="14"/>
        <v>계</v>
      </c>
      <c r="AF9" s="80" t="str">
        <f t="shared" si="15"/>
        <v>3/2</v>
      </c>
      <c r="AH9" s="20" t="str">
        <f t="shared" si="1"/>
        <v>고려타운</v>
      </c>
      <c r="AI9" s="88">
        <f t="shared" si="0"/>
        <v>23</v>
      </c>
      <c r="AJ9" s="80" t="str">
        <f t="shared" si="16"/>
        <v>A-</v>
      </c>
      <c r="AK9" s="80" t="s">
        <v>14</v>
      </c>
      <c r="AL9" s="80" t="s">
        <v>63</v>
      </c>
      <c r="AM9" s="80" t="s">
        <v>64</v>
      </c>
      <c r="AN9" s="80" t="str">
        <f t="shared" si="17"/>
        <v>C</v>
      </c>
      <c r="AO9" s="80" t="str">
        <f t="shared" si="18"/>
        <v/>
      </c>
      <c r="AP9" s="80" t="str">
        <f t="shared" si="19"/>
        <v/>
      </c>
      <c r="AQ9" s="80" t="str">
        <f t="shared" si="20"/>
        <v>O</v>
      </c>
      <c r="AR9" s="80" t="str">
        <f t="shared" si="21"/>
        <v>O</v>
      </c>
      <c r="AS9" s="80" t="s">
        <v>2</v>
      </c>
      <c r="AT9" s="80" t="str">
        <f t="shared" si="22"/>
        <v>O</v>
      </c>
      <c r="AU9" s="80" t="str">
        <f t="shared" si="23"/>
        <v>X</v>
      </c>
      <c r="AV9" s="80" t="str">
        <f t="shared" si="24"/>
        <v/>
      </c>
    </row>
    <row r="10" spans="1:48" x14ac:dyDescent="0.3">
      <c r="A10" s="9" t="s">
        <v>933</v>
      </c>
      <c r="B10" s="10" t="s">
        <v>1335</v>
      </c>
      <c r="C10" s="89">
        <v>226</v>
      </c>
      <c r="D10" s="87">
        <v>77.5</v>
      </c>
      <c r="E10" s="88">
        <v>23</v>
      </c>
      <c r="F10" s="87">
        <v>59.7</v>
      </c>
      <c r="G10" s="17">
        <v>18</v>
      </c>
      <c r="H10" s="89">
        <v>60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61</v>
      </c>
      <c r="T10" s="5" t="s">
        <v>147</v>
      </c>
      <c r="U10" s="9"/>
      <c r="W10" s="87">
        <f t="shared" si="6"/>
        <v>77.5</v>
      </c>
      <c r="X10" s="88">
        <f t="shared" si="7"/>
        <v>23</v>
      </c>
      <c r="Y10" s="93">
        <f t="shared" si="8"/>
        <v>60</v>
      </c>
      <c r="Z10" s="91">
        <f t="shared" si="9"/>
        <v>0</v>
      </c>
      <c r="AA10" s="91">
        <f t="shared" si="10"/>
        <v>0</v>
      </c>
      <c r="AB10" s="91">
        <f t="shared" si="11"/>
        <v>0</v>
      </c>
      <c r="AC10" s="4" t="str">
        <f t="shared" si="12"/>
        <v/>
      </c>
      <c r="AD10" s="92">
        <f t="shared" si="13"/>
        <v>0</v>
      </c>
      <c r="AE10" s="80" t="str">
        <f t="shared" si="14"/>
        <v>계</v>
      </c>
      <c r="AF10" s="80" t="str">
        <f t="shared" si="15"/>
        <v>3/2</v>
      </c>
      <c r="AH10" s="20" t="str">
        <f t="shared" si="1"/>
        <v>고려타운</v>
      </c>
      <c r="AI10" s="88">
        <f t="shared" si="0"/>
        <v>23</v>
      </c>
      <c r="AJ10" s="80" t="str">
        <f t="shared" si="16"/>
        <v>A-</v>
      </c>
      <c r="AK10" s="80" t="s">
        <v>14</v>
      </c>
      <c r="AL10" s="80" t="s">
        <v>63</v>
      </c>
      <c r="AM10" s="80" t="s">
        <v>64</v>
      </c>
      <c r="AN10" s="80" t="str">
        <f t="shared" si="17"/>
        <v>C</v>
      </c>
      <c r="AO10" s="80" t="str">
        <f t="shared" si="18"/>
        <v/>
      </c>
      <c r="AP10" s="80" t="str">
        <f t="shared" si="19"/>
        <v/>
      </c>
      <c r="AQ10" s="80" t="str">
        <f t="shared" si="20"/>
        <v>O</v>
      </c>
      <c r="AR10" s="80" t="str">
        <f t="shared" si="21"/>
        <v>O</v>
      </c>
      <c r="AS10" s="80" t="s">
        <v>2</v>
      </c>
      <c r="AT10" s="80" t="str">
        <f t="shared" si="22"/>
        <v>O</v>
      </c>
      <c r="AU10" s="80" t="str">
        <f t="shared" si="23"/>
        <v>X</v>
      </c>
      <c r="AV10" s="80" t="str">
        <f t="shared" si="24"/>
        <v/>
      </c>
    </row>
    <row r="11" spans="1:48" x14ac:dyDescent="0.3">
      <c r="A11" s="9" t="s">
        <v>933</v>
      </c>
      <c r="B11" s="10" t="s">
        <v>1335</v>
      </c>
      <c r="C11" s="89">
        <v>226</v>
      </c>
      <c r="D11" s="87">
        <v>77.5</v>
      </c>
      <c r="E11" s="88">
        <v>23</v>
      </c>
      <c r="F11" s="87">
        <v>59.5</v>
      </c>
      <c r="G11" s="17">
        <v>18</v>
      </c>
      <c r="H11" s="89">
        <v>20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2</v>
      </c>
      <c r="S11" s="80" t="s">
        <v>61</v>
      </c>
      <c r="T11" s="5" t="s">
        <v>939</v>
      </c>
      <c r="U11" s="9"/>
      <c r="W11" s="87">
        <f t="shared" si="6"/>
        <v>77.5</v>
      </c>
      <c r="X11" s="88">
        <f t="shared" si="7"/>
        <v>23</v>
      </c>
      <c r="Y11" s="93">
        <f t="shared" si="8"/>
        <v>20</v>
      </c>
      <c r="Z11" s="91">
        <f t="shared" si="9"/>
        <v>0</v>
      </c>
      <c r="AA11" s="91">
        <f t="shared" si="10"/>
        <v>0</v>
      </c>
      <c r="AB11" s="91">
        <f t="shared" si="11"/>
        <v>0</v>
      </c>
      <c r="AC11" s="4" t="str">
        <f t="shared" si="12"/>
        <v/>
      </c>
      <c r="AD11" s="92">
        <f t="shared" si="13"/>
        <v>0</v>
      </c>
      <c r="AE11" s="80" t="str">
        <f t="shared" si="14"/>
        <v>계</v>
      </c>
      <c r="AF11" s="80" t="str">
        <f t="shared" si="15"/>
        <v>3/2</v>
      </c>
      <c r="AH11" s="20" t="str">
        <f t="shared" si="1"/>
        <v>고려타운</v>
      </c>
      <c r="AI11" s="88">
        <f t="shared" si="0"/>
        <v>23</v>
      </c>
      <c r="AJ11" s="80" t="str">
        <f t="shared" si="16"/>
        <v>A-</v>
      </c>
      <c r="AK11" s="80" t="s">
        <v>14</v>
      </c>
      <c r="AL11" s="80" t="s">
        <v>63</v>
      </c>
      <c r="AM11" s="80" t="s">
        <v>64</v>
      </c>
      <c r="AN11" s="80" t="str">
        <f t="shared" si="17"/>
        <v>C</v>
      </c>
      <c r="AO11" s="80" t="str">
        <f t="shared" si="18"/>
        <v/>
      </c>
      <c r="AP11" s="80" t="str">
        <f t="shared" si="19"/>
        <v/>
      </c>
      <c r="AQ11" s="80" t="str">
        <f t="shared" si="20"/>
        <v>O</v>
      </c>
      <c r="AR11" s="80" t="str">
        <f t="shared" si="21"/>
        <v>O</v>
      </c>
      <c r="AS11" s="80" t="s">
        <v>2</v>
      </c>
      <c r="AT11" s="80" t="str">
        <f t="shared" si="22"/>
        <v>O</v>
      </c>
      <c r="AU11" s="80" t="str">
        <f t="shared" si="23"/>
        <v>X</v>
      </c>
      <c r="AV11" s="80" t="str">
        <f t="shared" si="24"/>
        <v/>
      </c>
    </row>
    <row r="12" spans="1:48" x14ac:dyDescent="0.3">
      <c r="A12" s="9" t="s">
        <v>933</v>
      </c>
      <c r="B12" s="10" t="s">
        <v>1335</v>
      </c>
      <c r="C12" s="89">
        <v>226</v>
      </c>
      <c r="D12" s="87">
        <v>104.9</v>
      </c>
      <c r="E12" s="88">
        <v>32</v>
      </c>
      <c r="F12" s="87">
        <v>84.8</v>
      </c>
      <c r="G12" s="17">
        <v>26</v>
      </c>
      <c r="H12" s="89">
        <v>6</v>
      </c>
      <c r="I12" s="90"/>
      <c r="J12" s="90"/>
      <c r="K12" s="90"/>
      <c r="L12" s="90"/>
      <c r="M12" s="91">
        <f t="shared" si="2"/>
        <v>0</v>
      </c>
      <c r="N12" s="4" t="str">
        <f t="shared" si="3"/>
        <v/>
      </c>
      <c r="O12" s="92">
        <f t="shared" si="4"/>
        <v>0</v>
      </c>
      <c r="P12" s="92">
        <f t="shared" si="5"/>
        <v>0</v>
      </c>
      <c r="Q12" s="80">
        <v>3</v>
      </c>
      <c r="R12" s="80">
        <v>2</v>
      </c>
      <c r="S12" s="80" t="s">
        <v>61</v>
      </c>
      <c r="T12" s="5" t="s">
        <v>940</v>
      </c>
      <c r="U12" s="9"/>
      <c r="W12" s="87">
        <f t="shared" si="6"/>
        <v>104.9</v>
      </c>
      <c r="X12" s="88">
        <f t="shared" si="7"/>
        <v>32</v>
      </c>
      <c r="Y12" s="93">
        <f t="shared" si="8"/>
        <v>6</v>
      </c>
      <c r="Z12" s="91">
        <f t="shared" si="9"/>
        <v>0</v>
      </c>
      <c r="AA12" s="91">
        <f t="shared" si="10"/>
        <v>0</v>
      </c>
      <c r="AB12" s="91">
        <f t="shared" si="11"/>
        <v>0</v>
      </c>
      <c r="AC12" s="4" t="str">
        <f t="shared" si="12"/>
        <v/>
      </c>
      <c r="AD12" s="92">
        <f t="shared" si="13"/>
        <v>0</v>
      </c>
      <c r="AE12" s="80" t="str">
        <f t="shared" si="14"/>
        <v>계</v>
      </c>
      <c r="AF12" s="80" t="str">
        <f t="shared" si="15"/>
        <v>3/2</v>
      </c>
      <c r="AH12" s="20" t="str">
        <f t="shared" si="1"/>
        <v>고려타운</v>
      </c>
      <c r="AI12" s="88">
        <f t="shared" si="0"/>
        <v>32</v>
      </c>
      <c r="AJ12" s="80" t="str">
        <f t="shared" si="16"/>
        <v>A-</v>
      </c>
      <c r="AK12" s="80" t="s">
        <v>14</v>
      </c>
      <c r="AL12" s="80" t="s">
        <v>63</v>
      </c>
      <c r="AM12" s="80" t="s">
        <v>64</v>
      </c>
      <c r="AN12" s="80" t="str">
        <f t="shared" si="17"/>
        <v>C</v>
      </c>
      <c r="AO12" s="80" t="str">
        <f t="shared" si="18"/>
        <v/>
      </c>
      <c r="AP12" s="80" t="str">
        <f t="shared" si="19"/>
        <v/>
      </c>
      <c r="AQ12" s="80" t="str">
        <f t="shared" si="20"/>
        <v>O</v>
      </c>
      <c r="AR12" s="80" t="str">
        <f t="shared" si="21"/>
        <v>O</v>
      </c>
      <c r="AS12" s="80" t="s">
        <v>2</v>
      </c>
      <c r="AT12" s="80" t="str">
        <f t="shared" si="22"/>
        <v>O</v>
      </c>
      <c r="AU12" s="80" t="str">
        <f t="shared" si="23"/>
        <v>X</v>
      </c>
      <c r="AV12" s="80" t="str">
        <f t="shared" si="24"/>
        <v/>
      </c>
    </row>
    <row r="13" spans="1:48" x14ac:dyDescent="0.3">
      <c r="A13" s="9" t="s">
        <v>933</v>
      </c>
      <c r="B13" s="10" t="s">
        <v>1335</v>
      </c>
      <c r="C13" s="89">
        <v>226</v>
      </c>
      <c r="D13" s="87">
        <v>105.4</v>
      </c>
      <c r="E13" s="88">
        <v>32</v>
      </c>
      <c r="F13" s="87">
        <v>84.6</v>
      </c>
      <c r="G13" s="17">
        <v>26</v>
      </c>
      <c r="H13" s="89">
        <v>24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>
        <v>3</v>
      </c>
      <c r="R13" s="80">
        <v>2</v>
      </c>
      <c r="S13" s="80" t="s">
        <v>61</v>
      </c>
      <c r="T13" s="5" t="s">
        <v>941</v>
      </c>
      <c r="U13" s="9"/>
      <c r="W13" s="87">
        <f t="shared" si="6"/>
        <v>105.4</v>
      </c>
      <c r="X13" s="88">
        <f t="shared" si="7"/>
        <v>32</v>
      </c>
      <c r="Y13" s="93">
        <f t="shared" si="8"/>
        <v>24</v>
      </c>
      <c r="Z13" s="91">
        <f t="shared" si="9"/>
        <v>0</v>
      </c>
      <c r="AA13" s="91">
        <f t="shared" si="10"/>
        <v>0</v>
      </c>
      <c r="AB13" s="91">
        <f t="shared" si="11"/>
        <v>0</v>
      </c>
      <c r="AC13" s="4" t="str">
        <f t="shared" si="12"/>
        <v/>
      </c>
      <c r="AD13" s="92">
        <f t="shared" si="13"/>
        <v>0</v>
      </c>
      <c r="AE13" s="80" t="str">
        <f t="shared" si="14"/>
        <v>계</v>
      </c>
      <c r="AF13" s="80" t="str">
        <f t="shared" si="15"/>
        <v>3/2</v>
      </c>
      <c r="AH13" s="20" t="str">
        <f t="shared" si="1"/>
        <v>고려타운</v>
      </c>
      <c r="AI13" s="88">
        <f t="shared" si="0"/>
        <v>32</v>
      </c>
      <c r="AJ13" s="80" t="str">
        <f t="shared" si="16"/>
        <v>A-</v>
      </c>
      <c r="AK13" s="80" t="s">
        <v>14</v>
      </c>
      <c r="AL13" s="80" t="s">
        <v>63</v>
      </c>
      <c r="AM13" s="80" t="s">
        <v>64</v>
      </c>
      <c r="AN13" s="80" t="str">
        <f t="shared" si="17"/>
        <v>C</v>
      </c>
      <c r="AO13" s="80" t="str">
        <f t="shared" si="18"/>
        <v/>
      </c>
      <c r="AP13" s="80" t="str">
        <f t="shared" si="19"/>
        <v/>
      </c>
      <c r="AQ13" s="80" t="str">
        <f t="shared" si="20"/>
        <v>O</v>
      </c>
      <c r="AR13" s="80" t="str">
        <f t="shared" si="21"/>
        <v>O</v>
      </c>
      <c r="AS13" s="80" t="s">
        <v>2</v>
      </c>
      <c r="AT13" s="80" t="str">
        <f t="shared" si="22"/>
        <v>O</v>
      </c>
      <c r="AU13" s="80" t="str">
        <f t="shared" si="23"/>
        <v>X</v>
      </c>
      <c r="AV13" s="80" t="str">
        <f t="shared" si="24"/>
        <v/>
      </c>
    </row>
    <row r="14" spans="1:48" x14ac:dyDescent="0.3">
      <c r="A14" s="9" t="s">
        <v>933</v>
      </c>
      <c r="B14" s="10" t="s">
        <v>1335</v>
      </c>
      <c r="C14" s="89">
        <v>226</v>
      </c>
      <c r="D14" s="87">
        <v>110</v>
      </c>
      <c r="E14" s="88">
        <v>33</v>
      </c>
      <c r="F14" s="87">
        <v>80.599999999999994</v>
      </c>
      <c r="G14" s="17">
        <v>24</v>
      </c>
      <c r="H14" s="89">
        <v>5</v>
      </c>
      <c r="I14" s="90"/>
      <c r="J14" s="90"/>
      <c r="K14" s="90"/>
      <c r="L14" s="90"/>
      <c r="M14" s="91">
        <f t="shared" si="2"/>
        <v>0</v>
      </c>
      <c r="N14" s="4" t="str">
        <f t="shared" si="3"/>
        <v/>
      </c>
      <c r="O14" s="92">
        <f t="shared" si="4"/>
        <v>0</v>
      </c>
      <c r="P14" s="92">
        <f t="shared" si="5"/>
        <v>0</v>
      </c>
      <c r="Q14" s="80">
        <v>3</v>
      </c>
      <c r="R14" s="80">
        <v>2</v>
      </c>
      <c r="S14" s="80" t="s">
        <v>76</v>
      </c>
      <c r="T14" s="5">
        <v>109</v>
      </c>
      <c r="U14" s="9"/>
      <c r="W14" s="87">
        <f t="shared" si="6"/>
        <v>110</v>
      </c>
      <c r="X14" s="88">
        <f t="shared" si="7"/>
        <v>33</v>
      </c>
      <c r="Y14" s="93">
        <f t="shared" si="8"/>
        <v>5</v>
      </c>
      <c r="Z14" s="91">
        <f t="shared" si="9"/>
        <v>0</v>
      </c>
      <c r="AA14" s="91">
        <f t="shared" si="10"/>
        <v>0</v>
      </c>
      <c r="AB14" s="91">
        <f t="shared" si="11"/>
        <v>0</v>
      </c>
      <c r="AC14" s="4" t="str">
        <f t="shared" si="12"/>
        <v/>
      </c>
      <c r="AD14" s="92">
        <f t="shared" si="13"/>
        <v>0</v>
      </c>
      <c r="AE14" s="80" t="str">
        <f t="shared" si="14"/>
        <v>복</v>
      </c>
      <c r="AF14" s="80" t="str">
        <f t="shared" si="15"/>
        <v>3/2</v>
      </c>
      <c r="AH14" s="20" t="str">
        <f t="shared" si="1"/>
        <v>고려타운</v>
      </c>
      <c r="AI14" s="88">
        <f t="shared" si="0"/>
        <v>33</v>
      </c>
      <c r="AJ14" s="80" t="str">
        <f t="shared" si="16"/>
        <v>A-</v>
      </c>
      <c r="AK14" s="80" t="s">
        <v>14</v>
      </c>
      <c r="AL14" s="80" t="s">
        <v>63</v>
      </c>
      <c r="AM14" s="80" t="s">
        <v>64</v>
      </c>
      <c r="AN14" s="80" t="str">
        <f t="shared" si="17"/>
        <v>C</v>
      </c>
      <c r="AO14" s="80" t="str">
        <f t="shared" si="18"/>
        <v/>
      </c>
      <c r="AP14" s="80" t="str">
        <f t="shared" si="19"/>
        <v/>
      </c>
      <c r="AQ14" s="80" t="str">
        <f t="shared" si="20"/>
        <v>O</v>
      </c>
      <c r="AR14" s="80" t="str">
        <f t="shared" si="21"/>
        <v>O</v>
      </c>
      <c r="AS14" s="80" t="s">
        <v>2</v>
      </c>
      <c r="AT14" s="80" t="str">
        <f t="shared" si="22"/>
        <v>O</v>
      </c>
      <c r="AU14" s="80" t="str">
        <f t="shared" si="23"/>
        <v>X</v>
      </c>
      <c r="AV14" s="80" t="str">
        <f t="shared" si="24"/>
        <v/>
      </c>
    </row>
    <row r="15" spans="1:48" x14ac:dyDescent="0.3">
      <c r="A15" s="9" t="s">
        <v>933</v>
      </c>
      <c r="B15" s="10" t="s">
        <v>1335</v>
      </c>
      <c r="C15" s="89">
        <v>226</v>
      </c>
      <c r="D15" s="87">
        <v>110.8</v>
      </c>
      <c r="E15" s="88">
        <v>34</v>
      </c>
      <c r="F15" s="87">
        <v>81.3</v>
      </c>
      <c r="G15" s="17">
        <v>25</v>
      </c>
      <c r="H15" s="89">
        <v>5</v>
      </c>
      <c r="I15" s="90"/>
      <c r="J15" s="90"/>
      <c r="K15" s="90"/>
      <c r="L15" s="90"/>
      <c r="M15" s="91">
        <f t="shared" si="2"/>
        <v>0</v>
      </c>
      <c r="N15" s="4" t="str">
        <f t="shared" si="3"/>
        <v/>
      </c>
      <c r="O15" s="92">
        <f t="shared" si="4"/>
        <v>0</v>
      </c>
      <c r="P15" s="92">
        <f t="shared" si="5"/>
        <v>0</v>
      </c>
      <c r="Q15" s="80">
        <v>3</v>
      </c>
      <c r="R15" s="80">
        <v>2</v>
      </c>
      <c r="S15" s="80" t="s">
        <v>76</v>
      </c>
      <c r="T15" s="5">
        <v>110</v>
      </c>
      <c r="U15" s="9"/>
      <c r="W15" s="87">
        <f t="shared" si="6"/>
        <v>110.8</v>
      </c>
      <c r="X15" s="88">
        <f t="shared" si="7"/>
        <v>34</v>
      </c>
      <c r="Y15" s="93">
        <f t="shared" si="8"/>
        <v>5</v>
      </c>
      <c r="Z15" s="91">
        <f t="shared" si="9"/>
        <v>0</v>
      </c>
      <c r="AA15" s="91">
        <f t="shared" si="10"/>
        <v>0</v>
      </c>
      <c r="AB15" s="91">
        <f t="shared" si="11"/>
        <v>0</v>
      </c>
      <c r="AC15" s="4" t="str">
        <f t="shared" si="12"/>
        <v/>
      </c>
      <c r="AD15" s="92">
        <f t="shared" si="13"/>
        <v>0</v>
      </c>
      <c r="AE15" s="80" t="str">
        <f t="shared" si="14"/>
        <v>복</v>
      </c>
      <c r="AF15" s="80" t="str">
        <f t="shared" si="15"/>
        <v>3/2</v>
      </c>
      <c r="AH15" s="20" t="str">
        <f t="shared" si="1"/>
        <v>고려타운</v>
      </c>
      <c r="AI15" s="88">
        <f t="shared" si="0"/>
        <v>34</v>
      </c>
      <c r="AJ15" s="80" t="str">
        <f t="shared" si="16"/>
        <v>A-</v>
      </c>
      <c r="AK15" s="80" t="s">
        <v>14</v>
      </c>
      <c r="AL15" s="80" t="s">
        <v>63</v>
      </c>
      <c r="AM15" s="80" t="s">
        <v>64</v>
      </c>
      <c r="AN15" s="80" t="str">
        <f t="shared" si="17"/>
        <v>C</v>
      </c>
      <c r="AO15" s="80" t="str">
        <f t="shared" si="18"/>
        <v/>
      </c>
      <c r="AP15" s="80" t="str">
        <f t="shared" si="19"/>
        <v/>
      </c>
      <c r="AQ15" s="80" t="str">
        <f t="shared" si="20"/>
        <v>O</v>
      </c>
      <c r="AR15" s="80" t="str">
        <f t="shared" si="21"/>
        <v>O</v>
      </c>
      <c r="AS15" s="80" t="s">
        <v>2</v>
      </c>
      <c r="AT15" s="80" t="str">
        <f t="shared" si="22"/>
        <v>O</v>
      </c>
      <c r="AU15" s="80" t="str">
        <f t="shared" si="23"/>
        <v>X</v>
      </c>
      <c r="AV15" s="80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2947" priority="181">
      <formula>AV4="X"</formula>
    </cfRule>
    <cfRule type="expression" dxfId="2946" priority="182">
      <formula>AV4="후보"</formula>
    </cfRule>
  </conditionalFormatting>
  <conditionalFormatting sqref="AC1:AC2 AC4:AC6 N4:N5">
    <cfRule type="cellIs" dxfId="2945" priority="179" operator="greaterThan">
      <formula>0.9</formula>
    </cfRule>
    <cfRule type="cellIs" dxfId="2944" priority="180" operator="greaterThan">
      <formula>0.85</formula>
    </cfRule>
  </conditionalFormatting>
  <conditionalFormatting sqref="N1:N2">
    <cfRule type="cellIs" dxfId="2943" priority="177" operator="greaterThan">
      <formula>0.9</formula>
    </cfRule>
    <cfRule type="cellIs" dxfId="2942" priority="178" operator="greaterThan">
      <formula>0.85</formula>
    </cfRule>
  </conditionalFormatting>
  <conditionalFormatting sqref="N6">
    <cfRule type="cellIs" dxfId="2941" priority="175" operator="greaterThan">
      <formula>0.9</formula>
    </cfRule>
    <cfRule type="cellIs" dxfId="2940" priority="176" operator="greaterThan">
      <formula>0.85</formula>
    </cfRule>
  </conditionalFormatting>
  <conditionalFormatting sqref="E6">
    <cfRule type="expression" dxfId="2939" priority="171">
      <formula>AND(IF(OR($Q6=1,$Q6=2),1,0),IF($X6&lt;=20,1,0))</formula>
    </cfRule>
    <cfRule type="expression" dxfId="2938" priority="172">
      <formula>AND(IF($Q6=2,1,0),IF($X6&lt;30,1,0))</formula>
    </cfRule>
    <cfRule type="expression" dxfId="2937" priority="173">
      <formula>AND(IF($Q6=3,1,0),IF($X6&lt;30,1,0))</formula>
    </cfRule>
    <cfRule type="expression" dxfId="2936" priority="174">
      <formula>AND(IF($Q6=3,1,IF($Q6=4,1,0)),IF($F6&lt;=85,1,0))</formula>
    </cfRule>
  </conditionalFormatting>
  <conditionalFormatting sqref="X6">
    <cfRule type="expression" dxfId="2935" priority="167">
      <formula>AND(IF(OR($Q6=1,$Q6=2),1,0),IF($X6&lt;=20,1,0))</formula>
    </cfRule>
    <cfRule type="expression" dxfId="2934" priority="168">
      <formula>AND(IF($Q6=2,1,0),IF($X6&lt;30,1,0))</formula>
    </cfRule>
    <cfRule type="expression" dxfId="2933" priority="169">
      <formula>AND(IF($Q6=3,1,0),IF($X6&lt;30,1,0))</formula>
    </cfRule>
    <cfRule type="expression" dxfId="2932" priority="170">
      <formula>AND(IF($Q6=3,1,IF($Q6=4,1,0)),IF($F6&lt;=85,1,0))</formula>
    </cfRule>
  </conditionalFormatting>
  <conditionalFormatting sqref="AI6">
    <cfRule type="expression" dxfId="2931" priority="163">
      <formula>AND(IF(OR($Q6=1,$Q6=2),1,0),IF($X6&lt;=20,1,0))</formula>
    </cfRule>
    <cfRule type="expression" dxfId="2930" priority="164">
      <formula>AND(IF($Q6=2,1,0),IF($X6&lt;30,1,0))</formula>
    </cfRule>
    <cfRule type="expression" dxfId="2929" priority="165">
      <formula>AND(IF($Q6=3,1,0),IF($X6&lt;30,1,0))</formula>
    </cfRule>
    <cfRule type="expression" dxfId="2928" priority="166">
      <formula>AND(IF($Q6=3,1,IF($Q6=4,1,0)),IF($F6&lt;=85,1,0))</formula>
    </cfRule>
  </conditionalFormatting>
  <conditionalFormatting sqref="AV7">
    <cfRule type="expression" dxfId="2927" priority="161">
      <formula>AV7="X"</formula>
    </cfRule>
    <cfRule type="expression" dxfId="2926" priority="162">
      <formula>AV7="후보"</formula>
    </cfRule>
  </conditionalFormatting>
  <conditionalFormatting sqref="AC7">
    <cfRule type="cellIs" dxfId="2925" priority="159" operator="greaterThan">
      <formula>0.9</formula>
    </cfRule>
    <cfRule type="cellIs" dxfId="2924" priority="160" operator="greaterThan">
      <formula>0.85</formula>
    </cfRule>
  </conditionalFormatting>
  <conditionalFormatting sqref="N7">
    <cfRule type="cellIs" dxfId="2923" priority="157" operator="greaterThan">
      <formula>0.9</formula>
    </cfRule>
    <cfRule type="cellIs" dxfId="2922" priority="158" operator="greaterThan">
      <formula>0.85</formula>
    </cfRule>
  </conditionalFormatting>
  <conditionalFormatting sqref="E7">
    <cfRule type="expression" dxfId="2921" priority="153">
      <formula>AND(IF(OR($Q7=1,$Q7=2),1,0),IF($X7&lt;=20,1,0))</formula>
    </cfRule>
    <cfRule type="expression" dxfId="2920" priority="154">
      <formula>AND(IF($Q7=2,1,0),IF($X7&lt;30,1,0))</formula>
    </cfRule>
    <cfRule type="expression" dxfId="2919" priority="155">
      <formula>AND(IF($Q7=3,1,0),IF($X7&lt;30,1,0))</formula>
    </cfRule>
    <cfRule type="expression" dxfId="2918" priority="156">
      <formula>AND(IF($Q7=3,1,IF($Q7=4,1,0)),IF($F7&lt;=85,1,0))</formula>
    </cfRule>
  </conditionalFormatting>
  <conditionalFormatting sqref="X7">
    <cfRule type="expression" dxfId="2917" priority="149">
      <formula>AND(IF(OR($Q7=1,$Q7=2),1,0),IF($X7&lt;=20,1,0))</formula>
    </cfRule>
    <cfRule type="expression" dxfId="2916" priority="150">
      <formula>AND(IF($Q7=2,1,0),IF($X7&lt;30,1,0))</formula>
    </cfRule>
    <cfRule type="expression" dxfId="2915" priority="151">
      <formula>AND(IF($Q7=3,1,0),IF($X7&lt;30,1,0))</formula>
    </cfRule>
    <cfRule type="expression" dxfId="2914" priority="152">
      <formula>AND(IF($Q7=3,1,IF($Q7=4,1,0)),IF($F7&lt;=85,1,0))</formula>
    </cfRule>
  </conditionalFormatting>
  <conditionalFormatting sqref="AI7">
    <cfRule type="expression" dxfId="2913" priority="145">
      <formula>AND(IF(OR($Q7=1,$Q7=2),1,0),IF($X7&lt;=20,1,0))</formula>
    </cfRule>
    <cfRule type="expression" dxfId="2912" priority="146">
      <formula>AND(IF($Q7=2,1,0),IF($X7&lt;30,1,0))</formula>
    </cfRule>
    <cfRule type="expression" dxfId="2911" priority="147">
      <formula>AND(IF($Q7=3,1,0),IF($X7&lt;30,1,0))</formula>
    </cfRule>
    <cfRule type="expression" dxfId="2910" priority="148">
      <formula>AND(IF($Q7=3,1,IF($Q7=4,1,0)),IF($F7&lt;=85,1,0))</formula>
    </cfRule>
  </conditionalFormatting>
  <conditionalFormatting sqref="AV8">
    <cfRule type="expression" dxfId="2909" priority="143">
      <formula>AV8="X"</formula>
    </cfRule>
    <cfRule type="expression" dxfId="2908" priority="144">
      <formula>AV8="후보"</formula>
    </cfRule>
  </conditionalFormatting>
  <conditionalFormatting sqref="AC8">
    <cfRule type="cellIs" dxfId="2907" priority="141" operator="greaterThan">
      <formula>0.9</formula>
    </cfRule>
    <cfRule type="cellIs" dxfId="2906" priority="142" operator="greaterThan">
      <formula>0.85</formula>
    </cfRule>
  </conditionalFormatting>
  <conditionalFormatting sqref="N8">
    <cfRule type="cellIs" dxfId="2905" priority="139" operator="greaterThan">
      <formula>0.9</formula>
    </cfRule>
    <cfRule type="cellIs" dxfId="2904" priority="140" operator="greaterThan">
      <formula>0.85</formula>
    </cfRule>
  </conditionalFormatting>
  <conditionalFormatting sqref="E8">
    <cfRule type="expression" dxfId="2903" priority="135">
      <formula>AND(IF(OR($Q8=1,$Q8=2),1,0),IF($X8&lt;=20,1,0))</formula>
    </cfRule>
    <cfRule type="expression" dxfId="2902" priority="136">
      <formula>AND(IF($Q8=2,1,0),IF($X8&lt;30,1,0))</formula>
    </cfRule>
    <cfRule type="expression" dxfId="2901" priority="137">
      <formula>AND(IF($Q8=3,1,0),IF($X8&lt;30,1,0))</formula>
    </cfRule>
    <cfRule type="expression" dxfId="2900" priority="138">
      <formula>AND(IF($Q8=3,1,IF($Q8=4,1,0)),IF($F8&lt;=85,1,0))</formula>
    </cfRule>
  </conditionalFormatting>
  <conditionalFormatting sqref="X8">
    <cfRule type="expression" dxfId="2899" priority="131">
      <formula>AND(IF(OR($Q8=1,$Q8=2),1,0),IF($X8&lt;=20,1,0))</formula>
    </cfRule>
    <cfRule type="expression" dxfId="2898" priority="132">
      <formula>AND(IF($Q8=2,1,0),IF($X8&lt;30,1,0))</formula>
    </cfRule>
    <cfRule type="expression" dxfId="2897" priority="133">
      <formula>AND(IF($Q8=3,1,0),IF($X8&lt;30,1,0))</formula>
    </cfRule>
    <cfRule type="expression" dxfId="2896" priority="134">
      <formula>AND(IF($Q8=3,1,IF($Q8=4,1,0)),IF($F8&lt;=85,1,0))</formula>
    </cfRule>
  </conditionalFormatting>
  <conditionalFormatting sqref="AI8">
    <cfRule type="expression" dxfId="2895" priority="127">
      <formula>AND(IF(OR($Q8=1,$Q8=2),1,0),IF($X8&lt;=20,1,0))</formula>
    </cfRule>
    <cfRule type="expression" dxfId="2894" priority="128">
      <formula>AND(IF($Q8=2,1,0),IF($X8&lt;30,1,0))</formula>
    </cfRule>
    <cfRule type="expression" dxfId="2893" priority="129">
      <formula>AND(IF($Q8=3,1,0),IF($X8&lt;30,1,0))</formula>
    </cfRule>
    <cfRule type="expression" dxfId="2892" priority="130">
      <formula>AND(IF($Q8=3,1,IF($Q8=4,1,0)),IF($F8&lt;=85,1,0))</formula>
    </cfRule>
  </conditionalFormatting>
  <conditionalFormatting sqref="AV9">
    <cfRule type="expression" dxfId="2891" priority="125">
      <formula>AV9="X"</formula>
    </cfRule>
    <cfRule type="expression" dxfId="2890" priority="126">
      <formula>AV9="후보"</formula>
    </cfRule>
  </conditionalFormatting>
  <conditionalFormatting sqref="AC9">
    <cfRule type="cellIs" dxfId="2889" priority="123" operator="greaterThan">
      <formula>0.9</formula>
    </cfRule>
    <cfRule type="cellIs" dxfId="2888" priority="124" operator="greaterThan">
      <formula>0.85</formula>
    </cfRule>
  </conditionalFormatting>
  <conditionalFormatting sqref="N9">
    <cfRule type="cellIs" dxfId="2887" priority="121" operator="greaterThan">
      <formula>0.9</formula>
    </cfRule>
    <cfRule type="cellIs" dxfId="2886" priority="122" operator="greaterThan">
      <formula>0.85</formula>
    </cfRule>
  </conditionalFormatting>
  <conditionalFormatting sqref="E9">
    <cfRule type="expression" dxfId="2885" priority="117">
      <formula>AND(IF(OR($Q9=1,$Q9=2),1,0),IF($X9&lt;=20,1,0))</formula>
    </cfRule>
    <cfRule type="expression" dxfId="2884" priority="118">
      <formula>AND(IF($Q9=2,1,0),IF($X9&lt;30,1,0))</formula>
    </cfRule>
    <cfRule type="expression" dxfId="2883" priority="119">
      <formula>AND(IF($Q9=3,1,0),IF($X9&lt;30,1,0))</formula>
    </cfRule>
    <cfRule type="expression" dxfId="2882" priority="120">
      <formula>AND(IF($Q9=3,1,IF($Q9=4,1,0)),IF($F9&lt;=85,1,0))</formula>
    </cfRule>
  </conditionalFormatting>
  <conditionalFormatting sqref="X9">
    <cfRule type="expression" dxfId="2881" priority="113">
      <formula>AND(IF(OR($Q9=1,$Q9=2),1,0),IF($X9&lt;=20,1,0))</formula>
    </cfRule>
    <cfRule type="expression" dxfId="2880" priority="114">
      <formula>AND(IF($Q9=2,1,0),IF($X9&lt;30,1,0))</formula>
    </cfRule>
    <cfRule type="expression" dxfId="2879" priority="115">
      <formula>AND(IF($Q9=3,1,0),IF($X9&lt;30,1,0))</formula>
    </cfRule>
    <cfRule type="expression" dxfId="2878" priority="116">
      <formula>AND(IF($Q9=3,1,IF($Q9=4,1,0)),IF($F9&lt;=85,1,0))</formula>
    </cfRule>
  </conditionalFormatting>
  <conditionalFormatting sqref="AI9">
    <cfRule type="expression" dxfId="2877" priority="109">
      <formula>AND(IF(OR($Q9=1,$Q9=2),1,0),IF($X9&lt;=20,1,0))</formula>
    </cfRule>
    <cfRule type="expression" dxfId="2876" priority="110">
      <formula>AND(IF($Q9=2,1,0),IF($X9&lt;30,1,0))</formula>
    </cfRule>
    <cfRule type="expression" dxfId="2875" priority="111">
      <formula>AND(IF($Q9=3,1,0),IF($X9&lt;30,1,0))</formula>
    </cfRule>
    <cfRule type="expression" dxfId="2874" priority="112">
      <formula>AND(IF($Q9=3,1,IF($Q9=4,1,0)),IF($F9&lt;=85,1,0))</formula>
    </cfRule>
  </conditionalFormatting>
  <conditionalFormatting sqref="AV10">
    <cfRule type="expression" dxfId="2873" priority="107">
      <formula>AV10="X"</formula>
    </cfRule>
    <cfRule type="expression" dxfId="2872" priority="108">
      <formula>AV10="후보"</formula>
    </cfRule>
  </conditionalFormatting>
  <conditionalFormatting sqref="AC10">
    <cfRule type="cellIs" dxfId="2871" priority="105" operator="greaterThan">
      <formula>0.9</formula>
    </cfRule>
    <cfRule type="cellIs" dxfId="2870" priority="106" operator="greaterThan">
      <formula>0.85</formula>
    </cfRule>
  </conditionalFormatting>
  <conditionalFormatting sqref="N10">
    <cfRule type="cellIs" dxfId="2869" priority="103" operator="greaterThan">
      <formula>0.9</formula>
    </cfRule>
    <cfRule type="cellIs" dxfId="2868" priority="104" operator="greaterThan">
      <formula>0.85</formula>
    </cfRule>
  </conditionalFormatting>
  <conditionalFormatting sqref="E10">
    <cfRule type="expression" dxfId="2867" priority="99">
      <formula>AND(IF(OR($Q10=1,$Q10=2),1,0),IF($X10&lt;=20,1,0))</formula>
    </cfRule>
    <cfRule type="expression" dxfId="2866" priority="100">
      <formula>AND(IF($Q10=2,1,0),IF($X10&lt;30,1,0))</formula>
    </cfRule>
    <cfRule type="expression" dxfId="2865" priority="101">
      <formula>AND(IF($Q10=3,1,0),IF($X10&lt;30,1,0))</formula>
    </cfRule>
    <cfRule type="expression" dxfId="2864" priority="102">
      <formula>AND(IF($Q10=3,1,IF($Q10=4,1,0)),IF($F10&lt;=85,1,0))</formula>
    </cfRule>
  </conditionalFormatting>
  <conditionalFormatting sqref="X10">
    <cfRule type="expression" dxfId="2863" priority="95">
      <formula>AND(IF(OR($Q10=1,$Q10=2),1,0),IF($X10&lt;=20,1,0))</formula>
    </cfRule>
    <cfRule type="expression" dxfId="2862" priority="96">
      <formula>AND(IF($Q10=2,1,0),IF($X10&lt;30,1,0))</formula>
    </cfRule>
    <cfRule type="expression" dxfId="2861" priority="97">
      <formula>AND(IF($Q10=3,1,0),IF($X10&lt;30,1,0))</formula>
    </cfRule>
    <cfRule type="expression" dxfId="2860" priority="98">
      <formula>AND(IF($Q10=3,1,IF($Q10=4,1,0)),IF($F10&lt;=85,1,0))</formula>
    </cfRule>
  </conditionalFormatting>
  <conditionalFormatting sqref="AI10">
    <cfRule type="expression" dxfId="2859" priority="91">
      <formula>AND(IF(OR($Q10=1,$Q10=2),1,0),IF($X10&lt;=20,1,0))</formula>
    </cfRule>
    <cfRule type="expression" dxfId="2858" priority="92">
      <formula>AND(IF($Q10=2,1,0),IF($X10&lt;30,1,0))</formula>
    </cfRule>
    <cfRule type="expression" dxfId="2857" priority="93">
      <formula>AND(IF($Q10=3,1,0),IF($X10&lt;30,1,0))</formula>
    </cfRule>
    <cfRule type="expression" dxfId="2856" priority="94">
      <formula>AND(IF($Q10=3,1,IF($Q10=4,1,0)),IF($F10&lt;=85,1,0))</formula>
    </cfRule>
  </conditionalFormatting>
  <conditionalFormatting sqref="AV11">
    <cfRule type="expression" dxfId="2855" priority="89">
      <formula>AV11="X"</formula>
    </cfRule>
    <cfRule type="expression" dxfId="2854" priority="90">
      <formula>AV11="후보"</formula>
    </cfRule>
  </conditionalFormatting>
  <conditionalFormatting sqref="AC11">
    <cfRule type="cellIs" dxfId="2853" priority="87" operator="greaterThan">
      <formula>0.9</formula>
    </cfRule>
    <cfRule type="cellIs" dxfId="2852" priority="88" operator="greaterThan">
      <formula>0.85</formula>
    </cfRule>
  </conditionalFormatting>
  <conditionalFormatting sqref="N11">
    <cfRule type="cellIs" dxfId="2851" priority="85" operator="greaterThan">
      <formula>0.9</formula>
    </cfRule>
    <cfRule type="cellIs" dxfId="2850" priority="86" operator="greaterThan">
      <formula>0.85</formula>
    </cfRule>
  </conditionalFormatting>
  <conditionalFormatting sqref="E11">
    <cfRule type="expression" dxfId="2849" priority="81">
      <formula>AND(IF(OR($Q11=1,$Q11=2),1,0),IF($X11&lt;=20,1,0))</formula>
    </cfRule>
    <cfRule type="expression" dxfId="2848" priority="82">
      <formula>AND(IF($Q11=2,1,0),IF($X11&lt;30,1,0))</formula>
    </cfRule>
    <cfRule type="expression" dxfId="2847" priority="83">
      <formula>AND(IF($Q11=3,1,0),IF($X11&lt;30,1,0))</formula>
    </cfRule>
    <cfRule type="expression" dxfId="2846" priority="84">
      <formula>AND(IF($Q11=3,1,IF($Q11=4,1,0)),IF($F11&lt;=85,1,0))</formula>
    </cfRule>
  </conditionalFormatting>
  <conditionalFormatting sqref="X11">
    <cfRule type="expression" dxfId="2845" priority="77">
      <formula>AND(IF(OR($Q11=1,$Q11=2),1,0),IF($X11&lt;=20,1,0))</formula>
    </cfRule>
    <cfRule type="expression" dxfId="2844" priority="78">
      <formula>AND(IF($Q11=2,1,0),IF($X11&lt;30,1,0))</formula>
    </cfRule>
    <cfRule type="expression" dxfId="2843" priority="79">
      <formula>AND(IF($Q11=3,1,0),IF($X11&lt;30,1,0))</formula>
    </cfRule>
    <cfRule type="expression" dxfId="2842" priority="80">
      <formula>AND(IF($Q11=3,1,IF($Q11=4,1,0)),IF($F11&lt;=85,1,0))</formula>
    </cfRule>
  </conditionalFormatting>
  <conditionalFormatting sqref="AI11">
    <cfRule type="expression" dxfId="2841" priority="73">
      <formula>AND(IF(OR($Q11=1,$Q11=2),1,0),IF($X11&lt;=20,1,0))</formula>
    </cfRule>
    <cfRule type="expression" dxfId="2840" priority="74">
      <formula>AND(IF($Q11=2,1,0),IF($X11&lt;30,1,0))</formula>
    </cfRule>
    <cfRule type="expression" dxfId="2839" priority="75">
      <formula>AND(IF($Q11=3,1,0),IF($X11&lt;30,1,0))</formula>
    </cfRule>
    <cfRule type="expression" dxfId="2838" priority="76">
      <formula>AND(IF($Q11=3,1,IF($Q11=4,1,0)),IF($F11&lt;=85,1,0))</formula>
    </cfRule>
  </conditionalFormatting>
  <conditionalFormatting sqref="AV12">
    <cfRule type="expression" dxfId="2837" priority="71">
      <formula>AV12="X"</formula>
    </cfRule>
    <cfRule type="expression" dxfId="2836" priority="72">
      <formula>AV12="후보"</formula>
    </cfRule>
  </conditionalFormatting>
  <conditionalFormatting sqref="AC12">
    <cfRule type="cellIs" dxfId="2835" priority="69" operator="greaterThan">
      <formula>0.9</formula>
    </cfRule>
    <cfRule type="cellIs" dxfId="2834" priority="70" operator="greaterThan">
      <formula>0.85</formula>
    </cfRule>
  </conditionalFormatting>
  <conditionalFormatting sqref="N12">
    <cfRule type="cellIs" dxfId="2833" priority="67" operator="greaterThan">
      <formula>0.9</formula>
    </cfRule>
    <cfRule type="cellIs" dxfId="2832" priority="68" operator="greaterThan">
      <formula>0.85</formula>
    </cfRule>
  </conditionalFormatting>
  <conditionalFormatting sqref="E12">
    <cfRule type="expression" dxfId="2831" priority="63">
      <formula>AND(IF(OR($Q12=1,$Q12=2),1,0),IF($X12&lt;=20,1,0))</formula>
    </cfRule>
    <cfRule type="expression" dxfId="2830" priority="64">
      <formula>AND(IF($Q12=2,1,0),IF($X12&lt;30,1,0))</formula>
    </cfRule>
    <cfRule type="expression" dxfId="2829" priority="65">
      <formula>AND(IF($Q12=3,1,0),IF($X12&lt;30,1,0))</formula>
    </cfRule>
    <cfRule type="expression" dxfId="2828" priority="66">
      <formula>AND(IF($Q12=3,1,IF($Q12=4,1,0)),IF($F12&lt;=85,1,0))</formula>
    </cfRule>
  </conditionalFormatting>
  <conditionalFormatting sqref="X12">
    <cfRule type="expression" dxfId="2827" priority="59">
      <formula>AND(IF(OR($Q12=1,$Q12=2),1,0),IF($X12&lt;=20,1,0))</formula>
    </cfRule>
    <cfRule type="expression" dxfId="2826" priority="60">
      <formula>AND(IF($Q12=2,1,0),IF($X12&lt;30,1,0))</formula>
    </cfRule>
    <cfRule type="expression" dxfId="2825" priority="61">
      <formula>AND(IF($Q12=3,1,0),IF($X12&lt;30,1,0))</formula>
    </cfRule>
    <cfRule type="expression" dxfId="2824" priority="62">
      <formula>AND(IF($Q12=3,1,IF($Q12=4,1,0)),IF($F12&lt;=85,1,0))</formula>
    </cfRule>
  </conditionalFormatting>
  <conditionalFormatting sqref="AI12">
    <cfRule type="expression" dxfId="2823" priority="55">
      <formula>AND(IF(OR($Q12=1,$Q12=2),1,0),IF($X12&lt;=20,1,0))</formula>
    </cfRule>
    <cfRule type="expression" dxfId="2822" priority="56">
      <formula>AND(IF($Q12=2,1,0),IF($X12&lt;30,1,0))</formula>
    </cfRule>
    <cfRule type="expression" dxfId="2821" priority="57">
      <formula>AND(IF($Q12=3,1,0),IF($X12&lt;30,1,0))</formula>
    </cfRule>
    <cfRule type="expression" dxfId="2820" priority="58">
      <formula>AND(IF($Q12=3,1,IF($Q12=4,1,0)),IF($F12&lt;=85,1,0))</formula>
    </cfRule>
  </conditionalFormatting>
  <conditionalFormatting sqref="AV13">
    <cfRule type="expression" dxfId="2819" priority="53">
      <formula>AV13="X"</formula>
    </cfRule>
    <cfRule type="expression" dxfId="2818" priority="54">
      <formula>AV13="후보"</formula>
    </cfRule>
  </conditionalFormatting>
  <conditionalFormatting sqref="AC13">
    <cfRule type="cellIs" dxfId="2817" priority="51" operator="greaterThan">
      <formula>0.9</formula>
    </cfRule>
    <cfRule type="cellIs" dxfId="2816" priority="52" operator="greaterThan">
      <formula>0.85</formula>
    </cfRule>
  </conditionalFormatting>
  <conditionalFormatting sqref="N13">
    <cfRule type="cellIs" dxfId="2815" priority="49" operator="greaterThan">
      <formula>0.9</formula>
    </cfRule>
    <cfRule type="cellIs" dxfId="2814" priority="50" operator="greaterThan">
      <formula>0.85</formula>
    </cfRule>
  </conditionalFormatting>
  <conditionalFormatting sqref="E13">
    <cfRule type="expression" dxfId="2813" priority="45">
      <formula>AND(IF(OR($Q13=1,$Q13=2),1,0),IF($X13&lt;=20,1,0))</formula>
    </cfRule>
    <cfRule type="expression" dxfId="2812" priority="46">
      <formula>AND(IF($Q13=2,1,0),IF($X13&lt;30,1,0))</formula>
    </cfRule>
    <cfRule type="expression" dxfId="2811" priority="47">
      <formula>AND(IF($Q13=3,1,0),IF($X13&lt;30,1,0))</formula>
    </cfRule>
    <cfRule type="expression" dxfId="2810" priority="48">
      <formula>AND(IF($Q13=3,1,IF($Q13=4,1,0)),IF($F13&lt;=85,1,0))</formula>
    </cfRule>
  </conditionalFormatting>
  <conditionalFormatting sqref="X13">
    <cfRule type="expression" dxfId="2809" priority="41">
      <formula>AND(IF(OR($Q13=1,$Q13=2),1,0),IF($X13&lt;=20,1,0))</formula>
    </cfRule>
    <cfRule type="expression" dxfId="2808" priority="42">
      <formula>AND(IF($Q13=2,1,0),IF($X13&lt;30,1,0))</formula>
    </cfRule>
    <cfRule type="expression" dxfId="2807" priority="43">
      <formula>AND(IF($Q13=3,1,0),IF($X13&lt;30,1,0))</formula>
    </cfRule>
    <cfRule type="expression" dxfId="2806" priority="44">
      <formula>AND(IF($Q13=3,1,IF($Q13=4,1,0)),IF($F13&lt;=85,1,0))</formula>
    </cfRule>
  </conditionalFormatting>
  <conditionalFormatting sqref="AI13">
    <cfRule type="expression" dxfId="2805" priority="37">
      <formula>AND(IF(OR($Q13=1,$Q13=2),1,0),IF($X13&lt;=20,1,0))</formula>
    </cfRule>
    <cfRule type="expression" dxfId="2804" priority="38">
      <formula>AND(IF($Q13=2,1,0),IF($X13&lt;30,1,0))</formula>
    </cfRule>
    <cfRule type="expression" dxfId="2803" priority="39">
      <formula>AND(IF($Q13=3,1,0),IF($X13&lt;30,1,0))</formula>
    </cfRule>
    <cfRule type="expression" dxfId="2802" priority="40">
      <formula>AND(IF($Q13=3,1,IF($Q13=4,1,0)),IF($F13&lt;=85,1,0))</formula>
    </cfRule>
  </conditionalFormatting>
  <conditionalFormatting sqref="AV14">
    <cfRule type="expression" dxfId="2801" priority="35">
      <formula>AV14="X"</formula>
    </cfRule>
    <cfRule type="expression" dxfId="2800" priority="36">
      <formula>AV14="후보"</formula>
    </cfRule>
  </conditionalFormatting>
  <conditionalFormatting sqref="AC14">
    <cfRule type="cellIs" dxfId="2799" priority="33" operator="greaterThan">
      <formula>0.9</formula>
    </cfRule>
    <cfRule type="cellIs" dxfId="2798" priority="34" operator="greaterThan">
      <formula>0.85</formula>
    </cfRule>
  </conditionalFormatting>
  <conditionalFormatting sqref="N14">
    <cfRule type="cellIs" dxfId="2797" priority="31" operator="greaterThan">
      <formula>0.9</formula>
    </cfRule>
    <cfRule type="cellIs" dxfId="2796" priority="32" operator="greaterThan">
      <formula>0.85</formula>
    </cfRule>
  </conditionalFormatting>
  <conditionalFormatting sqref="E14">
    <cfRule type="expression" dxfId="2795" priority="27">
      <formula>AND(IF(OR($Q14=1,$Q14=2),1,0),IF($X14&lt;=20,1,0))</formula>
    </cfRule>
    <cfRule type="expression" dxfId="2794" priority="28">
      <formula>AND(IF($Q14=2,1,0),IF($X14&lt;30,1,0))</formula>
    </cfRule>
    <cfRule type="expression" dxfId="2793" priority="29">
      <formula>AND(IF($Q14=3,1,0),IF($X14&lt;30,1,0))</formula>
    </cfRule>
    <cfRule type="expression" dxfId="2792" priority="30">
      <formula>AND(IF($Q14=3,1,IF($Q14=4,1,0)),IF($F14&lt;=85,1,0))</formula>
    </cfRule>
  </conditionalFormatting>
  <conditionalFormatting sqref="X14">
    <cfRule type="expression" dxfId="2791" priority="23">
      <formula>AND(IF(OR($Q14=1,$Q14=2),1,0),IF($X14&lt;=20,1,0))</formula>
    </cfRule>
    <cfRule type="expression" dxfId="2790" priority="24">
      <formula>AND(IF($Q14=2,1,0),IF($X14&lt;30,1,0))</formula>
    </cfRule>
    <cfRule type="expression" dxfId="2789" priority="25">
      <formula>AND(IF($Q14=3,1,0),IF($X14&lt;30,1,0))</formula>
    </cfRule>
    <cfRule type="expression" dxfId="2788" priority="26">
      <formula>AND(IF($Q14=3,1,IF($Q14=4,1,0)),IF($F14&lt;=85,1,0))</formula>
    </cfRule>
  </conditionalFormatting>
  <conditionalFormatting sqref="AI14">
    <cfRule type="expression" dxfId="2787" priority="19">
      <formula>AND(IF(OR($Q14=1,$Q14=2),1,0),IF($X14&lt;=20,1,0))</formula>
    </cfRule>
    <cfRule type="expression" dxfId="2786" priority="20">
      <formula>AND(IF($Q14=2,1,0),IF($X14&lt;30,1,0))</formula>
    </cfRule>
    <cfRule type="expression" dxfId="2785" priority="21">
      <formula>AND(IF($Q14=3,1,0),IF($X14&lt;30,1,0))</formula>
    </cfRule>
    <cfRule type="expression" dxfId="2784" priority="22">
      <formula>AND(IF($Q14=3,1,IF($Q14=4,1,0)),IF($F14&lt;=85,1,0))</formula>
    </cfRule>
  </conditionalFormatting>
  <conditionalFormatting sqref="AV15">
    <cfRule type="expression" dxfId="2783" priority="17">
      <formula>AV15="X"</formula>
    </cfRule>
    <cfRule type="expression" dxfId="2782" priority="18">
      <formula>AV15="후보"</formula>
    </cfRule>
  </conditionalFormatting>
  <conditionalFormatting sqref="AC15">
    <cfRule type="cellIs" dxfId="2781" priority="15" operator="greaterThan">
      <formula>0.9</formula>
    </cfRule>
    <cfRule type="cellIs" dxfId="2780" priority="16" operator="greaterThan">
      <formula>0.85</formula>
    </cfRule>
  </conditionalFormatting>
  <conditionalFormatting sqref="N15">
    <cfRule type="cellIs" dxfId="2779" priority="13" operator="greaterThan">
      <formula>0.9</formula>
    </cfRule>
    <cfRule type="cellIs" dxfId="2778" priority="14" operator="greaterThan">
      <formula>0.85</formula>
    </cfRule>
  </conditionalFormatting>
  <conditionalFormatting sqref="E15">
    <cfRule type="expression" dxfId="2777" priority="9">
      <formula>AND(IF(OR($Q15=1,$Q15=2),1,0),IF($X15&lt;=20,1,0))</formula>
    </cfRule>
    <cfRule type="expression" dxfId="2776" priority="10">
      <formula>AND(IF($Q15=2,1,0),IF($X15&lt;30,1,0))</formula>
    </cfRule>
    <cfRule type="expression" dxfId="2775" priority="11">
      <formula>AND(IF($Q15=3,1,0),IF($X15&lt;30,1,0))</formula>
    </cfRule>
    <cfRule type="expression" dxfId="2774" priority="12">
      <formula>AND(IF($Q15=3,1,IF($Q15=4,1,0)),IF($F15&lt;=85,1,0))</formula>
    </cfRule>
  </conditionalFormatting>
  <conditionalFormatting sqref="X15">
    <cfRule type="expression" dxfId="2773" priority="5">
      <formula>AND(IF(OR($Q15=1,$Q15=2),1,0),IF($X15&lt;=20,1,0))</formula>
    </cfRule>
    <cfRule type="expression" dxfId="2772" priority="6">
      <formula>AND(IF($Q15=2,1,0),IF($X15&lt;30,1,0))</formula>
    </cfRule>
    <cfRule type="expression" dxfId="2771" priority="7">
      <formula>AND(IF($Q15=3,1,0),IF($X15&lt;30,1,0))</formula>
    </cfRule>
    <cfRule type="expression" dxfId="2770" priority="8">
      <formula>AND(IF($Q15=3,1,IF($Q15=4,1,0)),IF($F15&lt;=85,1,0))</formula>
    </cfRule>
  </conditionalFormatting>
  <conditionalFormatting sqref="AI15">
    <cfRule type="expression" dxfId="2769" priority="1">
      <formula>AND(IF(OR($Q15=1,$Q15=2),1,0),IF($X15&lt;=20,1,0))</formula>
    </cfRule>
    <cfRule type="expression" dxfId="2768" priority="2">
      <formula>AND(IF($Q15=2,1,0),IF($X15&lt;30,1,0))</formula>
    </cfRule>
    <cfRule type="expression" dxfId="2767" priority="3">
      <formula>AND(IF($Q15=3,1,0),IF($X15&lt;30,1,0))</formula>
    </cfRule>
    <cfRule type="expression" dxfId="276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소룡동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947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소룡동 군산성원('04.07.,675^)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943</v>
      </c>
      <c r="B6" s="10" t="s">
        <v>1336</v>
      </c>
      <c r="C6" s="89">
        <v>675</v>
      </c>
      <c r="D6" s="87">
        <v>75</v>
      </c>
      <c r="E6" s="88">
        <v>23</v>
      </c>
      <c r="F6" s="87">
        <v>59.7</v>
      </c>
      <c r="G6" s="17">
        <v>18</v>
      </c>
      <c r="H6" s="89">
        <v>270</v>
      </c>
      <c r="I6" s="90">
        <v>9000</v>
      </c>
      <c r="J6" s="90" t="s">
        <v>74</v>
      </c>
      <c r="K6" s="90"/>
      <c r="L6" s="90"/>
      <c r="M6" s="91">
        <f>I6-K6</f>
        <v>9000</v>
      </c>
      <c r="N6" s="4">
        <f>IF(ISERROR(K6/I6),"",K6/I6)</f>
        <v>0</v>
      </c>
      <c r="O6" s="92">
        <f>I6/E6</f>
        <v>391.30434782608694</v>
      </c>
      <c r="P6" s="92">
        <f>K6/E6</f>
        <v>0</v>
      </c>
      <c r="Q6" s="80">
        <v>3</v>
      </c>
      <c r="R6" s="80">
        <v>1</v>
      </c>
      <c r="S6" s="80" t="s">
        <v>61</v>
      </c>
      <c r="T6" s="5">
        <v>75</v>
      </c>
      <c r="U6" s="9"/>
      <c r="W6" s="87">
        <f>D6</f>
        <v>75</v>
      </c>
      <c r="X6" s="88">
        <f>E6</f>
        <v>23</v>
      </c>
      <c r="Y6" s="93">
        <f>H6</f>
        <v>270</v>
      </c>
      <c r="Z6" s="91">
        <f>I6</f>
        <v>9000</v>
      </c>
      <c r="AA6" s="91">
        <f>K6</f>
        <v>0</v>
      </c>
      <c r="AB6" s="91">
        <f t="shared" ref="AB6:AD7" si="2">M6</f>
        <v>9000</v>
      </c>
      <c r="AC6" s="4">
        <f t="shared" si="2"/>
        <v>0</v>
      </c>
      <c r="AD6" s="92">
        <f t="shared" si="2"/>
        <v>391.30434782608694</v>
      </c>
      <c r="AE6" s="80" t="str">
        <f>S6</f>
        <v>계</v>
      </c>
      <c r="AF6" s="80" t="str">
        <f>Q6&amp;"/"&amp;R6</f>
        <v>3/1</v>
      </c>
      <c r="AH6" s="20" t="str">
        <f t="shared" si="1"/>
        <v>군산성원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943</v>
      </c>
      <c r="B7" s="10" t="s">
        <v>1336</v>
      </c>
      <c r="C7" s="89">
        <v>675</v>
      </c>
      <c r="D7" s="87">
        <v>106.8</v>
      </c>
      <c r="E7" s="88">
        <v>32</v>
      </c>
      <c r="F7" s="87">
        <v>85</v>
      </c>
      <c r="G7" s="17">
        <v>26</v>
      </c>
      <c r="H7" s="89">
        <v>405</v>
      </c>
      <c r="I7" s="90">
        <v>11500</v>
      </c>
      <c r="J7" s="90" t="s">
        <v>74</v>
      </c>
      <c r="K7" s="90">
        <v>9000</v>
      </c>
      <c r="L7" s="90" t="s">
        <v>74</v>
      </c>
      <c r="M7" s="91">
        <f>I7-K7</f>
        <v>2500</v>
      </c>
      <c r="N7" s="4">
        <f>IF(ISERROR(K7/I7),"",K7/I7)</f>
        <v>0.78260869565217395</v>
      </c>
      <c r="O7" s="92">
        <f>I7/E7</f>
        <v>359.375</v>
      </c>
      <c r="P7" s="92">
        <f>K7/E7</f>
        <v>281.25</v>
      </c>
      <c r="Q7" s="80">
        <v>3</v>
      </c>
      <c r="R7" s="80">
        <v>2</v>
      </c>
      <c r="S7" s="80" t="s">
        <v>61</v>
      </c>
      <c r="T7" s="5">
        <v>106</v>
      </c>
      <c r="U7" s="9"/>
      <c r="W7" s="87">
        <f>D7</f>
        <v>106.8</v>
      </c>
      <c r="X7" s="88">
        <f>E7</f>
        <v>32</v>
      </c>
      <c r="Y7" s="93">
        <f>H7</f>
        <v>405</v>
      </c>
      <c r="Z7" s="91">
        <f>I7</f>
        <v>11500</v>
      </c>
      <c r="AA7" s="91">
        <f>K7</f>
        <v>9000</v>
      </c>
      <c r="AB7" s="91">
        <f t="shared" si="2"/>
        <v>2500</v>
      </c>
      <c r="AC7" s="4">
        <f t="shared" si="2"/>
        <v>0.78260869565217395</v>
      </c>
      <c r="AD7" s="92">
        <f t="shared" si="2"/>
        <v>359.375</v>
      </c>
      <c r="AE7" s="80" t="str">
        <f>S7</f>
        <v>계</v>
      </c>
      <c r="AF7" s="80" t="str">
        <f>Q7&amp;"/"&amp;R7</f>
        <v>3/2</v>
      </c>
      <c r="AH7" s="20" t="str">
        <f t="shared" si="1"/>
        <v>군산성원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7" t="str">
        <f>$A$4&amp;" "&amp;A9&amp;"("&amp;B9&amp;","&amp;C9&amp;"^)"</f>
        <v>소룡동 금강골드빌('03.02.,294^)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954</v>
      </c>
      <c r="B9" s="10" t="s">
        <v>1337</v>
      </c>
      <c r="C9" s="89">
        <v>294</v>
      </c>
      <c r="D9" s="87">
        <v>113.6</v>
      </c>
      <c r="E9" s="88">
        <v>34</v>
      </c>
      <c r="F9" s="87">
        <v>84.7</v>
      </c>
      <c r="G9" s="17">
        <v>26</v>
      </c>
      <c r="H9" s="89">
        <v>294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61</v>
      </c>
      <c r="T9" s="5">
        <v>113</v>
      </c>
      <c r="U9" s="9"/>
      <c r="W9" s="87">
        <f>D9</f>
        <v>113.6</v>
      </c>
      <c r="X9" s="88">
        <f>E9</f>
        <v>34</v>
      </c>
      <c r="Y9" s="93">
        <f>H9</f>
        <v>294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금강골드빌</v>
      </c>
      <c r="AI9" s="88">
        <f t="shared" si="0"/>
        <v>34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7" t="str">
        <f>$A$4&amp;" "&amp;A11&amp;"("&amp;B11&amp;","&amp;C11&amp;"^)"</f>
        <v>소룡동 그린서해맨션('93.12.,350^)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959</v>
      </c>
      <c r="B11" s="10" t="s">
        <v>1302</v>
      </c>
      <c r="C11" s="89">
        <v>350</v>
      </c>
      <c r="D11" s="87">
        <v>77.8</v>
      </c>
      <c r="E11" s="88">
        <v>24</v>
      </c>
      <c r="F11" s="87">
        <v>59.4</v>
      </c>
      <c r="G11" s="17">
        <v>18</v>
      </c>
      <c r="H11" s="89">
        <v>174</v>
      </c>
      <c r="I11" s="90"/>
      <c r="J11" s="90"/>
      <c r="K11" s="90"/>
      <c r="L11" s="90"/>
      <c r="M11" s="91">
        <f t="shared" ref="M11:M16" si="3">I11-K11</f>
        <v>0</v>
      </c>
      <c r="N11" s="4" t="str">
        <f t="shared" ref="N11:N16" si="4">IF(ISERROR(K11/I11),"",K11/I11)</f>
        <v/>
      </c>
      <c r="O11" s="92">
        <f t="shared" ref="O11:O16" si="5">I11/E11</f>
        <v>0</v>
      </c>
      <c r="P11" s="92">
        <f t="shared" ref="P11:P16" si="6">K11/E11</f>
        <v>0</v>
      </c>
      <c r="Q11" s="80">
        <v>3</v>
      </c>
      <c r="R11" s="80">
        <v>1</v>
      </c>
      <c r="S11" s="80" t="s">
        <v>76</v>
      </c>
      <c r="T11" s="5" t="s">
        <v>83</v>
      </c>
      <c r="U11" s="9"/>
      <c r="W11" s="87">
        <f t="shared" ref="W11:X16" si="7">D11</f>
        <v>77.8</v>
      </c>
      <c r="X11" s="88">
        <f t="shared" si="7"/>
        <v>24</v>
      </c>
      <c r="Y11" s="93">
        <f t="shared" ref="Y11:Z16" si="8">H11</f>
        <v>174</v>
      </c>
      <c r="Z11" s="91">
        <f t="shared" si="8"/>
        <v>0</v>
      </c>
      <c r="AA11" s="91">
        <f t="shared" ref="AA11:AA16" si="9">K11</f>
        <v>0</v>
      </c>
      <c r="AB11" s="91">
        <f t="shared" ref="AB11:AD16" si="10">M11</f>
        <v>0</v>
      </c>
      <c r="AC11" s="4" t="str">
        <f t="shared" si="10"/>
        <v/>
      </c>
      <c r="AD11" s="92">
        <f t="shared" si="10"/>
        <v>0</v>
      </c>
      <c r="AE11" s="80" t="str">
        <f t="shared" ref="AE11:AE16" si="11">S11</f>
        <v>복</v>
      </c>
      <c r="AF11" s="80" t="str">
        <f t="shared" ref="AF11:AF16" si="12">Q11&amp;"/"&amp;R11</f>
        <v>3/1</v>
      </c>
      <c r="AH11" s="20" t="str">
        <f t="shared" si="1"/>
        <v>그린서해맨션</v>
      </c>
      <c r="AI11" s="88">
        <f t="shared" si="0"/>
        <v>24</v>
      </c>
      <c r="AJ11" s="80" t="str">
        <f t="shared" ref="AJ11:AJ16" si="13">IF(AI11="","",$AJ$2)</f>
        <v>A-</v>
      </c>
      <c r="AK11" s="80" t="s">
        <v>14</v>
      </c>
      <c r="AL11" s="80" t="s">
        <v>63</v>
      </c>
      <c r="AM11" s="80" t="s">
        <v>64</v>
      </c>
      <c r="AN11" s="80" t="str">
        <f t="shared" ref="AN11:AN16" si="14">IF(AI11="","",$AN$2)</f>
        <v>C</v>
      </c>
      <c r="AO11" s="80" t="str">
        <f t="shared" ref="AO11:AO16" si="15">IF(N11="","",IF(N11&gt;=$AO$1/100,"O","X"))</f>
        <v/>
      </c>
      <c r="AP11" s="80" t="str">
        <f t="shared" ref="AP11:AP16" si="16">IF(I11="","",IF(I11&lt;=$AP$1,"O","X"))</f>
        <v/>
      </c>
      <c r="AQ11" s="80" t="str">
        <f t="shared" ref="AQ11:AQ16" si="17">IF(O11="","",IF(O11&lt;=$AQ$1,"O","X"))</f>
        <v>O</v>
      </c>
      <c r="AR11" s="80" t="str">
        <f t="shared" ref="AR11:AR16" si="18">IF(M11="","",IF(M11&lt;=$AR$1,"O","X"))</f>
        <v>O</v>
      </c>
      <c r="AS11" s="80" t="s">
        <v>2</v>
      </c>
      <c r="AT11" s="80" t="str">
        <f t="shared" ref="AT11:AT16" si="19">IF(OR(F11="",AI11=""),"",IF(AND((F11&lt;=85),(AI11&gt;=15)),"O","X"))</f>
        <v>O</v>
      </c>
      <c r="AU11" s="80" t="str">
        <f t="shared" ref="AU11:AU16" si="20">IF(C11="","",IF(C11&gt;=$AU$1,"O","X"))</f>
        <v>O</v>
      </c>
      <c r="AV11" s="80" t="str">
        <f t="shared" ref="AV11:AV16" si="21">IF(AO11="","",IF(AND(AO11="O",AP11="O",AR11="O",AT11="O",AU11="O"),"후보","X"))</f>
        <v/>
      </c>
    </row>
    <row r="12" spans="1:48" x14ac:dyDescent="0.3">
      <c r="A12" s="9" t="s">
        <v>959</v>
      </c>
      <c r="B12" s="10" t="s">
        <v>1302</v>
      </c>
      <c r="C12" s="89">
        <v>350</v>
      </c>
      <c r="D12" s="87">
        <v>79.3</v>
      </c>
      <c r="E12" s="88">
        <v>24</v>
      </c>
      <c r="F12" s="87">
        <v>59.4</v>
      </c>
      <c r="G12" s="17">
        <v>18</v>
      </c>
      <c r="H12" s="89">
        <v>60</v>
      </c>
      <c r="I12" s="90"/>
      <c r="J12" s="90"/>
      <c r="K12" s="90"/>
      <c r="L12" s="90"/>
      <c r="M12" s="91">
        <f t="shared" si="3"/>
        <v>0</v>
      </c>
      <c r="N12" s="4" t="str">
        <f t="shared" si="4"/>
        <v/>
      </c>
      <c r="O12" s="92">
        <f t="shared" si="5"/>
        <v>0</v>
      </c>
      <c r="P12" s="92">
        <f t="shared" si="6"/>
        <v>0</v>
      </c>
      <c r="Q12" s="80">
        <v>3</v>
      </c>
      <c r="R12" s="80">
        <v>1</v>
      </c>
      <c r="S12" s="80" t="s">
        <v>76</v>
      </c>
      <c r="T12" s="5" t="s">
        <v>963</v>
      </c>
      <c r="U12" s="9"/>
      <c r="W12" s="87">
        <f t="shared" si="7"/>
        <v>79.3</v>
      </c>
      <c r="X12" s="88">
        <f t="shared" si="7"/>
        <v>24</v>
      </c>
      <c r="Y12" s="93">
        <f t="shared" si="8"/>
        <v>60</v>
      </c>
      <c r="Z12" s="91">
        <f t="shared" si="8"/>
        <v>0</v>
      </c>
      <c r="AA12" s="91">
        <f t="shared" si="9"/>
        <v>0</v>
      </c>
      <c r="AB12" s="91">
        <f t="shared" si="10"/>
        <v>0</v>
      </c>
      <c r="AC12" s="4" t="str">
        <f t="shared" si="10"/>
        <v/>
      </c>
      <c r="AD12" s="92">
        <f t="shared" si="10"/>
        <v>0</v>
      </c>
      <c r="AE12" s="80" t="str">
        <f t="shared" si="11"/>
        <v>복</v>
      </c>
      <c r="AF12" s="80" t="str">
        <f t="shared" si="12"/>
        <v>3/1</v>
      </c>
      <c r="AH12" s="20" t="str">
        <f t="shared" si="1"/>
        <v>그린서해맨션</v>
      </c>
      <c r="AI12" s="88">
        <f t="shared" si="0"/>
        <v>24</v>
      </c>
      <c r="AJ12" s="80" t="str">
        <f t="shared" si="13"/>
        <v>A-</v>
      </c>
      <c r="AK12" s="80" t="s">
        <v>14</v>
      </c>
      <c r="AL12" s="80" t="s">
        <v>63</v>
      </c>
      <c r="AM12" s="80" t="s">
        <v>64</v>
      </c>
      <c r="AN12" s="80" t="str">
        <f t="shared" si="14"/>
        <v>C</v>
      </c>
      <c r="AO12" s="80" t="str">
        <f t="shared" si="15"/>
        <v/>
      </c>
      <c r="AP12" s="80" t="str">
        <f t="shared" si="16"/>
        <v/>
      </c>
      <c r="AQ12" s="80" t="str">
        <f t="shared" si="17"/>
        <v>O</v>
      </c>
      <c r="AR12" s="80" t="str">
        <f t="shared" si="18"/>
        <v>O</v>
      </c>
      <c r="AS12" s="80" t="s">
        <v>2</v>
      </c>
      <c r="AT12" s="80" t="str">
        <f t="shared" si="19"/>
        <v>O</v>
      </c>
      <c r="AU12" s="80" t="str">
        <f t="shared" si="20"/>
        <v>O</v>
      </c>
      <c r="AV12" s="80" t="str">
        <f t="shared" si="21"/>
        <v/>
      </c>
    </row>
    <row r="13" spans="1:48" x14ac:dyDescent="0.3">
      <c r="A13" s="9" t="s">
        <v>959</v>
      </c>
      <c r="B13" s="10" t="s">
        <v>1302</v>
      </c>
      <c r="C13" s="89">
        <v>350</v>
      </c>
      <c r="D13" s="87">
        <v>91.4</v>
      </c>
      <c r="E13" s="88">
        <v>28</v>
      </c>
      <c r="F13" s="87">
        <v>75</v>
      </c>
      <c r="G13" s="17">
        <v>23</v>
      </c>
      <c r="H13" s="89">
        <v>59</v>
      </c>
      <c r="I13" s="90">
        <v>7500</v>
      </c>
      <c r="J13" s="90" t="s">
        <v>81</v>
      </c>
      <c r="K13" s="90"/>
      <c r="L13" s="90"/>
      <c r="M13" s="91">
        <f t="shared" si="3"/>
        <v>7500</v>
      </c>
      <c r="N13" s="4">
        <f t="shared" si="4"/>
        <v>0</v>
      </c>
      <c r="O13" s="92">
        <f t="shared" si="5"/>
        <v>267.85714285714283</v>
      </c>
      <c r="P13" s="92">
        <f t="shared" si="6"/>
        <v>0</v>
      </c>
      <c r="Q13" s="80">
        <v>3</v>
      </c>
      <c r="R13" s="80">
        <v>1</v>
      </c>
      <c r="S13" s="80" t="s">
        <v>61</v>
      </c>
      <c r="T13" s="5">
        <v>91</v>
      </c>
      <c r="U13" s="9"/>
      <c r="W13" s="87">
        <f t="shared" si="7"/>
        <v>91.4</v>
      </c>
      <c r="X13" s="88">
        <f t="shared" si="7"/>
        <v>28</v>
      </c>
      <c r="Y13" s="93">
        <f t="shared" si="8"/>
        <v>59</v>
      </c>
      <c r="Z13" s="91">
        <f t="shared" si="8"/>
        <v>7500</v>
      </c>
      <c r="AA13" s="91">
        <f t="shared" si="9"/>
        <v>0</v>
      </c>
      <c r="AB13" s="91">
        <f t="shared" si="10"/>
        <v>7500</v>
      </c>
      <c r="AC13" s="4">
        <f t="shared" si="10"/>
        <v>0</v>
      </c>
      <c r="AD13" s="92">
        <f t="shared" si="10"/>
        <v>267.85714285714283</v>
      </c>
      <c r="AE13" s="80" t="str">
        <f t="shared" si="11"/>
        <v>계</v>
      </c>
      <c r="AF13" s="80" t="str">
        <f t="shared" si="12"/>
        <v>3/1</v>
      </c>
      <c r="AH13" s="20" t="str">
        <f t="shared" si="1"/>
        <v>그린서해맨션</v>
      </c>
      <c r="AI13" s="88">
        <f t="shared" si="0"/>
        <v>28</v>
      </c>
      <c r="AJ13" s="80" t="str">
        <f t="shared" si="13"/>
        <v>A-</v>
      </c>
      <c r="AK13" s="80" t="s">
        <v>14</v>
      </c>
      <c r="AL13" s="80" t="s">
        <v>63</v>
      </c>
      <c r="AM13" s="80" t="s">
        <v>64</v>
      </c>
      <c r="AN13" s="80" t="str">
        <f t="shared" si="14"/>
        <v>C</v>
      </c>
      <c r="AO13" s="80" t="str">
        <f t="shared" si="15"/>
        <v>X</v>
      </c>
      <c r="AP13" s="80" t="str">
        <f t="shared" si="16"/>
        <v>O</v>
      </c>
      <c r="AQ13" s="80" t="str">
        <f t="shared" si="17"/>
        <v>O</v>
      </c>
      <c r="AR13" s="80" t="str">
        <f t="shared" si="18"/>
        <v>X</v>
      </c>
      <c r="AS13" s="80" t="s">
        <v>2</v>
      </c>
      <c r="AT13" s="80" t="str">
        <f t="shared" si="19"/>
        <v>O</v>
      </c>
      <c r="AU13" s="80" t="str">
        <f t="shared" si="20"/>
        <v>O</v>
      </c>
      <c r="AV13" s="80" t="str">
        <f t="shared" si="21"/>
        <v>X</v>
      </c>
    </row>
    <row r="14" spans="1:48" x14ac:dyDescent="0.3">
      <c r="A14" s="9" t="s">
        <v>959</v>
      </c>
      <c r="B14" s="10" t="s">
        <v>1302</v>
      </c>
      <c r="C14" s="89">
        <v>350</v>
      </c>
      <c r="D14" s="87">
        <v>101.3</v>
      </c>
      <c r="E14" s="88">
        <v>31</v>
      </c>
      <c r="F14" s="87">
        <v>75</v>
      </c>
      <c r="G14" s="17">
        <v>23</v>
      </c>
      <c r="H14" s="89">
        <v>1</v>
      </c>
      <c r="I14" s="90"/>
      <c r="J14" s="90"/>
      <c r="K14" s="90"/>
      <c r="L14" s="90"/>
      <c r="M14" s="91">
        <f t="shared" si="3"/>
        <v>0</v>
      </c>
      <c r="N14" s="4" t="str">
        <f t="shared" si="4"/>
        <v/>
      </c>
      <c r="O14" s="92">
        <f t="shared" si="5"/>
        <v>0</v>
      </c>
      <c r="P14" s="92">
        <f t="shared" si="6"/>
        <v>0</v>
      </c>
      <c r="Q14" s="80">
        <v>3</v>
      </c>
      <c r="R14" s="80">
        <v>2</v>
      </c>
      <c r="S14" s="80" t="s">
        <v>61</v>
      </c>
      <c r="T14" s="5" t="s">
        <v>114</v>
      </c>
      <c r="U14" s="9"/>
      <c r="W14" s="87">
        <f t="shared" si="7"/>
        <v>101.3</v>
      </c>
      <c r="X14" s="88">
        <f t="shared" si="7"/>
        <v>31</v>
      </c>
      <c r="Y14" s="93">
        <f t="shared" si="8"/>
        <v>1</v>
      </c>
      <c r="Z14" s="91">
        <f t="shared" si="8"/>
        <v>0</v>
      </c>
      <c r="AA14" s="91">
        <f t="shared" si="9"/>
        <v>0</v>
      </c>
      <c r="AB14" s="91">
        <f t="shared" si="10"/>
        <v>0</v>
      </c>
      <c r="AC14" s="4" t="str">
        <f t="shared" si="10"/>
        <v/>
      </c>
      <c r="AD14" s="92">
        <f t="shared" si="10"/>
        <v>0</v>
      </c>
      <c r="AE14" s="80" t="str">
        <f t="shared" si="11"/>
        <v>계</v>
      </c>
      <c r="AF14" s="80" t="str">
        <f t="shared" si="12"/>
        <v>3/2</v>
      </c>
      <c r="AH14" s="20" t="str">
        <f t="shared" si="1"/>
        <v>그린서해맨션</v>
      </c>
      <c r="AI14" s="88">
        <f t="shared" si="0"/>
        <v>31</v>
      </c>
      <c r="AJ14" s="80" t="str">
        <f t="shared" si="13"/>
        <v>A-</v>
      </c>
      <c r="AK14" s="80" t="s">
        <v>14</v>
      </c>
      <c r="AL14" s="80" t="s">
        <v>63</v>
      </c>
      <c r="AM14" s="80" t="s">
        <v>64</v>
      </c>
      <c r="AN14" s="80" t="str">
        <f t="shared" si="14"/>
        <v>C</v>
      </c>
      <c r="AO14" s="80" t="str">
        <f t="shared" si="15"/>
        <v/>
      </c>
      <c r="AP14" s="80" t="str">
        <f t="shared" si="16"/>
        <v/>
      </c>
      <c r="AQ14" s="80" t="str">
        <f t="shared" si="17"/>
        <v>O</v>
      </c>
      <c r="AR14" s="80" t="str">
        <f t="shared" si="18"/>
        <v>O</v>
      </c>
      <c r="AS14" s="80" t="s">
        <v>2</v>
      </c>
      <c r="AT14" s="80" t="str">
        <f t="shared" si="19"/>
        <v>O</v>
      </c>
      <c r="AU14" s="80" t="str">
        <f t="shared" si="20"/>
        <v>O</v>
      </c>
      <c r="AV14" s="80" t="str">
        <f t="shared" si="21"/>
        <v/>
      </c>
    </row>
    <row r="15" spans="1:48" x14ac:dyDescent="0.3">
      <c r="A15" s="9" t="s">
        <v>959</v>
      </c>
      <c r="B15" s="10" t="s">
        <v>1302</v>
      </c>
      <c r="C15" s="89">
        <v>350</v>
      </c>
      <c r="D15" s="87">
        <v>103.5</v>
      </c>
      <c r="E15" s="88">
        <v>31</v>
      </c>
      <c r="F15" s="87">
        <v>84.9</v>
      </c>
      <c r="G15" s="17">
        <v>26</v>
      </c>
      <c r="H15" s="89">
        <v>52</v>
      </c>
      <c r="I15" s="90">
        <v>8500</v>
      </c>
      <c r="J15" s="90" t="s">
        <v>72</v>
      </c>
      <c r="K15" s="90"/>
      <c r="L15" s="90"/>
      <c r="M15" s="91">
        <f t="shared" si="3"/>
        <v>8500</v>
      </c>
      <c r="N15" s="4">
        <f t="shared" si="4"/>
        <v>0</v>
      </c>
      <c r="O15" s="92">
        <f t="shared" si="5"/>
        <v>274.19354838709677</v>
      </c>
      <c r="P15" s="92">
        <f t="shared" si="6"/>
        <v>0</v>
      </c>
      <c r="Q15" s="80">
        <v>3</v>
      </c>
      <c r="R15" s="80">
        <v>2</v>
      </c>
      <c r="S15" s="80" t="s">
        <v>61</v>
      </c>
      <c r="T15" s="5" t="s">
        <v>134</v>
      </c>
      <c r="U15" s="9"/>
      <c r="W15" s="87">
        <f t="shared" si="7"/>
        <v>103.5</v>
      </c>
      <c r="X15" s="88">
        <f t="shared" si="7"/>
        <v>31</v>
      </c>
      <c r="Y15" s="93">
        <f t="shared" si="8"/>
        <v>52</v>
      </c>
      <c r="Z15" s="91">
        <f t="shared" si="8"/>
        <v>8500</v>
      </c>
      <c r="AA15" s="91">
        <f t="shared" si="9"/>
        <v>0</v>
      </c>
      <c r="AB15" s="91">
        <f t="shared" si="10"/>
        <v>8500</v>
      </c>
      <c r="AC15" s="4">
        <f t="shared" si="10"/>
        <v>0</v>
      </c>
      <c r="AD15" s="92">
        <f t="shared" si="10"/>
        <v>274.19354838709677</v>
      </c>
      <c r="AE15" s="80" t="str">
        <f t="shared" si="11"/>
        <v>계</v>
      </c>
      <c r="AF15" s="80" t="str">
        <f t="shared" si="12"/>
        <v>3/2</v>
      </c>
      <c r="AH15" s="20" t="str">
        <f t="shared" si="1"/>
        <v>그린서해맨션</v>
      </c>
      <c r="AI15" s="88">
        <f t="shared" si="0"/>
        <v>31</v>
      </c>
      <c r="AJ15" s="80" t="str">
        <f t="shared" si="13"/>
        <v>A-</v>
      </c>
      <c r="AK15" s="80" t="s">
        <v>14</v>
      </c>
      <c r="AL15" s="80" t="s">
        <v>63</v>
      </c>
      <c r="AM15" s="80" t="s">
        <v>64</v>
      </c>
      <c r="AN15" s="80" t="str">
        <f t="shared" si="14"/>
        <v>C</v>
      </c>
      <c r="AO15" s="80" t="str">
        <f t="shared" si="15"/>
        <v>X</v>
      </c>
      <c r="AP15" s="80" t="str">
        <f t="shared" si="16"/>
        <v>O</v>
      </c>
      <c r="AQ15" s="80" t="str">
        <f t="shared" si="17"/>
        <v>O</v>
      </c>
      <c r="AR15" s="80" t="str">
        <f t="shared" si="18"/>
        <v>X</v>
      </c>
      <c r="AS15" s="80" t="s">
        <v>2</v>
      </c>
      <c r="AT15" s="80" t="str">
        <f t="shared" si="19"/>
        <v>O</v>
      </c>
      <c r="AU15" s="80" t="str">
        <f t="shared" si="20"/>
        <v>O</v>
      </c>
      <c r="AV15" s="80" t="str">
        <f t="shared" si="21"/>
        <v>X</v>
      </c>
    </row>
    <row r="16" spans="1:48" x14ac:dyDescent="0.3">
      <c r="A16" s="9" t="s">
        <v>959</v>
      </c>
      <c r="B16" s="10" t="s">
        <v>1302</v>
      </c>
      <c r="C16" s="89">
        <v>350</v>
      </c>
      <c r="D16" s="87">
        <v>115.2</v>
      </c>
      <c r="E16" s="88">
        <v>35</v>
      </c>
      <c r="F16" s="87">
        <v>84.9</v>
      </c>
      <c r="G16" s="17">
        <v>26</v>
      </c>
      <c r="H16" s="89">
        <v>4</v>
      </c>
      <c r="I16" s="90"/>
      <c r="J16" s="90"/>
      <c r="K16" s="90"/>
      <c r="L16" s="90"/>
      <c r="M16" s="91">
        <f t="shared" si="3"/>
        <v>0</v>
      </c>
      <c r="N16" s="4" t="str">
        <f t="shared" si="4"/>
        <v/>
      </c>
      <c r="O16" s="92">
        <f t="shared" si="5"/>
        <v>0</v>
      </c>
      <c r="P16" s="92">
        <f t="shared" si="6"/>
        <v>0</v>
      </c>
      <c r="Q16" s="80">
        <v>3</v>
      </c>
      <c r="R16" s="80">
        <v>2</v>
      </c>
      <c r="S16" s="80" t="s">
        <v>76</v>
      </c>
      <c r="T16" s="5">
        <v>115</v>
      </c>
      <c r="U16" s="9"/>
      <c r="W16" s="87">
        <f t="shared" si="7"/>
        <v>115.2</v>
      </c>
      <c r="X16" s="88">
        <f t="shared" si="7"/>
        <v>35</v>
      </c>
      <c r="Y16" s="93">
        <f t="shared" si="8"/>
        <v>4</v>
      </c>
      <c r="Z16" s="91">
        <f t="shared" si="8"/>
        <v>0</v>
      </c>
      <c r="AA16" s="91">
        <f t="shared" si="9"/>
        <v>0</v>
      </c>
      <c r="AB16" s="91">
        <f t="shared" si="10"/>
        <v>0</v>
      </c>
      <c r="AC16" s="4" t="str">
        <f t="shared" si="10"/>
        <v/>
      </c>
      <c r="AD16" s="92">
        <f t="shared" si="10"/>
        <v>0</v>
      </c>
      <c r="AE16" s="80" t="str">
        <f t="shared" si="11"/>
        <v>복</v>
      </c>
      <c r="AF16" s="80" t="str">
        <f t="shared" si="12"/>
        <v>3/2</v>
      </c>
      <c r="AH16" s="20" t="str">
        <f t="shared" si="1"/>
        <v>그린서해맨션</v>
      </c>
      <c r="AI16" s="88">
        <f t="shared" si="0"/>
        <v>35</v>
      </c>
      <c r="AJ16" s="80" t="str">
        <f t="shared" si="13"/>
        <v>A-</v>
      </c>
      <c r="AK16" s="80" t="s">
        <v>14</v>
      </c>
      <c r="AL16" s="80" t="s">
        <v>63</v>
      </c>
      <c r="AM16" s="80" t="s">
        <v>64</v>
      </c>
      <c r="AN16" s="80" t="str">
        <f t="shared" si="14"/>
        <v>C</v>
      </c>
      <c r="AO16" s="80" t="str">
        <f t="shared" si="15"/>
        <v/>
      </c>
      <c r="AP16" s="80" t="str">
        <f t="shared" si="16"/>
        <v/>
      </c>
      <c r="AQ16" s="80" t="str">
        <f t="shared" si="17"/>
        <v>O</v>
      </c>
      <c r="AR16" s="80" t="str">
        <f t="shared" si="18"/>
        <v>O</v>
      </c>
      <c r="AS16" s="80" t="s">
        <v>2</v>
      </c>
      <c r="AT16" s="80" t="str">
        <f t="shared" si="19"/>
        <v>O</v>
      </c>
      <c r="AU16" s="80" t="str">
        <f t="shared" si="20"/>
        <v>O</v>
      </c>
      <c r="AV16" s="80" t="str">
        <f t="shared" si="21"/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7" t="str">
        <f>$A$4&amp;" "&amp;A18&amp;"("&amp;B18&amp;","&amp;C18&amp;"^)"</f>
        <v>소룡동 동아('90.10.,702^)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964</v>
      </c>
      <c r="B18" s="10" t="s">
        <v>1338</v>
      </c>
      <c r="C18" s="89">
        <v>702</v>
      </c>
      <c r="D18" s="87">
        <v>79.5</v>
      </c>
      <c r="E18" s="88">
        <v>24</v>
      </c>
      <c r="F18" s="87">
        <v>60.5</v>
      </c>
      <c r="G18" s="17">
        <v>18</v>
      </c>
      <c r="H18" s="89">
        <v>251</v>
      </c>
      <c r="I18" s="90">
        <v>5900</v>
      </c>
      <c r="J18" s="90" t="s">
        <v>81</v>
      </c>
      <c r="K18" s="90"/>
      <c r="L18" s="90"/>
      <c r="M18" s="91">
        <f>I18-K18</f>
        <v>5900</v>
      </c>
      <c r="N18" s="4">
        <f>IF(ISERROR(K18/I18),"",K18/I18)</f>
        <v>0</v>
      </c>
      <c r="O18" s="92">
        <f>I18/E18</f>
        <v>245.83333333333334</v>
      </c>
      <c r="P18" s="92">
        <f>K18/E18</f>
        <v>0</v>
      </c>
      <c r="Q18" s="80">
        <v>3</v>
      </c>
      <c r="R18" s="80">
        <v>1</v>
      </c>
      <c r="S18" s="80" t="s">
        <v>61</v>
      </c>
      <c r="T18" s="5" t="s">
        <v>136</v>
      </c>
      <c r="U18" s="9"/>
      <c r="W18" s="87">
        <f t="shared" ref="W18:X21" si="22">D18</f>
        <v>79.5</v>
      </c>
      <c r="X18" s="88">
        <f t="shared" si="22"/>
        <v>24</v>
      </c>
      <c r="Y18" s="93">
        <f t="shared" ref="Y18:Z21" si="23">H18</f>
        <v>251</v>
      </c>
      <c r="Z18" s="91">
        <f t="shared" si="23"/>
        <v>5900</v>
      </c>
      <c r="AA18" s="91">
        <f>K18</f>
        <v>0</v>
      </c>
      <c r="AB18" s="91">
        <f t="shared" ref="AB18:AD21" si="24">M18</f>
        <v>5900</v>
      </c>
      <c r="AC18" s="4">
        <f t="shared" si="24"/>
        <v>0</v>
      </c>
      <c r="AD18" s="92">
        <f t="shared" si="24"/>
        <v>245.83333333333334</v>
      </c>
      <c r="AE18" s="80" t="str">
        <f>S18</f>
        <v>계</v>
      </c>
      <c r="AF18" s="80" t="str">
        <f>Q18&amp;"/"&amp;R18</f>
        <v>3/1</v>
      </c>
      <c r="AH18" s="20" t="str">
        <f t="shared" si="1"/>
        <v>동아</v>
      </c>
      <c r="AI18" s="88">
        <f t="shared" si="0"/>
        <v>24</v>
      </c>
      <c r="AJ18" s="80" t="str">
        <f>IF(AI18="","",$AJ$2)</f>
        <v>A-</v>
      </c>
      <c r="AK18" s="80" t="s">
        <v>14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964</v>
      </c>
      <c r="B19" s="10" t="s">
        <v>1338</v>
      </c>
      <c r="C19" s="89">
        <v>702</v>
      </c>
      <c r="D19" s="87">
        <v>79.2</v>
      </c>
      <c r="E19" s="88">
        <v>24</v>
      </c>
      <c r="F19" s="87">
        <v>60.7</v>
      </c>
      <c r="G19" s="17">
        <v>18</v>
      </c>
      <c r="H19" s="89">
        <v>1</v>
      </c>
      <c r="I19" s="90"/>
      <c r="J19" s="90"/>
      <c r="K19" s="90"/>
      <c r="L19" s="90"/>
      <c r="M19" s="91">
        <f>I19-K19</f>
        <v>0</v>
      </c>
      <c r="N19" s="4" t="str">
        <f>IF(ISERROR(K19/I19),"",K19/I19)</f>
        <v/>
      </c>
      <c r="O19" s="92">
        <f>I19/E19</f>
        <v>0</v>
      </c>
      <c r="P19" s="92">
        <f>K19/E19</f>
        <v>0</v>
      </c>
      <c r="Q19" s="80">
        <v>2</v>
      </c>
      <c r="R19" s="80">
        <v>1</v>
      </c>
      <c r="S19" s="80" t="s">
        <v>61</v>
      </c>
      <c r="T19" s="5" t="s">
        <v>963</v>
      </c>
      <c r="U19" s="9"/>
      <c r="W19" s="87">
        <f t="shared" si="22"/>
        <v>79.2</v>
      </c>
      <c r="X19" s="88">
        <f t="shared" si="22"/>
        <v>24</v>
      </c>
      <c r="Y19" s="93">
        <f t="shared" si="23"/>
        <v>1</v>
      </c>
      <c r="Z19" s="91">
        <f t="shared" si="23"/>
        <v>0</v>
      </c>
      <c r="AA19" s="91">
        <f>K19</f>
        <v>0</v>
      </c>
      <c r="AB19" s="91">
        <f t="shared" si="24"/>
        <v>0</v>
      </c>
      <c r="AC19" s="4" t="str">
        <f t="shared" si="24"/>
        <v/>
      </c>
      <c r="AD19" s="92">
        <f t="shared" si="24"/>
        <v>0</v>
      </c>
      <c r="AE19" s="80" t="str">
        <f>S19</f>
        <v>계</v>
      </c>
      <c r="AF19" s="80" t="str">
        <f>Q19&amp;"/"&amp;R19</f>
        <v>2/1</v>
      </c>
      <c r="AH19" s="20" t="str">
        <f t="shared" si="1"/>
        <v>동아</v>
      </c>
      <c r="AI19" s="88">
        <f t="shared" si="0"/>
        <v>24</v>
      </c>
      <c r="AJ19" s="80" t="str">
        <f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/>
      </c>
      <c r="AP19" s="80" t="str">
        <f>IF(I19="","",IF(I19&lt;=$AP$1,"O","X"))</f>
        <v/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/>
      </c>
    </row>
    <row r="20" spans="1:48" x14ac:dyDescent="0.3">
      <c r="A20" s="9" t="s">
        <v>964</v>
      </c>
      <c r="B20" s="10" t="s">
        <v>1338</v>
      </c>
      <c r="C20" s="89">
        <v>702</v>
      </c>
      <c r="D20" s="87">
        <v>93.6</v>
      </c>
      <c r="E20" s="88">
        <v>28</v>
      </c>
      <c r="F20" s="87">
        <v>75.599999999999994</v>
      </c>
      <c r="G20" s="17">
        <v>23</v>
      </c>
      <c r="H20" s="89">
        <v>240</v>
      </c>
      <c r="I20" s="90"/>
      <c r="J20" s="90"/>
      <c r="K20" s="90"/>
      <c r="L20" s="90"/>
      <c r="M20" s="91">
        <f>I20-K20</f>
        <v>0</v>
      </c>
      <c r="N20" s="4" t="str">
        <f>IF(ISERROR(K20/I20),"",K20/I20)</f>
        <v/>
      </c>
      <c r="O20" s="92">
        <f>I20/E20</f>
        <v>0</v>
      </c>
      <c r="P20" s="92">
        <f>K20/E20</f>
        <v>0</v>
      </c>
      <c r="Q20" s="80">
        <v>3</v>
      </c>
      <c r="R20" s="80">
        <v>1</v>
      </c>
      <c r="S20" s="80" t="s">
        <v>61</v>
      </c>
      <c r="T20" s="5">
        <v>93</v>
      </c>
      <c r="U20" s="9"/>
      <c r="W20" s="87">
        <f t="shared" si="22"/>
        <v>93.6</v>
      </c>
      <c r="X20" s="88">
        <f t="shared" si="22"/>
        <v>28</v>
      </c>
      <c r="Y20" s="93">
        <f t="shared" si="23"/>
        <v>240</v>
      </c>
      <c r="Z20" s="91">
        <f t="shared" si="23"/>
        <v>0</v>
      </c>
      <c r="AA20" s="91">
        <f>K20</f>
        <v>0</v>
      </c>
      <c r="AB20" s="91">
        <f t="shared" si="24"/>
        <v>0</v>
      </c>
      <c r="AC20" s="4" t="str">
        <f t="shared" si="24"/>
        <v/>
      </c>
      <c r="AD20" s="92">
        <f t="shared" si="24"/>
        <v>0</v>
      </c>
      <c r="AE20" s="80" t="str">
        <f>S20</f>
        <v>계</v>
      </c>
      <c r="AF20" s="80" t="str">
        <f>Q20&amp;"/"&amp;R20</f>
        <v>3/1</v>
      </c>
      <c r="AH20" s="20" t="str">
        <f t="shared" si="1"/>
        <v>동아</v>
      </c>
      <c r="AI20" s="88">
        <f t="shared" si="0"/>
        <v>28</v>
      </c>
      <c r="AJ20" s="80" t="str">
        <f>IF(AI20="","",$AJ$2)</f>
        <v>A-</v>
      </c>
      <c r="AK20" s="80" t="s">
        <v>14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/>
      </c>
      <c r="AP20" s="80" t="str">
        <f>IF(I20="","",IF(I20&lt;=$AP$1,"O","X"))</f>
        <v/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/>
      </c>
    </row>
    <row r="21" spans="1:48" x14ac:dyDescent="0.3">
      <c r="A21" s="9" t="s">
        <v>964</v>
      </c>
      <c r="B21" s="10" t="s">
        <v>1338</v>
      </c>
      <c r="C21" s="89">
        <v>702</v>
      </c>
      <c r="D21" s="87">
        <v>103.9</v>
      </c>
      <c r="E21" s="88">
        <v>31</v>
      </c>
      <c r="F21" s="87">
        <v>84.9</v>
      </c>
      <c r="G21" s="17">
        <v>26</v>
      </c>
      <c r="H21" s="89">
        <v>210</v>
      </c>
      <c r="I21" s="90">
        <v>12000</v>
      </c>
      <c r="J21" s="90" t="s">
        <v>72</v>
      </c>
      <c r="K21" s="90"/>
      <c r="L21" s="90"/>
      <c r="M21" s="91">
        <f>I21-K21</f>
        <v>12000</v>
      </c>
      <c r="N21" s="4">
        <f>IF(ISERROR(K21/I21),"",K21/I21)</f>
        <v>0</v>
      </c>
      <c r="O21" s="92">
        <f>I21/E21</f>
        <v>387.09677419354841</v>
      </c>
      <c r="P21" s="92">
        <f>K21/E21</f>
        <v>0</v>
      </c>
      <c r="Q21" s="80">
        <v>3</v>
      </c>
      <c r="R21" s="80">
        <v>2</v>
      </c>
      <c r="S21" s="80" t="s">
        <v>61</v>
      </c>
      <c r="T21" s="5">
        <v>103</v>
      </c>
      <c r="U21" s="9"/>
      <c r="W21" s="87">
        <f t="shared" si="22"/>
        <v>103.9</v>
      </c>
      <c r="X21" s="88">
        <f t="shared" si="22"/>
        <v>31</v>
      </c>
      <c r="Y21" s="93">
        <f t="shared" si="23"/>
        <v>210</v>
      </c>
      <c r="Z21" s="91">
        <f t="shared" si="23"/>
        <v>12000</v>
      </c>
      <c r="AA21" s="91">
        <f>K21</f>
        <v>0</v>
      </c>
      <c r="AB21" s="91">
        <f t="shared" si="24"/>
        <v>12000</v>
      </c>
      <c r="AC21" s="4">
        <f t="shared" si="24"/>
        <v>0</v>
      </c>
      <c r="AD21" s="92">
        <f t="shared" si="24"/>
        <v>387.09677419354841</v>
      </c>
      <c r="AE21" s="80" t="str">
        <f>S21</f>
        <v>계</v>
      </c>
      <c r="AF21" s="80" t="str">
        <f>Q21&amp;"/"&amp;R21</f>
        <v>3/2</v>
      </c>
      <c r="AH21" s="20" t="str">
        <f t="shared" si="1"/>
        <v>동아</v>
      </c>
      <c r="AI21" s="88">
        <f t="shared" si="0"/>
        <v>31</v>
      </c>
      <c r="AJ21" s="80" t="str">
        <f>IF(AI21="","",$AJ$2)</f>
        <v>A-</v>
      </c>
      <c r="AK21" s="80" t="s">
        <v>14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x14ac:dyDescent="0.3">
      <c r="A22" s="9"/>
      <c r="B22" s="80"/>
      <c r="C22" s="6"/>
      <c r="D22" s="9"/>
      <c r="E22" s="14"/>
      <c r="F22" s="87"/>
      <c r="G22" s="9"/>
      <c r="H22" s="9"/>
      <c r="I22" s="9"/>
      <c r="J22" s="9"/>
      <c r="K22" s="9"/>
      <c r="L22" s="9"/>
      <c r="M22" s="9"/>
      <c r="N22" s="9"/>
      <c r="O22" s="92"/>
      <c r="P22" s="92"/>
      <c r="Q22" s="88"/>
      <c r="R22" s="88"/>
      <c r="S22" s="9"/>
      <c r="T22" s="47"/>
      <c r="U22" s="9"/>
      <c r="W22" s="67" t="str">
        <f>$A$4&amp;" "&amp;A23&amp;"("&amp;B23&amp;","&amp;C23&amp;"^)"</f>
        <v>소룡동 소룡진흥('91.05.,499^)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2" t="str">
        <f t="shared" si="0"/>
        <v/>
      </c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</row>
    <row r="23" spans="1:48" x14ac:dyDescent="0.3">
      <c r="A23" s="9" t="s">
        <v>976</v>
      </c>
      <c r="B23" s="10" t="s">
        <v>1339</v>
      </c>
      <c r="C23" s="89">
        <v>499</v>
      </c>
      <c r="D23" s="87">
        <v>57.5</v>
      </c>
      <c r="E23" s="88">
        <v>17</v>
      </c>
      <c r="F23" s="87">
        <v>43.7</v>
      </c>
      <c r="G23" s="17">
        <v>13</v>
      </c>
      <c r="H23" s="89">
        <v>123</v>
      </c>
      <c r="I23" s="90"/>
      <c r="J23" s="90"/>
      <c r="K23" s="90"/>
      <c r="L23" s="90"/>
      <c r="M23" s="91">
        <f t="shared" ref="M23:M29" si="25">I23-K23</f>
        <v>0</v>
      </c>
      <c r="N23" s="4" t="str">
        <f t="shared" ref="N23:N29" si="26">IF(ISERROR(K23/I23),"",K23/I23)</f>
        <v/>
      </c>
      <c r="O23" s="92">
        <f t="shared" ref="O23:O29" si="27">I23/E23</f>
        <v>0</v>
      </c>
      <c r="P23" s="92">
        <f t="shared" ref="P23:P29" si="28">K23/E23</f>
        <v>0</v>
      </c>
      <c r="Q23" s="80">
        <v>2</v>
      </c>
      <c r="R23" s="80">
        <v>1</v>
      </c>
      <c r="S23" s="80" t="s">
        <v>61</v>
      </c>
      <c r="T23" s="5">
        <v>57</v>
      </c>
      <c r="U23" s="9"/>
      <c r="W23" s="87">
        <f t="shared" ref="W23:X29" si="29">D23</f>
        <v>57.5</v>
      </c>
      <c r="X23" s="88">
        <f t="shared" si="29"/>
        <v>17</v>
      </c>
      <c r="Y23" s="93">
        <f t="shared" ref="Y23:Z29" si="30">H23</f>
        <v>123</v>
      </c>
      <c r="Z23" s="91">
        <f t="shared" si="30"/>
        <v>0</v>
      </c>
      <c r="AA23" s="91">
        <f t="shared" ref="AA23:AA29" si="31">K23</f>
        <v>0</v>
      </c>
      <c r="AB23" s="91">
        <f t="shared" ref="AB23:AD29" si="32">M23</f>
        <v>0</v>
      </c>
      <c r="AC23" s="4" t="str">
        <f t="shared" si="32"/>
        <v/>
      </c>
      <c r="AD23" s="92">
        <f t="shared" si="32"/>
        <v>0</v>
      </c>
      <c r="AE23" s="80" t="str">
        <f t="shared" ref="AE23:AE29" si="33">S23</f>
        <v>계</v>
      </c>
      <c r="AF23" s="80" t="str">
        <f t="shared" ref="AF23:AF29" si="34">Q23&amp;"/"&amp;R23</f>
        <v>2/1</v>
      </c>
      <c r="AH23" s="20" t="str">
        <f t="shared" si="1"/>
        <v>소룡진흥</v>
      </c>
      <c r="AI23" s="88">
        <f t="shared" si="0"/>
        <v>17</v>
      </c>
      <c r="AJ23" s="80" t="str">
        <f t="shared" ref="AJ23:AJ29" si="35">IF(AI23="","",$AJ$2)</f>
        <v>A-</v>
      </c>
      <c r="AK23" s="80" t="s">
        <v>14</v>
      </c>
      <c r="AL23" s="80" t="s">
        <v>63</v>
      </c>
      <c r="AM23" s="80" t="s">
        <v>64</v>
      </c>
      <c r="AN23" s="80" t="str">
        <f t="shared" ref="AN23:AN29" si="36">IF(AI23="","",$AN$2)</f>
        <v>C</v>
      </c>
      <c r="AO23" s="80" t="str">
        <f t="shared" ref="AO23:AO29" si="37">IF(N23="","",IF(N23&gt;=$AO$1/100,"O","X"))</f>
        <v/>
      </c>
      <c r="AP23" s="80" t="str">
        <f t="shared" ref="AP23:AP29" si="38">IF(I23="","",IF(I23&lt;=$AP$1,"O","X"))</f>
        <v/>
      </c>
      <c r="AQ23" s="80" t="str">
        <f t="shared" ref="AQ23:AQ29" si="39">IF(O23="","",IF(O23&lt;=$AQ$1,"O","X"))</f>
        <v>O</v>
      </c>
      <c r="AR23" s="80" t="str">
        <f t="shared" ref="AR23:AR29" si="40">IF(M23="","",IF(M23&lt;=$AR$1,"O","X"))</f>
        <v>O</v>
      </c>
      <c r="AS23" s="80" t="s">
        <v>2</v>
      </c>
      <c r="AT23" s="80" t="str">
        <f t="shared" ref="AT23:AT29" si="41">IF(OR(F23="",AI23=""),"",IF(AND((F23&lt;=85),(AI23&gt;=15)),"O","X"))</f>
        <v>O</v>
      </c>
      <c r="AU23" s="80" t="str">
        <f t="shared" ref="AU23:AU29" si="42">IF(C23="","",IF(C23&gt;=$AU$1,"O","X"))</f>
        <v>O</v>
      </c>
      <c r="AV23" s="80" t="str">
        <f t="shared" ref="AV23:AV29" si="43">IF(AO23="","",IF(AND(AO23="O",AP23="O",AR23="O",AT23="O",AU23="O"),"후보","X"))</f>
        <v/>
      </c>
    </row>
    <row r="24" spans="1:48" x14ac:dyDescent="0.3">
      <c r="A24" s="9" t="s">
        <v>976</v>
      </c>
      <c r="B24" s="10" t="s">
        <v>1339</v>
      </c>
      <c r="C24" s="89">
        <v>499</v>
      </c>
      <c r="D24" s="87">
        <v>63.4</v>
      </c>
      <c r="E24" s="88">
        <v>19</v>
      </c>
      <c r="F24" s="87">
        <v>49.3</v>
      </c>
      <c r="G24" s="17">
        <v>15</v>
      </c>
      <c r="H24" s="89">
        <v>50</v>
      </c>
      <c r="I24" s="90">
        <v>4000</v>
      </c>
      <c r="J24" s="90" t="s">
        <v>84</v>
      </c>
      <c r="K24" s="90"/>
      <c r="L24" s="90"/>
      <c r="M24" s="91">
        <f t="shared" si="25"/>
        <v>4000</v>
      </c>
      <c r="N24" s="4">
        <f t="shared" si="26"/>
        <v>0</v>
      </c>
      <c r="O24" s="92">
        <f t="shared" si="27"/>
        <v>210.52631578947367</v>
      </c>
      <c r="P24" s="92">
        <f t="shared" si="28"/>
        <v>0</v>
      </c>
      <c r="Q24" s="80">
        <v>2</v>
      </c>
      <c r="R24" s="80">
        <v>1</v>
      </c>
      <c r="S24" s="80" t="s">
        <v>61</v>
      </c>
      <c r="T24" s="5">
        <v>63</v>
      </c>
      <c r="U24" s="9"/>
      <c r="W24" s="87">
        <f t="shared" si="29"/>
        <v>63.4</v>
      </c>
      <c r="X24" s="88">
        <f t="shared" si="29"/>
        <v>19</v>
      </c>
      <c r="Y24" s="93">
        <f t="shared" si="30"/>
        <v>50</v>
      </c>
      <c r="Z24" s="91">
        <f t="shared" si="30"/>
        <v>4000</v>
      </c>
      <c r="AA24" s="91">
        <f t="shared" si="31"/>
        <v>0</v>
      </c>
      <c r="AB24" s="91">
        <f t="shared" si="32"/>
        <v>4000</v>
      </c>
      <c r="AC24" s="4">
        <f t="shared" si="32"/>
        <v>0</v>
      </c>
      <c r="AD24" s="92">
        <f t="shared" si="32"/>
        <v>210.52631578947367</v>
      </c>
      <c r="AE24" s="80" t="str">
        <f t="shared" si="33"/>
        <v>계</v>
      </c>
      <c r="AF24" s="80" t="str">
        <f t="shared" si="34"/>
        <v>2/1</v>
      </c>
      <c r="AH24" s="20" t="str">
        <f t="shared" si="1"/>
        <v>소룡진흥</v>
      </c>
      <c r="AI24" s="88">
        <f t="shared" si="0"/>
        <v>19</v>
      </c>
      <c r="AJ24" s="80" t="str">
        <f t="shared" si="35"/>
        <v>A-</v>
      </c>
      <c r="AK24" s="80" t="s">
        <v>14</v>
      </c>
      <c r="AL24" s="80" t="s">
        <v>63</v>
      </c>
      <c r="AM24" s="80" t="s">
        <v>64</v>
      </c>
      <c r="AN24" s="80" t="str">
        <f t="shared" si="36"/>
        <v>C</v>
      </c>
      <c r="AO24" s="80" t="str">
        <f t="shared" si="37"/>
        <v>X</v>
      </c>
      <c r="AP24" s="80" t="str">
        <f t="shared" si="38"/>
        <v>O</v>
      </c>
      <c r="AQ24" s="80" t="str">
        <f t="shared" si="39"/>
        <v>O</v>
      </c>
      <c r="AR24" s="80" t="str">
        <f t="shared" si="40"/>
        <v>O</v>
      </c>
      <c r="AS24" s="80" t="s">
        <v>2</v>
      </c>
      <c r="AT24" s="80" t="str">
        <f t="shared" si="41"/>
        <v>O</v>
      </c>
      <c r="AU24" s="80" t="str">
        <f t="shared" si="42"/>
        <v>O</v>
      </c>
      <c r="AV24" s="80" t="str">
        <f t="shared" si="43"/>
        <v>X</v>
      </c>
    </row>
    <row r="25" spans="1:48" x14ac:dyDescent="0.3">
      <c r="A25" s="9" t="s">
        <v>976</v>
      </c>
      <c r="B25" s="10" t="s">
        <v>1339</v>
      </c>
      <c r="C25" s="89">
        <v>499</v>
      </c>
      <c r="D25" s="87">
        <v>70.2</v>
      </c>
      <c r="E25" s="88">
        <v>21</v>
      </c>
      <c r="F25" s="87">
        <v>59.2</v>
      </c>
      <c r="G25" s="17">
        <v>18</v>
      </c>
      <c r="H25" s="89">
        <v>25</v>
      </c>
      <c r="I25" s="90"/>
      <c r="J25" s="90"/>
      <c r="K25" s="90"/>
      <c r="L25" s="90"/>
      <c r="M25" s="91">
        <f t="shared" si="25"/>
        <v>0</v>
      </c>
      <c r="N25" s="4" t="str">
        <f t="shared" si="26"/>
        <v/>
      </c>
      <c r="O25" s="92">
        <f t="shared" si="27"/>
        <v>0</v>
      </c>
      <c r="P25" s="92">
        <f t="shared" si="28"/>
        <v>0</v>
      </c>
      <c r="Q25" s="80">
        <v>2</v>
      </c>
      <c r="R25" s="80">
        <v>1</v>
      </c>
      <c r="S25" s="80" t="s">
        <v>61</v>
      </c>
      <c r="T25" s="5">
        <v>70</v>
      </c>
      <c r="U25" s="9"/>
      <c r="W25" s="87">
        <f t="shared" si="29"/>
        <v>70.2</v>
      </c>
      <c r="X25" s="88">
        <f t="shared" si="29"/>
        <v>21</v>
      </c>
      <c r="Y25" s="93">
        <f t="shared" si="30"/>
        <v>25</v>
      </c>
      <c r="Z25" s="91">
        <f t="shared" si="30"/>
        <v>0</v>
      </c>
      <c r="AA25" s="91">
        <f t="shared" si="31"/>
        <v>0</v>
      </c>
      <c r="AB25" s="91">
        <f t="shared" si="32"/>
        <v>0</v>
      </c>
      <c r="AC25" s="4" t="str">
        <f t="shared" si="32"/>
        <v/>
      </c>
      <c r="AD25" s="92">
        <f t="shared" si="32"/>
        <v>0</v>
      </c>
      <c r="AE25" s="80" t="str">
        <f t="shared" si="33"/>
        <v>계</v>
      </c>
      <c r="AF25" s="80" t="str">
        <f t="shared" si="34"/>
        <v>2/1</v>
      </c>
      <c r="AH25" s="20" t="str">
        <f t="shared" si="1"/>
        <v>소룡진흥</v>
      </c>
      <c r="AI25" s="88">
        <f t="shared" si="0"/>
        <v>21</v>
      </c>
      <c r="AJ25" s="80" t="str">
        <f t="shared" si="35"/>
        <v>A-</v>
      </c>
      <c r="AK25" s="80" t="s">
        <v>14</v>
      </c>
      <c r="AL25" s="80" t="s">
        <v>63</v>
      </c>
      <c r="AM25" s="80" t="s">
        <v>64</v>
      </c>
      <c r="AN25" s="80" t="str">
        <f t="shared" si="36"/>
        <v>C</v>
      </c>
      <c r="AO25" s="80" t="str">
        <f t="shared" si="37"/>
        <v/>
      </c>
      <c r="AP25" s="80" t="str">
        <f t="shared" si="38"/>
        <v/>
      </c>
      <c r="AQ25" s="80" t="str">
        <f t="shared" si="39"/>
        <v>O</v>
      </c>
      <c r="AR25" s="80" t="str">
        <f t="shared" si="40"/>
        <v>O</v>
      </c>
      <c r="AS25" s="80" t="s">
        <v>2</v>
      </c>
      <c r="AT25" s="80" t="str">
        <f t="shared" si="41"/>
        <v>O</v>
      </c>
      <c r="AU25" s="80" t="str">
        <f t="shared" si="42"/>
        <v>O</v>
      </c>
      <c r="AV25" s="80" t="str">
        <f t="shared" si="43"/>
        <v/>
      </c>
    </row>
    <row r="26" spans="1:48" x14ac:dyDescent="0.3">
      <c r="A26" s="9" t="s">
        <v>976</v>
      </c>
      <c r="B26" s="10" t="s">
        <v>1339</v>
      </c>
      <c r="C26" s="89">
        <v>499</v>
      </c>
      <c r="D26" s="87">
        <v>78.400000000000006</v>
      </c>
      <c r="E26" s="88">
        <v>24</v>
      </c>
      <c r="F26" s="87">
        <v>59.8</v>
      </c>
      <c r="G26" s="17">
        <v>18</v>
      </c>
      <c r="H26" s="89">
        <v>48</v>
      </c>
      <c r="I26" s="90">
        <v>6000</v>
      </c>
      <c r="J26" s="90" t="s">
        <v>84</v>
      </c>
      <c r="K26" s="90"/>
      <c r="L26" s="90"/>
      <c r="M26" s="91">
        <f t="shared" si="25"/>
        <v>6000</v>
      </c>
      <c r="N26" s="4">
        <f t="shared" si="26"/>
        <v>0</v>
      </c>
      <c r="O26" s="92">
        <f t="shared" si="27"/>
        <v>250</v>
      </c>
      <c r="P26" s="92">
        <f t="shared" si="28"/>
        <v>0</v>
      </c>
      <c r="Q26" s="80">
        <v>3</v>
      </c>
      <c r="R26" s="80">
        <v>1</v>
      </c>
      <c r="S26" s="80" t="s">
        <v>76</v>
      </c>
      <c r="T26" s="5" t="s">
        <v>137</v>
      </c>
      <c r="U26" s="9"/>
      <c r="W26" s="87">
        <f t="shared" si="29"/>
        <v>78.400000000000006</v>
      </c>
      <c r="X26" s="88">
        <f t="shared" si="29"/>
        <v>24</v>
      </c>
      <c r="Y26" s="93">
        <f t="shared" si="30"/>
        <v>48</v>
      </c>
      <c r="Z26" s="91">
        <f t="shared" si="30"/>
        <v>6000</v>
      </c>
      <c r="AA26" s="91">
        <f t="shared" si="31"/>
        <v>0</v>
      </c>
      <c r="AB26" s="91">
        <f t="shared" si="32"/>
        <v>6000</v>
      </c>
      <c r="AC26" s="4">
        <f t="shared" si="32"/>
        <v>0</v>
      </c>
      <c r="AD26" s="92">
        <f t="shared" si="32"/>
        <v>250</v>
      </c>
      <c r="AE26" s="80" t="str">
        <f t="shared" si="33"/>
        <v>복</v>
      </c>
      <c r="AF26" s="80" t="str">
        <f t="shared" si="34"/>
        <v>3/1</v>
      </c>
      <c r="AH26" s="20" t="str">
        <f t="shared" si="1"/>
        <v>소룡진흥</v>
      </c>
      <c r="AI26" s="88">
        <f t="shared" si="0"/>
        <v>24</v>
      </c>
      <c r="AJ26" s="80" t="str">
        <f t="shared" si="35"/>
        <v>A-</v>
      </c>
      <c r="AK26" s="80" t="s">
        <v>14</v>
      </c>
      <c r="AL26" s="80" t="s">
        <v>63</v>
      </c>
      <c r="AM26" s="80" t="s">
        <v>64</v>
      </c>
      <c r="AN26" s="80" t="str">
        <f t="shared" si="36"/>
        <v>C</v>
      </c>
      <c r="AO26" s="80" t="str">
        <f t="shared" si="37"/>
        <v>X</v>
      </c>
      <c r="AP26" s="80" t="str">
        <f t="shared" si="38"/>
        <v>O</v>
      </c>
      <c r="AQ26" s="80" t="str">
        <f t="shared" si="39"/>
        <v>O</v>
      </c>
      <c r="AR26" s="80" t="str">
        <f t="shared" si="40"/>
        <v>X</v>
      </c>
      <c r="AS26" s="80" t="s">
        <v>2</v>
      </c>
      <c r="AT26" s="80" t="str">
        <f t="shared" si="41"/>
        <v>O</v>
      </c>
      <c r="AU26" s="80" t="str">
        <f t="shared" si="42"/>
        <v>O</v>
      </c>
      <c r="AV26" s="80" t="str">
        <f t="shared" si="43"/>
        <v>X</v>
      </c>
    </row>
    <row r="27" spans="1:48" x14ac:dyDescent="0.3">
      <c r="A27" s="9" t="s">
        <v>976</v>
      </c>
      <c r="B27" s="10" t="s">
        <v>1339</v>
      </c>
      <c r="C27" s="89">
        <v>499</v>
      </c>
      <c r="D27" s="87">
        <v>80.7</v>
      </c>
      <c r="E27" s="88">
        <v>24</v>
      </c>
      <c r="F27" s="87">
        <v>68.099999999999994</v>
      </c>
      <c r="G27" s="17">
        <v>21</v>
      </c>
      <c r="H27" s="89">
        <v>25</v>
      </c>
      <c r="I27" s="90"/>
      <c r="J27" s="90"/>
      <c r="K27" s="90"/>
      <c r="L27" s="90"/>
      <c r="M27" s="91">
        <f t="shared" si="25"/>
        <v>0</v>
      </c>
      <c r="N27" s="4" t="str">
        <f t="shared" si="26"/>
        <v/>
      </c>
      <c r="O27" s="92">
        <f t="shared" si="27"/>
        <v>0</v>
      </c>
      <c r="P27" s="92">
        <f t="shared" si="28"/>
        <v>0</v>
      </c>
      <c r="Q27" s="80">
        <v>3</v>
      </c>
      <c r="R27" s="80">
        <v>1</v>
      </c>
      <c r="S27" s="80" t="s">
        <v>61</v>
      </c>
      <c r="T27" s="5" t="s">
        <v>85</v>
      </c>
      <c r="U27" s="9"/>
      <c r="W27" s="87">
        <f t="shared" si="29"/>
        <v>80.7</v>
      </c>
      <c r="X27" s="88">
        <f t="shared" si="29"/>
        <v>24</v>
      </c>
      <c r="Y27" s="93">
        <f t="shared" si="30"/>
        <v>25</v>
      </c>
      <c r="Z27" s="91">
        <f t="shared" si="30"/>
        <v>0</v>
      </c>
      <c r="AA27" s="91">
        <f t="shared" si="31"/>
        <v>0</v>
      </c>
      <c r="AB27" s="91">
        <f t="shared" si="32"/>
        <v>0</v>
      </c>
      <c r="AC27" s="4" t="str">
        <f t="shared" si="32"/>
        <v/>
      </c>
      <c r="AD27" s="92">
        <f t="shared" si="32"/>
        <v>0</v>
      </c>
      <c r="AE27" s="80" t="str">
        <f t="shared" si="33"/>
        <v>계</v>
      </c>
      <c r="AF27" s="80" t="str">
        <f t="shared" si="34"/>
        <v>3/1</v>
      </c>
      <c r="AH27" s="20" t="str">
        <f t="shared" si="1"/>
        <v>소룡진흥</v>
      </c>
      <c r="AI27" s="88">
        <f t="shared" si="0"/>
        <v>24</v>
      </c>
      <c r="AJ27" s="80" t="str">
        <f t="shared" si="35"/>
        <v>A-</v>
      </c>
      <c r="AK27" s="80" t="s">
        <v>14</v>
      </c>
      <c r="AL27" s="80" t="s">
        <v>63</v>
      </c>
      <c r="AM27" s="80" t="s">
        <v>64</v>
      </c>
      <c r="AN27" s="80" t="str">
        <f t="shared" si="36"/>
        <v>C</v>
      </c>
      <c r="AO27" s="80" t="str">
        <f t="shared" si="37"/>
        <v/>
      </c>
      <c r="AP27" s="80" t="str">
        <f t="shared" si="38"/>
        <v/>
      </c>
      <c r="AQ27" s="80" t="str">
        <f t="shared" si="39"/>
        <v>O</v>
      </c>
      <c r="AR27" s="80" t="str">
        <f t="shared" si="40"/>
        <v>O</v>
      </c>
      <c r="AS27" s="80" t="s">
        <v>2</v>
      </c>
      <c r="AT27" s="80" t="str">
        <f t="shared" si="41"/>
        <v>O</v>
      </c>
      <c r="AU27" s="80" t="str">
        <f t="shared" si="42"/>
        <v>O</v>
      </c>
      <c r="AV27" s="80" t="str">
        <f t="shared" si="43"/>
        <v/>
      </c>
    </row>
    <row r="28" spans="1:48" x14ac:dyDescent="0.3">
      <c r="A28" s="9" t="s">
        <v>976</v>
      </c>
      <c r="B28" s="10" t="s">
        <v>1339</v>
      </c>
      <c r="C28" s="89">
        <v>499</v>
      </c>
      <c r="D28" s="87">
        <v>88.3</v>
      </c>
      <c r="E28" s="88">
        <v>27</v>
      </c>
      <c r="F28" s="87">
        <v>72</v>
      </c>
      <c r="G28" s="17">
        <v>22</v>
      </c>
      <c r="H28" s="89">
        <v>128</v>
      </c>
      <c r="I28" s="90">
        <v>6700</v>
      </c>
      <c r="J28" s="90" t="s">
        <v>74</v>
      </c>
      <c r="K28" s="90"/>
      <c r="L28" s="90"/>
      <c r="M28" s="91">
        <f t="shared" si="25"/>
        <v>6700</v>
      </c>
      <c r="N28" s="4">
        <f t="shared" si="26"/>
        <v>0</v>
      </c>
      <c r="O28" s="92">
        <f t="shared" si="27"/>
        <v>248.14814814814815</v>
      </c>
      <c r="P28" s="92">
        <f t="shared" si="28"/>
        <v>0</v>
      </c>
      <c r="Q28" s="80">
        <v>3</v>
      </c>
      <c r="R28" s="80">
        <v>2</v>
      </c>
      <c r="S28" s="80" t="s">
        <v>61</v>
      </c>
      <c r="T28" s="5">
        <v>88</v>
      </c>
      <c r="U28" s="9"/>
      <c r="W28" s="87">
        <f t="shared" si="29"/>
        <v>88.3</v>
      </c>
      <c r="X28" s="88">
        <f t="shared" si="29"/>
        <v>27</v>
      </c>
      <c r="Y28" s="93">
        <f t="shared" si="30"/>
        <v>128</v>
      </c>
      <c r="Z28" s="91">
        <f t="shared" si="30"/>
        <v>6700</v>
      </c>
      <c r="AA28" s="91">
        <f t="shared" si="31"/>
        <v>0</v>
      </c>
      <c r="AB28" s="91">
        <f t="shared" si="32"/>
        <v>6700</v>
      </c>
      <c r="AC28" s="4">
        <f t="shared" si="32"/>
        <v>0</v>
      </c>
      <c r="AD28" s="92">
        <f t="shared" si="32"/>
        <v>248.14814814814815</v>
      </c>
      <c r="AE28" s="80" t="str">
        <f t="shared" si="33"/>
        <v>계</v>
      </c>
      <c r="AF28" s="80" t="str">
        <f t="shared" si="34"/>
        <v>3/2</v>
      </c>
      <c r="AH28" s="20" t="str">
        <f t="shared" si="1"/>
        <v>소룡진흥</v>
      </c>
      <c r="AI28" s="88">
        <f t="shared" si="0"/>
        <v>27</v>
      </c>
      <c r="AJ28" s="80" t="str">
        <f t="shared" si="35"/>
        <v>A-</v>
      </c>
      <c r="AK28" s="80" t="s">
        <v>14</v>
      </c>
      <c r="AL28" s="80" t="s">
        <v>63</v>
      </c>
      <c r="AM28" s="80" t="s">
        <v>64</v>
      </c>
      <c r="AN28" s="80" t="str">
        <f t="shared" si="36"/>
        <v>C</v>
      </c>
      <c r="AO28" s="80" t="str">
        <f t="shared" si="37"/>
        <v>X</v>
      </c>
      <c r="AP28" s="80" t="str">
        <f t="shared" si="38"/>
        <v>O</v>
      </c>
      <c r="AQ28" s="80" t="str">
        <f t="shared" si="39"/>
        <v>O</v>
      </c>
      <c r="AR28" s="80" t="str">
        <f t="shared" si="40"/>
        <v>X</v>
      </c>
      <c r="AS28" s="80" t="s">
        <v>2</v>
      </c>
      <c r="AT28" s="80" t="str">
        <f t="shared" si="41"/>
        <v>O</v>
      </c>
      <c r="AU28" s="80" t="str">
        <f t="shared" si="42"/>
        <v>O</v>
      </c>
      <c r="AV28" s="80" t="str">
        <f t="shared" si="43"/>
        <v>X</v>
      </c>
    </row>
    <row r="29" spans="1:48" x14ac:dyDescent="0.3">
      <c r="A29" s="9" t="s">
        <v>976</v>
      </c>
      <c r="B29" s="10" t="s">
        <v>1339</v>
      </c>
      <c r="C29" s="89">
        <v>499</v>
      </c>
      <c r="D29" s="87">
        <v>102.8</v>
      </c>
      <c r="E29" s="88">
        <v>31</v>
      </c>
      <c r="F29" s="87">
        <v>85</v>
      </c>
      <c r="G29" s="17">
        <v>26</v>
      </c>
      <c r="H29" s="89">
        <v>100</v>
      </c>
      <c r="I29" s="90"/>
      <c r="J29" s="90"/>
      <c r="K29" s="90"/>
      <c r="L29" s="90"/>
      <c r="M29" s="91">
        <f t="shared" si="25"/>
        <v>0</v>
      </c>
      <c r="N29" s="4" t="str">
        <f t="shared" si="26"/>
        <v/>
      </c>
      <c r="O29" s="92">
        <f t="shared" si="27"/>
        <v>0</v>
      </c>
      <c r="P29" s="92">
        <f t="shared" si="28"/>
        <v>0</v>
      </c>
      <c r="Q29" s="80">
        <v>3</v>
      </c>
      <c r="R29" s="80">
        <v>2</v>
      </c>
      <c r="S29" s="80" t="s">
        <v>61</v>
      </c>
      <c r="T29" s="5">
        <v>102</v>
      </c>
      <c r="U29" s="9"/>
      <c r="W29" s="87">
        <f t="shared" si="29"/>
        <v>102.8</v>
      </c>
      <c r="X29" s="88">
        <f t="shared" si="29"/>
        <v>31</v>
      </c>
      <c r="Y29" s="93">
        <f t="shared" si="30"/>
        <v>100</v>
      </c>
      <c r="Z29" s="91">
        <f t="shared" si="30"/>
        <v>0</v>
      </c>
      <c r="AA29" s="91">
        <f t="shared" si="31"/>
        <v>0</v>
      </c>
      <c r="AB29" s="91">
        <f t="shared" si="32"/>
        <v>0</v>
      </c>
      <c r="AC29" s="4" t="str">
        <f t="shared" si="32"/>
        <v/>
      </c>
      <c r="AD29" s="92">
        <f t="shared" si="32"/>
        <v>0</v>
      </c>
      <c r="AE29" s="80" t="str">
        <f t="shared" si="33"/>
        <v>계</v>
      </c>
      <c r="AF29" s="80" t="str">
        <f t="shared" si="34"/>
        <v>3/2</v>
      </c>
      <c r="AH29" s="20" t="str">
        <f t="shared" si="1"/>
        <v>소룡진흥</v>
      </c>
      <c r="AI29" s="88">
        <f t="shared" si="0"/>
        <v>31</v>
      </c>
      <c r="AJ29" s="80" t="str">
        <f t="shared" si="35"/>
        <v>A-</v>
      </c>
      <c r="AK29" s="80" t="s">
        <v>14</v>
      </c>
      <c r="AL29" s="80" t="s">
        <v>63</v>
      </c>
      <c r="AM29" s="80" t="s">
        <v>64</v>
      </c>
      <c r="AN29" s="80" t="str">
        <f t="shared" si="36"/>
        <v>C</v>
      </c>
      <c r="AO29" s="80" t="str">
        <f t="shared" si="37"/>
        <v/>
      </c>
      <c r="AP29" s="80" t="str">
        <f t="shared" si="38"/>
        <v/>
      </c>
      <c r="AQ29" s="80" t="str">
        <f t="shared" si="39"/>
        <v>O</v>
      </c>
      <c r="AR29" s="80" t="str">
        <f t="shared" si="40"/>
        <v>O</v>
      </c>
      <c r="AS29" s="80" t="s">
        <v>2</v>
      </c>
      <c r="AT29" s="80" t="str">
        <f t="shared" si="41"/>
        <v>O</v>
      </c>
      <c r="AU29" s="80" t="str">
        <f t="shared" si="42"/>
        <v>O</v>
      </c>
      <c r="AV29" s="80" t="str">
        <f t="shared" si="43"/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소룡동 스카이타운('08.08.,398^)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981</v>
      </c>
      <c r="B31" s="10" t="s">
        <v>1303</v>
      </c>
      <c r="C31" s="89">
        <v>398</v>
      </c>
      <c r="D31" s="87">
        <v>41.3</v>
      </c>
      <c r="E31" s="88">
        <v>12</v>
      </c>
      <c r="F31" s="87">
        <v>31.8</v>
      </c>
      <c r="G31" s="17">
        <v>10</v>
      </c>
      <c r="H31" s="89">
        <v>390</v>
      </c>
      <c r="I31" s="90">
        <v>3000</v>
      </c>
      <c r="J31" s="90" t="s">
        <v>81</v>
      </c>
      <c r="K31" s="90"/>
      <c r="L31" s="90"/>
      <c r="M31" s="91">
        <f>I31-K31</f>
        <v>3000</v>
      </c>
      <c r="N31" s="4">
        <f>IF(ISERROR(K31/I31),"",K31/I31)</f>
        <v>0</v>
      </c>
      <c r="O31" s="92">
        <f>I31/E31</f>
        <v>250</v>
      </c>
      <c r="P31" s="92">
        <f>K31/E31</f>
        <v>0</v>
      </c>
      <c r="Q31" s="80">
        <v>1</v>
      </c>
      <c r="R31" s="80">
        <v>1</v>
      </c>
      <c r="S31" s="80" t="s">
        <v>76</v>
      </c>
      <c r="T31" s="5">
        <v>41</v>
      </c>
      <c r="U31" s="9"/>
      <c r="W31" s="87">
        <f>D31</f>
        <v>41.3</v>
      </c>
      <c r="X31" s="88">
        <f>E31</f>
        <v>12</v>
      </c>
      <c r="Y31" s="93">
        <f>H31</f>
        <v>390</v>
      </c>
      <c r="Z31" s="91">
        <f>I31</f>
        <v>3000</v>
      </c>
      <c r="AA31" s="91">
        <f>K31</f>
        <v>0</v>
      </c>
      <c r="AB31" s="91">
        <f t="shared" ref="AB31:AD32" si="44">M31</f>
        <v>3000</v>
      </c>
      <c r="AC31" s="4">
        <f t="shared" si="44"/>
        <v>0</v>
      </c>
      <c r="AD31" s="92">
        <f t="shared" si="44"/>
        <v>250</v>
      </c>
      <c r="AE31" s="80" t="str">
        <f>S31</f>
        <v>복</v>
      </c>
      <c r="AF31" s="80" t="str">
        <f>Q31&amp;"/"&amp;R31</f>
        <v>1/1</v>
      </c>
      <c r="AH31" s="20" t="str">
        <f t="shared" si="1"/>
        <v>스카이타운</v>
      </c>
      <c r="AI31" s="88">
        <f t="shared" si="0"/>
        <v>12</v>
      </c>
      <c r="AJ31" s="80" t="str">
        <f>IF(AI31="","",$AJ$2)</f>
        <v>A-</v>
      </c>
      <c r="AK31" s="80" t="s">
        <v>14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981</v>
      </c>
      <c r="B32" s="10" t="s">
        <v>1303</v>
      </c>
      <c r="C32" s="89">
        <v>398</v>
      </c>
      <c r="D32" s="87">
        <v>53.8</v>
      </c>
      <c r="E32" s="88">
        <v>16</v>
      </c>
      <c r="F32" s="87">
        <v>41.5</v>
      </c>
      <c r="G32" s="17">
        <v>13</v>
      </c>
      <c r="H32" s="89">
        <v>8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2</v>
      </c>
      <c r="R32" s="80">
        <v>1</v>
      </c>
      <c r="S32" s="80" t="s">
        <v>76</v>
      </c>
      <c r="T32" s="5">
        <v>53</v>
      </c>
      <c r="U32" s="9"/>
      <c r="W32" s="87">
        <f>D32</f>
        <v>53.8</v>
      </c>
      <c r="X32" s="88">
        <f>E32</f>
        <v>16</v>
      </c>
      <c r="Y32" s="93">
        <f>H32</f>
        <v>8</v>
      </c>
      <c r="Z32" s="91">
        <f>I32</f>
        <v>0</v>
      </c>
      <c r="AA32" s="91">
        <f>K32</f>
        <v>0</v>
      </c>
      <c r="AB32" s="91">
        <f t="shared" si="44"/>
        <v>0</v>
      </c>
      <c r="AC32" s="4" t="str">
        <f t="shared" si="44"/>
        <v/>
      </c>
      <c r="AD32" s="92">
        <f t="shared" si="44"/>
        <v>0</v>
      </c>
      <c r="AE32" s="80" t="str">
        <f>S32</f>
        <v>복</v>
      </c>
      <c r="AF32" s="80" t="str">
        <f>Q32&amp;"/"&amp;R32</f>
        <v>2/1</v>
      </c>
      <c r="AH32" s="20" t="str">
        <f t="shared" si="1"/>
        <v>스카이타운</v>
      </c>
      <c r="AI32" s="88">
        <f t="shared" si="0"/>
        <v>16</v>
      </c>
      <c r="AJ32" s="80" t="str">
        <f>IF(AI32="","",$AJ$2)</f>
        <v>A-</v>
      </c>
      <c r="AK32" s="80" t="s">
        <v>14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/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7" t="str">
        <f>$A$4&amp;" "&amp;A34&amp;"("&amp;B34&amp;","&amp;C34&amp;"^)"</f>
        <v>소룡동 소룡제이파크('06.06.,972^)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996</v>
      </c>
      <c r="B34" s="10" t="s">
        <v>1319</v>
      </c>
      <c r="C34" s="89">
        <v>972</v>
      </c>
      <c r="D34" s="87">
        <v>77.7</v>
      </c>
      <c r="E34" s="88">
        <v>23</v>
      </c>
      <c r="F34" s="87">
        <v>59.6</v>
      </c>
      <c r="G34" s="17">
        <v>18</v>
      </c>
      <c r="H34" s="89">
        <v>144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2</v>
      </c>
      <c r="R34" s="80">
        <v>1</v>
      </c>
      <c r="S34" s="80" t="s">
        <v>61</v>
      </c>
      <c r="T34" s="5" t="s">
        <v>83</v>
      </c>
      <c r="U34" s="9"/>
      <c r="W34" s="87">
        <f t="shared" ref="W34:X36" si="45">D34</f>
        <v>77.7</v>
      </c>
      <c r="X34" s="88">
        <f t="shared" si="45"/>
        <v>23</v>
      </c>
      <c r="Y34" s="93">
        <f t="shared" ref="Y34:Z36" si="46">H34</f>
        <v>144</v>
      </c>
      <c r="Z34" s="91">
        <f t="shared" si="46"/>
        <v>0</v>
      </c>
      <c r="AA34" s="91">
        <f>K34</f>
        <v>0</v>
      </c>
      <c r="AB34" s="91">
        <f t="shared" ref="AB34:AD36" si="47">M34</f>
        <v>0</v>
      </c>
      <c r="AC34" s="4" t="str">
        <f t="shared" si="47"/>
        <v/>
      </c>
      <c r="AD34" s="92">
        <f t="shared" si="47"/>
        <v>0</v>
      </c>
      <c r="AE34" s="80" t="str">
        <f>S34</f>
        <v>계</v>
      </c>
      <c r="AF34" s="80" t="str">
        <f>Q34&amp;"/"&amp;R34</f>
        <v>2/1</v>
      </c>
      <c r="AH34" s="20" t="str">
        <f t="shared" si="1"/>
        <v>소룡제이파크</v>
      </c>
      <c r="AI34" s="88">
        <f t="shared" si="0"/>
        <v>23</v>
      </c>
      <c r="AJ34" s="80" t="str">
        <f>IF(AI34="","",$AJ$2)</f>
        <v>A-</v>
      </c>
      <c r="AK34" s="80" t="s">
        <v>14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/>
      </c>
    </row>
    <row r="35" spans="1:48" x14ac:dyDescent="0.3">
      <c r="A35" s="9" t="s">
        <v>996</v>
      </c>
      <c r="B35" s="10" t="s">
        <v>1319</v>
      </c>
      <c r="C35" s="89">
        <v>972</v>
      </c>
      <c r="D35" s="87">
        <v>78.8</v>
      </c>
      <c r="E35" s="88">
        <v>24</v>
      </c>
      <c r="F35" s="87">
        <v>60</v>
      </c>
      <c r="G35" s="17">
        <v>18</v>
      </c>
      <c r="H35" s="89">
        <v>252</v>
      </c>
      <c r="I35" s="90">
        <v>10500</v>
      </c>
      <c r="J35" s="90" t="s">
        <v>70</v>
      </c>
      <c r="K35" s="90">
        <v>9000</v>
      </c>
      <c r="L35" s="90" t="s">
        <v>60</v>
      </c>
      <c r="M35" s="91">
        <f>I35-K35</f>
        <v>1500</v>
      </c>
      <c r="N35" s="4">
        <f>IF(ISERROR(K35/I35),"",K35/I35)</f>
        <v>0.8571428571428571</v>
      </c>
      <c r="O35" s="92">
        <f>I35/E35</f>
        <v>437.5</v>
      </c>
      <c r="P35" s="92">
        <f>K35/E35</f>
        <v>375</v>
      </c>
      <c r="Q35" s="80">
        <v>2</v>
      </c>
      <c r="R35" s="80">
        <v>1</v>
      </c>
      <c r="S35" s="80" t="s">
        <v>61</v>
      </c>
      <c r="T35" s="5" t="s">
        <v>133</v>
      </c>
      <c r="U35" s="9"/>
      <c r="W35" s="87">
        <f t="shared" si="45"/>
        <v>78.8</v>
      </c>
      <c r="X35" s="88">
        <f t="shared" si="45"/>
        <v>24</v>
      </c>
      <c r="Y35" s="93">
        <f t="shared" si="46"/>
        <v>252</v>
      </c>
      <c r="Z35" s="91">
        <f t="shared" si="46"/>
        <v>10500</v>
      </c>
      <c r="AA35" s="91">
        <f>K35</f>
        <v>9000</v>
      </c>
      <c r="AB35" s="91">
        <f t="shared" si="47"/>
        <v>1500</v>
      </c>
      <c r="AC35" s="4">
        <f t="shared" si="47"/>
        <v>0.8571428571428571</v>
      </c>
      <c r="AD35" s="92">
        <f t="shared" si="47"/>
        <v>437.5</v>
      </c>
      <c r="AE35" s="80" t="str">
        <f>S35</f>
        <v>계</v>
      </c>
      <c r="AF35" s="80" t="str">
        <f>Q35&amp;"/"&amp;R35</f>
        <v>2/1</v>
      </c>
      <c r="AH35" s="20" t="str">
        <f t="shared" si="1"/>
        <v>소룡제이파크</v>
      </c>
      <c r="AI35" s="88">
        <f t="shared" si="0"/>
        <v>24</v>
      </c>
      <c r="AJ35" s="80" t="str">
        <f>IF(AI35="","",$AJ$2)</f>
        <v>A-</v>
      </c>
      <c r="AK35" s="80" t="s">
        <v>14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>O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후보</v>
      </c>
    </row>
    <row r="36" spans="1:48" x14ac:dyDescent="0.3">
      <c r="A36" s="9" t="s">
        <v>996</v>
      </c>
      <c r="B36" s="10" t="s">
        <v>1319</v>
      </c>
      <c r="C36" s="89">
        <v>972</v>
      </c>
      <c r="D36" s="87">
        <v>106.3</v>
      </c>
      <c r="E36" s="88">
        <v>32</v>
      </c>
      <c r="F36" s="87">
        <v>84.5</v>
      </c>
      <c r="G36" s="17">
        <v>26</v>
      </c>
      <c r="H36" s="89">
        <v>576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2</v>
      </c>
      <c r="S36" s="80" t="s">
        <v>61</v>
      </c>
      <c r="T36" s="5">
        <v>106</v>
      </c>
      <c r="U36" s="9"/>
      <c r="W36" s="87">
        <f t="shared" si="45"/>
        <v>106.3</v>
      </c>
      <c r="X36" s="88">
        <f t="shared" si="45"/>
        <v>32</v>
      </c>
      <c r="Y36" s="93">
        <f t="shared" si="46"/>
        <v>576</v>
      </c>
      <c r="Z36" s="91">
        <f t="shared" si="46"/>
        <v>0</v>
      </c>
      <c r="AA36" s="91">
        <f>K36</f>
        <v>0</v>
      </c>
      <c r="AB36" s="91">
        <f t="shared" si="47"/>
        <v>0</v>
      </c>
      <c r="AC36" s="4" t="str">
        <f t="shared" si="47"/>
        <v/>
      </c>
      <c r="AD36" s="92">
        <f t="shared" si="47"/>
        <v>0</v>
      </c>
      <c r="AE36" s="80" t="str">
        <f>S36</f>
        <v>계</v>
      </c>
      <c r="AF36" s="80" t="str">
        <f>Q36&amp;"/"&amp;R36</f>
        <v>3/2</v>
      </c>
      <c r="AH36" s="20" t="str">
        <f t="shared" si="1"/>
        <v>소룡제이파크</v>
      </c>
      <c r="AI36" s="88">
        <f t="shared" si="0"/>
        <v>32</v>
      </c>
      <c r="AJ36" s="80" t="str">
        <f>IF(AI36="","",$AJ$2)</f>
        <v>A-</v>
      </c>
      <c r="AK36" s="80" t="s">
        <v>14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7" t="str">
        <f>$A$4&amp;" "&amp;A38&amp;"("&amp;B38&amp;","&amp;C38&amp;"^)"</f>
        <v>소룡동 신도시('01.12.,720^)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12" t="str">
        <f t="shared" si="0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x14ac:dyDescent="0.3">
      <c r="A38" s="9" t="s">
        <v>1004</v>
      </c>
      <c r="B38" s="10" t="s">
        <v>1340</v>
      </c>
      <c r="C38" s="89">
        <v>720</v>
      </c>
      <c r="D38" s="87">
        <v>63</v>
      </c>
      <c r="E38" s="88">
        <v>19</v>
      </c>
      <c r="F38" s="87">
        <v>45.4</v>
      </c>
      <c r="G38" s="17">
        <v>14</v>
      </c>
      <c r="H38" s="89">
        <v>416</v>
      </c>
      <c r="I38" s="90">
        <v>4700</v>
      </c>
      <c r="J38" s="90" t="s">
        <v>88</v>
      </c>
      <c r="K38" s="90"/>
      <c r="L38" s="90"/>
      <c r="M38" s="91">
        <f>I38-K38</f>
        <v>4700</v>
      </c>
      <c r="N38" s="4">
        <f>IF(ISERROR(K38/I38),"",K38/I38)</f>
        <v>0</v>
      </c>
      <c r="O38" s="92">
        <f>I38/E38</f>
        <v>247.36842105263159</v>
      </c>
      <c r="P38" s="92">
        <f>K38/E38</f>
        <v>0</v>
      </c>
      <c r="Q38" s="80">
        <v>2</v>
      </c>
      <c r="R38" s="80">
        <v>1</v>
      </c>
      <c r="S38" s="80" t="s">
        <v>76</v>
      </c>
      <c r="T38" s="5" t="s">
        <v>138</v>
      </c>
      <c r="U38" s="9"/>
      <c r="W38" s="87">
        <f>D38</f>
        <v>63</v>
      </c>
      <c r="X38" s="88">
        <f>E38</f>
        <v>19</v>
      </c>
      <c r="Y38" s="93">
        <f>H38</f>
        <v>416</v>
      </c>
      <c r="Z38" s="91">
        <f>I38</f>
        <v>4700</v>
      </c>
      <c r="AA38" s="91">
        <f>K38</f>
        <v>0</v>
      </c>
      <c r="AB38" s="91">
        <f t="shared" ref="AB38:AD39" si="48">M38</f>
        <v>4700</v>
      </c>
      <c r="AC38" s="4">
        <f t="shared" si="48"/>
        <v>0</v>
      </c>
      <c r="AD38" s="92">
        <f t="shared" si="48"/>
        <v>247.36842105263159</v>
      </c>
      <c r="AE38" s="80" t="str">
        <f>S38</f>
        <v>복</v>
      </c>
      <c r="AF38" s="80" t="str">
        <f>Q38&amp;"/"&amp;R38</f>
        <v>2/1</v>
      </c>
      <c r="AH38" s="20" t="str">
        <f t="shared" si="1"/>
        <v>신도시</v>
      </c>
      <c r="AI38" s="88">
        <f t="shared" si="0"/>
        <v>19</v>
      </c>
      <c r="AJ38" s="80" t="str">
        <f>IF(AI38="","",$AJ$2)</f>
        <v>A-</v>
      </c>
      <c r="AK38" s="80" t="s">
        <v>14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x14ac:dyDescent="0.3">
      <c r="A39" s="9" t="s">
        <v>1004</v>
      </c>
      <c r="B39" s="10" t="s">
        <v>1340</v>
      </c>
      <c r="C39" s="89">
        <v>720</v>
      </c>
      <c r="D39" s="87">
        <v>63.6</v>
      </c>
      <c r="E39" s="88">
        <v>19</v>
      </c>
      <c r="F39" s="87">
        <v>46.5</v>
      </c>
      <c r="G39" s="17">
        <v>14</v>
      </c>
      <c r="H39" s="89">
        <v>304</v>
      </c>
      <c r="I39" s="90">
        <v>4500</v>
      </c>
      <c r="J39" s="90" t="s">
        <v>111</v>
      </c>
      <c r="K39" s="90"/>
      <c r="L39" s="90"/>
      <c r="M39" s="91">
        <f>I39-K39</f>
        <v>4500</v>
      </c>
      <c r="N39" s="4">
        <f>IF(ISERROR(K39/I39),"",K39/I39)</f>
        <v>0</v>
      </c>
      <c r="O39" s="92">
        <f>I39/E39</f>
        <v>236.84210526315789</v>
      </c>
      <c r="P39" s="92">
        <f>K39/E39</f>
        <v>0</v>
      </c>
      <c r="Q39" s="80">
        <v>2</v>
      </c>
      <c r="R39" s="80">
        <v>1</v>
      </c>
      <c r="S39" s="80" t="s">
        <v>76</v>
      </c>
      <c r="T39" s="5" t="s">
        <v>634</v>
      </c>
      <c r="U39" s="9"/>
      <c r="W39" s="87">
        <f>D39</f>
        <v>63.6</v>
      </c>
      <c r="X39" s="88">
        <f>E39</f>
        <v>19</v>
      </c>
      <c r="Y39" s="93">
        <f>H39</f>
        <v>304</v>
      </c>
      <c r="Z39" s="91">
        <f>I39</f>
        <v>4500</v>
      </c>
      <c r="AA39" s="91">
        <f>K39</f>
        <v>0</v>
      </c>
      <c r="AB39" s="91">
        <f t="shared" si="48"/>
        <v>4500</v>
      </c>
      <c r="AC39" s="4">
        <f t="shared" si="48"/>
        <v>0</v>
      </c>
      <c r="AD39" s="92">
        <f t="shared" si="48"/>
        <v>236.84210526315789</v>
      </c>
      <c r="AE39" s="80" t="str">
        <f>S39</f>
        <v>복</v>
      </c>
      <c r="AF39" s="80" t="str">
        <f>Q39&amp;"/"&amp;R39</f>
        <v>2/1</v>
      </c>
      <c r="AH39" s="20" t="str">
        <f t="shared" si="1"/>
        <v>신도시</v>
      </c>
      <c r="AI39" s="88">
        <f t="shared" si="0"/>
        <v>19</v>
      </c>
      <c r="AJ39" s="80" t="str">
        <f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7" t="str">
        <f>$A$4&amp;" "&amp;A41&amp;"("&amp;B41&amp;","&amp;C41&amp;"^)"</f>
        <v>소룡동 이화('92.02.,204^)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1009</v>
      </c>
      <c r="B41" s="10" t="s">
        <v>1341</v>
      </c>
      <c r="C41" s="89">
        <v>204</v>
      </c>
      <c r="D41" s="87">
        <v>58.6</v>
      </c>
      <c r="E41" s="88">
        <v>18</v>
      </c>
      <c r="F41" s="87">
        <v>44.8</v>
      </c>
      <c r="G41" s="17">
        <v>14</v>
      </c>
      <c r="H41" s="89">
        <v>60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2</v>
      </c>
      <c r="R41" s="80">
        <v>1</v>
      </c>
      <c r="S41" s="80" t="s">
        <v>61</v>
      </c>
      <c r="T41" s="5">
        <v>58</v>
      </c>
      <c r="U41" s="9"/>
      <c r="W41" s="87">
        <f t="shared" ref="W41:X43" si="49">D41</f>
        <v>58.6</v>
      </c>
      <c r="X41" s="88">
        <f t="shared" si="49"/>
        <v>18</v>
      </c>
      <c r="Y41" s="93">
        <f t="shared" ref="Y41:Z43" si="50">H41</f>
        <v>60</v>
      </c>
      <c r="Z41" s="91">
        <f t="shared" si="50"/>
        <v>0</v>
      </c>
      <c r="AA41" s="91">
        <f>K41</f>
        <v>0</v>
      </c>
      <c r="AB41" s="91">
        <f t="shared" ref="AB41:AD43" si="51">M41</f>
        <v>0</v>
      </c>
      <c r="AC41" s="4" t="str">
        <f t="shared" si="51"/>
        <v/>
      </c>
      <c r="AD41" s="92">
        <f t="shared" si="51"/>
        <v>0</v>
      </c>
      <c r="AE41" s="80" t="str">
        <f>S41</f>
        <v>계</v>
      </c>
      <c r="AF41" s="80" t="str">
        <f>Q41&amp;"/"&amp;R41</f>
        <v>2/1</v>
      </c>
      <c r="AH41" s="20" t="str">
        <f t="shared" si="1"/>
        <v>이화</v>
      </c>
      <c r="AI41" s="88">
        <f t="shared" si="0"/>
        <v>18</v>
      </c>
      <c r="AJ41" s="80" t="str">
        <f>IF(AI41="","",$AJ$2)</f>
        <v>A-</v>
      </c>
      <c r="AK41" s="80" t="s">
        <v>14</v>
      </c>
      <c r="AL41" s="80" t="s">
        <v>63</v>
      </c>
      <c r="AM41" s="80" t="s">
        <v>64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X</v>
      </c>
      <c r="AV41" s="80" t="str">
        <f>IF(AO41="","",IF(AND(AO41="O",AP41="O",AR41="O",AT41="O",AU41="O"),"후보","X"))</f>
        <v/>
      </c>
    </row>
    <row r="42" spans="1:48" x14ac:dyDescent="0.3">
      <c r="A42" s="9" t="s">
        <v>1009</v>
      </c>
      <c r="B42" s="10" t="s">
        <v>1341</v>
      </c>
      <c r="C42" s="89">
        <v>204</v>
      </c>
      <c r="D42" s="87">
        <v>69.3</v>
      </c>
      <c r="E42" s="88">
        <v>21</v>
      </c>
      <c r="F42" s="87">
        <v>53.9</v>
      </c>
      <c r="G42" s="17">
        <v>16</v>
      </c>
      <c r="H42" s="89">
        <v>132</v>
      </c>
      <c r="I42" s="90"/>
      <c r="J42" s="90"/>
      <c r="K42" s="90"/>
      <c r="L42" s="90"/>
      <c r="M42" s="91">
        <f>I42-K42</f>
        <v>0</v>
      </c>
      <c r="N42" s="4" t="str">
        <f>IF(ISERROR(K42/I42),"",K42/I42)</f>
        <v/>
      </c>
      <c r="O42" s="92">
        <f>I42/E42</f>
        <v>0</v>
      </c>
      <c r="P42" s="92">
        <f>K42/E42</f>
        <v>0</v>
      </c>
      <c r="Q42" s="80">
        <v>3</v>
      </c>
      <c r="R42" s="80">
        <v>1</v>
      </c>
      <c r="S42" s="80" t="s">
        <v>61</v>
      </c>
      <c r="T42" s="5">
        <v>69</v>
      </c>
      <c r="U42" s="9"/>
      <c r="W42" s="87">
        <f t="shared" si="49"/>
        <v>69.3</v>
      </c>
      <c r="X42" s="88">
        <f t="shared" si="49"/>
        <v>21</v>
      </c>
      <c r="Y42" s="93">
        <f t="shared" si="50"/>
        <v>132</v>
      </c>
      <c r="Z42" s="91">
        <f t="shared" si="50"/>
        <v>0</v>
      </c>
      <c r="AA42" s="91">
        <f>K42</f>
        <v>0</v>
      </c>
      <c r="AB42" s="91">
        <f t="shared" si="51"/>
        <v>0</v>
      </c>
      <c r="AC42" s="4" t="str">
        <f t="shared" si="51"/>
        <v/>
      </c>
      <c r="AD42" s="92">
        <f t="shared" si="51"/>
        <v>0</v>
      </c>
      <c r="AE42" s="80" t="str">
        <f>S42</f>
        <v>계</v>
      </c>
      <c r="AF42" s="80" t="str">
        <f>Q42&amp;"/"&amp;R42</f>
        <v>3/1</v>
      </c>
      <c r="AH42" s="20" t="str">
        <f t="shared" si="1"/>
        <v>이화</v>
      </c>
      <c r="AI42" s="88">
        <f t="shared" si="0"/>
        <v>21</v>
      </c>
      <c r="AJ42" s="80" t="str">
        <f>IF(AI42="","",$AJ$2)</f>
        <v>A-</v>
      </c>
      <c r="AK42" s="80" t="s">
        <v>14</v>
      </c>
      <c r="AL42" s="80" t="s">
        <v>63</v>
      </c>
      <c r="AM42" s="80" t="s">
        <v>64</v>
      </c>
      <c r="AN42" s="80" t="str">
        <f>IF(AI42="","",$AN$2)</f>
        <v>C</v>
      </c>
      <c r="AO42" s="80" t="str">
        <f>IF(N42="","",IF(N42&gt;=$AO$1/100,"O","X"))</f>
        <v/>
      </c>
      <c r="AP42" s="80" t="str">
        <f>IF(I42="","",IF(I42&lt;=$AP$1,"O","X"))</f>
        <v/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X</v>
      </c>
      <c r="AV42" s="80" t="str">
        <f>IF(AO42="","",IF(AND(AO42="O",AP42="O",AR42="O",AT42="O",AU42="O"),"후보","X"))</f>
        <v/>
      </c>
    </row>
    <row r="43" spans="1:48" x14ac:dyDescent="0.3">
      <c r="A43" s="9" t="s">
        <v>1009</v>
      </c>
      <c r="B43" s="10" t="s">
        <v>1341</v>
      </c>
      <c r="C43" s="89">
        <v>204</v>
      </c>
      <c r="D43" s="87">
        <v>75.099999999999994</v>
      </c>
      <c r="E43" s="88">
        <v>23</v>
      </c>
      <c r="F43" s="87">
        <v>58.9</v>
      </c>
      <c r="G43" s="17">
        <v>18</v>
      </c>
      <c r="H43" s="89">
        <v>12</v>
      </c>
      <c r="I43" s="90"/>
      <c r="J43" s="90"/>
      <c r="K43" s="90"/>
      <c r="L43" s="90"/>
      <c r="M43" s="91">
        <f>I43-K43</f>
        <v>0</v>
      </c>
      <c r="N43" s="4" t="str">
        <f>IF(ISERROR(K43/I43),"",K43/I43)</f>
        <v/>
      </c>
      <c r="O43" s="92">
        <f>I43/E43</f>
        <v>0</v>
      </c>
      <c r="P43" s="92">
        <f>K43/E43</f>
        <v>0</v>
      </c>
      <c r="Q43" s="80">
        <v>3</v>
      </c>
      <c r="R43" s="80">
        <v>1</v>
      </c>
      <c r="S43" s="80" t="s">
        <v>61</v>
      </c>
      <c r="T43" s="5">
        <v>75</v>
      </c>
      <c r="U43" s="9"/>
      <c r="W43" s="87">
        <f t="shared" si="49"/>
        <v>75.099999999999994</v>
      </c>
      <c r="X43" s="88">
        <f t="shared" si="49"/>
        <v>23</v>
      </c>
      <c r="Y43" s="93">
        <f t="shared" si="50"/>
        <v>12</v>
      </c>
      <c r="Z43" s="91">
        <f t="shared" si="50"/>
        <v>0</v>
      </c>
      <c r="AA43" s="91">
        <f>K43</f>
        <v>0</v>
      </c>
      <c r="AB43" s="91">
        <f t="shared" si="51"/>
        <v>0</v>
      </c>
      <c r="AC43" s="4" t="str">
        <f t="shared" si="51"/>
        <v/>
      </c>
      <c r="AD43" s="92">
        <f t="shared" si="51"/>
        <v>0</v>
      </c>
      <c r="AE43" s="80" t="str">
        <f>S43</f>
        <v>계</v>
      </c>
      <c r="AF43" s="80" t="str">
        <f>Q43&amp;"/"&amp;R43</f>
        <v>3/1</v>
      </c>
      <c r="AH43" s="20" t="str">
        <f t="shared" si="1"/>
        <v>이화</v>
      </c>
      <c r="AI43" s="88">
        <f t="shared" si="0"/>
        <v>23</v>
      </c>
      <c r="AJ43" s="80" t="str">
        <f>IF(AI43="","",$AJ$2)</f>
        <v>A-</v>
      </c>
      <c r="AK43" s="80" t="s">
        <v>14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/>
      </c>
      <c r="AP43" s="80" t="str">
        <f>IF(I43="","",IF(I43&lt;=$AP$1,"O","X"))</f>
        <v/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X</v>
      </c>
      <c r="AV43" s="80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2765" priority="573">
      <formula>AV4="X"</formula>
    </cfRule>
    <cfRule type="expression" dxfId="2764" priority="574">
      <formula>AV4="후보"</formula>
    </cfRule>
  </conditionalFormatting>
  <conditionalFormatting sqref="AC1:AC2 AC4:AC6 N4:N5">
    <cfRule type="cellIs" dxfId="2763" priority="571" operator="greaterThan">
      <formula>0.9</formula>
    </cfRule>
    <cfRule type="cellIs" dxfId="2762" priority="572" operator="greaterThan">
      <formula>0.85</formula>
    </cfRule>
  </conditionalFormatting>
  <conditionalFormatting sqref="N1:N2">
    <cfRule type="cellIs" dxfId="2761" priority="569" operator="greaterThan">
      <formula>0.9</formula>
    </cfRule>
    <cfRule type="cellIs" dxfId="2760" priority="570" operator="greaterThan">
      <formula>0.85</formula>
    </cfRule>
  </conditionalFormatting>
  <conditionalFormatting sqref="N6">
    <cfRule type="cellIs" dxfId="2759" priority="567" operator="greaterThan">
      <formula>0.9</formula>
    </cfRule>
    <cfRule type="cellIs" dxfId="2758" priority="568" operator="greaterThan">
      <formula>0.85</formula>
    </cfRule>
  </conditionalFormatting>
  <conditionalFormatting sqref="E6">
    <cfRule type="expression" dxfId="2757" priority="563">
      <formula>AND(IF(OR($Q6=1,$Q6=2),1,0),IF($X6&lt;=20,1,0))</formula>
    </cfRule>
    <cfRule type="expression" dxfId="2756" priority="564">
      <formula>AND(IF($Q6=2,1,0),IF($X6&lt;30,1,0))</formula>
    </cfRule>
    <cfRule type="expression" dxfId="2755" priority="565">
      <formula>AND(IF($Q6=3,1,0),IF($X6&lt;30,1,0))</formula>
    </cfRule>
    <cfRule type="expression" dxfId="2754" priority="566">
      <formula>AND(IF($Q6=3,1,IF($Q6=4,1,0)),IF($F6&lt;=85,1,0))</formula>
    </cfRule>
  </conditionalFormatting>
  <conditionalFormatting sqref="X6">
    <cfRule type="expression" dxfId="2753" priority="559">
      <formula>AND(IF(OR($Q6=1,$Q6=2),1,0),IF($X6&lt;=20,1,0))</formula>
    </cfRule>
    <cfRule type="expression" dxfId="2752" priority="560">
      <formula>AND(IF($Q6=2,1,0),IF($X6&lt;30,1,0))</formula>
    </cfRule>
    <cfRule type="expression" dxfId="2751" priority="561">
      <formula>AND(IF($Q6=3,1,0),IF($X6&lt;30,1,0))</formula>
    </cfRule>
    <cfRule type="expression" dxfId="2750" priority="562">
      <formula>AND(IF($Q6=3,1,IF($Q6=4,1,0)),IF($F6&lt;=85,1,0))</formula>
    </cfRule>
  </conditionalFormatting>
  <conditionalFormatting sqref="AI6">
    <cfRule type="expression" dxfId="2749" priority="555">
      <formula>AND(IF(OR($Q6=1,$Q6=2),1,0),IF($X6&lt;=20,1,0))</formula>
    </cfRule>
    <cfRule type="expression" dxfId="2748" priority="556">
      <formula>AND(IF($Q6=2,1,0),IF($X6&lt;30,1,0))</formula>
    </cfRule>
    <cfRule type="expression" dxfId="2747" priority="557">
      <formula>AND(IF($Q6=3,1,0),IF($X6&lt;30,1,0))</formula>
    </cfRule>
    <cfRule type="expression" dxfId="2746" priority="558">
      <formula>AND(IF($Q6=3,1,IF($Q6=4,1,0)),IF($F6&lt;=85,1,0))</formula>
    </cfRule>
  </conditionalFormatting>
  <conditionalFormatting sqref="AV7">
    <cfRule type="expression" dxfId="2745" priority="553">
      <formula>AV7="X"</formula>
    </cfRule>
    <cfRule type="expression" dxfId="2744" priority="554">
      <formula>AV7="후보"</formula>
    </cfRule>
  </conditionalFormatting>
  <conditionalFormatting sqref="AC7">
    <cfRule type="cellIs" dxfId="2743" priority="551" operator="greaterThan">
      <formula>0.9</formula>
    </cfRule>
    <cfRule type="cellIs" dxfId="2742" priority="552" operator="greaterThan">
      <formula>0.85</formula>
    </cfRule>
  </conditionalFormatting>
  <conditionalFormatting sqref="N7">
    <cfRule type="cellIs" dxfId="2741" priority="549" operator="greaterThan">
      <formula>0.9</formula>
    </cfRule>
    <cfRule type="cellIs" dxfId="2740" priority="550" operator="greaterThan">
      <formula>0.85</formula>
    </cfRule>
  </conditionalFormatting>
  <conditionalFormatting sqref="E7">
    <cfRule type="expression" dxfId="2739" priority="545">
      <formula>AND(IF(OR($Q7=1,$Q7=2),1,0),IF($X7&lt;=20,1,0))</formula>
    </cfRule>
    <cfRule type="expression" dxfId="2738" priority="546">
      <formula>AND(IF($Q7=2,1,0),IF($X7&lt;30,1,0))</formula>
    </cfRule>
    <cfRule type="expression" dxfId="2737" priority="547">
      <formula>AND(IF($Q7=3,1,0),IF($X7&lt;30,1,0))</formula>
    </cfRule>
    <cfRule type="expression" dxfId="2736" priority="548">
      <formula>AND(IF($Q7=3,1,IF($Q7=4,1,0)),IF($F7&lt;=85,1,0))</formula>
    </cfRule>
  </conditionalFormatting>
  <conditionalFormatting sqref="X7">
    <cfRule type="expression" dxfId="2735" priority="541">
      <formula>AND(IF(OR($Q7=1,$Q7=2),1,0),IF($X7&lt;=20,1,0))</formula>
    </cfRule>
    <cfRule type="expression" dxfId="2734" priority="542">
      <formula>AND(IF($Q7=2,1,0),IF($X7&lt;30,1,0))</formula>
    </cfRule>
    <cfRule type="expression" dxfId="2733" priority="543">
      <formula>AND(IF($Q7=3,1,0),IF($X7&lt;30,1,0))</formula>
    </cfRule>
    <cfRule type="expression" dxfId="2732" priority="544">
      <formula>AND(IF($Q7=3,1,IF($Q7=4,1,0)),IF($F7&lt;=85,1,0))</formula>
    </cfRule>
  </conditionalFormatting>
  <conditionalFormatting sqref="AI7">
    <cfRule type="expression" dxfId="2731" priority="537">
      <formula>AND(IF(OR($Q7=1,$Q7=2),1,0),IF($X7&lt;=20,1,0))</formula>
    </cfRule>
    <cfRule type="expression" dxfId="2730" priority="538">
      <formula>AND(IF($Q7=2,1,0),IF($X7&lt;30,1,0))</formula>
    </cfRule>
    <cfRule type="expression" dxfId="2729" priority="539">
      <formula>AND(IF($Q7=3,1,0),IF($X7&lt;30,1,0))</formula>
    </cfRule>
    <cfRule type="expression" dxfId="2728" priority="540">
      <formula>AND(IF($Q7=3,1,IF($Q7=4,1,0)),IF($F7&lt;=85,1,0))</formula>
    </cfRule>
  </conditionalFormatting>
  <conditionalFormatting sqref="AV8">
    <cfRule type="expression" dxfId="2727" priority="535">
      <formula>AV8="X"</formula>
    </cfRule>
    <cfRule type="expression" dxfId="2726" priority="536">
      <formula>AV8="후보"</formula>
    </cfRule>
  </conditionalFormatting>
  <conditionalFormatting sqref="AC8 N8">
    <cfRule type="cellIs" dxfId="2725" priority="533" operator="greaterThan">
      <formula>0.9</formula>
    </cfRule>
    <cfRule type="cellIs" dxfId="2724" priority="534" operator="greaterThan">
      <formula>0.85</formula>
    </cfRule>
  </conditionalFormatting>
  <conditionalFormatting sqref="AV9">
    <cfRule type="expression" dxfId="2723" priority="531">
      <formula>AV9="X"</formula>
    </cfRule>
    <cfRule type="expression" dxfId="2722" priority="532">
      <formula>AV9="후보"</formula>
    </cfRule>
  </conditionalFormatting>
  <conditionalFormatting sqref="AC9">
    <cfRule type="cellIs" dxfId="2721" priority="529" operator="greaterThan">
      <formula>0.9</formula>
    </cfRule>
    <cfRule type="cellIs" dxfId="2720" priority="530" operator="greaterThan">
      <formula>0.85</formula>
    </cfRule>
  </conditionalFormatting>
  <conditionalFormatting sqref="N9">
    <cfRule type="cellIs" dxfId="2719" priority="527" operator="greaterThan">
      <formula>0.9</formula>
    </cfRule>
    <cfRule type="cellIs" dxfId="2718" priority="528" operator="greaterThan">
      <formula>0.85</formula>
    </cfRule>
  </conditionalFormatting>
  <conditionalFormatting sqref="E9">
    <cfRule type="expression" dxfId="2717" priority="523">
      <formula>AND(IF(OR($Q9=1,$Q9=2),1,0),IF($X9&lt;=20,1,0))</formula>
    </cfRule>
    <cfRule type="expression" dxfId="2716" priority="524">
      <formula>AND(IF($Q9=2,1,0),IF($X9&lt;30,1,0))</formula>
    </cfRule>
    <cfRule type="expression" dxfId="2715" priority="525">
      <formula>AND(IF($Q9=3,1,0),IF($X9&lt;30,1,0))</formula>
    </cfRule>
    <cfRule type="expression" dxfId="2714" priority="526">
      <formula>AND(IF($Q9=3,1,IF($Q9=4,1,0)),IF($F9&lt;=85,1,0))</formula>
    </cfRule>
  </conditionalFormatting>
  <conditionalFormatting sqref="X9">
    <cfRule type="expression" dxfId="2713" priority="519">
      <formula>AND(IF(OR($Q9=1,$Q9=2),1,0),IF($X9&lt;=20,1,0))</formula>
    </cfRule>
    <cfRule type="expression" dxfId="2712" priority="520">
      <formula>AND(IF($Q9=2,1,0),IF($X9&lt;30,1,0))</formula>
    </cfRule>
    <cfRule type="expression" dxfId="2711" priority="521">
      <formula>AND(IF($Q9=3,1,0),IF($X9&lt;30,1,0))</formula>
    </cfRule>
    <cfRule type="expression" dxfId="2710" priority="522">
      <formula>AND(IF($Q9=3,1,IF($Q9=4,1,0)),IF($F9&lt;=85,1,0))</formula>
    </cfRule>
  </conditionalFormatting>
  <conditionalFormatting sqref="AI9">
    <cfRule type="expression" dxfId="2709" priority="515">
      <formula>AND(IF(OR($Q9=1,$Q9=2),1,0),IF($X9&lt;=20,1,0))</formula>
    </cfRule>
    <cfRule type="expression" dxfId="2708" priority="516">
      <formula>AND(IF($Q9=2,1,0),IF($X9&lt;30,1,0))</formula>
    </cfRule>
    <cfRule type="expression" dxfId="2707" priority="517">
      <formula>AND(IF($Q9=3,1,0),IF($X9&lt;30,1,0))</formula>
    </cfRule>
    <cfRule type="expression" dxfId="2706" priority="518">
      <formula>AND(IF($Q9=3,1,IF($Q9=4,1,0)),IF($F9&lt;=85,1,0))</formula>
    </cfRule>
  </conditionalFormatting>
  <conditionalFormatting sqref="AV10">
    <cfRule type="expression" dxfId="2705" priority="513">
      <formula>AV10="X"</formula>
    </cfRule>
    <cfRule type="expression" dxfId="2704" priority="514">
      <formula>AV10="후보"</formula>
    </cfRule>
  </conditionalFormatting>
  <conditionalFormatting sqref="AC10 N10">
    <cfRule type="cellIs" dxfId="2703" priority="511" operator="greaterThan">
      <formula>0.9</formula>
    </cfRule>
    <cfRule type="cellIs" dxfId="2702" priority="512" operator="greaterThan">
      <formula>0.85</formula>
    </cfRule>
  </conditionalFormatting>
  <conditionalFormatting sqref="AV11">
    <cfRule type="expression" dxfId="2701" priority="509">
      <formula>AV11="X"</formula>
    </cfRule>
    <cfRule type="expression" dxfId="2700" priority="510">
      <formula>AV11="후보"</formula>
    </cfRule>
  </conditionalFormatting>
  <conditionalFormatting sqref="AC11">
    <cfRule type="cellIs" dxfId="2699" priority="507" operator="greaterThan">
      <formula>0.9</formula>
    </cfRule>
    <cfRule type="cellIs" dxfId="2698" priority="508" operator="greaterThan">
      <formula>0.85</formula>
    </cfRule>
  </conditionalFormatting>
  <conditionalFormatting sqref="N11">
    <cfRule type="cellIs" dxfId="2697" priority="505" operator="greaterThan">
      <formula>0.9</formula>
    </cfRule>
    <cfRule type="cellIs" dxfId="2696" priority="506" operator="greaterThan">
      <formula>0.85</formula>
    </cfRule>
  </conditionalFormatting>
  <conditionalFormatting sqref="E11">
    <cfRule type="expression" dxfId="2695" priority="501">
      <formula>AND(IF(OR($Q11=1,$Q11=2),1,0),IF($X11&lt;=20,1,0))</formula>
    </cfRule>
    <cfRule type="expression" dxfId="2694" priority="502">
      <formula>AND(IF($Q11=2,1,0),IF($X11&lt;30,1,0))</formula>
    </cfRule>
    <cfRule type="expression" dxfId="2693" priority="503">
      <formula>AND(IF($Q11=3,1,0),IF($X11&lt;30,1,0))</formula>
    </cfRule>
    <cfRule type="expression" dxfId="2692" priority="504">
      <formula>AND(IF($Q11=3,1,IF($Q11=4,1,0)),IF($F11&lt;=85,1,0))</formula>
    </cfRule>
  </conditionalFormatting>
  <conditionalFormatting sqref="X11">
    <cfRule type="expression" dxfId="2691" priority="497">
      <formula>AND(IF(OR($Q11=1,$Q11=2),1,0),IF($X11&lt;=20,1,0))</formula>
    </cfRule>
    <cfRule type="expression" dxfId="2690" priority="498">
      <formula>AND(IF($Q11=2,1,0),IF($X11&lt;30,1,0))</formula>
    </cfRule>
    <cfRule type="expression" dxfId="2689" priority="499">
      <formula>AND(IF($Q11=3,1,0),IF($X11&lt;30,1,0))</formula>
    </cfRule>
    <cfRule type="expression" dxfId="2688" priority="500">
      <formula>AND(IF($Q11=3,1,IF($Q11=4,1,0)),IF($F11&lt;=85,1,0))</formula>
    </cfRule>
  </conditionalFormatting>
  <conditionalFormatting sqref="AI11">
    <cfRule type="expression" dxfId="2687" priority="493">
      <formula>AND(IF(OR($Q11=1,$Q11=2),1,0),IF($X11&lt;=20,1,0))</formula>
    </cfRule>
    <cfRule type="expression" dxfId="2686" priority="494">
      <formula>AND(IF($Q11=2,1,0),IF($X11&lt;30,1,0))</formula>
    </cfRule>
    <cfRule type="expression" dxfId="2685" priority="495">
      <formula>AND(IF($Q11=3,1,0),IF($X11&lt;30,1,0))</formula>
    </cfRule>
    <cfRule type="expression" dxfId="2684" priority="496">
      <formula>AND(IF($Q11=3,1,IF($Q11=4,1,0)),IF($F11&lt;=85,1,0))</formula>
    </cfRule>
  </conditionalFormatting>
  <conditionalFormatting sqref="AV12">
    <cfRule type="expression" dxfId="2683" priority="491">
      <formula>AV12="X"</formula>
    </cfRule>
    <cfRule type="expression" dxfId="2682" priority="492">
      <formula>AV12="후보"</formula>
    </cfRule>
  </conditionalFormatting>
  <conditionalFormatting sqref="AC12">
    <cfRule type="cellIs" dxfId="2681" priority="489" operator="greaterThan">
      <formula>0.9</formula>
    </cfRule>
    <cfRule type="cellIs" dxfId="2680" priority="490" operator="greaterThan">
      <formula>0.85</formula>
    </cfRule>
  </conditionalFormatting>
  <conditionalFormatting sqref="N12">
    <cfRule type="cellIs" dxfId="2679" priority="487" operator="greaterThan">
      <formula>0.9</formula>
    </cfRule>
    <cfRule type="cellIs" dxfId="2678" priority="488" operator="greaterThan">
      <formula>0.85</formula>
    </cfRule>
  </conditionalFormatting>
  <conditionalFormatting sqref="E12">
    <cfRule type="expression" dxfId="2677" priority="483">
      <formula>AND(IF(OR($Q12=1,$Q12=2),1,0),IF($X12&lt;=20,1,0))</formula>
    </cfRule>
    <cfRule type="expression" dxfId="2676" priority="484">
      <formula>AND(IF($Q12=2,1,0),IF($X12&lt;30,1,0))</formula>
    </cfRule>
    <cfRule type="expression" dxfId="2675" priority="485">
      <formula>AND(IF($Q12=3,1,0),IF($X12&lt;30,1,0))</formula>
    </cfRule>
    <cfRule type="expression" dxfId="2674" priority="486">
      <formula>AND(IF($Q12=3,1,IF($Q12=4,1,0)),IF($F12&lt;=85,1,0))</formula>
    </cfRule>
  </conditionalFormatting>
  <conditionalFormatting sqref="X12">
    <cfRule type="expression" dxfId="2673" priority="479">
      <formula>AND(IF(OR($Q12=1,$Q12=2),1,0),IF($X12&lt;=20,1,0))</formula>
    </cfRule>
    <cfRule type="expression" dxfId="2672" priority="480">
      <formula>AND(IF($Q12=2,1,0),IF($X12&lt;30,1,0))</formula>
    </cfRule>
    <cfRule type="expression" dxfId="2671" priority="481">
      <formula>AND(IF($Q12=3,1,0),IF($X12&lt;30,1,0))</formula>
    </cfRule>
    <cfRule type="expression" dxfId="2670" priority="482">
      <formula>AND(IF($Q12=3,1,IF($Q12=4,1,0)),IF($F12&lt;=85,1,0))</formula>
    </cfRule>
  </conditionalFormatting>
  <conditionalFormatting sqref="AI12">
    <cfRule type="expression" dxfId="2669" priority="475">
      <formula>AND(IF(OR($Q12=1,$Q12=2),1,0),IF($X12&lt;=20,1,0))</formula>
    </cfRule>
    <cfRule type="expression" dxfId="2668" priority="476">
      <formula>AND(IF($Q12=2,1,0),IF($X12&lt;30,1,0))</formula>
    </cfRule>
    <cfRule type="expression" dxfId="2667" priority="477">
      <formula>AND(IF($Q12=3,1,0),IF($X12&lt;30,1,0))</formula>
    </cfRule>
    <cfRule type="expression" dxfId="2666" priority="478">
      <formula>AND(IF($Q12=3,1,IF($Q12=4,1,0)),IF($F12&lt;=85,1,0))</formula>
    </cfRule>
  </conditionalFormatting>
  <conditionalFormatting sqref="AV13">
    <cfRule type="expression" dxfId="2665" priority="473">
      <formula>AV13="X"</formula>
    </cfRule>
    <cfRule type="expression" dxfId="2664" priority="474">
      <formula>AV13="후보"</formula>
    </cfRule>
  </conditionalFormatting>
  <conditionalFormatting sqref="AC13">
    <cfRule type="cellIs" dxfId="2663" priority="471" operator="greaterThan">
      <formula>0.9</formula>
    </cfRule>
    <cfRule type="cellIs" dxfId="2662" priority="472" operator="greaterThan">
      <formula>0.85</formula>
    </cfRule>
  </conditionalFormatting>
  <conditionalFormatting sqref="N13">
    <cfRule type="cellIs" dxfId="2661" priority="469" operator="greaterThan">
      <formula>0.9</formula>
    </cfRule>
    <cfRule type="cellIs" dxfId="2660" priority="470" operator="greaterThan">
      <formula>0.85</formula>
    </cfRule>
  </conditionalFormatting>
  <conditionalFormatting sqref="E13">
    <cfRule type="expression" dxfId="2659" priority="465">
      <formula>AND(IF(OR($Q13=1,$Q13=2),1,0),IF($X13&lt;=20,1,0))</formula>
    </cfRule>
    <cfRule type="expression" dxfId="2658" priority="466">
      <formula>AND(IF($Q13=2,1,0),IF($X13&lt;30,1,0))</formula>
    </cfRule>
    <cfRule type="expression" dxfId="2657" priority="467">
      <formula>AND(IF($Q13=3,1,0),IF($X13&lt;30,1,0))</formula>
    </cfRule>
    <cfRule type="expression" dxfId="2656" priority="468">
      <formula>AND(IF($Q13=3,1,IF($Q13=4,1,0)),IF($F13&lt;=85,1,0))</formula>
    </cfRule>
  </conditionalFormatting>
  <conditionalFormatting sqref="X13">
    <cfRule type="expression" dxfId="2655" priority="461">
      <formula>AND(IF(OR($Q13=1,$Q13=2),1,0),IF($X13&lt;=20,1,0))</formula>
    </cfRule>
    <cfRule type="expression" dxfId="2654" priority="462">
      <formula>AND(IF($Q13=2,1,0),IF($X13&lt;30,1,0))</formula>
    </cfRule>
    <cfRule type="expression" dxfId="2653" priority="463">
      <formula>AND(IF($Q13=3,1,0),IF($X13&lt;30,1,0))</formula>
    </cfRule>
    <cfRule type="expression" dxfId="2652" priority="464">
      <formula>AND(IF($Q13=3,1,IF($Q13=4,1,0)),IF($F13&lt;=85,1,0))</formula>
    </cfRule>
  </conditionalFormatting>
  <conditionalFormatting sqref="AI13">
    <cfRule type="expression" dxfId="2651" priority="457">
      <formula>AND(IF(OR($Q13=1,$Q13=2),1,0),IF($X13&lt;=20,1,0))</formula>
    </cfRule>
    <cfRule type="expression" dxfId="2650" priority="458">
      <formula>AND(IF($Q13=2,1,0),IF($X13&lt;30,1,0))</formula>
    </cfRule>
    <cfRule type="expression" dxfId="2649" priority="459">
      <formula>AND(IF($Q13=3,1,0),IF($X13&lt;30,1,0))</formula>
    </cfRule>
    <cfRule type="expression" dxfId="2648" priority="460">
      <formula>AND(IF($Q13=3,1,IF($Q13=4,1,0)),IF($F13&lt;=85,1,0))</formula>
    </cfRule>
  </conditionalFormatting>
  <conditionalFormatting sqref="AV14">
    <cfRule type="expression" dxfId="2647" priority="455">
      <formula>AV14="X"</formula>
    </cfRule>
    <cfRule type="expression" dxfId="2646" priority="456">
      <formula>AV14="후보"</formula>
    </cfRule>
  </conditionalFormatting>
  <conditionalFormatting sqref="AC14">
    <cfRule type="cellIs" dxfId="2645" priority="453" operator="greaterThan">
      <formula>0.9</formula>
    </cfRule>
    <cfRule type="cellIs" dxfId="2644" priority="454" operator="greaterThan">
      <formula>0.85</formula>
    </cfRule>
  </conditionalFormatting>
  <conditionalFormatting sqref="N14">
    <cfRule type="cellIs" dxfId="2643" priority="451" operator="greaterThan">
      <formula>0.9</formula>
    </cfRule>
    <cfRule type="cellIs" dxfId="2642" priority="452" operator="greaterThan">
      <formula>0.85</formula>
    </cfRule>
  </conditionalFormatting>
  <conditionalFormatting sqref="E14">
    <cfRule type="expression" dxfId="2641" priority="447">
      <formula>AND(IF(OR($Q14=1,$Q14=2),1,0),IF($X14&lt;=20,1,0))</formula>
    </cfRule>
    <cfRule type="expression" dxfId="2640" priority="448">
      <formula>AND(IF($Q14=2,1,0),IF($X14&lt;30,1,0))</formula>
    </cfRule>
    <cfRule type="expression" dxfId="2639" priority="449">
      <formula>AND(IF($Q14=3,1,0),IF($X14&lt;30,1,0))</formula>
    </cfRule>
    <cfRule type="expression" dxfId="2638" priority="450">
      <formula>AND(IF($Q14=3,1,IF($Q14=4,1,0)),IF($F14&lt;=85,1,0))</formula>
    </cfRule>
  </conditionalFormatting>
  <conditionalFormatting sqref="X14">
    <cfRule type="expression" dxfId="2637" priority="443">
      <formula>AND(IF(OR($Q14=1,$Q14=2),1,0),IF($X14&lt;=20,1,0))</formula>
    </cfRule>
    <cfRule type="expression" dxfId="2636" priority="444">
      <formula>AND(IF($Q14=2,1,0),IF($X14&lt;30,1,0))</formula>
    </cfRule>
    <cfRule type="expression" dxfId="2635" priority="445">
      <formula>AND(IF($Q14=3,1,0),IF($X14&lt;30,1,0))</formula>
    </cfRule>
    <cfRule type="expression" dxfId="2634" priority="446">
      <formula>AND(IF($Q14=3,1,IF($Q14=4,1,0)),IF($F14&lt;=85,1,0))</formula>
    </cfRule>
  </conditionalFormatting>
  <conditionalFormatting sqref="AI14">
    <cfRule type="expression" dxfId="2633" priority="439">
      <formula>AND(IF(OR($Q14=1,$Q14=2),1,0),IF($X14&lt;=20,1,0))</formula>
    </cfRule>
    <cfRule type="expression" dxfId="2632" priority="440">
      <formula>AND(IF($Q14=2,1,0),IF($X14&lt;30,1,0))</formula>
    </cfRule>
    <cfRule type="expression" dxfId="2631" priority="441">
      <formula>AND(IF($Q14=3,1,0),IF($X14&lt;30,1,0))</formula>
    </cfRule>
    <cfRule type="expression" dxfId="2630" priority="442">
      <formula>AND(IF($Q14=3,1,IF($Q14=4,1,0)),IF($F14&lt;=85,1,0))</formula>
    </cfRule>
  </conditionalFormatting>
  <conditionalFormatting sqref="AV15">
    <cfRule type="expression" dxfId="2629" priority="437">
      <formula>AV15="X"</formula>
    </cfRule>
    <cfRule type="expression" dxfId="2628" priority="438">
      <formula>AV15="후보"</formula>
    </cfRule>
  </conditionalFormatting>
  <conditionalFormatting sqref="AC15">
    <cfRule type="cellIs" dxfId="2627" priority="435" operator="greaterThan">
      <formula>0.9</formula>
    </cfRule>
    <cfRule type="cellIs" dxfId="2626" priority="436" operator="greaterThan">
      <formula>0.85</formula>
    </cfRule>
  </conditionalFormatting>
  <conditionalFormatting sqref="N15">
    <cfRule type="cellIs" dxfId="2625" priority="433" operator="greaterThan">
      <formula>0.9</formula>
    </cfRule>
    <cfRule type="cellIs" dxfId="2624" priority="434" operator="greaterThan">
      <formula>0.85</formula>
    </cfRule>
  </conditionalFormatting>
  <conditionalFormatting sqref="E15">
    <cfRule type="expression" dxfId="2623" priority="429">
      <formula>AND(IF(OR($Q15=1,$Q15=2),1,0),IF($X15&lt;=20,1,0))</formula>
    </cfRule>
    <cfRule type="expression" dxfId="2622" priority="430">
      <formula>AND(IF($Q15=2,1,0),IF($X15&lt;30,1,0))</formula>
    </cfRule>
    <cfRule type="expression" dxfId="2621" priority="431">
      <formula>AND(IF($Q15=3,1,0),IF($X15&lt;30,1,0))</formula>
    </cfRule>
    <cfRule type="expression" dxfId="2620" priority="432">
      <formula>AND(IF($Q15=3,1,IF($Q15=4,1,0)),IF($F15&lt;=85,1,0))</formula>
    </cfRule>
  </conditionalFormatting>
  <conditionalFormatting sqref="X15">
    <cfRule type="expression" dxfId="2619" priority="425">
      <formula>AND(IF(OR($Q15=1,$Q15=2),1,0),IF($X15&lt;=20,1,0))</formula>
    </cfRule>
    <cfRule type="expression" dxfId="2618" priority="426">
      <formula>AND(IF($Q15=2,1,0),IF($X15&lt;30,1,0))</formula>
    </cfRule>
    <cfRule type="expression" dxfId="2617" priority="427">
      <formula>AND(IF($Q15=3,1,0),IF($X15&lt;30,1,0))</formula>
    </cfRule>
    <cfRule type="expression" dxfId="2616" priority="428">
      <formula>AND(IF($Q15=3,1,IF($Q15=4,1,0)),IF($F15&lt;=85,1,0))</formula>
    </cfRule>
  </conditionalFormatting>
  <conditionalFormatting sqref="AI15">
    <cfRule type="expression" dxfId="2615" priority="421">
      <formula>AND(IF(OR($Q15=1,$Q15=2),1,0),IF($X15&lt;=20,1,0))</formula>
    </cfRule>
    <cfRule type="expression" dxfId="2614" priority="422">
      <formula>AND(IF($Q15=2,1,0),IF($X15&lt;30,1,0))</formula>
    </cfRule>
    <cfRule type="expression" dxfId="2613" priority="423">
      <formula>AND(IF($Q15=3,1,0),IF($X15&lt;30,1,0))</formula>
    </cfRule>
    <cfRule type="expression" dxfId="2612" priority="424">
      <formula>AND(IF($Q15=3,1,IF($Q15=4,1,0)),IF($F15&lt;=85,1,0))</formula>
    </cfRule>
  </conditionalFormatting>
  <conditionalFormatting sqref="AV16">
    <cfRule type="expression" dxfId="2611" priority="419">
      <formula>AV16="X"</formula>
    </cfRule>
    <cfRule type="expression" dxfId="2610" priority="420">
      <formula>AV16="후보"</formula>
    </cfRule>
  </conditionalFormatting>
  <conditionalFormatting sqref="AC16">
    <cfRule type="cellIs" dxfId="2609" priority="417" operator="greaterThan">
      <formula>0.9</formula>
    </cfRule>
    <cfRule type="cellIs" dxfId="2608" priority="418" operator="greaterThan">
      <formula>0.85</formula>
    </cfRule>
  </conditionalFormatting>
  <conditionalFormatting sqref="N16">
    <cfRule type="cellIs" dxfId="2607" priority="415" operator="greaterThan">
      <formula>0.9</formula>
    </cfRule>
    <cfRule type="cellIs" dxfId="2606" priority="416" operator="greaterThan">
      <formula>0.85</formula>
    </cfRule>
  </conditionalFormatting>
  <conditionalFormatting sqref="E16">
    <cfRule type="expression" dxfId="2605" priority="411">
      <formula>AND(IF(OR($Q16=1,$Q16=2),1,0),IF($X16&lt;=20,1,0))</formula>
    </cfRule>
    <cfRule type="expression" dxfId="2604" priority="412">
      <formula>AND(IF($Q16=2,1,0),IF($X16&lt;30,1,0))</formula>
    </cfRule>
    <cfRule type="expression" dxfId="2603" priority="413">
      <formula>AND(IF($Q16=3,1,0),IF($X16&lt;30,1,0))</formula>
    </cfRule>
    <cfRule type="expression" dxfId="2602" priority="414">
      <formula>AND(IF($Q16=3,1,IF($Q16=4,1,0)),IF($F16&lt;=85,1,0))</formula>
    </cfRule>
  </conditionalFormatting>
  <conditionalFormatting sqref="X16">
    <cfRule type="expression" dxfId="2601" priority="407">
      <formula>AND(IF(OR($Q16=1,$Q16=2),1,0),IF($X16&lt;=20,1,0))</formula>
    </cfRule>
    <cfRule type="expression" dxfId="2600" priority="408">
      <formula>AND(IF($Q16=2,1,0),IF($X16&lt;30,1,0))</formula>
    </cfRule>
    <cfRule type="expression" dxfId="2599" priority="409">
      <formula>AND(IF($Q16=3,1,0),IF($X16&lt;30,1,0))</formula>
    </cfRule>
    <cfRule type="expression" dxfId="2598" priority="410">
      <formula>AND(IF($Q16=3,1,IF($Q16=4,1,0)),IF($F16&lt;=85,1,0))</formula>
    </cfRule>
  </conditionalFormatting>
  <conditionalFormatting sqref="AI16">
    <cfRule type="expression" dxfId="2597" priority="403">
      <formula>AND(IF(OR($Q16=1,$Q16=2),1,0),IF($X16&lt;=20,1,0))</formula>
    </cfRule>
    <cfRule type="expression" dxfId="2596" priority="404">
      <formula>AND(IF($Q16=2,1,0),IF($X16&lt;30,1,0))</formula>
    </cfRule>
    <cfRule type="expression" dxfId="2595" priority="405">
      <formula>AND(IF($Q16=3,1,0),IF($X16&lt;30,1,0))</formula>
    </cfRule>
    <cfRule type="expression" dxfId="2594" priority="406">
      <formula>AND(IF($Q16=3,1,IF($Q16=4,1,0)),IF($F16&lt;=85,1,0))</formula>
    </cfRule>
  </conditionalFormatting>
  <conditionalFormatting sqref="AV17">
    <cfRule type="expression" dxfId="2593" priority="401">
      <formula>AV17="X"</formula>
    </cfRule>
    <cfRule type="expression" dxfId="2592" priority="402">
      <formula>AV17="후보"</formula>
    </cfRule>
  </conditionalFormatting>
  <conditionalFormatting sqref="AC17 N17">
    <cfRule type="cellIs" dxfId="2591" priority="399" operator="greaterThan">
      <formula>0.9</formula>
    </cfRule>
    <cfRule type="cellIs" dxfId="2590" priority="400" operator="greaterThan">
      <formula>0.85</formula>
    </cfRule>
  </conditionalFormatting>
  <conditionalFormatting sqref="AV18">
    <cfRule type="expression" dxfId="2589" priority="397">
      <formula>AV18="X"</formula>
    </cfRule>
    <cfRule type="expression" dxfId="2588" priority="398">
      <formula>AV18="후보"</formula>
    </cfRule>
  </conditionalFormatting>
  <conditionalFormatting sqref="AC18">
    <cfRule type="cellIs" dxfId="2587" priority="395" operator="greaterThan">
      <formula>0.9</formula>
    </cfRule>
    <cfRule type="cellIs" dxfId="2586" priority="396" operator="greaterThan">
      <formula>0.85</formula>
    </cfRule>
  </conditionalFormatting>
  <conditionalFormatting sqref="N18">
    <cfRule type="cellIs" dxfId="2585" priority="393" operator="greaterThan">
      <formula>0.9</formula>
    </cfRule>
    <cfRule type="cellIs" dxfId="2584" priority="394" operator="greaterThan">
      <formula>0.85</formula>
    </cfRule>
  </conditionalFormatting>
  <conditionalFormatting sqref="E18">
    <cfRule type="expression" dxfId="2583" priority="389">
      <formula>AND(IF(OR($Q18=1,$Q18=2),1,0),IF($X18&lt;=20,1,0))</formula>
    </cfRule>
    <cfRule type="expression" dxfId="2582" priority="390">
      <formula>AND(IF($Q18=2,1,0),IF($X18&lt;30,1,0))</formula>
    </cfRule>
    <cfRule type="expression" dxfId="2581" priority="391">
      <formula>AND(IF($Q18=3,1,0),IF($X18&lt;30,1,0))</formula>
    </cfRule>
    <cfRule type="expression" dxfId="2580" priority="392">
      <formula>AND(IF($Q18=3,1,IF($Q18=4,1,0)),IF($F18&lt;=85,1,0))</formula>
    </cfRule>
  </conditionalFormatting>
  <conditionalFormatting sqref="X18">
    <cfRule type="expression" dxfId="2579" priority="385">
      <formula>AND(IF(OR($Q18=1,$Q18=2),1,0),IF($X18&lt;=20,1,0))</formula>
    </cfRule>
    <cfRule type="expression" dxfId="2578" priority="386">
      <formula>AND(IF($Q18=2,1,0),IF($X18&lt;30,1,0))</formula>
    </cfRule>
    <cfRule type="expression" dxfId="2577" priority="387">
      <formula>AND(IF($Q18=3,1,0),IF($X18&lt;30,1,0))</formula>
    </cfRule>
    <cfRule type="expression" dxfId="2576" priority="388">
      <formula>AND(IF($Q18=3,1,IF($Q18=4,1,0)),IF($F18&lt;=85,1,0))</formula>
    </cfRule>
  </conditionalFormatting>
  <conditionalFormatting sqref="AI18">
    <cfRule type="expression" dxfId="2575" priority="381">
      <formula>AND(IF(OR($Q18=1,$Q18=2),1,0),IF($X18&lt;=20,1,0))</formula>
    </cfRule>
    <cfRule type="expression" dxfId="2574" priority="382">
      <formula>AND(IF($Q18=2,1,0),IF($X18&lt;30,1,0))</formula>
    </cfRule>
    <cfRule type="expression" dxfId="2573" priority="383">
      <formula>AND(IF($Q18=3,1,0),IF($X18&lt;30,1,0))</formula>
    </cfRule>
    <cfRule type="expression" dxfId="2572" priority="384">
      <formula>AND(IF($Q18=3,1,IF($Q18=4,1,0)),IF($F18&lt;=85,1,0))</formula>
    </cfRule>
  </conditionalFormatting>
  <conditionalFormatting sqref="AV19">
    <cfRule type="expression" dxfId="2571" priority="379">
      <formula>AV19="X"</formula>
    </cfRule>
    <cfRule type="expression" dxfId="2570" priority="380">
      <formula>AV19="후보"</formula>
    </cfRule>
  </conditionalFormatting>
  <conditionalFormatting sqref="AC19">
    <cfRule type="cellIs" dxfId="2569" priority="377" operator="greaterThan">
      <formula>0.9</formula>
    </cfRule>
    <cfRule type="cellIs" dxfId="2568" priority="378" operator="greaterThan">
      <formula>0.85</formula>
    </cfRule>
  </conditionalFormatting>
  <conditionalFormatting sqref="N19">
    <cfRule type="cellIs" dxfId="2567" priority="375" operator="greaterThan">
      <formula>0.9</formula>
    </cfRule>
    <cfRule type="cellIs" dxfId="2566" priority="376" operator="greaterThan">
      <formula>0.85</formula>
    </cfRule>
  </conditionalFormatting>
  <conditionalFormatting sqref="E19">
    <cfRule type="expression" dxfId="2565" priority="371">
      <formula>AND(IF(OR($Q19=1,$Q19=2),1,0),IF($X19&lt;=20,1,0))</formula>
    </cfRule>
    <cfRule type="expression" dxfId="2564" priority="372">
      <formula>AND(IF($Q19=2,1,0),IF($X19&lt;30,1,0))</formula>
    </cfRule>
    <cfRule type="expression" dxfId="2563" priority="373">
      <formula>AND(IF($Q19=3,1,0),IF($X19&lt;30,1,0))</formula>
    </cfRule>
    <cfRule type="expression" dxfId="2562" priority="374">
      <formula>AND(IF($Q19=3,1,IF($Q19=4,1,0)),IF($F19&lt;=85,1,0))</formula>
    </cfRule>
  </conditionalFormatting>
  <conditionalFormatting sqref="X19">
    <cfRule type="expression" dxfId="2561" priority="367">
      <formula>AND(IF(OR($Q19=1,$Q19=2),1,0),IF($X19&lt;=20,1,0))</formula>
    </cfRule>
    <cfRule type="expression" dxfId="2560" priority="368">
      <formula>AND(IF($Q19=2,1,0),IF($X19&lt;30,1,0))</formula>
    </cfRule>
    <cfRule type="expression" dxfId="2559" priority="369">
      <formula>AND(IF($Q19=3,1,0),IF($X19&lt;30,1,0))</formula>
    </cfRule>
    <cfRule type="expression" dxfId="2558" priority="370">
      <formula>AND(IF($Q19=3,1,IF($Q19=4,1,0)),IF($F19&lt;=85,1,0))</formula>
    </cfRule>
  </conditionalFormatting>
  <conditionalFormatting sqref="AI19">
    <cfRule type="expression" dxfId="2557" priority="363">
      <formula>AND(IF(OR($Q19=1,$Q19=2),1,0),IF($X19&lt;=20,1,0))</formula>
    </cfRule>
    <cfRule type="expression" dxfId="2556" priority="364">
      <formula>AND(IF($Q19=2,1,0),IF($X19&lt;30,1,0))</formula>
    </cfRule>
    <cfRule type="expression" dxfId="2555" priority="365">
      <formula>AND(IF($Q19=3,1,0),IF($X19&lt;30,1,0))</formula>
    </cfRule>
    <cfRule type="expression" dxfId="2554" priority="366">
      <formula>AND(IF($Q19=3,1,IF($Q19=4,1,0)),IF($F19&lt;=85,1,0))</formula>
    </cfRule>
  </conditionalFormatting>
  <conditionalFormatting sqref="AV20">
    <cfRule type="expression" dxfId="2553" priority="361">
      <formula>AV20="X"</formula>
    </cfRule>
    <cfRule type="expression" dxfId="2552" priority="362">
      <formula>AV20="후보"</formula>
    </cfRule>
  </conditionalFormatting>
  <conditionalFormatting sqref="AC20">
    <cfRule type="cellIs" dxfId="2551" priority="359" operator="greaterThan">
      <formula>0.9</formula>
    </cfRule>
    <cfRule type="cellIs" dxfId="2550" priority="360" operator="greaterThan">
      <formula>0.85</formula>
    </cfRule>
  </conditionalFormatting>
  <conditionalFormatting sqref="N20">
    <cfRule type="cellIs" dxfId="2549" priority="357" operator="greaterThan">
      <formula>0.9</formula>
    </cfRule>
    <cfRule type="cellIs" dxfId="2548" priority="358" operator="greaterThan">
      <formula>0.85</formula>
    </cfRule>
  </conditionalFormatting>
  <conditionalFormatting sqref="E20">
    <cfRule type="expression" dxfId="2547" priority="353">
      <formula>AND(IF(OR($Q20=1,$Q20=2),1,0),IF($X20&lt;=20,1,0))</formula>
    </cfRule>
    <cfRule type="expression" dxfId="2546" priority="354">
      <formula>AND(IF($Q20=2,1,0),IF($X20&lt;30,1,0))</formula>
    </cfRule>
    <cfRule type="expression" dxfId="2545" priority="355">
      <formula>AND(IF($Q20=3,1,0),IF($X20&lt;30,1,0))</formula>
    </cfRule>
    <cfRule type="expression" dxfId="2544" priority="356">
      <formula>AND(IF($Q20=3,1,IF($Q20=4,1,0)),IF($F20&lt;=85,1,0))</formula>
    </cfRule>
  </conditionalFormatting>
  <conditionalFormatting sqref="X20">
    <cfRule type="expression" dxfId="2543" priority="349">
      <formula>AND(IF(OR($Q20=1,$Q20=2),1,0),IF($X20&lt;=20,1,0))</formula>
    </cfRule>
    <cfRule type="expression" dxfId="2542" priority="350">
      <formula>AND(IF($Q20=2,1,0),IF($X20&lt;30,1,0))</formula>
    </cfRule>
    <cfRule type="expression" dxfId="2541" priority="351">
      <formula>AND(IF($Q20=3,1,0),IF($X20&lt;30,1,0))</formula>
    </cfRule>
    <cfRule type="expression" dxfId="2540" priority="352">
      <formula>AND(IF($Q20=3,1,IF($Q20=4,1,0)),IF($F20&lt;=85,1,0))</formula>
    </cfRule>
  </conditionalFormatting>
  <conditionalFormatting sqref="AI20">
    <cfRule type="expression" dxfId="2539" priority="345">
      <formula>AND(IF(OR($Q20=1,$Q20=2),1,0),IF($X20&lt;=20,1,0))</formula>
    </cfRule>
    <cfRule type="expression" dxfId="2538" priority="346">
      <formula>AND(IF($Q20=2,1,0),IF($X20&lt;30,1,0))</formula>
    </cfRule>
    <cfRule type="expression" dxfId="2537" priority="347">
      <formula>AND(IF($Q20=3,1,0),IF($X20&lt;30,1,0))</formula>
    </cfRule>
    <cfRule type="expression" dxfId="2536" priority="348">
      <formula>AND(IF($Q20=3,1,IF($Q20=4,1,0)),IF($F20&lt;=85,1,0))</formula>
    </cfRule>
  </conditionalFormatting>
  <conditionalFormatting sqref="AV21">
    <cfRule type="expression" dxfId="2535" priority="343">
      <formula>AV21="X"</formula>
    </cfRule>
    <cfRule type="expression" dxfId="2534" priority="344">
      <formula>AV21="후보"</formula>
    </cfRule>
  </conditionalFormatting>
  <conditionalFormatting sqref="AC21">
    <cfRule type="cellIs" dxfId="2533" priority="341" operator="greaterThan">
      <formula>0.9</formula>
    </cfRule>
    <cfRule type="cellIs" dxfId="2532" priority="342" operator="greaterThan">
      <formula>0.85</formula>
    </cfRule>
  </conditionalFormatting>
  <conditionalFormatting sqref="N21">
    <cfRule type="cellIs" dxfId="2531" priority="339" operator="greaterThan">
      <formula>0.9</formula>
    </cfRule>
    <cfRule type="cellIs" dxfId="2530" priority="340" operator="greaterThan">
      <formula>0.85</formula>
    </cfRule>
  </conditionalFormatting>
  <conditionalFormatting sqref="E21">
    <cfRule type="expression" dxfId="2529" priority="335">
      <formula>AND(IF(OR($Q21=1,$Q21=2),1,0),IF($X21&lt;=20,1,0))</formula>
    </cfRule>
    <cfRule type="expression" dxfId="2528" priority="336">
      <formula>AND(IF($Q21=2,1,0),IF($X21&lt;30,1,0))</formula>
    </cfRule>
    <cfRule type="expression" dxfId="2527" priority="337">
      <formula>AND(IF($Q21=3,1,0),IF($X21&lt;30,1,0))</formula>
    </cfRule>
    <cfRule type="expression" dxfId="2526" priority="338">
      <formula>AND(IF($Q21=3,1,IF($Q21=4,1,0)),IF($F21&lt;=85,1,0))</formula>
    </cfRule>
  </conditionalFormatting>
  <conditionalFormatting sqref="X21">
    <cfRule type="expression" dxfId="2525" priority="331">
      <formula>AND(IF(OR($Q21=1,$Q21=2),1,0),IF($X21&lt;=20,1,0))</formula>
    </cfRule>
    <cfRule type="expression" dxfId="2524" priority="332">
      <formula>AND(IF($Q21=2,1,0),IF($X21&lt;30,1,0))</formula>
    </cfRule>
    <cfRule type="expression" dxfId="2523" priority="333">
      <formula>AND(IF($Q21=3,1,0),IF($X21&lt;30,1,0))</formula>
    </cfRule>
    <cfRule type="expression" dxfId="2522" priority="334">
      <formula>AND(IF($Q21=3,1,IF($Q21=4,1,0)),IF($F21&lt;=85,1,0))</formula>
    </cfRule>
  </conditionalFormatting>
  <conditionalFormatting sqref="AI21">
    <cfRule type="expression" dxfId="2521" priority="327">
      <formula>AND(IF(OR($Q21=1,$Q21=2),1,0),IF($X21&lt;=20,1,0))</formula>
    </cfRule>
    <cfRule type="expression" dxfId="2520" priority="328">
      <formula>AND(IF($Q21=2,1,0),IF($X21&lt;30,1,0))</formula>
    </cfRule>
    <cfRule type="expression" dxfId="2519" priority="329">
      <formula>AND(IF($Q21=3,1,0),IF($X21&lt;30,1,0))</formula>
    </cfRule>
    <cfRule type="expression" dxfId="2518" priority="330">
      <formula>AND(IF($Q21=3,1,IF($Q21=4,1,0)),IF($F21&lt;=85,1,0))</formula>
    </cfRule>
  </conditionalFormatting>
  <conditionalFormatting sqref="AV22">
    <cfRule type="expression" dxfId="2517" priority="325">
      <formula>AV22="X"</formula>
    </cfRule>
    <cfRule type="expression" dxfId="2516" priority="326">
      <formula>AV22="후보"</formula>
    </cfRule>
  </conditionalFormatting>
  <conditionalFormatting sqref="AC22 N22">
    <cfRule type="cellIs" dxfId="2515" priority="323" operator="greaterThan">
      <formula>0.9</formula>
    </cfRule>
    <cfRule type="cellIs" dxfId="2514" priority="324" operator="greaterThan">
      <formula>0.85</formula>
    </cfRule>
  </conditionalFormatting>
  <conditionalFormatting sqref="AV23">
    <cfRule type="expression" dxfId="2513" priority="321">
      <formula>AV23="X"</formula>
    </cfRule>
    <cfRule type="expression" dxfId="2512" priority="322">
      <formula>AV23="후보"</formula>
    </cfRule>
  </conditionalFormatting>
  <conditionalFormatting sqref="AC23">
    <cfRule type="cellIs" dxfId="2511" priority="319" operator="greaterThan">
      <formula>0.9</formula>
    </cfRule>
    <cfRule type="cellIs" dxfId="2510" priority="320" operator="greaterThan">
      <formula>0.85</formula>
    </cfRule>
  </conditionalFormatting>
  <conditionalFormatting sqref="N23">
    <cfRule type="cellIs" dxfId="2509" priority="317" operator="greaterThan">
      <formula>0.9</formula>
    </cfRule>
    <cfRule type="cellIs" dxfId="2508" priority="318" operator="greaterThan">
      <formula>0.85</formula>
    </cfRule>
  </conditionalFormatting>
  <conditionalFormatting sqref="E23">
    <cfRule type="expression" dxfId="2507" priority="313">
      <formula>AND(IF(OR($Q23=1,$Q23=2),1,0),IF($X23&lt;=20,1,0))</formula>
    </cfRule>
    <cfRule type="expression" dxfId="2506" priority="314">
      <formula>AND(IF($Q23=2,1,0),IF($X23&lt;30,1,0))</formula>
    </cfRule>
    <cfRule type="expression" dxfId="2505" priority="315">
      <formula>AND(IF($Q23=3,1,0),IF($X23&lt;30,1,0))</formula>
    </cfRule>
    <cfRule type="expression" dxfId="2504" priority="316">
      <formula>AND(IF($Q23=3,1,IF($Q23=4,1,0)),IF($F23&lt;=85,1,0))</formula>
    </cfRule>
  </conditionalFormatting>
  <conditionalFormatting sqref="X23">
    <cfRule type="expression" dxfId="2503" priority="309">
      <formula>AND(IF(OR($Q23=1,$Q23=2),1,0),IF($X23&lt;=20,1,0))</formula>
    </cfRule>
    <cfRule type="expression" dxfId="2502" priority="310">
      <formula>AND(IF($Q23=2,1,0),IF($X23&lt;30,1,0))</formula>
    </cfRule>
    <cfRule type="expression" dxfId="2501" priority="311">
      <formula>AND(IF($Q23=3,1,0),IF($X23&lt;30,1,0))</formula>
    </cfRule>
    <cfRule type="expression" dxfId="2500" priority="312">
      <formula>AND(IF($Q23=3,1,IF($Q23=4,1,0)),IF($F23&lt;=85,1,0))</formula>
    </cfRule>
  </conditionalFormatting>
  <conditionalFormatting sqref="AI23">
    <cfRule type="expression" dxfId="2499" priority="305">
      <formula>AND(IF(OR($Q23=1,$Q23=2),1,0),IF($X23&lt;=20,1,0))</formula>
    </cfRule>
    <cfRule type="expression" dxfId="2498" priority="306">
      <formula>AND(IF($Q23=2,1,0),IF($X23&lt;30,1,0))</formula>
    </cfRule>
    <cfRule type="expression" dxfId="2497" priority="307">
      <formula>AND(IF($Q23=3,1,0),IF($X23&lt;30,1,0))</formula>
    </cfRule>
    <cfRule type="expression" dxfId="2496" priority="308">
      <formula>AND(IF($Q23=3,1,IF($Q23=4,1,0)),IF($F23&lt;=85,1,0))</formula>
    </cfRule>
  </conditionalFormatting>
  <conditionalFormatting sqref="AV24">
    <cfRule type="expression" dxfId="2495" priority="303">
      <formula>AV24="X"</formula>
    </cfRule>
    <cfRule type="expression" dxfId="2494" priority="304">
      <formula>AV24="후보"</formula>
    </cfRule>
  </conditionalFormatting>
  <conditionalFormatting sqref="AC24">
    <cfRule type="cellIs" dxfId="2493" priority="301" operator="greaterThan">
      <formula>0.9</formula>
    </cfRule>
    <cfRule type="cellIs" dxfId="2492" priority="302" operator="greaterThan">
      <formula>0.85</formula>
    </cfRule>
  </conditionalFormatting>
  <conditionalFormatting sqref="N24">
    <cfRule type="cellIs" dxfId="2491" priority="299" operator="greaterThan">
      <formula>0.9</formula>
    </cfRule>
    <cfRule type="cellIs" dxfId="2490" priority="300" operator="greaterThan">
      <formula>0.85</formula>
    </cfRule>
  </conditionalFormatting>
  <conditionalFormatting sqref="E24">
    <cfRule type="expression" dxfId="2489" priority="295">
      <formula>AND(IF(OR($Q24=1,$Q24=2),1,0),IF($X24&lt;=20,1,0))</formula>
    </cfRule>
    <cfRule type="expression" dxfId="2488" priority="296">
      <formula>AND(IF($Q24=2,1,0),IF($X24&lt;30,1,0))</formula>
    </cfRule>
    <cfRule type="expression" dxfId="2487" priority="297">
      <formula>AND(IF($Q24=3,1,0),IF($X24&lt;30,1,0))</formula>
    </cfRule>
    <cfRule type="expression" dxfId="2486" priority="298">
      <formula>AND(IF($Q24=3,1,IF($Q24=4,1,0)),IF($F24&lt;=85,1,0))</formula>
    </cfRule>
  </conditionalFormatting>
  <conditionalFormatting sqref="X24">
    <cfRule type="expression" dxfId="2485" priority="291">
      <formula>AND(IF(OR($Q24=1,$Q24=2),1,0),IF($X24&lt;=20,1,0))</formula>
    </cfRule>
    <cfRule type="expression" dxfId="2484" priority="292">
      <formula>AND(IF($Q24=2,1,0),IF($X24&lt;30,1,0))</formula>
    </cfRule>
    <cfRule type="expression" dxfId="2483" priority="293">
      <formula>AND(IF($Q24=3,1,0),IF($X24&lt;30,1,0))</formula>
    </cfRule>
    <cfRule type="expression" dxfId="2482" priority="294">
      <formula>AND(IF($Q24=3,1,IF($Q24=4,1,0)),IF($F24&lt;=85,1,0))</formula>
    </cfRule>
  </conditionalFormatting>
  <conditionalFormatting sqref="AI24">
    <cfRule type="expression" dxfId="2481" priority="287">
      <formula>AND(IF(OR($Q24=1,$Q24=2),1,0),IF($X24&lt;=20,1,0))</formula>
    </cfRule>
    <cfRule type="expression" dxfId="2480" priority="288">
      <formula>AND(IF($Q24=2,1,0),IF($X24&lt;30,1,0))</formula>
    </cfRule>
    <cfRule type="expression" dxfId="2479" priority="289">
      <formula>AND(IF($Q24=3,1,0),IF($X24&lt;30,1,0))</formula>
    </cfRule>
    <cfRule type="expression" dxfId="2478" priority="290">
      <formula>AND(IF($Q24=3,1,IF($Q24=4,1,0)),IF($F24&lt;=85,1,0))</formula>
    </cfRule>
  </conditionalFormatting>
  <conditionalFormatting sqref="AV25">
    <cfRule type="expression" dxfId="2477" priority="285">
      <formula>AV25="X"</formula>
    </cfRule>
    <cfRule type="expression" dxfId="2476" priority="286">
      <formula>AV25="후보"</formula>
    </cfRule>
  </conditionalFormatting>
  <conditionalFormatting sqref="AC25">
    <cfRule type="cellIs" dxfId="2475" priority="283" operator="greaterThan">
      <formula>0.9</formula>
    </cfRule>
    <cfRule type="cellIs" dxfId="2474" priority="284" operator="greaterThan">
      <formula>0.85</formula>
    </cfRule>
  </conditionalFormatting>
  <conditionalFormatting sqref="N25">
    <cfRule type="cellIs" dxfId="2473" priority="281" operator="greaterThan">
      <formula>0.9</formula>
    </cfRule>
    <cfRule type="cellIs" dxfId="2472" priority="282" operator="greaterThan">
      <formula>0.85</formula>
    </cfRule>
  </conditionalFormatting>
  <conditionalFormatting sqref="E25">
    <cfRule type="expression" dxfId="2471" priority="277">
      <formula>AND(IF(OR($Q25=1,$Q25=2),1,0),IF($X25&lt;=20,1,0))</formula>
    </cfRule>
    <cfRule type="expression" dxfId="2470" priority="278">
      <formula>AND(IF($Q25=2,1,0),IF($X25&lt;30,1,0))</formula>
    </cfRule>
    <cfRule type="expression" dxfId="2469" priority="279">
      <formula>AND(IF($Q25=3,1,0),IF($X25&lt;30,1,0))</formula>
    </cfRule>
    <cfRule type="expression" dxfId="2468" priority="280">
      <formula>AND(IF($Q25=3,1,IF($Q25=4,1,0)),IF($F25&lt;=85,1,0))</formula>
    </cfRule>
  </conditionalFormatting>
  <conditionalFormatting sqref="X25">
    <cfRule type="expression" dxfId="2467" priority="273">
      <formula>AND(IF(OR($Q25=1,$Q25=2),1,0),IF($X25&lt;=20,1,0))</formula>
    </cfRule>
    <cfRule type="expression" dxfId="2466" priority="274">
      <formula>AND(IF($Q25=2,1,0),IF($X25&lt;30,1,0))</formula>
    </cfRule>
    <cfRule type="expression" dxfId="2465" priority="275">
      <formula>AND(IF($Q25=3,1,0),IF($X25&lt;30,1,0))</formula>
    </cfRule>
    <cfRule type="expression" dxfId="2464" priority="276">
      <formula>AND(IF($Q25=3,1,IF($Q25=4,1,0)),IF($F25&lt;=85,1,0))</formula>
    </cfRule>
  </conditionalFormatting>
  <conditionalFormatting sqref="AI25">
    <cfRule type="expression" dxfId="2463" priority="269">
      <formula>AND(IF(OR($Q25=1,$Q25=2),1,0),IF($X25&lt;=20,1,0))</formula>
    </cfRule>
    <cfRule type="expression" dxfId="2462" priority="270">
      <formula>AND(IF($Q25=2,1,0),IF($X25&lt;30,1,0))</formula>
    </cfRule>
    <cfRule type="expression" dxfId="2461" priority="271">
      <formula>AND(IF($Q25=3,1,0),IF($X25&lt;30,1,0))</formula>
    </cfRule>
    <cfRule type="expression" dxfId="2460" priority="272">
      <formula>AND(IF($Q25=3,1,IF($Q25=4,1,0)),IF($F25&lt;=85,1,0))</formula>
    </cfRule>
  </conditionalFormatting>
  <conditionalFormatting sqref="AV26">
    <cfRule type="expression" dxfId="2459" priority="267">
      <formula>AV26="X"</formula>
    </cfRule>
    <cfRule type="expression" dxfId="2458" priority="268">
      <formula>AV26="후보"</formula>
    </cfRule>
  </conditionalFormatting>
  <conditionalFormatting sqref="AC26">
    <cfRule type="cellIs" dxfId="2457" priority="265" operator="greaterThan">
      <formula>0.9</formula>
    </cfRule>
    <cfRule type="cellIs" dxfId="2456" priority="266" operator="greaterThan">
      <formula>0.85</formula>
    </cfRule>
  </conditionalFormatting>
  <conditionalFormatting sqref="N26">
    <cfRule type="cellIs" dxfId="2455" priority="263" operator="greaterThan">
      <formula>0.9</formula>
    </cfRule>
    <cfRule type="cellIs" dxfId="2454" priority="264" operator="greaterThan">
      <formula>0.85</formula>
    </cfRule>
  </conditionalFormatting>
  <conditionalFormatting sqref="E26">
    <cfRule type="expression" dxfId="2453" priority="259">
      <formula>AND(IF(OR($Q26=1,$Q26=2),1,0),IF($X26&lt;=20,1,0))</formula>
    </cfRule>
    <cfRule type="expression" dxfId="2452" priority="260">
      <formula>AND(IF($Q26=2,1,0),IF($X26&lt;30,1,0))</formula>
    </cfRule>
    <cfRule type="expression" dxfId="2451" priority="261">
      <formula>AND(IF($Q26=3,1,0),IF($X26&lt;30,1,0))</formula>
    </cfRule>
    <cfRule type="expression" dxfId="2450" priority="262">
      <formula>AND(IF($Q26=3,1,IF($Q26=4,1,0)),IF($F26&lt;=85,1,0))</formula>
    </cfRule>
  </conditionalFormatting>
  <conditionalFormatting sqref="X26">
    <cfRule type="expression" dxfId="2449" priority="255">
      <formula>AND(IF(OR($Q26=1,$Q26=2),1,0),IF($X26&lt;=20,1,0))</formula>
    </cfRule>
    <cfRule type="expression" dxfId="2448" priority="256">
      <formula>AND(IF($Q26=2,1,0),IF($X26&lt;30,1,0))</formula>
    </cfRule>
    <cfRule type="expression" dxfId="2447" priority="257">
      <formula>AND(IF($Q26=3,1,0),IF($X26&lt;30,1,0))</formula>
    </cfRule>
    <cfRule type="expression" dxfId="2446" priority="258">
      <formula>AND(IF($Q26=3,1,IF($Q26=4,1,0)),IF($F26&lt;=85,1,0))</formula>
    </cfRule>
  </conditionalFormatting>
  <conditionalFormatting sqref="AI26">
    <cfRule type="expression" dxfId="2445" priority="251">
      <formula>AND(IF(OR($Q26=1,$Q26=2),1,0),IF($X26&lt;=20,1,0))</formula>
    </cfRule>
    <cfRule type="expression" dxfId="2444" priority="252">
      <formula>AND(IF($Q26=2,1,0),IF($X26&lt;30,1,0))</formula>
    </cfRule>
    <cfRule type="expression" dxfId="2443" priority="253">
      <formula>AND(IF($Q26=3,1,0),IF($X26&lt;30,1,0))</formula>
    </cfRule>
    <cfRule type="expression" dxfId="2442" priority="254">
      <formula>AND(IF($Q26=3,1,IF($Q26=4,1,0)),IF($F26&lt;=85,1,0))</formula>
    </cfRule>
  </conditionalFormatting>
  <conditionalFormatting sqref="AV27">
    <cfRule type="expression" dxfId="2441" priority="249">
      <formula>AV27="X"</formula>
    </cfRule>
    <cfRule type="expression" dxfId="2440" priority="250">
      <formula>AV27="후보"</formula>
    </cfRule>
  </conditionalFormatting>
  <conditionalFormatting sqref="AC27">
    <cfRule type="cellIs" dxfId="2439" priority="247" operator="greaterThan">
      <formula>0.9</formula>
    </cfRule>
    <cfRule type="cellIs" dxfId="2438" priority="248" operator="greaterThan">
      <formula>0.85</formula>
    </cfRule>
  </conditionalFormatting>
  <conditionalFormatting sqref="N27">
    <cfRule type="cellIs" dxfId="2437" priority="245" operator="greaterThan">
      <formula>0.9</formula>
    </cfRule>
    <cfRule type="cellIs" dxfId="2436" priority="246" operator="greaterThan">
      <formula>0.85</formula>
    </cfRule>
  </conditionalFormatting>
  <conditionalFormatting sqref="E27">
    <cfRule type="expression" dxfId="2435" priority="241">
      <formula>AND(IF(OR($Q27=1,$Q27=2),1,0),IF($X27&lt;=20,1,0))</formula>
    </cfRule>
    <cfRule type="expression" dxfId="2434" priority="242">
      <formula>AND(IF($Q27=2,1,0),IF($X27&lt;30,1,0))</formula>
    </cfRule>
    <cfRule type="expression" dxfId="2433" priority="243">
      <formula>AND(IF($Q27=3,1,0),IF($X27&lt;30,1,0))</formula>
    </cfRule>
    <cfRule type="expression" dxfId="2432" priority="244">
      <formula>AND(IF($Q27=3,1,IF($Q27=4,1,0)),IF($F27&lt;=85,1,0))</formula>
    </cfRule>
  </conditionalFormatting>
  <conditionalFormatting sqref="X27">
    <cfRule type="expression" dxfId="2431" priority="237">
      <formula>AND(IF(OR($Q27=1,$Q27=2),1,0),IF($X27&lt;=20,1,0))</formula>
    </cfRule>
    <cfRule type="expression" dxfId="2430" priority="238">
      <formula>AND(IF($Q27=2,1,0),IF($X27&lt;30,1,0))</formula>
    </cfRule>
    <cfRule type="expression" dxfId="2429" priority="239">
      <formula>AND(IF($Q27=3,1,0),IF($X27&lt;30,1,0))</formula>
    </cfRule>
    <cfRule type="expression" dxfId="2428" priority="240">
      <formula>AND(IF($Q27=3,1,IF($Q27=4,1,0)),IF($F27&lt;=85,1,0))</formula>
    </cfRule>
  </conditionalFormatting>
  <conditionalFormatting sqref="AI27">
    <cfRule type="expression" dxfId="2427" priority="233">
      <formula>AND(IF(OR($Q27=1,$Q27=2),1,0),IF($X27&lt;=20,1,0))</formula>
    </cfRule>
    <cfRule type="expression" dxfId="2426" priority="234">
      <formula>AND(IF($Q27=2,1,0),IF($X27&lt;30,1,0))</formula>
    </cfRule>
    <cfRule type="expression" dxfId="2425" priority="235">
      <formula>AND(IF($Q27=3,1,0),IF($X27&lt;30,1,0))</formula>
    </cfRule>
    <cfRule type="expression" dxfId="2424" priority="236">
      <formula>AND(IF($Q27=3,1,IF($Q27=4,1,0)),IF($F27&lt;=85,1,0))</formula>
    </cfRule>
  </conditionalFormatting>
  <conditionalFormatting sqref="AV28">
    <cfRule type="expression" dxfId="2423" priority="231">
      <formula>AV28="X"</formula>
    </cfRule>
    <cfRule type="expression" dxfId="2422" priority="232">
      <formula>AV28="후보"</formula>
    </cfRule>
  </conditionalFormatting>
  <conditionalFormatting sqref="AC28">
    <cfRule type="cellIs" dxfId="2421" priority="229" operator="greaterThan">
      <formula>0.9</formula>
    </cfRule>
    <cfRule type="cellIs" dxfId="2420" priority="230" operator="greaterThan">
      <formula>0.85</formula>
    </cfRule>
  </conditionalFormatting>
  <conditionalFormatting sqref="N28">
    <cfRule type="cellIs" dxfId="2419" priority="227" operator="greaterThan">
      <formula>0.9</formula>
    </cfRule>
    <cfRule type="cellIs" dxfId="2418" priority="228" operator="greaterThan">
      <formula>0.85</formula>
    </cfRule>
  </conditionalFormatting>
  <conditionalFormatting sqref="E28">
    <cfRule type="expression" dxfId="2417" priority="223">
      <formula>AND(IF(OR($Q28=1,$Q28=2),1,0),IF($X28&lt;=20,1,0))</formula>
    </cfRule>
    <cfRule type="expression" dxfId="2416" priority="224">
      <formula>AND(IF($Q28=2,1,0),IF($X28&lt;30,1,0))</formula>
    </cfRule>
    <cfRule type="expression" dxfId="2415" priority="225">
      <formula>AND(IF($Q28=3,1,0),IF($X28&lt;30,1,0))</formula>
    </cfRule>
    <cfRule type="expression" dxfId="2414" priority="226">
      <formula>AND(IF($Q28=3,1,IF($Q28=4,1,0)),IF($F28&lt;=85,1,0))</formula>
    </cfRule>
  </conditionalFormatting>
  <conditionalFormatting sqref="X28">
    <cfRule type="expression" dxfId="2413" priority="219">
      <formula>AND(IF(OR($Q28=1,$Q28=2),1,0),IF($X28&lt;=20,1,0))</formula>
    </cfRule>
    <cfRule type="expression" dxfId="2412" priority="220">
      <formula>AND(IF($Q28=2,1,0),IF($X28&lt;30,1,0))</formula>
    </cfRule>
    <cfRule type="expression" dxfId="2411" priority="221">
      <formula>AND(IF($Q28=3,1,0),IF($X28&lt;30,1,0))</formula>
    </cfRule>
    <cfRule type="expression" dxfId="2410" priority="222">
      <formula>AND(IF($Q28=3,1,IF($Q28=4,1,0)),IF($F28&lt;=85,1,0))</formula>
    </cfRule>
  </conditionalFormatting>
  <conditionalFormatting sqref="AI28">
    <cfRule type="expression" dxfId="2409" priority="215">
      <formula>AND(IF(OR($Q28=1,$Q28=2),1,0),IF($X28&lt;=20,1,0))</formula>
    </cfRule>
    <cfRule type="expression" dxfId="2408" priority="216">
      <formula>AND(IF($Q28=2,1,0),IF($X28&lt;30,1,0))</formula>
    </cfRule>
    <cfRule type="expression" dxfId="2407" priority="217">
      <formula>AND(IF($Q28=3,1,0),IF($X28&lt;30,1,0))</formula>
    </cfRule>
    <cfRule type="expression" dxfId="2406" priority="218">
      <formula>AND(IF($Q28=3,1,IF($Q28=4,1,0)),IF($F28&lt;=85,1,0))</formula>
    </cfRule>
  </conditionalFormatting>
  <conditionalFormatting sqref="AV29">
    <cfRule type="expression" dxfId="2405" priority="213">
      <formula>AV29="X"</formula>
    </cfRule>
    <cfRule type="expression" dxfId="2404" priority="214">
      <formula>AV29="후보"</formula>
    </cfRule>
  </conditionalFormatting>
  <conditionalFormatting sqref="AC29">
    <cfRule type="cellIs" dxfId="2403" priority="211" operator="greaterThan">
      <formula>0.9</formula>
    </cfRule>
    <cfRule type="cellIs" dxfId="2402" priority="212" operator="greaterThan">
      <formula>0.85</formula>
    </cfRule>
  </conditionalFormatting>
  <conditionalFormatting sqref="N29">
    <cfRule type="cellIs" dxfId="2401" priority="209" operator="greaterThan">
      <formula>0.9</formula>
    </cfRule>
    <cfRule type="cellIs" dxfId="2400" priority="210" operator="greaterThan">
      <formula>0.85</formula>
    </cfRule>
  </conditionalFormatting>
  <conditionalFormatting sqref="E29">
    <cfRule type="expression" dxfId="2399" priority="205">
      <formula>AND(IF(OR($Q29=1,$Q29=2),1,0),IF($X29&lt;=20,1,0))</formula>
    </cfRule>
    <cfRule type="expression" dxfId="2398" priority="206">
      <formula>AND(IF($Q29=2,1,0),IF($X29&lt;30,1,0))</formula>
    </cfRule>
    <cfRule type="expression" dxfId="2397" priority="207">
      <formula>AND(IF($Q29=3,1,0),IF($X29&lt;30,1,0))</formula>
    </cfRule>
    <cfRule type="expression" dxfId="2396" priority="208">
      <formula>AND(IF($Q29=3,1,IF($Q29=4,1,0)),IF($F29&lt;=85,1,0))</formula>
    </cfRule>
  </conditionalFormatting>
  <conditionalFormatting sqref="X29">
    <cfRule type="expression" dxfId="2395" priority="201">
      <formula>AND(IF(OR($Q29=1,$Q29=2),1,0),IF($X29&lt;=20,1,0))</formula>
    </cfRule>
    <cfRule type="expression" dxfId="2394" priority="202">
      <formula>AND(IF($Q29=2,1,0),IF($X29&lt;30,1,0))</formula>
    </cfRule>
    <cfRule type="expression" dxfId="2393" priority="203">
      <formula>AND(IF($Q29=3,1,0),IF($X29&lt;30,1,0))</formula>
    </cfRule>
    <cfRule type="expression" dxfId="2392" priority="204">
      <formula>AND(IF($Q29=3,1,IF($Q29=4,1,0)),IF($F29&lt;=85,1,0))</formula>
    </cfRule>
  </conditionalFormatting>
  <conditionalFormatting sqref="AI29">
    <cfRule type="expression" dxfId="2391" priority="197">
      <formula>AND(IF(OR($Q29=1,$Q29=2),1,0),IF($X29&lt;=20,1,0))</formula>
    </cfRule>
    <cfRule type="expression" dxfId="2390" priority="198">
      <formula>AND(IF($Q29=2,1,0),IF($X29&lt;30,1,0))</formula>
    </cfRule>
    <cfRule type="expression" dxfId="2389" priority="199">
      <formula>AND(IF($Q29=3,1,0),IF($X29&lt;30,1,0))</formula>
    </cfRule>
    <cfRule type="expression" dxfId="2388" priority="200">
      <formula>AND(IF($Q29=3,1,IF($Q29=4,1,0)),IF($F29&lt;=85,1,0))</formula>
    </cfRule>
  </conditionalFormatting>
  <conditionalFormatting sqref="AV30">
    <cfRule type="expression" dxfId="2387" priority="195">
      <formula>AV30="X"</formula>
    </cfRule>
    <cfRule type="expression" dxfId="2386" priority="196">
      <formula>AV30="후보"</formula>
    </cfRule>
  </conditionalFormatting>
  <conditionalFormatting sqref="AC30 N30">
    <cfRule type="cellIs" dxfId="2385" priority="193" operator="greaterThan">
      <formula>0.9</formula>
    </cfRule>
    <cfRule type="cellIs" dxfId="2384" priority="194" operator="greaterThan">
      <formula>0.85</formula>
    </cfRule>
  </conditionalFormatting>
  <conditionalFormatting sqref="AV31">
    <cfRule type="expression" dxfId="2383" priority="191">
      <formula>AV31="X"</formula>
    </cfRule>
    <cfRule type="expression" dxfId="2382" priority="192">
      <formula>AV31="후보"</formula>
    </cfRule>
  </conditionalFormatting>
  <conditionalFormatting sqref="AC31">
    <cfRule type="cellIs" dxfId="2381" priority="189" operator="greaterThan">
      <formula>0.9</formula>
    </cfRule>
    <cfRule type="cellIs" dxfId="2380" priority="190" operator="greaterThan">
      <formula>0.85</formula>
    </cfRule>
  </conditionalFormatting>
  <conditionalFormatting sqref="N31">
    <cfRule type="cellIs" dxfId="2379" priority="187" operator="greaterThan">
      <formula>0.9</formula>
    </cfRule>
    <cfRule type="cellIs" dxfId="2378" priority="188" operator="greaterThan">
      <formula>0.85</formula>
    </cfRule>
  </conditionalFormatting>
  <conditionalFormatting sqref="E31">
    <cfRule type="expression" dxfId="2377" priority="183">
      <formula>AND(IF(OR($Q31=1,$Q31=2),1,0),IF($X31&lt;=20,1,0))</formula>
    </cfRule>
    <cfRule type="expression" dxfId="2376" priority="184">
      <formula>AND(IF($Q31=2,1,0),IF($X31&lt;30,1,0))</formula>
    </cfRule>
    <cfRule type="expression" dxfId="2375" priority="185">
      <formula>AND(IF($Q31=3,1,0),IF($X31&lt;30,1,0))</formula>
    </cfRule>
    <cfRule type="expression" dxfId="2374" priority="186">
      <formula>AND(IF($Q31=3,1,IF($Q31=4,1,0)),IF($F31&lt;=85,1,0))</formula>
    </cfRule>
  </conditionalFormatting>
  <conditionalFormatting sqref="X31">
    <cfRule type="expression" dxfId="2373" priority="179">
      <formula>AND(IF(OR($Q31=1,$Q31=2),1,0),IF($X31&lt;=20,1,0))</formula>
    </cfRule>
    <cfRule type="expression" dxfId="2372" priority="180">
      <formula>AND(IF($Q31=2,1,0),IF($X31&lt;30,1,0))</formula>
    </cfRule>
    <cfRule type="expression" dxfId="2371" priority="181">
      <formula>AND(IF($Q31=3,1,0),IF($X31&lt;30,1,0))</formula>
    </cfRule>
    <cfRule type="expression" dxfId="2370" priority="182">
      <formula>AND(IF($Q31=3,1,IF($Q31=4,1,0)),IF($F31&lt;=85,1,0))</formula>
    </cfRule>
  </conditionalFormatting>
  <conditionalFormatting sqref="AI31">
    <cfRule type="expression" dxfId="2369" priority="175">
      <formula>AND(IF(OR($Q31=1,$Q31=2),1,0),IF($X31&lt;=20,1,0))</formula>
    </cfRule>
    <cfRule type="expression" dxfId="2368" priority="176">
      <formula>AND(IF($Q31=2,1,0),IF($X31&lt;30,1,0))</formula>
    </cfRule>
    <cfRule type="expression" dxfId="2367" priority="177">
      <formula>AND(IF($Q31=3,1,0),IF($X31&lt;30,1,0))</formula>
    </cfRule>
    <cfRule type="expression" dxfId="2366" priority="178">
      <formula>AND(IF($Q31=3,1,IF($Q31=4,1,0)),IF($F31&lt;=85,1,0))</formula>
    </cfRule>
  </conditionalFormatting>
  <conditionalFormatting sqref="AV32">
    <cfRule type="expression" dxfId="2365" priority="173">
      <formula>AV32="X"</formula>
    </cfRule>
    <cfRule type="expression" dxfId="2364" priority="174">
      <formula>AV32="후보"</formula>
    </cfRule>
  </conditionalFormatting>
  <conditionalFormatting sqref="AC32">
    <cfRule type="cellIs" dxfId="2363" priority="171" operator="greaterThan">
      <formula>0.9</formula>
    </cfRule>
    <cfRule type="cellIs" dxfId="2362" priority="172" operator="greaterThan">
      <formula>0.85</formula>
    </cfRule>
  </conditionalFormatting>
  <conditionalFormatting sqref="N32">
    <cfRule type="cellIs" dxfId="2361" priority="169" operator="greaterThan">
      <formula>0.9</formula>
    </cfRule>
    <cfRule type="cellIs" dxfId="2360" priority="170" operator="greaterThan">
      <formula>0.85</formula>
    </cfRule>
  </conditionalFormatting>
  <conditionalFormatting sqref="E32">
    <cfRule type="expression" dxfId="2359" priority="165">
      <formula>AND(IF(OR($Q32=1,$Q32=2),1,0),IF($X32&lt;=20,1,0))</formula>
    </cfRule>
    <cfRule type="expression" dxfId="2358" priority="166">
      <formula>AND(IF($Q32=2,1,0),IF($X32&lt;30,1,0))</formula>
    </cfRule>
    <cfRule type="expression" dxfId="2357" priority="167">
      <formula>AND(IF($Q32=3,1,0),IF($X32&lt;30,1,0))</formula>
    </cfRule>
    <cfRule type="expression" dxfId="2356" priority="168">
      <formula>AND(IF($Q32=3,1,IF($Q32=4,1,0)),IF($F32&lt;=85,1,0))</formula>
    </cfRule>
  </conditionalFormatting>
  <conditionalFormatting sqref="X32">
    <cfRule type="expression" dxfId="2355" priority="161">
      <formula>AND(IF(OR($Q32=1,$Q32=2),1,0),IF($X32&lt;=20,1,0))</formula>
    </cfRule>
    <cfRule type="expression" dxfId="2354" priority="162">
      <formula>AND(IF($Q32=2,1,0),IF($X32&lt;30,1,0))</formula>
    </cfRule>
    <cfRule type="expression" dxfId="2353" priority="163">
      <formula>AND(IF($Q32=3,1,0),IF($X32&lt;30,1,0))</formula>
    </cfRule>
    <cfRule type="expression" dxfId="2352" priority="164">
      <formula>AND(IF($Q32=3,1,IF($Q32=4,1,0)),IF($F32&lt;=85,1,0))</formula>
    </cfRule>
  </conditionalFormatting>
  <conditionalFormatting sqref="AI32">
    <cfRule type="expression" dxfId="2351" priority="157">
      <formula>AND(IF(OR($Q32=1,$Q32=2),1,0),IF($X32&lt;=20,1,0))</formula>
    </cfRule>
    <cfRule type="expression" dxfId="2350" priority="158">
      <formula>AND(IF($Q32=2,1,0),IF($X32&lt;30,1,0))</formula>
    </cfRule>
    <cfRule type="expression" dxfId="2349" priority="159">
      <formula>AND(IF($Q32=3,1,0),IF($X32&lt;30,1,0))</formula>
    </cfRule>
    <cfRule type="expression" dxfId="2348" priority="160">
      <formula>AND(IF($Q32=3,1,IF($Q32=4,1,0)),IF($F32&lt;=85,1,0))</formula>
    </cfRule>
  </conditionalFormatting>
  <conditionalFormatting sqref="AV33">
    <cfRule type="expression" dxfId="2347" priority="155">
      <formula>AV33="X"</formula>
    </cfRule>
    <cfRule type="expression" dxfId="2346" priority="156">
      <formula>AV33="후보"</formula>
    </cfRule>
  </conditionalFormatting>
  <conditionalFormatting sqref="AC33 N33">
    <cfRule type="cellIs" dxfId="2345" priority="153" operator="greaterThan">
      <formula>0.9</formula>
    </cfRule>
    <cfRule type="cellIs" dxfId="2344" priority="154" operator="greaterThan">
      <formula>0.85</formula>
    </cfRule>
  </conditionalFormatting>
  <conditionalFormatting sqref="AV34">
    <cfRule type="expression" dxfId="2343" priority="151">
      <formula>AV34="X"</formula>
    </cfRule>
    <cfRule type="expression" dxfId="2342" priority="152">
      <formula>AV34="후보"</formula>
    </cfRule>
  </conditionalFormatting>
  <conditionalFormatting sqref="AC34">
    <cfRule type="cellIs" dxfId="2341" priority="149" operator="greaterThan">
      <formula>0.9</formula>
    </cfRule>
    <cfRule type="cellIs" dxfId="2340" priority="150" operator="greaterThan">
      <formula>0.85</formula>
    </cfRule>
  </conditionalFormatting>
  <conditionalFormatting sqref="N34">
    <cfRule type="cellIs" dxfId="2339" priority="147" operator="greaterThan">
      <formula>0.9</formula>
    </cfRule>
    <cfRule type="cellIs" dxfId="2338" priority="148" operator="greaterThan">
      <formula>0.85</formula>
    </cfRule>
  </conditionalFormatting>
  <conditionalFormatting sqref="E34">
    <cfRule type="expression" dxfId="2337" priority="143">
      <formula>AND(IF(OR($Q34=1,$Q34=2),1,0),IF($X34&lt;=20,1,0))</formula>
    </cfRule>
    <cfRule type="expression" dxfId="2336" priority="144">
      <formula>AND(IF($Q34=2,1,0),IF($X34&lt;30,1,0))</formula>
    </cfRule>
    <cfRule type="expression" dxfId="2335" priority="145">
      <formula>AND(IF($Q34=3,1,0),IF($X34&lt;30,1,0))</formula>
    </cfRule>
    <cfRule type="expression" dxfId="2334" priority="146">
      <formula>AND(IF($Q34=3,1,IF($Q34=4,1,0)),IF($F34&lt;=85,1,0))</formula>
    </cfRule>
  </conditionalFormatting>
  <conditionalFormatting sqref="X34">
    <cfRule type="expression" dxfId="2333" priority="139">
      <formula>AND(IF(OR($Q34=1,$Q34=2),1,0),IF($X34&lt;=20,1,0))</formula>
    </cfRule>
    <cfRule type="expression" dxfId="2332" priority="140">
      <formula>AND(IF($Q34=2,1,0),IF($X34&lt;30,1,0))</formula>
    </cfRule>
    <cfRule type="expression" dxfId="2331" priority="141">
      <formula>AND(IF($Q34=3,1,0),IF($X34&lt;30,1,0))</formula>
    </cfRule>
    <cfRule type="expression" dxfId="2330" priority="142">
      <formula>AND(IF($Q34=3,1,IF($Q34=4,1,0)),IF($F34&lt;=85,1,0))</formula>
    </cfRule>
  </conditionalFormatting>
  <conditionalFormatting sqref="AI34">
    <cfRule type="expression" dxfId="2329" priority="135">
      <formula>AND(IF(OR($Q34=1,$Q34=2),1,0),IF($X34&lt;=20,1,0))</formula>
    </cfRule>
    <cfRule type="expression" dxfId="2328" priority="136">
      <formula>AND(IF($Q34=2,1,0),IF($X34&lt;30,1,0))</formula>
    </cfRule>
    <cfRule type="expression" dxfId="2327" priority="137">
      <formula>AND(IF($Q34=3,1,0),IF($X34&lt;30,1,0))</formula>
    </cfRule>
    <cfRule type="expression" dxfId="2326" priority="138">
      <formula>AND(IF($Q34=3,1,IF($Q34=4,1,0)),IF($F34&lt;=85,1,0))</formula>
    </cfRule>
  </conditionalFormatting>
  <conditionalFormatting sqref="AV35">
    <cfRule type="expression" dxfId="2325" priority="133">
      <formula>AV35="X"</formula>
    </cfRule>
    <cfRule type="expression" dxfId="2324" priority="134">
      <formula>AV35="후보"</formula>
    </cfRule>
  </conditionalFormatting>
  <conditionalFormatting sqref="AC35">
    <cfRule type="cellIs" dxfId="2323" priority="131" operator="greaterThan">
      <formula>0.9</formula>
    </cfRule>
    <cfRule type="cellIs" dxfId="2322" priority="132" operator="greaterThan">
      <formula>0.85</formula>
    </cfRule>
  </conditionalFormatting>
  <conditionalFormatting sqref="N35">
    <cfRule type="cellIs" dxfId="2321" priority="129" operator="greaterThan">
      <formula>0.9</formula>
    </cfRule>
    <cfRule type="cellIs" dxfId="2320" priority="130" operator="greaterThan">
      <formula>0.85</formula>
    </cfRule>
  </conditionalFormatting>
  <conditionalFormatting sqref="E35">
    <cfRule type="expression" dxfId="2319" priority="125">
      <formula>AND(IF(OR($Q35=1,$Q35=2),1,0),IF($X35&lt;=20,1,0))</formula>
    </cfRule>
    <cfRule type="expression" dxfId="2318" priority="126">
      <formula>AND(IF($Q35=2,1,0),IF($X35&lt;30,1,0))</formula>
    </cfRule>
    <cfRule type="expression" dxfId="2317" priority="127">
      <formula>AND(IF($Q35=3,1,0),IF($X35&lt;30,1,0))</formula>
    </cfRule>
    <cfRule type="expression" dxfId="2316" priority="128">
      <formula>AND(IF($Q35=3,1,IF($Q35=4,1,0)),IF($F35&lt;=85,1,0))</formula>
    </cfRule>
  </conditionalFormatting>
  <conditionalFormatting sqref="X35">
    <cfRule type="expression" dxfId="2315" priority="121">
      <formula>AND(IF(OR($Q35=1,$Q35=2),1,0),IF($X35&lt;=20,1,0))</formula>
    </cfRule>
    <cfRule type="expression" dxfId="2314" priority="122">
      <formula>AND(IF($Q35=2,1,0),IF($X35&lt;30,1,0))</formula>
    </cfRule>
    <cfRule type="expression" dxfId="2313" priority="123">
      <formula>AND(IF($Q35=3,1,0),IF($X35&lt;30,1,0))</formula>
    </cfRule>
    <cfRule type="expression" dxfId="2312" priority="124">
      <formula>AND(IF($Q35=3,1,IF($Q35=4,1,0)),IF($F35&lt;=85,1,0))</formula>
    </cfRule>
  </conditionalFormatting>
  <conditionalFormatting sqref="AI35">
    <cfRule type="expression" dxfId="2311" priority="117">
      <formula>AND(IF(OR($Q35=1,$Q35=2),1,0),IF($X35&lt;=20,1,0))</formula>
    </cfRule>
    <cfRule type="expression" dxfId="2310" priority="118">
      <formula>AND(IF($Q35=2,1,0),IF($X35&lt;30,1,0))</formula>
    </cfRule>
    <cfRule type="expression" dxfId="2309" priority="119">
      <formula>AND(IF($Q35=3,1,0),IF($X35&lt;30,1,0))</formula>
    </cfRule>
    <cfRule type="expression" dxfId="2308" priority="120">
      <formula>AND(IF($Q35=3,1,IF($Q35=4,1,0)),IF($F35&lt;=85,1,0))</formula>
    </cfRule>
  </conditionalFormatting>
  <conditionalFormatting sqref="AV36">
    <cfRule type="expression" dxfId="2307" priority="115">
      <formula>AV36="X"</formula>
    </cfRule>
    <cfRule type="expression" dxfId="2306" priority="116">
      <formula>AV36="후보"</formula>
    </cfRule>
  </conditionalFormatting>
  <conditionalFormatting sqref="AC36">
    <cfRule type="cellIs" dxfId="2305" priority="113" operator="greaterThan">
      <formula>0.9</formula>
    </cfRule>
    <cfRule type="cellIs" dxfId="2304" priority="114" operator="greaterThan">
      <formula>0.85</formula>
    </cfRule>
  </conditionalFormatting>
  <conditionalFormatting sqref="N36">
    <cfRule type="cellIs" dxfId="2303" priority="111" operator="greaterThan">
      <formula>0.9</formula>
    </cfRule>
    <cfRule type="cellIs" dxfId="2302" priority="112" operator="greaterThan">
      <formula>0.85</formula>
    </cfRule>
  </conditionalFormatting>
  <conditionalFormatting sqref="E36">
    <cfRule type="expression" dxfId="2301" priority="107">
      <formula>AND(IF(OR($Q36=1,$Q36=2),1,0),IF($X36&lt;=20,1,0))</formula>
    </cfRule>
    <cfRule type="expression" dxfId="2300" priority="108">
      <formula>AND(IF($Q36=2,1,0),IF($X36&lt;30,1,0))</formula>
    </cfRule>
    <cfRule type="expression" dxfId="2299" priority="109">
      <formula>AND(IF($Q36=3,1,0),IF($X36&lt;30,1,0))</formula>
    </cfRule>
    <cfRule type="expression" dxfId="2298" priority="110">
      <formula>AND(IF($Q36=3,1,IF($Q36=4,1,0)),IF($F36&lt;=85,1,0))</formula>
    </cfRule>
  </conditionalFormatting>
  <conditionalFormatting sqref="X36">
    <cfRule type="expression" dxfId="2297" priority="103">
      <formula>AND(IF(OR($Q36=1,$Q36=2),1,0),IF($X36&lt;=20,1,0))</formula>
    </cfRule>
    <cfRule type="expression" dxfId="2296" priority="104">
      <formula>AND(IF($Q36=2,1,0),IF($X36&lt;30,1,0))</formula>
    </cfRule>
    <cfRule type="expression" dxfId="2295" priority="105">
      <formula>AND(IF($Q36=3,1,0),IF($X36&lt;30,1,0))</formula>
    </cfRule>
    <cfRule type="expression" dxfId="2294" priority="106">
      <formula>AND(IF($Q36=3,1,IF($Q36=4,1,0)),IF($F36&lt;=85,1,0))</formula>
    </cfRule>
  </conditionalFormatting>
  <conditionalFormatting sqref="AI36">
    <cfRule type="expression" dxfId="2293" priority="99">
      <formula>AND(IF(OR($Q36=1,$Q36=2),1,0),IF($X36&lt;=20,1,0))</formula>
    </cfRule>
    <cfRule type="expression" dxfId="2292" priority="100">
      <formula>AND(IF($Q36=2,1,0),IF($X36&lt;30,1,0))</formula>
    </cfRule>
    <cfRule type="expression" dxfId="2291" priority="101">
      <formula>AND(IF($Q36=3,1,0),IF($X36&lt;30,1,0))</formula>
    </cfRule>
    <cfRule type="expression" dxfId="2290" priority="102">
      <formula>AND(IF($Q36=3,1,IF($Q36=4,1,0)),IF($F36&lt;=85,1,0))</formula>
    </cfRule>
  </conditionalFormatting>
  <conditionalFormatting sqref="AV37">
    <cfRule type="expression" dxfId="2289" priority="97">
      <formula>AV37="X"</formula>
    </cfRule>
    <cfRule type="expression" dxfId="2288" priority="98">
      <formula>AV37="후보"</formula>
    </cfRule>
  </conditionalFormatting>
  <conditionalFormatting sqref="AC37 N37">
    <cfRule type="cellIs" dxfId="2287" priority="95" operator="greaterThan">
      <formula>0.9</formula>
    </cfRule>
    <cfRule type="cellIs" dxfId="2286" priority="96" operator="greaterThan">
      <formula>0.85</formula>
    </cfRule>
  </conditionalFormatting>
  <conditionalFormatting sqref="AV38">
    <cfRule type="expression" dxfId="2285" priority="93">
      <formula>AV38="X"</formula>
    </cfRule>
    <cfRule type="expression" dxfId="2284" priority="94">
      <formula>AV38="후보"</formula>
    </cfRule>
  </conditionalFormatting>
  <conditionalFormatting sqref="AC38">
    <cfRule type="cellIs" dxfId="2283" priority="91" operator="greaterThan">
      <formula>0.9</formula>
    </cfRule>
    <cfRule type="cellIs" dxfId="2282" priority="92" operator="greaterThan">
      <formula>0.85</formula>
    </cfRule>
  </conditionalFormatting>
  <conditionalFormatting sqref="N38">
    <cfRule type="cellIs" dxfId="2281" priority="89" operator="greaterThan">
      <formula>0.9</formula>
    </cfRule>
    <cfRule type="cellIs" dxfId="2280" priority="90" operator="greaterThan">
      <formula>0.85</formula>
    </cfRule>
  </conditionalFormatting>
  <conditionalFormatting sqref="E38">
    <cfRule type="expression" dxfId="2279" priority="85">
      <formula>AND(IF(OR($Q38=1,$Q38=2),1,0),IF($X38&lt;=20,1,0))</formula>
    </cfRule>
    <cfRule type="expression" dxfId="2278" priority="86">
      <formula>AND(IF($Q38=2,1,0),IF($X38&lt;30,1,0))</formula>
    </cfRule>
    <cfRule type="expression" dxfId="2277" priority="87">
      <formula>AND(IF($Q38=3,1,0),IF($X38&lt;30,1,0))</formula>
    </cfRule>
    <cfRule type="expression" dxfId="2276" priority="88">
      <formula>AND(IF($Q38=3,1,IF($Q38=4,1,0)),IF($F38&lt;=85,1,0))</formula>
    </cfRule>
  </conditionalFormatting>
  <conditionalFormatting sqref="X38">
    <cfRule type="expression" dxfId="2275" priority="81">
      <formula>AND(IF(OR($Q38=1,$Q38=2),1,0),IF($X38&lt;=20,1,0))</formula>
    </cfRule>
    <cfRule type="expression" dxfId="2274" priority="82">
      <formula>AND(IF($Q38=2,1,0),IF($X38&lt;30,1,0))</formula>
    </cfRule>
    <cfRule type="expression" dxfId="2273" priority="83">
      <formula>AND(IF($Q38=3,1,0),IF($X38&lt;30,1,0))</formula>
    </cfRule>
    <cfRule type="expression" dxfId="2272" priority="84">
      <formula>AND(IF($Q38=3,1,IF($Q38=4,1,0)),IF($F38&lt;=85,1,0))</formula>
    </cfRule>
  </conditionalFormatting>
  <conditionalFormatting sqref="AI38">
    <cfRule type="expression" dxfId="2271" priority="77">
      <formula>AND(IF(OR($Q38=1,$Q38=2),1,0),IF($X38&lt;=20,1,0))</formula>
    </cfRule>
    <cfRule type="expression" dxfId="2270" priority="78">
      <formula>AND(IF($Q38=2,1,0),IF($X38&lt;30,1,0))</formula>
    </cfRule>
    <cfRule type="expression" dxfId="2269" priority="79">
      <formula>AND(IF($Q38=3,1,0),IF($X38&lt;30,1,0))</formula>
    </cfRule>
    <cfRule type="expression" dxfId="2268" priority="80">
      <formula>AND(IF($Q38=3,1,IF($Q38=4,1,0)),IF($F38&lt;=85,1,0))</formula>
    </cfRule>
  </conditionalFormatting>
  <conditionalFormatting sqref="AV39">
    <cfRule type="expression" dxfId="2267" priority="75">
      <formula>AV39="X"</formula>
    </cfRule>
    <cfRule type="expression" dxfId="2266" priority="76">
      <formula>AV39="후보"</formula>
    </cfRule>
  </conditionalFormatting>
  <conditionalFormatting sqref="AC39">
    <cfRule type="cellIs" dxfId="2265" priority="73" operator="greaterThan">
      <formula>0.9</formula>
    </cfRule>
    <cfRule type="cellIs" dxfId="2264" priority="74" operator="greaterThan">
      <formula>0.85</formula>
    </cfRule>
  </conditionalFormatting>
  <conditionalFormatting sqref="N39">
    <cfRule type="cellIs" dxfId="2263" priority="71" operator="greaterThan">
      <formula>0.9</formula>
    </cfRule>
    <cfRule type="cellIs" dxfId="2262" priority="72" operator="greaterThan">
      <formula>0.85</formula>
    </cfRule>
  </conditionalFormatting>
  <conditionalFormatting sqref="E39">
    <cfRule type="expression" dxfId="2261" priority="67">
      <formula>AND(IF(OR($Q39=1,$Q39=2),1,0),IF($X39&lt;=20,1,0))</formula>
    </cfRule>
    <cfRule type="expression" dxfId="2260" priority="68">
      <formula>AND(IF($Q39=2,1,0),IF($X39&lt;30,1,0))</formula>
    </cfRule>
    <cfRule type="expression" dxfId="2259" priority="69">
      <formula>AND(IF($Q39=3,1,0),IF($X39&lt;30,1,0))</formula>
    </cfRule>
    <cfRule type="expression" dxfId="2258" priority="70">
      <formula>AND(IF($Q39=3,1,IF($Q39=4,1,0)),IF($F39&lt;=85,1,0))</formula>
    </cfRule>
  </conditionalFormatting>
  <conditionalFormatting sqref="X39">
    <cfRule type="expression" dxfId="2257" priority="63">
      <formula>AND(IF(OR($Q39=1,$Q39=2),1,0),IF($X39&lt;=20,1,0))</formula>
    </cfRule>
    <cfRule type="expression" dxfId="2256" priority="64">
      <formula>AND(IF($Q39=2,1,0),IF($X39&lt;30,1,0))</formula>
    </cfRule>
    <cfRule type="expression" dxfId="2255" priority="65">
      <formula>AND(IF($Q39=3,1,0),IF($X39&lt;30,1,0))</formula>
    </cfRule>
    <cfRule type="expression" dxfId="2254" priority="66">
      <formula>AND(IF($Q39=3,1,IF($Q39=4,1,0)),IF($F39&lt;=85,1,0))</formula>
    </cfRule>
  </conditionalFormatting>
  <conditionalFormatting sqref="AI39">
    <cfRule type="expression" dxfId="2253" priority="59">
      <formula>AND(IF(OR($Q39=1,$Q39=2),1,0),IF($X39&lt;=20,1,0))</formula>
    </cfRule>
    <cfRule type="expression" dxfId="2252" priority="60">
      <formula>AND(IF($Q39=2,1,0),IF($X39&lt;30,1,0))</formula>
    </cfRule>
    <cfRule type="expression" dxfId="2251" priority="61">
      <formula>AND(IF($Q39=3,1,0),IF($X39&lt;30,1,0))</formula>
    </cfRule>
    <cfRule type="expression" dxfId="2250" priority="62">
      <formula>AND(IF($Q39=3,1,IF($Q39=4,1,0)),IF($F39&lt;=85,1,0))</formula>
    </cfRule>
  </conditionalFormatting>
  <conditionalFormatting sqref="AV40">
    <cfRule type="expression" dxfId="2249" priority="57">
      <formula>AV40="X"</formula>
    </cfRule>
    <cfRule type="expression" dxfId="2248" priority="58">
      <formula>AV40="후보"</formula>
    </cfRule>
  </conditionalFormatting>
  <conditionalFormatting sqref="AC40 N40">
    <cfRule type="cellIs" dxfId="2247" priority="55" operator="greaterThan">
      <formula>0.9</formula>
    </cfRule>
    <cfRule type="cellIs" dxfId="2246" priority="56" operator="greaterThan">
      <formula>0.85</formula>
    </cfRule>
  </conditionalFormatting>
  <conditionalFormatting sqref="AV41">
    <cfRule type="expression" dxfId="2245" priority="53">
      <formula>AV41="X"</formula>
    </cfRule>
    <cfRule type="expression" dxfId="2244" priority="54">
      <formula>AV41="후보"</formula>
    </cfRule>
  </conditionalFormatting>
  <conditionalFormatting sqref="AC41">
    <cfRule type="cellIs" dxfId="2243" priority="51" operator="greaterThan">
      <formula>0.9</formula>
    </cfRule>
    <cfRule type="cellIs" dxfId="2242" priority="52" operator="greaterThan">
      <formula>0.85</formula>
    </cfRule>
  </conditionalFormatting>
  <conditionalFormatting sqref="N41">
    <cfRule type="cellIs" dxfId="2241" priority="49" operator="greaterThan">
      <formula>0.9</formula>
    </cfRule>
    <cfRule type="cellIs" dxfId="2240" priority="50" operator="greaterThan">
      <formula>0.85</formula>
    </cfRule>
  </conditionalFormatting>
  <conditionalFormatting sqref="E41">
    <cfRule type="expression" dxfId="2239" priority="45">
      <formula>AND(IF(OR($Q41=1,$Q41=2),1,0),IF($X41&lt;=20,1,0))</formula>
    </cfRule>
    <cfRule type="expression" dxfId="2238" priority="46">
      <formula>AND(IF($Q41=2,1,0),IF($X41&lt;30,1,0))</formula>
    </cfRule>
    <cfRule type="expression" dxfId="2237" priority="47">
      <formula>AND(IF($Q41=3,1,0),IF($X41&lt;30,1,0))</formula>
    </cfRule>
    <cfRule type="expression" dxfId="2236" priority="48">
      <formula>AND(IF($Q41=3,1,IF($Q41=4,1,0)),IF($F41&lt;=85,1,0))</formula>
    </cfRule>
  </conditionalFormatting>
  <conditionalFormatting sqref="X41">
    <cfRule type="expression" dxfId="2235" priority="41">
      <formula>AND(IF(OR($Q41=1,$Q41=2),1,0),IF($X41&lt;=20,1,0))</formula>
    </cfRule>
    <cfRule type="expression" dxfId="2234" priority="42">
      <formula>AND(IF($Q41=2,1,0),IF($X41&lt;30,1,0))</formula>
    </cfRule>
    <cfRule type="expression" dxfId="2233" priority="43">
      <formula>AND(IF($Q41=3,1,0),IF($X41&lt;30,1,0))</formula>
    </cfRule>
    <cfRule type="expression" dxfId="2232" priority="44">
      <formula>AND(IF($Q41=3,1,IF($Q41=4,1,0)),IF($F41&lt;=85,1,0))</formula>
    </cfRule>
  </conditionalFormatting>
  <conditionalFormatting sqref="AI41">
    <cfRule type="expression" dxfId="2231" priority="37">
      <formula>AND(IF(OR($Q41=1,$Q41=2),1,0),IF($X41&lt;=20,1,0))</formula>
    </cfRule>
    <cfRule type="expression" dxfId="2230" priority="38">
      <formula>AND(IF($Q41=2,1,0),IF($X41&lt;30,1,0))</formula>
    </cfRule>
    <cfRule type="expression" dxfId="2229" priority="39">
      <formula>AND(IF($Q41=3,1,0),IF($X41&lt;30,1,0))</formula>
    </cfRule>
    <cfRule type="expression" dxfId="2228" priority="40">
      <formula>AND(IF($Q41=3,1,IF($Q41=4,1,0)),IF($F41&lt;=85,1,0))</formula>
    </cfRule>
  </conditionalFormatting>
  <conditionalFormatting sqref="AV42">
    <cfRule type="expression" dxfId="2227" priority="35">
      <formula>AV42="X"</formula>
    </cfRule>
    <cfRule type="expression" dxfId="2226" priority="36">
      <formula>AV42="후보"</formula>
    </cfRule>
  </conditionalFormatting>
  <conditionalFormatting sqref="AC42">
    <cfRule type="cellIs" dxfId="2225" priority="33" operator="greaterThan">
      <formula>0.9</formula>
    </cfRule>
    <cfRule type="cellIs" dxfId="2224" priority="34" operator="greaterThan">
      <formula>0.85</formula>
    </cfRule>
  </conditionalFormatting>
  <conditionalFormatting sqref="N42">
    <cfRule type="cellIs" dxfId="2223" priority="31" operator="greaterThan">
      <formula>0.9</formula>
    </cfRule>
    <cfRule type="cellIs" dxfId="2222" priority="32" operator="greaterThan">
      <formula>0.85</formula>
    </cfRule>
  </conditionalFormatting>
  <conditionalFormatting sqref="E42">
    <cfRule type="expression" dxfId="2221" priority="27">
      <formula>AND(IF(OR($Q42=1,$Q42=2),1,0),IF($X42&lt;=20,1,0))</formula>
    </cfRule>
    <cfRule type="expression" dxfId="2220" priority="28">
      <formula>AND(IF($Q42=2,1,0),IF($X42&lt;30,1,0))</formula>
    </cfRule>
    <cfRule type="expression" dxfId="2219" priority="29">
      <formula>AND(IF($Q42=3,1,0),IF($X42&lt;30,1,0))</formula>
    </cfRule>
    <cfRule type="expression" dxfId="2218" priority="30">
      <formula>AND(IF($Q42=3,1,IF($Q42=4,1,0)),IF($F42&lt;=85,1,0))</formula>
    </cfRule>
  </conditionalFormatting>
  <conditionalFormatting sqref="X42">
    <cfRule type="expression" dxfId="2217" priority="23">
      <formula>AND(IF(OR($Q42=1,$Q42=2),1,0),IF($X42&lt;=20,1,0))</formula>
    </cfRule>
    <cfRule type="expression" dxfId="2216" priority="24">
      <formula>AND(IF($Q42=2,1,0),IF($X42&lt;30,1,0))</formula>
    </cfRule>
    <cfRule type="expression" dxfId="2215" priority="25">
      <formula>AND(IF($Q42=3,1,0),IF($X42&lt;30,1,0))</formula>
    </cfRule>
    <cfRule type="expression" dxfId="2214" priority="26">
      <formula>AND(IF($Q42=3,1,IF($Q42=4,1,0)),IF($F42&lt;=85,1,0))</formula>
    </cfRule>
  </conditionalFormatting>
  <conditionalFormatting sqref="AI42">
    <cfRule type="expression" dxfId="2213" priority="19">
      <formula>AND(IF(OR($Q42=1,$Q42=2),1,0),IF($X42&lt;=20,1,0))</formula>
    </cfRule>
    <cfRule type="expression" dxfId="2212" priority="20">
      <formula>AND(IF($Q42=2,1,0),IF($X42&lt;30,1,0))</formula>
    </cfRule>
    <cfRule type="expression" dxfId="2211" priority="21">
      <formula>AND(IF($Q42=3,1,0),IF($X42&lt;30,1,0))</formula>
    </cfRule>
    <cfRule type="expression" dxfId="2210" priority="22">
      <formula>AND(IF($Q42=3,1,IF($Q42=4,1,0)),IF($F42&lt;=85,1,0))</formula>
    </cfRule>
  </conditionalFormatting>
  <conditionalFormatting sqref="AV43">
    <cfRule type="expression" dxfId="2209" priority="17">
      <formula>AV43="X"</formula>
    </cfRule>
    <cfRule type="expression" dxfId="2208" priority="18">
      <formula>AV43="후보"</formula>
    </cfRule>
  </conditionalFormatting>
  <conditionalFormatting sqref="AC43">
    <cfRule type="cellIs" dxfId="2207" priority="15" operator="greaterThan">
      <formula>0.9</formula>
    </cfRule>
    <cfRule type="cellIs" dxfId="2206" priority="16" operator="greaterThan">
      <formula>0.85</formula>
    </cfRule>
  </conditionalFormatting>
  <conditionalFormatting sqref="N43">
    <cfRule type="cellIs" dxfId="2205" priority="13" operator="greaterThan">
      <formula>0.9</formula>
    </cfRule>
    <cfRule type="cellIs" dxfId="2204" priority="14" operator="greaterThan">
      <formula>0.85</formula>
    </cfRule>
  </conditionalFormatting>
  <conditionalFormatting sqref="E43">
    <cfRule type="expression" dxfId="2203" priority="9">
      <formula>AND(IF(OR($Q43=1,$Q43=2),1,0),IF($X43&lt;=20,1,0))</formula>
    </cfRule>
    <cfRule type="expression" dxfId="2202" priority="10">
      <formula>AND(IF($Q43=2,1,0),IF($X43&lt;30,1,0))</formula>
    </cfRule>
    <cfRule type="expression" dxfId="2201" priority="11">
      <formula>AND(IF($Q43=3,1,0),IF($X43&lt;30,1,0))</formula>
    </cfRule>
    <cfRule type="expression" dxfId="2200" priority="12">
      <formula>AND(IF($Q43=3,1,IF($Q43=4,1,0)),IF($F43&lt;=85,1,0))</formula>
    </cfRule>
  </conditionalFormatting>
  <conditionalFormatting sqref="X43">
    <cfRule type="expression" dxfId="2199" priority="5">
      <formula>AND(IF(OR($Q43=1,$Q43=2),1,0),IF($X43&lt;=20,1,0))</formula>
    </cfRule>
    <cfRule type="expression" dxfId="2198" priority="6">
      <formula>AND(IF($Q43=2,1,0),IF($X43&lt;30,1,0))</formula>
    </cfRule>
    <cfRule type="expression" dxfId="2197" priority="7">
      <formula>AND(IF($Q43=3,1,0),IF($X43&lt;30,1,0))</formula>
    </cfRule>
    <cfRule type="expression" dxfId="2196" priority="8">
      <formula>AND(IF($Q43=3,1,IF($Q43=4,1,0)),IF($F43&lt;=85,1,0))</formula>
    </cfRule>
  </conditionalFormatting>
  <conditionalFormatting sqref="AI43">
    <cfRule type="expression" dxfId="2195" priority="1">
      <formula>AND(IF(OR($Q43=1,$Q43=2),1,0),IF($X43&lt;=20,1,0))</formula>
    </cfRule>
    <cfRule type="expression" dxfId="2194" priority="2">
      <formula>AND(IF($Q43=2,1,0),IF($X43&lt;30,1,0))</formula>
    </cfRule>
    <cfRule type="expression" dxfId="2193" priority="3">
      <formula>AND(IF($Q43=3,1,0),IF($X43&lt;30,1,0))</formula>
    </cfRule>
    <cfRule type="expression" dxfId="2192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수송동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157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수송동 한라비발디2단지('08.11.,782^)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1020</v>
      </c>
      <c r="B6" s="10" t="s">
        <v>1342</v>
      </c>
      <c r="C6" s="89">
        <v>782</v>
      </c>
      <c r="D6" s="87">
        <v>113.3</v>
      </c>
      <c r="E6" s="88">
        <v>34</v>
      </c>
      <c r="F6" s="87">
        <v>85</v>
      </c>
      <c r="G6" s="17">
        <v>26</v>
      </c>
      <c r="H6" s="89">
        <v>480</v>
      </c>
      <c r="I6" s="90">
        <v>35000</v>
      </c>
      <c r="J6" s="90" t="s">
        <v>72</v>
      </c>
      <c r="K6" s="90">
        <v>28000</v>
      </c>
      <c r="L6" s="90" t="s">
        <v>88</v>
      </c>
      <c r="M6" s="91">
        <f>I6-K6</f>
        <v>7000</v>
      </c>
      <c r="N6" s="4">
        <f>IF(ISERROR(K6/I6),"",K6/I6)</f>
        <v>0.8</v>
      </c>
      <c r="O6" s="92">
        <f>I6/E6</f>
        <v>1029.4117647058824</v>
      </c>
      <c r="P6" s="92">
        <f>K6/E6</f>
        <v>823.52941176470586</v>
      </c>
      <c r="Q6" s="80">
        <v>3</v>
      </c>
      <c r="R6" s="80">
        <v>2</v>
      </c>
      <c r="S6" s="80" t="s">
        <v>61</v>
      </c>
      <c r="T6" s="5">
        <v>113</v>
      </c>
      <c r="U6" s="9"/>
      <c r="W6" s="87">
        <f t="shared" ref="W6:X8" si="2">D6</f>
        <v>113.3</v>
      </c>
      <c r="X6" s="88">
        <f t="shared" si="2"/>
        <v>34</v>
      </c>
      <c r="Y6" s="93">
        <f t="shared" ref="Y6:Z8" si="3">H6</f>
        <v>480</v>
      </c>
      <c r="Z6" s="91">
        <f t="shared" si="3"/>
        <v>35000</v>
      </c>
      <c r="AA6" s="91">
        <f>K6</f>
        <v>28000</v>
      </c>
      <c r="AB6" s="91">
        <f t="shared" ref="AB6:AD8" si="4">M6</f>
        <v>7000</v>
      </c>
      <c r="AC6" s="4">
        <f t="shared" si="4"/>
        <v>0.8</v>
      </c>
      <c r="AD6" s="92">
        <f t="shared" si="4"/>
        <v>1029.4117647058824</v>
      </c>
      <c r="AE6" s="80" t="str">
        <f>S6</f>
        <v>계</v>
      </c>
      <c r="AF6" s="80" t="str">
        <f>Q6&amp;"/"&amp;R6</f>
        <v>3/2</v>
      </c>
      <c r="AH6" s="20" t="str">
        <f t="shared" si="1"/>
        <v>한라비발디2단지</v>
      </c>
      <c r="AI6" s="88">
        <f t="shared" si="0"/>
        <v>34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1020</v>
      </c>
      <c r="B7" s="10" t="s">
        <v>1342</v>
      </c>
      <c r="C7" s="89">
        <v>782</v>
      </c>
      <c r="D7" s="87">
        <v>114.2</v>
      </c>
      <c r="E7" s="88">
        <v>35</v>
      </c>
      <c r="F7" s="87">
        <v>85</v>
      </c>
      <c r="G7" s="17">
        <v>26</v>
      </c>
      <c r="H7" s="89">
        <v>160</v>
      </c>
      <c r="I7" s="90">
        <v>31000</v>
      </c>
      <c r="J7" s="90" t="s">
        <v>88</v>
      </c>
      <c r="K7" s="90">
        <v>26000</v>
      </c>
      <c r="L7" s="90" t="s">
        <v>72</v>
      </c>
      <c r="M7" s="91">
        <f>I7-K7</f>
        <v>5000</v>
      </c>
      <c r="N7" s="4">
        <f>IF(ISERROR(K7/I7),"",K7/I7)</f>
        <v>0.83870967741935487</v>
      </c>
      <c r="O7" s="92">
        <f>I7/E7</f>
        <v>885.71428571428567</v>
      </c>
      <c r="P7" s="92">
        <f>K7/E7</f>
        <v>742.85714285714289</v>
      </c>
      <c r="Q7" s="80">
        <v>3</v>
      </c>
      <c r="R7" s="80">
        <v>2</v>
      </c>
      <c r="S7" s="80" t="s">
        <v>61</v>
      </c>
      <c r="T7" s="5" t="s">
        <v>110</v>
      </c>
      <c r="U7" s="9"/>
      <c r="W7" s="87">
        <f t="shared" si="2"/>
        <v>114.2</v>
      </c>
      <c r="X7" s="88">
        <f t="shared" si="2"/>
        <v>35</v>
      </c>
      <c r="Y7" s="93">
        <f t="shared" si="3"/>
        <v>160</v>
      </c>
      <c r="Z7" s="91">
        <f t="shared" si="3"/>
        <v>31000</v>
      </c>
      <c r="AA7" s="91">
        <f>K7</f>
        <v>26000</v>
      </c>
      <c r="AB7" s="91">
        <f t="shared" si="4"/>
        <v>5000</v>
      </c>
      <c r="AC7" s="4">
        <f t="shared" si="4"/>
        <v>0.83870967741935487</v>
      </c>
      <c r="AD7" s="92">
        <f t="shared" si="4"/>
        <v>885.71428571428567</v>
      </c>
      <c r="AE7" s="80" t="str">
        <f>S7</f>
        <v>계</v>
      </c>
      <c r="AF7" s="80" t="str">
        <f>Q7&amp;"/"&amp;R7</f>
        <v>3/2</v>
      </c>
      <c r="AH7" s="20" t="str">
        <f t="shared" si="1"/>
        <v>한라비발디2단지</v>
      </c>
      <c r="AI7" s="88">
        <f t="shared" si="0"/>
        <v>35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1020</v>
      </c>
      <c r="B8" s="10" t="s">
        <v>1342</v>
      </c>
      <c r="C8" s="89">
        <v>782</v>
      </c>
      <c r="D8" s="87">
        <v>115.2</v>
      </c>
      <c r="E8" s="88">
        <v>35</v>
      </c>
      <c r="F8" s="87">
        <v>85</v>
      </c>
      <c r="G8" s="17">
        <v>26</v>
      </c>
      <c r="H8" s="89">
        <v>142</v>
      </c>
      <c r="I8" s="90">
        <v>33000</v>
      </c>
      <c r="J8" s="90" t="s">
        <v>70</v>
      </c>
      <c r="K8" s="90">
        <v>26000</v>
      </c>
      <c r="L8" s="90" t="s">
        <v>72</v>
      </c>
      <c r="M8" s="91">
        <f>I8-K8</f>
        <v>7000</v>
      </c>
      <c r="N8" s="4">
        <f>IF(ISERROR(K8/I8),"",K8/I8)</f>
        <v>0.78787878787878785</v>
      </c>
      <c r="O8" s="92">
        <f>I8/E8</f>
        <v>942.85714285714289</v>
      </c>
      <c r="P8" s="92">
        <f>K8/E8</f>
        <v>742.85714285714289</v>
      </c>
      <c r="Q8" s="80">
        <v>3</v>
      </c>
      <c r="R8" s="80">
        <v>2</v>
      </c>
      <c r="S8" s="80" t="s">
        <v>61</v>
      </c>
      <c r="T8" s="5" t="s">
        <v>94</v>
      </c>
      <c r="U8" s="9"/>
      <c r="W8" s="87">
        <f t="shared" si="2"/>
        <v>115.2</v>
      </c>
      <c r="X8" s="88">
        <f t="shared" si="2"/>
        <v>35</v>
      </c>
      <c r="Y8" s="93">
        <f t="shared" si="3"/>
        <v>142</v>
      </c>
      <c r="Z8" s="91">
        <f t="shared" si="3"/>
        <v>33000</v>
      </c>
      <c r="AA8" s="91">
        <f>K8</f>
        <v>26000</v>
      </c>
      <c r="AB8" s="91">
        <f t="shared" si="4"/>
        <v>7000</v>
      </c>
      <c r="AC8" s="4">
        <f t="shared" si="4"/>
        <v>0.78787878787878785</v>
      </c>
      <c r="AD8" s="92">
        <f t="shared" si="4"/>
        <v>942.85714285714289</v>
      </c>
      <c r="AE8" s="80" t="str">
        <f>S8</f>
        <v>계</v>
      </c>
      <c r="AF8" s="80" t="str">
        <f>Q8&amp;"/"&amp;R8</f>
        <v>3/2</v>
      </c>
      <c r="AH8" s="20" t="str">
        <f t="shared" si="1"/>
        <v>한라비발디2단지</v>
      </c>
      <c r="AI8" s="88">
        <f t="shared" si="0"/>
        <v>35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수송동 한라비발디1단지('08.11.,332^)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1025</v>
      </c>
      <c r="B10" s="10" t="s">
        <v>1342</v>
      </c>
      <c r="C10" s="89">
        <v>332</v>
      </c>
      <c r="D10" s="87">
        <v>133</v>
      </c>
      <c r="E10" s="88">
        <v>40</v>
      </c>
      <c r="F10" s="87">
        <v>100.4</v>
      </c>
      <c r="G10" s="17">
        <v>30</v>
      </c>
      <c r="H10" s="89">
        <v>59</v>
      </c>
      <c r="I10" s="90"/>
      <c r="J10" s="90"/>
      <c r="K10" s="90"/>
      <c r="L10" s="90"/>
      <c r="M10" s="91">
        <f t="shared" ref="M10:M15" si="5">I10-K10</f>
        <v>0</v>
      </c>
      <c r="N10" s="4" t="str">
        <f t="shared" ref="N10:N15" si="6">IF(ISERROR(K10/I10),"",K10/I10)</f>
        <v/>
      </c>
      <c r="O10" s="92">
        <f t="shared" ref="O10:O15" si="7">I10/E10</f>
        <v>0</v>
      </c>
      <c r="P10" s="92">
        <f t="shared" ref="P10:P15" si="8">K10/E10</f>
        <v>0</v>
      </c>
      <c r="Q10" s="80">
        <v>3</v>
      </c>
      <c r="R10" s="80">
        <v>2</v>
      </c>
      <c r="S10" s="80" t="s">
        <v>61</v>
      </c>
      <c r="T10" s="5" t="s">
        <v>148</v>
      </c>
      <c r="U10" s="9"/>
      <c r="W10" s="87">
        <f t="shared" ref="W10:X15" si="9">D10</f>
        <v>133</v>
      </c>
      <c r="X10" s="88">
        <f t="shared" si="9"/>
        <v>40</v>
      </c>
      <c r="Y10" s="93">
        <f t="shared" ref="Y10:Z15" si="10">H10</f>
        <v>59</v>
      </c>
      <c r="Z10" s="91">
        <f t="shared" si="10"/>
        <v>0</v>
      </c>
      <c r="AA10" s="91">
        <f t="shared" ref="AA10:AA15" si="11">K10</f>
        <v>0</v>
      </c>
      <c r="AB10" s="91">
        <f t="shared" ref="AB10:AD15" si="12">M10</f>
        <v>0</v>
      </c>
      <c r="AC10" s="4" t="str">
        <f t="shared" si="12"/>
        <v/>
      </c>
      <c r="AD10" s="92">
        <f t="shared" si="12"/>
        <v>0</v>
      </c>
      <c r="AE10" s="80" t="str">
        <f t="shared" ref="AE10:AE15" si="13">S10</f>
        <v>계</v>
      </c>
      <c r="AF10" s="80" t="str">
        <f t="shared" ref="AF10:AF15" si="14">Q10&amp;"/"&amp;R10</f>
        <v>3/2</v>
      </c>
      <c r="AH10" s="20" t="str">
        <f t="shared" si="1"/>
        <v>한라비발디1단지</v>
      </c>
      <c r="AI10" s="88">
        <f t="shared" si="0"/>
        <v>40</v>
      </c>
      <c r="AJ10" s="80" t="str">
        <f t="shared" ref="AJ10:AJ15" si="15"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 t="shared" ref="AN10:AN15" si="16">IF(AI10="","",$AN$2)</f>
        <v>C</v>
      </c>
      <c r="AO10" s="80" t="str">
        <f t="shared" ref="AO10:AO15" si="17">IF(N10="","",IF(N10&gt;=$AO$1/100,"O","X"))</f>
        <v/>
      </c>
      <c r="AP10" s="80" t="str">
        <f t="shared" ref="AP10:AP15" si="18">IF(I10="","",IF(I10&lt;=$AP$1,"O","X"))</f>
        <v/>
      </c>
      <c r="AQ10" s="80" t="str">
        <f t="shared" ref="AQ10:AQ15" si="19">IF(O10="","",IF(O10&lt;=$AQ$1,"O","X"))</f>
        <v>O</v>
      </c>
      <c r="AR10" s="80" t="str">
        <f t="shared" ref="AR10:AR15" si="20">IF(M10="","",IF(M10&lt;=$AR$1,"O","X"))</f>
        <v>O</v>
      </c>
      <c r="AS10" s="80" t="s">
        <v>2</v>
      </c>
      <c r="AT10" s="80" t="str">
        <f t="shared" ref="AT10:AT15" si="21">IF(OR(F10="",AI10=""),"",IF(AND((F10&lt;=85),(AI10&gt;=15)),"O","X"))</f>
        <v>X</v>
      </c>
      <c r="AU10" s="80" t="str">
        <f t="shared" ref="AU10:AU15" si="22">IF(C10="","",IF(C10&gt;=$AU$1,"O","X"))</f>
        <v>O</v>
      </c>
      <c r="AV10" s="80" t="str">
        <f t="shared" ref="AV10:AV15" si="23">IF(AO10="","",IF(AND(AO10="O",AP10="O",AR10="O",AT10="O",AU10="O"),"후보","X"))</f>
        <v/>
      </c>
    </row>
    <row r="11" spans="1:48" x14ac:dyDescent="0.3">
      <c r="A11" s="9" t="s">
        <v>1025</v>
      </c>
      <c r="B11" s="10" t="s">
        <v>1342</v>
      </c>
      <c r="C11" s="89">
        <v>332</v>
      </c>
      <c r="D11" s="87">
        <v>135.30000000000001</v>
      </c>
      <c r="E11" s="88">
        <v>41</v>
      </c>
      <c r="F11" s="87">
        <v>103.6</v>
      </c>
      <c r="G11" s="17">
        <v>31</v>
      </c>
      <c r="H11" s="89">
        <v>39</v>
      </c>
      <c r="I11" s="90">
        <v>42000</v>
      </c>
      <c r="J11" s="90" t="s">
        <v>60</v>
      </c>
      <c r="K11" s="90"/>
      <c r="L11" s="90"/>
      <c r="M11" s="91">
        <f t="shared" si="5"/>
        <v>42000</v>
      </c>
      <c r="N11" s="4">
        <f t="shared" si="6"/>
        <v>0</v>
      </c>
      <c r="O11" s="92">
        <f t="shared" si="7"/>
        <v>1024.3902439024391</v>
      </c>
      <c r="P11" s="92">
        <f t="shared" si="8"/>
        <v>0</v>
      </c>
      <c r="Q11" s="80">
        <v>3</v>
      </c>
      <c r="R11" s="80">
        <v>2</v>
      </c>
      <c r="S11" s="80" t="s">
        <v>61</v>
      </c>
      <c r="T11" s="5" t="s">
        <v>785</v>
      </c>
      <c r="U11" s="9"/>
      <c r="W11" s="87">
        <f t="shared" si="9"/>
        <v>135.30000000000001</v>
      </c>
      <c r="X11" s="88">
        <f t="shared" si="9"/>
        <v>41</v>
      </c>
      <c r="Y11" s="93">
        <f t="shared" si="10"/>
        <v>39</v>
      </c>
      <c r="Z11" s="91">
        <f t="shared" si="10"/>
        <v>42000</v>
      </c>
      <c r="AA11" s="91">
        <f t="shared" si="11"/>
        <v>0</v>
      </c>
      <c r="AB11" s="91">
        <f t="shared" si="12"/>
        <v>42000</v>
      </c>
      <c r="AC11" s="4">
        <f t="shared" si="12"/>
        <v>0</v>
      </c>
      <c r="AD11" s="92">
        <f t="shared" si="12"/>
        <v>1024.3902439024391</v>
      </c>
      <c r="AE11" s="80" t="str">
        <f t="shared" si="13"/>
        <v>계</v>
      </c>
      <c r="AF11" s="80" t="str">
        <f t="shared" si="14"/>
        <v>3/2</v>
      </c>
      <c r="AH11" s="20" t="str">
        <f t="shared" si="1"/>
        <v>한라비발디1단지</v>
      </c>
      <c r="AI11" s="88">
        <f t="shared" si="0"/>
        <v>41</v>
      </c>
      <c r="AJ11" s="80" t="str">
        <f t="shared" si="15"/>
        <v>A-</v>
      </c>
      <c r="AK11" s="80" t="s">
        <v>14</v>
      </c>
      <c r="AL11" s="80" t="s">
        <v>63</v>
      </c>
      <c r="AM11" s="80" t="s">
        <v>64</v>
      </c>
      <c r="AN11" s="80" t="str">
        <f t="shared" si="16"/>
        <v>C</v>
      </c>
      <c r="AO11" s="80" t="str">
        <f t="shared" si="17"/>
        <v>X</v>
      </c>
      <c r="AP11" s="80" t="str">
        <f t="shared" si="18"/>
        <v>O</v>
      </c>
      <c r="AQ11" s="80" t="str">
        <f t="shared" si="19"/>
        <v>O</v>
      </c>
      <c r="AR11" s="80" t="str">
        <f t="shared" si="20"/>
        <v>X</v>
      </c>
      <c r="AS11" s="80" t="s">
        <v>2</v>
      </c>
      <c r="AT11" s="80" t="str">
        <f t="shared" si="21"/>
        <v>X</v>
      </c>
      <c r="AU11" s="80" t="str">
        <f t="shared" si="22"/>
        <v>O</v>
      </c>
      <c r="AV11" s="80" t="str">
        <f t="shared" si="23"/>
        <v>X</v>
      </c>
    </row>
    <row r="12" spans="1:48" x14ac:dyDescent="0.3">
      <c r="A12" s="9" t="s">
        <v>1025</v>
      </c>
      <c r="B12" s="10" t="s">
        <v>1342</v>
      </c>
      <c r="C12" s="89">
        <v>332</v>
      </c>
      <c r="D12" s="87">
        <v>159.19999999999999</v>
      </c>
      <c r="E12" s="88">
        <v>48</v>
      </c>
      <c r="F12" s="87">
        <v>123.1</v>
      </c>
      <c r="G12" s="17">
        <v>37</v>
      </c>
      <c r="H12" s="89">
        <v>80</v>
      </c>
      <c r="I12" s="90"/>
      <c r="J12" s="90"/>
      <c r="K12" s="90"/>
      <c r="L12" s="90"/>
      <c r="M12" s="91">
        <f t="shared" si="5"/>
        <v>0</v>
      </c>
      <c r="N12" s="4" t="str">
        <f t="shared" si="6"/>
        <v/>
      </c>
      <c r="O12" s="92">
        <f t="shared" si="7"/>
        <v>0</v>
      </c>
      <c r="P12" s="92">
        <f t="shared" si="8"/>
        <v>0</v>
      </c>
      <c r="Q12" s="80">
        <v>4</v>
      </c>
      <c r="R12" s="80">
        <v>2</v>
      </c>
      <c r="S12" s="80" t="s">
        <v>61</v>
      </c>
      <c r="T12" s="5" t="s">
        <v>149</v>
      </c>
      <c r="U12" s="9"/>
      <c r="W12" s="87">
        <f t="shared" si="9"/>
        <v>159.19999999999999</v>
      </c>
      <c r="X12" s="88">
        <f t="shared" si="9"/>
        <v>48</v>
      </c>
      <c r="Y12" s="93">
        <f t="shared" si="10"/>
        <v>80</v>
      </c>
      <c r="Z12" s="91">
        <f t="shared" si="10"/>
        <v>0</v>
      </c>
      <c r="AA12" s="91">
        <f t="shared" si="11"/>
        <v>0</v>
      </c>
      <c r="AB12" s="91">
        <f t="shared" si="12"/>
        <v>0</v>
      </c>
      <c r="AC12" s="4" t="str">
        <f t="shared" si="12"/>
        <v/>
      </c>
      <c r="AD12" s="92">
        <f t="shared" si="12"/>
        <v>0</v>
      </c>
      <c r="AE12" s="80" t="str">
        <f t="shared" si="13"/>
        <v>계</v>
      </c>
      <c r="AF12" s="80" t="str">
        <f t="shared" si="14"/>
        <v>4/2</v>
      </c>
      <c r="AH12" s="20" t="str">
        <f t="shared" si="1"/>
        <v>한라비발디1단지</v>
      </c>
      <c r="AI12" s="88">
        <f t="shared" si="0"/>
        <v>48</v>
      </c>
      <c r="AJ12" s="80" t="str">
        <f t="shared" si="15"/>
        <v>A-</v>
      </c>
      <c r="AK12" s="80" t="s">
        <v>14</v>
      </c>
      <c r="AL12" s="80" t="s">
        <v>63</v>
      </c>
      <c r="AM12" s="80" t="s">
        <v>64</v>
      </c>
      <c r="AN12" s="80" t="str">
        <f t="shared" si="16"/>
        <v>C</v>
      </c>
      <c r="AO12" s="80" t="str">
        <f t="shared" si="17"/>
        <v/>
      </c>
      <c r="AP12" s="80" t="str">
        <f t="shared" si="18"/>
        <v/>
      </c>
      <c r="AQ12" s="80" t="str">
        <f t="shared" si="19"/>
        <v>O</v>
      </c>
      <c r="AR12" s="80" t="str">
        <f t="shared" si="20"/>
        <v>O</v>
      </c>
      <c r="AS12" s="80" t="s">
        <v>2</v>
      </c>
      <c r="AT12" s="80" t="str">
        <f t="shared" si="21"/>
        <v>X</v>
      </c>
      <c r="AU12" s="80" t="str">
        <f t="shared" si="22"/>
        <v>O</v>
      </c>
      <c r="AV12" s="80" t="str">
        <f t="shared" si="23"/>
        <v/>
      </c>
    </row>
    <row r="13" spans="1:48" x14ac:dyDescent="0.3">
      <c r="A13" s="9" t="s">
        <v>1025</v>
      </c>
      <c r="B13" s="10" t="s">
        <v>1342</v>
      </c>
      <c r="C13" s="89">
        <v>332</v>
      </c>
      <c r="D13" s="87">
        <v>161.5</v>
      </c>
      <c r="E13" s="88">
        <v>49</v>
      </c>
      <c r="F13" s="87">
        <v>132.30000000000001</v>
      </c>
      <c r="G13" s="17">
        <v>40</v>
      </c>
      <c r="H13" s="89">
        <v>79</v>
      </c>
      <c r="I13" s="90"/>
      <c r="J13" s="90"/>
      <c r="K13" s="90"/>
      <c r="L13" s="90"/>
      <c r="M13" s="91">
        <f t="shared" si="5"/>
        <v>0</v>
      </c>
      <c r="N13" s="4" t="str">
        <f t="shared" si="6"/>
        <v/>
      </c>
      <c r="O13" s="92">
        <f t="shared" si="7"/>
        <v>0</v>
      </c>
      <c r="P13" s="92">
        <f t="shared" si="8"/>
        <v>0</v>
      </c>
      <c r="Q13" s="80">
        <v>4</v>
      </c>
      <c r="R13" s="80">
        <v>2</v>
      </c>
      <c r="S13" s="80" t="s">
        <v>61</v>
      </c>
      <c r="T13" s="5" t="s">
        <v>150</v>
      </c>
      <c r="U13" s="9"/>
      <c r="W13" s="87">
        <f t="shared" si="9"/>
        <v>161.5</v>
      </c>
      <c r="X13" s="88">
        <f t="shared" si="9"/>
        <v>49</v>
      </c>
      <c r="Y13" s="93">
        <f t="shared" si="10"/>
        <v>79</v>
      </c>
      <c r="Z13" s="91">
        <f t="shared" si="10"/>
        <v>0</v>
      </c>
      <c r="AA13" s="91">
        <f t="shared" si="11"/>
        <v>0</v>
      </c>
      <c r="AB13" s="91">
        <f t="shared" si="12"/>
        <v>0</v>
      </c>
      <c r="AC13" s="4" t="str">
        <f t="shared" si="12"/>
        <v/>
      </c>
      <c r="AD13" s="92">
        <f t="shared" si="12"/>
        <v>0</v>
      </c>
      <c r="AE13" s="80" t="str">
        <f t="shared" si="13"/>
        <v>계</v>
      </c>
      <c r="AF13" s="80" t="str">
        <f t="shared" si="14"/>
        <v>4/2</v>
      </c>
      <c r="AH13" s="20" t="str">
        <f t="shared" si="1"/>
        <v>한라비발디1단지</v>
      </c>
      <c r="AI13" s="88">
        <f t="shared" si="0"/>
        <v>49</v>
      </c>
      <c r="AJ13" s="80" t="str">
        <f t="shared" si="15"/>
        <v>A-</v>
      </c>
      <c r="AK13" s="80" t="s">
        <v>14</v>
      </c>
      <c r="AL13" s="80" t="s">
        <v>63</v>
      </c>
      <c r="AM13" s="80" t="s">
        <v>64</v>
      </c>
      <c r="AN13" s="80" t="str">
        <f t="shared" si="16"/>
        <v>C</v>
      </c>
      <c r="AO13" s="80" t="str">
        <f t="shared" si="17"/>
        <v/>
      </c>
      <c r="AP13" s="80" t="str">
        <f t="shared" si="18"/>
        <v/>
      </c>
      <c r="AQ13" s="80" t="str">
        <f t="shared" si="19"/>
        <v>O</v>
      </c>
      <c r="AR13" s="80" t="str">
        <f t="shared" si="20"/>
        <v>O</v>
      </c>
      <c r="AS13" s="80" t="s">
        <v>2</v>
      </c>
      <c r="AT13" s="80" t="str">
        <f t="shared" si="21"/>
        <v>X</v>
      </c>
      <c r="AU13" s="80" t="str">
        <f t="shared" si="22"/>
        <v>O</v>
      </c>
      <c r="AV13" s="80" t="str">
        <f t="shared" si="23"/>
        <v/>
      </c>
    </row>
    <row r="14" spans="1:48" x14ac:dyDescent="0.3">
      <c r="A14" s="9" t="s">
        <v>1025</v>
      </c>
      <c r="B14" s="10" t="s">
        <v>1342</v>
      </c>
      <c r="C14" s="89">
        <v>332</v>
      </c>
      <c r="D14" s="87">
        <v>189.5</v>
      </c>
      <c r="E14" s="88">
        <v>57</v>
      </c>
      <c r="F14" s="87">
        <v>155.9</v>
      </c>
      <c r="G14" s="17">
        <v>47</v>
      </c>
      <c r="H14" s="89">
        <v>71</v>
      </c>
      <c r="I14" s="90">
        <v>58000</v>
      </c>
      <c r="J14" s="90" t="s">
        <v>80</v>
      </c>
      <c r="K14" s="90"/>
      <c r="L14" s="90"/>
      <c r="M14" s="91">
        <f t="shared" si="5"/>
        <v>58000</v>
      </c>
      <c r="N14" s="4">
        <f t="shared" si="6"/>
        <v>0</v>
      </c>
      <c r="O14" s="92">
        <f t="shared" si="7"/>
        <v>1017.5438596491229</v>
      </c>
      <c r="P14" s="92">
        <f t="shared" si="8"/>
        <v>0</v>
      </c>
      <c r="Q14" s="80">
        <v>4</v>
      </c>
      <c r="R14" s="80">
        <v>2</v>
      </c>
      <c r="S14" s="80" t="s">
        <v>61</v>
      </c>
      <c r="T14" s="5">
        <v>189</v>
      </c>
      <c r="U14" s="9"/>
      <c r="W14" s="87">
        <f t="shared" si="9"/>
        <v>189.5</v>
      </c>
      <c r="X14" s="88">
        <f t="shared" si="9"/>
        <v>57</v>
      </c>
      <c r="Y14" s="93">
        <f t="shared" si="10"/>
        <v>71</v>
      </c>
      <c r="Z14" s="91">
        <f t="shared" si="10"/>
        <v>58000</v>
      </c>
      <c r="AA14" s="91">
        <f t="shared" si="11"/>
        <v>0</v>
      </c>
      <c r="AB14" s="91">
        <f t="shared" si="12"/>
        <v>58000</v>
      </c>
      <c r="AC14" s="4">
        <f t="shared" si="12"/>
        <v>0</v>
      </c>
      <c r="AD14" s="92">
        <f t="shared" si="12"/>
        <v>1017.5438596491229</v>
      </c>
      <c r="AE14" s="80" t="str">
        <f t="shared" si="13"/>
        <v>계</v>
      </c>
      <c r="AF14" s="80" t="str">
        <f t="shared" si="14"/>
        <v>4/2</v>
      </c>
      <c r="AH14" s="20" t="str">
        <f t="shared" si="1"/>
        <v>한라비발디1단지</v>
      </c>
      <c r="AI14" s="88">
        <f t="shared" si="0"/>
        <v>57</v>
      </c>
      <c r="AJ14" s="80" t="str">
        <f t="shared" si="15"/>
        <v>A-</v>
      </c>
      <c r="AK14" s="80" t="s">
        <v>14</v>
      </c>
      <c r="AL14" s="80" t="s">
        <v>63</v>
      </c>
      <c r="AM14" s="80" t="s">
        <v>64</v>
      </c>
      <c r="AN14" s="80" t="str">
        <f t="shared" si="16"/>
        <v>C</v>
      </c>
      <c r="AO14" s="80" t="str">
        <f t="shared" si="17"/>
        <v>X</v>
      </c>
      <c r="AP14" s="80" t="str">
        <f t="shared" si="18"/>
        <v>X</v>
      </c>
      <c r="AQ14" s="80" t="str">
        <f t="shared" si="19"/>
        <v>O</v>
      </c>
      <c r="AR14" s="80" t="str">
        <f t="shared" si="20"/>
        <v>X</v>
      </c>
      <c r="AS14" s="80" t="s">
        <v>2</v>
      </c>
      <c r="AT14" s="80" t="str">
        <f t="shared" si="21"/>
        <v>X</v>
      </c>
      <c r="AU14" s="80" t="str">
        <f t="shared" si="22"/>
        <v>O</v>
      </c>
      <c r="AV14" s="80" t="str">
        <f t="shared" si="23"/>
        <v>X</v>
      </c>
    </row>
    <row r="15" spans="1:48" x14ac:dyDescent="0.3">
      <c r="A15" s="9" t="s">
        <v>1025</v>
      </c>
      <c r="B15" s="10" t="s">
        <v>1342</v>
      </c>
      <c r="C15" s="89">
        <v>332</v>
      </c>
      <c r="D15" s="87">
        <v>320.89999999999998</v>
      </c>
      <c r="E15" s="88">
        <v>97</v>
      </c>
      <c r="F15" s="87">
        <v>261.2</v>
      </c>
      <c r="G15" s="17">
        <v>79</v>
      </c>
      <c r="H15" s="89">
        <v>4</v>
      </c>
      <c r="I15" s="90"/>
      <c r="J15" s="90"/>
      <c r="K15" s="90"/>
      <c r="L15" s="90"/>
      <c r="M15" s="91">
        <f t="shared" si="5"/>
        <v>0</v>
      </c>
      <c r="N15" s="4" t="str">
        <f t="shared" si="6"/>
        <v/>
      </c>
      <c r="O15" s="92">
        <f t="shared" si="7"/>
        <v>0</v>
      </c>
      <c r="P15" s="92">
        <f t="shared" si="8"/>
        <v>0</v>
      </c>
      <c r="Q15" s="80">
        <v>6</v>
      </c>
      <c r="R15" s="80">
        <v>4</v>
      </c>
      <c r="S15" s="80" t="s">
        <v>61</v>
      </c>
      <c r="T15" s="5">
        <v>320</v>
      </c>
      <c r="U15" s="9"/>
      <c r="W15" s="87">
        <f t="shared" si="9"/>
        <v>320.89999999999998</v>
      </c>
      <c r="X15" s="88">
        <f t="shared" si="9"/>
        <v>97</v>
      </c>
      <c r="Y15" s="93">
        <f t="shared" si="10"/>
        <v>4</v>
      </c>
      <c r="Z15" s="91">
        <f t="shared" si="10"/>
        <v>0</v>
      </c>
      <c r="AA15" s="91">
        <f t="shared" si="11"/>
        <v>0</v>
      </c>
      <c r="AB15" s="91">
        <f t="shared" si="12"/>
        <v>0</v>
      </c>
      <c r="AC15" s="4" t="str">
        <f t="shared" si="12"/>
        <v/>
      </c>
      <c r="AD15" s="92">
        <f t="shared" si="12"/>
        <v>0</v>
      </c>
      <c r="AE15" s="80" t="str">
        <f t="shared" si="13"/>
        <v>계</v>
      </c>
      <c r="AF15" s="80" t="str">
        <f t="shared" si="14"/>
        <v>6/4</v>
      </c>
      <c r="AH15" s="20" t="str">
        <f t="shared" si="1"/>
        <v>한라비발디1단지</v>
      </c>
      <c r="AI15" s="88">
        <f t="shared" si="0"/>
        <v>97</v>
      </c>
      <c r="AJ15" s="80" t="str">
        <f t="shared" si="15"/>
        <v>A-</v>
      </c>
      <c r="AK15" s="80" t="s">
        <v>14</v>
      </c>
      <c r="AL15" s="80" t="s">
        <v>63</v>
      </c>
      <c r="AM15" s="80" t="s">
        <v>64</v>
      </c>
      <c r="AN15" s="80" t="str">
        <f t="shared" si="16"/>
        <v>C</v>
      </c>
      <c r="AO15" s="80" t="str">
        <f t="shared" si="17"/>
        <v/>
      </c>
      <c r="AP15" s="80" t="str">
        <f t="shared" si="18"/>
        <v/>
      </c>
      <c r="AQ15" s="80" t="str">
        <f t="shared" si="19"/>
        <v>O</v>
      </c>
      <c r="AR15" s="80" t="str">
        <f t="shared" si="20"/>
        <v>O</v>
      </c>
      <c r="AS15" s="80" t="s">
        <v>2</v>
      </c>
      <c r="AT15" s="80" t="str">
        <f t="shared" si="21"/>
        <v>X</v>
      </c>
      <c r="AU15" s="80" t="str">
        <f t="shared" si="22"/>
        <v>O</v>
      </c>
      <c r="AV15" s="80" t="str">
        <f t="shared" si="23"/>
        <v/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7" t="str">
        <f>$A$4&amp;" "&amp;A17&amp;"("&amp;B17&amp;","&amp;C17&amp;"^)"</f>
        <v>수송동 동신('91.09.,660^)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249</v>
      </c>
      <c r="B17" s="10" t="s">
        <v>1294</v>
      </c>
      <c r="C17" s="89">
        <v>660</v>
      </c>
      <c r="D17" s="87">
        <v>73.599999999999994</v>
      </c>
      <c r="E17" s="88">
        <v>22</v>
      </c>
      <c r="F17" s="87">
        <v>59.5</v>
      </c>
      <c r="G17" s="17">
        <v>18</v>
      </c>
      <c r="H17" s="89">
        <v>120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2</v>
      </c>
      <c r="R17" s="80">
        <v>1</v>
      </c>
      <c r="S17" s="80" t="s">
        <v>61</v>
      </c>
      <c r="T17" s="5">
        <v>73</v>
      </c>
      <c r="U17" s="9"/>
      <c r="W17" s="87">
        <f t="shared" ref="W17:X21" si="24">D17</f>
        <v>73.599999999999994</v>
      </c>
      <c r="X17" s="88">
        <f t="shared" si="24"/>
        <v>22</v>
      </c>
      <c r="Y17" s="93">
        <f t="shared" ref="Y17:Z21" si="25">H17</f>
        <v>120</v>
      </c>
      <c r="Z17" s="91">
        <f t="shared" si="25"/>
        <v>0</v>
      </c>
      <c r="AA17" s="91">
        <f>K17</f>
        <v>0</v>
      </c>
      <c r="AB17" s="91">
        <f t="shared" ref="AB17:AD21" si="26">M17</f>
        <v>0</v>
      </c>
      <c r="AC17" s="4" t="str">
        <f t="shared" si="26"/>
        <v/>
      </c>
      <c r="AD17" s="92">
        <f t="shared" si="26"/>
        <v>0</v>
      </c>
      <c r="AE17" s="80" t="str">
        <f>S17</f>
        <v>계</v>
      </c>
      <c r="AF17" s="80" t="str">
        <f>Q17&amp;"/"&amp;R17</f>
        <v>2/1</v>
      </c>
      <c r="AH17" s="20" t="str">
        <f t="shared" si="1"/>
        <v>동신</v>
      </c>
      <c r="AI17" s="88">
        <f t="shared" si="0"/>
        <v>22</v>
      </c>
      <c r="AJ17" s="80" t="str">
        <f>IF(AI17="","",$AJ$2)</f>
        <v>A-</v>
      </c>
      <c r="AK17" s="80" t="s">
        <v>14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/>
      </c>
    </row>
    <row r="18" spans="1:48" x14ac:dyDescent="0.3">
      <c r="A18" s="9" t="s">
        <v>249</v>
      </c>
      <c r="B18" s="10" t="s">
        <v>1294</v>
      </c>
      <c r="C18" s="89">
        <v>660</v>
      </c>
      <c r="D18" s="87">
        <v>83.5</v>
      </c>
      <c r="E18" s="88">
        <v>25</v>
      </c>
      <c r="F18" s="87">
        <v>67.400000000000006</v>
      </c>
      <c r="G18" s="17">
        <v>20</v>
      </c>
      <c r="H18" s="89">
        <v>120</v>
      </c>
      <c r="I18" s="90">
        <v>7500</v>
      </c>
      <c r="J18" s="90" t="s">
        <v>71</v>
      </c>
      <c r="K18" s="90"/>
      <c r="L18" s="90"/>
      <c r="M18" s="91">
        <f>I18-K18</f>
        <v>7500</v>
      </c>
      <c r="N18" s="4">
        <f>IF(ISERROR(K18/I18),"",K18/I18)</f>
        <v>0</v>
      </c>
      <c r="O18" s="92">
        <f>I18/E18</f>
        <v>300</v>
      </c>
      <c r="P18" s="92">
        <f>K18/E18</f>
        <v>0</v>
      </c>
      <c r="Q18" s="80">
        <v>3</v>
      </c>
      <c r="R18" s="80">
        <v>1</v>
      </c>
      <c r="S18" s="80" t="s">
        <v>76</v>
      </c>
      <c r="T18" s="5">
        <v>83</v>
      </c>
      <c r="U18" s="9"/>
      <c r="W18" s="87">
        <f t="shared" si="24"/>
        <v>83.5</v>
      </c>
      <c r="X18" s="88">
        <f t="shared" si="24"/>
        <v>25</v>
      </c>
      <c r="Y18" s="93">
        <f t="shared" si="25"/>
        <v>120</v>
      </c>
      <c r="Z18" s="91">
        <f t="shared" si="25"/>
        <v>7500</v>
      </c>
      <c r="AA18" s="91">
        <f>K18</f>
        <v>0</v>
      </c>
      <c r="AB18" s="91">
        <f t="shared" si="26"/>
        <v>7500</v>
      </c>
      <c r="AC18" s="4">
        <f t="shared" si="26"/>
        <v>0</v>
      </c>
      <c r="AD18" s="92">
        <f t="shared" si="26"/>
        <v>300</v>
      </c>
      <c r="AE18" s="80" t="str">
        <f>S18</f>
        <v>복</v>
      </c>
      <c r="AF18" s="80" t="str">
        <f>Q18&amp;"/"&amp;R18</f>
        <v>3/1</v>
      </c>
      <c r="AH18" s="20" t="str">
        <f t="shared" si="1"/>
        <v>동신</v>
      </c>
      <c r="AI18" s="88">
        <f t="shared" si="0"/>
        <v>25</v>
      </c>
      <c r="AJ18" s="80" t="str">
        <f>IF(AI18="","",$AJ$2)</f>
        <v>A-</v>
      </c>
      <c r="AK18" s="80" t="s">
        <v>14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249</v>
      </c>
      <c r="B19" s="10" t="s">
        <v>1294</v>
      </c>
      <c r="C19" s="89">
        <v>660</v>
      </c>
      <c r="D19" s="87">
        <v>94.6</v>
      </c>
      <c r="E19" s="88">
        <v>29</v>
      </c>
      <c r="F19" s="87">
        <v>76.400000000000006</v>
      </c>
      <c r="G19" s="17">
        <v>23</v>
      </c>
      <c r="H19" s="89">
        <v>60</v>
      </c>
      <c r="I19" s="90"/>
      <c r="J19" s="90"/>
      <c r="K19" s="90"/>
      <c r="L19" s="90"/>
      <c r="M19" s="91">
        <f>I19-K19</f>
        <v>0</v>
      </c>
      <c r="N19" s="4" t="str">
        <f>IF(ISERROR(K19/I19),"",K19/I19)</f>
        <v/>
      </c>
      <c r="O19" s="92">
        <f>I19/E19</f>
        <v>0</v>
      </c>
      <c r="P19" s="92">
        <f>K19/E19</f>
        <v>0</v>
      </c>
      <c r="Q19" s="80">
        <v>3</v>
      </c>
      <c r="R19" s="80">
        <v>2</v>
      </c>
      <c r="S19" s="80" t="s">
        <v>76</v>
      </c>
      <c r="T19" s="5">
        <v>94</v>
      </c>
      <c r="U19" s="9"/>
      <c r="W19" s="87">
        <f t="shared" si="24"/>
        <v>94.6</v>
      </c>
      <c r="X19" s="88">
        <f t="shared" si="24"/>
        <v>29</v>
      </c>
      <c r="Y19" s="93">
        <f t="shared" si="25"/>
        <v>60</v>
      </c>
      <c r="Z19" s="91">
        <f t="shared" si="25"/>
        <v>0</v>
      </c>
      <c r="AA19" s="91">
        <f>K19</f>
        <v>0</v>
      </c>
      <c r="AB19" s="91">
        <f t="shared" si="26"/>
        <v>0</v>
      </c>
      <c r="AC19" s="4" t="str">
        <f t="shared" si="26"/>
        <v/>
      </c>
      <c r="AD19" s="92">
        <f t="shared" si="26"/>
        <v>0</v>
      </c>
      <c r="AE19" s="80" t="str">
        <f>S19</f>
        <v>복</v>
      </c>
      <c r="AF19" s="80" t="str">
        <f>Q19&amp;"/"&amp;R19</f>
        <v>3/2</v>
      </c>
      <c r="AH19" s="20" t="str">
        <f t="shared" si="1"/>
        <v>동신</v>
      </c>
      <c r="AI19" s="88">
        <f t="shared" si="0"/>
        <v>29</v>
      </c>
      <c r="AJ19" s="80" t="str">
        <f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/>
      </c>
      <c r="AP19" s="80" t="str">
        <f>IF(I19="","",IF(I19&lt;=$AP$1,"O","X"))</f>
        <v/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/>
      </c>
    </row>
    <row r="20" spans="1:48" x14ac:dyDescent="0.3">
      <c r="A20" s="9" t="s">
        <v>249</v>
      </c>
      <c r="B20" s="10" t="s">
        <v>1294</v>
      </c>
      <c r="C20" s="89">
        <v>660</v>
      </c>
      <c r="D20" s="87">
        <v>97.2</v>
      </c>
      <c r="E20" s="88">
        <v>29</v>
      </c>
      <c r="F20" s="87">
        <v>78.5</v>
      </c>
      <c r="G20" s="17">
        <v>24</v>
      </c>
      <c r="H20" s="89">
        <v>120</v>
      </c>
      <c r="I20" s="90">
        <v>10500</v>
      </c>
      <c r="J20" s="90" t="s">
        <v>65</v>
      </c>
      <c r="K20" s="90"/>
      <c r="L20" s="90"/>
      <c r="M20" s="91">
        <f>I20-K20</f>
        <v>10500</v>
      </c>
      <c r="N20" s="4">
        <f>IF(ISERROR(K20/I20),"",K20/I20)</f>
        <v>0</v>
      </c>
      <c r="O20" s="92">
        <f>I20/E20</f>
        <v>362.06896551724139</v>
      </c>
      <c r="P20" s="92">
        <f>K20/E20</f>
        <v>0</v>
      </c>
      <c r="Q20" s="80">
        <v>3</v>
      </c>
      <c r="R20" s="80">
        <v>2</v>
      </c>
      <c r="S20" s="80" t="s">
        <v>61</v>
      </c>
      <c r="T20" s="5">
        <v>97</v>
      </c>
      <c r="U20" s="9"/>
      <c r="W20" s="87">
        <f t="shared" si="24"/>
        <v>97.2</v>
      </c>
      <c r="X20" s="88">
        <f t="shared" si="24"/>
        <v>29</v>
      </c>
      <c r="Y20" s="93">
        <f t="shared" si="25"/>
        <v>120</v>
      </c>
      <c r="Z20" s="91">
        <f t="shared" si="25"/>
        <v>10500</v>
      </c>
      <c r="AA20" s="91">
        <f>K20</f>
        <v>0</v>
      </c>
      <c r="AB20" s="91">
        <f t="shared" si="26"/>
        <v>10500</v>
      </c>
      <c r="AC20" s="4">
        <f t="shared" si="26"/>
        <v>0</v>
      </c>
      <c r="AD20" s="92">
        <f t="shared" si="26"/>
        <v>362.06896551724139</v>
      </c>
      <c r="AE20" s="80" t="str">
        <f>S20</f>
        <v>계</v>
      </c>
      <c r="AF20" s="80" t="str">
        <f>Q20&amp;"/"&amp;R20</f>
        <v>3/2</v>
      </c>
      <c r="AH20" s="20" t="str">
        <f t="shared" si="1"/>
        <v>동신</v>
      </c>
      <c r="AI20" s="88">
        <f t="shared" si="0"/>
        <v>29</v>
      </c>
      <c r="AJ20" s="80" t="str">
        <f>IF(AI20="","",$AJ$2)</f>
        <v>A-</v>
      </c>
      <c r="AK20" s="80" t="s">
        <v>14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 t="s">
        <v>249</v>
      </c>
      <c r="B21" s="10" t="s">
        <v>1294</v>
      </c>
      <c r="C21" s="89">
        <v>660</v>
      </c>
      <c r="D21" s="87">
        <v>105</v>
      </c>
      <c r="E21" s="88">
        <v>32</v>
      </c>
      <c r="F21" s="87">
        <v>84.8</v>
      </c>
      <c r="G21" s="17">
        <v>26</v>
      </c>
      <c r="H21" s="89">
        <v>240</v>
      </c>
      <c r="I21" s="90">
        <v>12000</v>
      </c>
      <c r="J21" s="90" t="s">
        <v>67</v>
      </c>
      <c r="K21" s="90">
        <v>11000</v>
      </c>
      <c r="L21" s="90" t="s">
        <v>67</v>
      </c>
      <c r="M21" s="91">
        <f>I21-K21</f>
        <v>1000</v>
      </c>
      <c r="N21" s="4">
        <f>IF(ISERROR(K21/I21),"",K21/I21)</f>
        <v>0.91666666666666663</v>
      </c>
      <c r="O21" s="92">
        <f>I21/E21</f>
        <v>375</v>
      </c>
      <c r="P21" s="92">
        <f>K21/E21</f>
        <v>343.75</v>
      </c>
      <c r="Q21" s="80">
        <v>3</v>
      </c>
      <c r="R21" s="80">
        <v>2</v>
      </c>
      <c r="S21" s="80" t="s">
        <v>76</v>
      </c>
      <c r="T21" s="5">
        <v>105</v>
      </c>
      <c r="U21" s="9"/>
      <c r="W21" s="87">
        <f t="shared" si="24"/>
        <v>105</v>
      </c>
      <c r="X21" s="88">
        <f t="shared" si="24"/>
        <v>32</v>
      </c>
      <c r="Y21" s="93">
        <f t="shared" si="25"/>
        <v>240</v>
      </c>
      <c r="Z21" s="91">
        <f t="shared" si="25"/>
        <v>12000</v>
      </c>
      <c r="AA21" s="91">
        <f>K21</f>
        <v>11000</v>
      </c>
      <c r="AB21" s="91">
        <f t="shared" si="26"/>
        <v>1000</v>
      </c>
      <c r="AC21" s="4">
        <f t="shared" si="26"/>
        <v>0.91666666666666663</v>
      </c>
      <c r="AD21" s="92">
        <f t="shared" si="26"/>
        <v>375</v>
      </c>
      <c r="AE21" s="80" t="str">
        <f>S21</f>
        <v>복</v>
      </c>
      <c r="AF21" s="80" t="str">
        <f>Q21&amp;"/"&amp;R21</f>
        <v>3/2</v>
      </c>
      <c r="AH21" s="20" t="str">
        <f t="shared" si="1"/>
        <v>동신</v>
      </c>
      <c r="AI21" s="88">
        <f t="shared" si="0"/>
        <v>32</v>
      </c>
      <c r="AJ21" s="80" t="str">
        <f>IF(AI21="","",$AJ$2)</f>
        <v>A-</v>
      </c>
      <c r="AK21" s="80" t="s">
        <v>14</v>
      </c>
      <c r="AL21" s="80" t="s">
        <v>63</v>
      </c>
      <c r="AM21" s="80" t="s">
        <v>64</v>
      </c>
      <c r="AN21" s="80" t="str">
        <f>IF(AI21="","",$AN$2)</f>
        <v>C</v>
      </c>
      <c r="AO21" s="80" t="str">
        <f>IF(N21="","",IF(N21&gt;=$AO$1/100,"O","X"))</f>
        <v>O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후보</v>
      </c>
    </row>
    <row r="22" spans="1:48" x14ac:dyDescent="0.3">
      <c r="A22" s="9"/>
      <c r="B22" s="80"/>
      <c r="C22" s="6"/>
      <c r="D22" s="9"/>
      <c r="E22" s="14"/>
      <c r="F22" s="87"/>
      <c r="G22" s="9"/>
      <c r="H22" s="9"/>
      <c r="I22" s="9"/>
      <c r="J22" s="9"/>
      <c r="K22" s="9"/>
      <c r="L22" s="9"/>
      <c r="M22" s="9"/>
      <c r="N22" s="9"/>
      <c r="O22" s="92"/>
      <c r="P22" s="92"/>
      <c r="Q22" s="88"/>
      <c r="R22" s="88"/>
      <c r="S22" s="9"/>
      <c r="T22" s="47"/>
      <c r="U22" s="9"/>
      <c r="W22" s="67" t="str">
        <f>$A$4&amp;" "&amp;A23&amp;"("&amp;B23&amp;","&amp;C23&amp;"^)"</f>
        <v>수송동 수송아이파크(201-2BL)('08.09.,566^)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2" t="str">
        <f t="shared" si="0"/>
        <v/>
      </c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</row>
    <row r="23" spans="1:48" x14ac:dyDescent="0.3">
      <c r="A23" s="9" t="s">
        <v>1032</v>
      </c>
      <c r="B23" s="10" t="s">
        <v>1343</v>
      </c>
      <c r="C23" s="89">
        <v>566</v>
      </c>
      <c r="D23" s="87">
        <v>130.69999999999999</v>
      </c>
      <c r="E23" s="88">
        <v>40</v>
      </c>
      <c r="F23" s="87">
        <v>100.1</v>
      </c>
      <c r="G23" s="17">
        <v>30</v>
      </c>
      <c r="H23" s="89">
        <v>87</v>
      </c>
      <c r="I23" s="90">
        <v>39000</v>
      </c>
      <c r="J23" s="90" t="s">
        <v>72</v>
      </c>
      <c r="K23" s="90">
        <v>35000</v>
      </c>
      <c r="L23" s="90" t="s">
        <v>65</v>
      </c>
      <c r="M23" s="91">
        <f>I23-K23</f>
        <v>4000</v>
      </c>
      <c r="N23" s="4">
        <f>IF(ISERROR(K23/I23),"",K23/I23)</f>
        <v>0.89743589743589747</v>
      </c>
      <c r="O23" s="92">
        <f>I23/E23</f>
        <v>975</v>
      </c>
      <c r="P23" s="92">
        <f>K23/E23</f>
        <v>875</v>
      </c>
      <c r="Q23" s="80">
        <v>3</v>
      </c>
      <c r="R23" s="80">
        <v>2</v>
      </c>
      <c r="S23" s="80" t="s">
        <v>61</v>
      </c>
      <c r="T23" s="5">
        <v>130</v>
      </c>
      <c r="U23" s="9"/>
      <c r="W23" s="87">
        <f t="shared" ref="W23:X27" si="27">D23</f>
        <v>130.69999999999999</v>
      </c>
      <c r="X23" s="88">
        <f t="shared" si="27"/>
        <v>40</v>
      </c>
      <c r="Y23" s="93">
        <f t="shared" ref="Y23:Z27" si="28">H23</f>
        <v>87</v>
      </c>
      <c r="Z23" s="91">
        <f t="shared" si="28"/>
        <v>39000</v>
      </c>
      <c r="AA23" s="91">
        <f>K23</f>
        <v>35000</v>
      </c>
      <c r="AB23" s="91">
        <f t="shared" ref="AB23:AD27" si="29">M23</f>
        <v>4000</v>
      </c>
      <c r="AC23" s="4">
        <f t="shared" si="29"/>
        <v>0.89743589743589747</v>
      </c>
      <c r="AD23" s="92">
        <f t="shared" si="29"/>
        <v>975</v>
      </c>
      <c r="AE23" s="80" t="str">
        <f>S23</f>
        <v>계</v>
      </c>
      <c r="AF23" s="80" t="str">
        <f>Q23&amp;"/"&amp;R23</f>
        <v>3/2</v>
      </c>
      <c r="AH23" s="20" t="str">
        <f t="shared" si="1"/>
        <v>수송아이파크(201-2BL)</v>
      </c>
      <c r="AI23" s="88">
        <f t="shared" si="0"/>
        <v>40</v>
      </c>
      <c r="AJ23" s="80" t="str">
        <f>IF(AI23="","",$AJ$2)</f>
        <v>A-</v>
      </c>
      <c r="AK23" s="80" t="s">
        <v>14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>O</v>
      </c>
      <c r="AP23" s="80" t="str">
        <f>IF(I23="","",IF(I23&lt;=$AP$1,"O","X"))</f>
        <v>O</v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X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x14ac:dyDescent="0.3">
      <c r="A24" s="9" t="s">
        <v>1032</v>
      </c>
      <c r="B24" s="10" t="s">
        <v>1343</v>
      </c>
      <c r="C24" s="89">
        <v>566</v>
      </c>
      <c r="D24" s="87">
        <v>134.30000000000001</v>
      </c>
      <c r="E24" s="88">
        <v>41</v>
      </c>
      <c r="F24" s="87">
        <v>104.5</v>
      </c>
      <c r="G24" s="17">
        <v>32</v>
      </c>
      <c r="H24" s="89">
        <v>54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3</v>
      </c>
      <c r="R24" s="80">
        <v>2</v>
      </c>
      <c r="S24" s="80" t="s">
        <v>61</v>
      </c>
      <c r="T24" s="5">
        <v>134</v>
      </c>
      <c r="U24" s="9"/>
      <c r="W24" s="87">
        <f t="shared" si="27"/>
        <v>134.30000000000001</v>
      </c>
      <c r="X24" s="88">
        <f t="shared" si="27"/>
        <v>41</v>
      </c>
      <c r="Y24" s="93">
        <f t="shared" si="28"/>
        <v>54</v>
      </c>
      <c r="Z24" s="91">
        <f t="shared" si="28"/>
        <v>0</v>
      </c>
      <c r="AA24" s="91">
        <f>K24</f>
        <v>0</v>
      </c>
      <c r="AB24" s="91">
        <f t="shared" si="29"/>
        <v>0</v>
      </c>
      <c r="AC24" s="4" t="str">
        <f t="shared" si="29"/>
        <v/>
      </c>
      <c r="AD24" s="92">
        <f t="shared" si="29"/>
        <v>0</v>
      </c>
      <c r="AE24" s="80" t="str">
        <f>S24</f>
        <v>계</v>
      </c>
      <c r="AF24" s="80" t="str">
        <f>Q24&amp;"/"&amp;R24</f>
        <v>3/2</v>
      </c>
      <c r="AH24" s="20" t="str">
        <f t="shared" si="1"/>
        <v>수송아이파크(201-2BL)</v>
      </c>
      <c r="AI24" s="88">
        <f t="shared" si="0"/>
        <v>41</v>
      </c>
      <c r="AJ24" s="80" t="str">
        <f>IF(AI24="","",$AJ$2)</f>
        <v>A-</v>
      </c>
      <c r="AK24" s="80" t="s">
        <v>14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  <row r="25" spans="1:48" x14ac:dyDescent="0.3">
      <c r="A25" s="9" t="s">
        <v>1032</v>
      </c>
      <c r="B25" s="10" t="s">
        <v>1343</v>
      </c>
      <c r="C25" s="89">
        <v>566</v>
      </c>
      <c r="D25" s="87">
        <v>153.9</v>
      </c>
      <c r="E25" s="88">
        <v>47</v>
      </c>
      <c r="F25" s="87">
        <v>119.9</v>
      </c>
      <c r="G25" s="17">
        <v>36</v>
      </c>
      <c r="H25" s="89">
        <v>328</v>
      </c>
      <c r="I25" s="90">
        <v>46000</v>
      </c>
      <c r="J25" s="90" t="s">
        <v>84</v>
      </c>
      <c r="K25" s="90">
        <v>40000</v>
      </c>
      <c r="L25" s="90" t="s">
        <v>68</v>
      </c>
      <c r="M25" s="91">
        <f>I25-K25</f>
        <v>6000</v>
      </c>
      <c r="N25" s="4">
        <f>IF(ISERROR(K25/I25),"",K25/I25)</f>
        <v>0.86956521739130432</v>
      </c>
      <c r="O25" s="92">
        <f>I25/E25</f>
        <v>978.72340425531911</v>
      </c>
      <c r="P25" s="92">
        <f>K25/E25</f>
        <v>851.063829787234</v>
      </c>
      <c r="Q25" s="80">
        <v>4</v>
      </c>
      <c r="R25" s="80">
        <v>2</v>
      </c>
      <c r="S25" s="80" t="s">
        <v>61</v>
      </c>
      <c r="T25" s="5">
        <v>153</v>
      </c>
      <c r="U25" s="9"/>
      <c r="W25" s="87">
        <f t="shared" si="27"/>
        <v>153.9</v>
      </c>
      <c r="X25" s="88">
        <f t="shared" si="27"/>
        <v>47</v>
      </c>
      <c r="Y25" s="93">
        <f t="shared" si="28"/>
        <v>328</v>
      </c>
      <c r="Z25" s="91">
        <f t="shared" si="28"/>
        <v>46000</v>
      </c>
      <c r="AA25" s="91">
        <f>K25</f>
        <v>40000</v>
      </c>
      <c r="AB25" s="91">
        <f t="shared" si="29"/>
        <v>6000</v>
      </c>
      <c r="AC25" s="4">
        <f t="shared" si="29"/>
        <v>0.86956521739130432</v>
      </c>
      <c r="AD25" s="92">
        <f t="shared" si="29"/>
        <v>978.72340425531911</v>
      </c>
      <c r="AE25" s="80" t="str">
        <f>S25</f>
        <v>계</v>
      </c>
      <c r="AF25" s="80" t="str">
        <f>Q25&amp;"/"&amp;R25</f>
        <v>4/2</v>
      </c>
      <c r="AH25" s="20" t="str">
        <f t="shared" si="1"/>
        <v>수송아이파크(201-2BL)</v>
      </c>
      <c r="AI25" s="88">
        <f t="shared" si="0"/>
        <v>47</v>
      </c>
      <c r="AJ25" s="80" t="str">
        <f>IF(AI25="","",$AJ$2)</f>
        <v>A-</v>
      </c>
      <c r="AK25" s="80" t="s">
        <v>14</v>
      </c>
      <c r="AL25" s="80" t="s">
        <v>63</v>
      </c>
      <c r="AM25" s="80" t="s">
        <v>64</v>
      </c>
      <c r="AN25" s="80" t="str">
        <f>IF(AI25="","",$AN$2)</f>
        <v>C</v>
      </c>
      <c r="AO25" s="80" t="str">
        <f>IF(N25="","",IF(N25&gt;=$AO$1/100,"O","X"))</f>
        <v>O</v>
      </c>
      <c r="AP25" s="80" t="str">
        <f>IF(I25="","",IF(I25&lt;=$AP$1,"O","X"))</f>
        <v>X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 t="s">
        <v>1032</v>
      </c>
      <c r="B26" s="10" t="s">
        <v>1343</v>
      </c>
      <c r="C26" s="89">
        <v>566</v>
      </c>
      <c r="D26" s="87">
        <v>178.7</v>
      </c>
      <c r="E26" s="88">
        <v>54</v>
      </c>
      <c r="F26" s="87">
        <v>143.80000000000001</v>
      </c>
      <c r="G26" s="17">
        <v>44</v>
      </c>
      <c r="H26" s="89">
        <v>94</v>
      </c>
      <c r="I26" s="90">
        <v>55000</v>
      </c>
      <c r="J26" s="90" t="s">
        <v>60</v>
      </c>
      <c r="K26" s="90"/>
      <c r="L26" s="90"/>
      <c r="M26" s="91">
        <f>I26-K26</f>
        <v>55000</v>
      </c>
      <c r="N26" s="4">
        <f>IF(ISERROR(K26/I26),"",K26/I26)</f>
        <v>0</v>
      </c>
      <c r="O26" s="92">
        <f>I26/E26</f>
        <v>1018.5185185185185</v>
      </c>
      <c r="P26" s="92">
        <f>K26/E26</f>
        <v>0</v>
      </c>
      <c r="Q26" s="80">
        <v>4</v>
      </c>
      <c r="R26" s="80">
        <v>2</v>
      </c>
      <c r="S26" s="80" t="s">
        <v>61</v>
      </c>
      <c r="T26" s="5">
        <v>178</v>
      </c>
      <c r="U26" s="9"/>
      <c r="W26" s="87">
        <f t="shared" si="27"/>
        <v>178.7</v>
      </c>
      <c r="X26" s="88">
        <f t="shared" si="27"/>
        <v>54</v>
      </c>
      <c r="Y26" s="93">
        <f t="shared" si="28"/>
        <v>94</v>
      </c>
      <c r="Z26" s="91">
        <f t="shared" si="28"/>
        <v>55000</v>
      </c>
      <c r="AA26" s="91">
        <f>K26</f>
        <v>0</v>
      </c>
      <c r="AB26" s="91">
        <f t="shared" si="29"/>
        <v>55000</v>
      </c>
      <c r="AC26" s="4">
        <f t="shared" si="29"/>
        <v>0</v>
      </c>
      <c r="AD26" s="92">
        <f t="shared" si="29"/>
        <v>1018.5185185185185</v>
      </c>
      <c r="AE26" s="80" t="str">
        <f>S26</f>
        <v>계</v>
      </c>
      <c r="AF26" s="80" t="str">
        <f>Q26&amp;"/"&amp;R26</f>
        <v>4/2</v>
      </c>
      <c r="AH26" s="20" t="str">
        <f t="shared" si="1"/>
        <v>수송아이파크(201-2BL)</v>
      </c>
      <c r="AI26" s="88">
        <f t="shared" si="0"/>
        <v>54</v>
      </c>
      <c r="AJ26" s="80" t="str">
        <f>IF(AI26="","",$AJ$2)</f>
        <v>A-</v>
      </c>
      <c r="AK26" s="80" t="s">
        <v>14</v>
      </c>
      <c r="AL26" s="80" t="s">
        <v>63</v>
      </c>
      <c r="AM26" s="80" t="s">
        <v>64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X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X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 t="s">
        <v>1032</v>
      </c>
      <c r="B27" s="10" t="s">
        <v>1343</v>
      </c>
      <c r="C27" s="89">
        <v>566</v>
      </c>
      <c r="D27" s="87">
        <v>287</v>
      </c>
      <c r="E27" s="88">
        <v>87</v>
      </c>
      <c r="F27" s="87">
        <v>232.1</v>
      </c>
      <c r="G27" s="17">
        <v>70</v>
      </c>
      <c r="H27" s="89">
        <v>3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5</v>
      </c>
      <c r="R27" s="80">
        <v>4</v>
      </c>
      <c r="S27" s="80" t="s">
        <v>61</v>
      </c>
      <c r="T27" s="5">
        <v>286</v>
      </c>
      <c r="U27" s="9"/>
      <c r="W27" s="87">
        <f t="shared" si="27"/>
        <v>287</v>
      </c>
      <c r="X27" s="88">
        <f t="shared" si="27"/>
        <v>87</v>
      </c>
      <c r="Y27" s="93">
        <f t="shared" si="28"/>
        <v>3</v>
      </c>
      <c r="Z27" s="91">
        <f t="shared" si="28"/>
        <v>0</v>
      </c>
      <c r="AA27" s="91">
        <f>K27</f>
        <v>0</v>
      </c>
      <c r="AB27" s="91">
        <f t="shared" si="29"/>
        <v>0</v>
      </c>
      <c r="AC27" s="4" t="str">
        <f t="shared" si="29"/>
        <v/>
      </c>
      <c r="AD27" s="92">
        <f t="shared" si="29"/>
        <v>0</v>
      </c>
      <c r="AE27" s="80" t="str">
        <f>S27</f>
        <v>계</v>
      </c>
      <c r="AF27" s="80" t="str">
        <f>Q27&amp;"/"&amp;R27</f>
        <v>5/4</v>
      </c>
      <c r="AH27" s="20" t="str">
        <f t="shared" si="1"/>
        <v>수송아이파크(201-2BL)</v>
      </c>
      <c r="AI27" s="88">
        <f t="shared" si="0"/>
        <v>87</v>
      </c>
      <c r="AJ27" s="80" t="str">
        <f>IF(AI27="","",$AJ$2)</f>
        <v>A-</v>
      </c>
      <c r="AK27" s="80" t="s">
        <v>14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x14ac:dyDescent="0.3">
      <c r="A28" s="9"/>
      <c r="B28" s="80"/>
      <c r="C28" s="6"/>
      <c r="D28" s="9"/>
      <c r="E28" s="14"/>
      <c r="F28" s="87"/>
      <c r="G28" s="9"/>
      <c r="H28" s="9"/>
      <c r="I28" s="9"/>
      <c r="J28" s="9"/>
      <c r="K28" s="9"/>
      <c r="L28" s="9"/>
      <c r="M28" s="9"/>
      <c r="N28" s="9"/>
      <c r="O28" s="92"/>
      <c r="P28" s="92"/>
      <c r="Q28" s="88"/>
      <c r="R28" s="88"/>
      <c r="S28" s="9"/>
      <c r="T28" s="47"/>
      <c r="U28" s="9"/>
      <c r="W28" s="67" t="str">
        <f>$A$4&amp;" "&amp;A29&amp;"("&amp;B29&amp;","&amp;C29&amp;"^)"</f>
        <v>수송동 군산수송세영리첼('10.06.,1041^)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2" t="str">
        <f t="shared" si="0"/>
        <v/>
      </c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</row>
    <row r="29" spans="1:48" x14ac:dyDescent="0.3">
      <c r="A29" s="9" t="s">
        <v>1037</v>
      </c>
      <c r="B29" s="10" t="s">
        <v>1344</v>
      </c>
      <c r="C29" s="89">
        <v>1041</v>
      </c>
      <c r="D29" s="87">
        <v>108.9</v>
      </c>
      <c r="E29" s="88">
        <v>33</v>
      </c>
      <c r="F29" s="87">
        <v>84.7</v>
      </c>
      <c r="G29" s="17">
        <v>26</v>
      </c>
      <c r="H29" s="89">
        <v>160</v>
      </c>
      <c r="I29" s="90">
        <v>31000</v>
      </c>
      <c r="J29" s="90" t="s">
        <v>65</v>
      </c>
      <c r="K29" s="90">
        <v>25000</v>
      </c>
      <c r="L29" s="90" t="s">
        <v>72</v>
      </c>
      <c r="M29" s="91">
        <f>I29-K29</f>
        <v>6000</v>
      </c>
      <c r="N29" s="4">
        <f>IF(ISERROR(K29/I29),"",K29/I29)</f>
        <v>0.80645161290322576</v>
      </c>
      <c r="O29" s="92">
        <f>I29/E29</f>
        <v>939.39393939393938</v>
      </c>
      <c r="P29" s="92">
        <f>K29/E29</f>
        <v>757.57575757575762</v>
      </c>
      <c r="Q29" s="80">
        <v>3</v>
      </c>
      <c r="R29" s="80">
        <v>2</v>
      </c>
      <c r="S29" s="80" t="s">
        <v>61</v>
      </c>
      <c r="T29" s="5">
        <v>108</v>
      </c>
      <c r="U29" s="9"/>
      <c r="W29" s="87">
        <f t="shared" ref="W29:X32" si="30">D29</f>
        <v>108.9</v>
      </c>
      <c r="X29" s="88">
        <f t="shared" si="30"/>
        <v>33</v>
      </c>
      <c r="Y29" s="93">
        <f t="shared" ref="Y29:Z32" si="31">H29</f>
        <v>160</v>
      </c>
      <c r="Z29" s="91">
        <f t="shared" si="31"/>
        <v>31000</v>
      </c>
      <c r="AA29" s="91">
        <f>K29</f>
        <v>25000</v>
      </c>
      <c r="AB29" s="91">
        <f t="shared" ref="AB29:AD32" si="32">M29</f>
        <v>6000</v>
      </c>
      <c r="AC29" s="4">
        <f t="shared" si="32"/>
        <v>0.80645161290322576</v>
      </c>
      <c r="AD29" s="92">
        <f t="shared" si="32"/>
        <v>939.39393939393938</v>
      </c>
      <c r="AE29" s="80" t="str">
        <f>S29</f>
        <v>계</v>
      </c>
      <c r="AF29" s="80" t="str">
        <f>Q29&amp;"/"&amp;R29</f>
        <v>3/2</v>
      </c>
      <c r="AH29" s="20" t="str">
        <f t="shared" si="1"/>
        <v>군산수송세영리첼</v>
      </c>
      <c r="AI29" s="88">
        <f t="shared" si="0"/>
        <v>33</v>
      </c>
      <c r="AJ29" s="80" t="str">
        <f>IF(AI29="","",$AJ$2)</f>
        <v>A-</v>
      </c>
      <c r="AK29" s="80" t="s">
        <v>14</v>
      </c>
      <c r="AL29" s="80" t="s">
        <v>63</v>
      </c>
      <c r="AM29" s="80" t="s">
        <v>64</v>
      </c>
      <c r="AN29" s="80" t="str">
        <f>IF(AI29="","",$AN$2)</f>
        <v>C</v>
      </c>
      <c r="AO29" s="80" t="str">
        <f>IF(N29="","",IF(N29&gt;=$AO$1/100,"O","X"))</f>
        <v>O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 t="s">
        <v>1037</v>
      </c>
      <c r="B30" s="10" t="s">
        <v>1344</v>
      </c>
      <c r="C30" s="89">
        <v>1041</v>
      </c>
      <c r="D30" s="87">
        <v>114.2</v>
      </c>
      <c r="E30" s="88">
        <v>35</v>
      </c>
      <c r="F30" s="87">
        <v>85</v>
      </c>
      <c r="G30" s="17">
        <v>26</v>
      </c>
      <c r="H30" s="89">
        <v>466</v>
      </c>
      <c r="I30" s="90">
        <v>31500</v>
      </c>
      <c r="J30" s="90" t="s">
        <v>74</v>
      </c>
      <c r="K30" s="90">
        <v>26000</v>
      </c>
      <c r="L30" s="90" t="s">
        <v>67</v>
      </c>
      <c r="M30" s="91">
        <f>I30-K30</f>
        <v>5500</v>
      </c>
      <c r="N30" s="4">
        <f>IF(ISERROR(K30/I30),"",K30/I30)</f>
        <v>0.82539682539682535</v>
      </c>
      <c r="O30" s="92">
        <f>I30/E30</f>
        <v>900</v>
      </c>
      <c r="P30" s="92">
        <f>K30/E30</f>
        <v>742.85714285714289</v>
      </c>
      <c r="Q30" s="80">
        <v>3</v>
      </c>
      <c r="R30" s="80">
        <v>2</v>
      </c>
      <c r="S30" s="80" t="s">
        <v>61</v>
      </c>
      <c r="T30" s="5" t="s">
        <v>110</v>
      </c>
      <c r="U30" s="9"/>
      <c r="W30" s="87">
        <f t="shared" si="30"/>
        <v>114.2</v>
      </c>
      <c r="X30" s="88">
        <f t="shared" si="30"/>
        <v>35</v>
      </c>
      <c r="Y30" s="93">
        <f t="shared" si="31"/>
        <v>466</v>
      </c>
      <c r="Z30" s="91">
        <f t="shared" si="31"/>
        <v>31500</v>
      </c>
      <c r="AA30" s="91">
        <f>K30</f>
        <v>26000</v>
      </c>
      <c r="AB30" s="91">
        <f t="shared" si="32"/>
        <v>5500</v>
      </c>
      <c r="AC30" s="4">
        <f t="shared" si="32"/>
        <v>0.82539682539682535</v>
      </c>
      <c r="AD30" s="92">
        <f t="shared" si="32"/>
        <v>900</v>
      </c>
      <c r="AE30" s="80" t="str">
        <f>S30</f>
        <v>계</v>
      </c>
      <c r="AF30" s="80" t="str">
        <f>Q30&amp;"/"&amp;R30</f>
        <v>3/2</v>
      </c>
      <c r="AH30" s="20" t="str">
        <f t="shared" si="1"/>
        <v>군산수송세영리첼</v>
      </c>
      <c r="AI30" s="88">
        <f t="shared" si="0"/>
        <v>35</v>
      </c>
      <c r="AJ30" s="80" t="str">
        <f>IF(AI30="","",$AJ$2)</f>
        <v>A-</v>
      </c>
      <c r="AK30" s="80" t="s">
        <v>14</v>
      </c>
      <c r="AL30" s="80" t="s">
        <v>63</v>
      </c>
      <c r="AM30" s="80" t="s">
        <v>64</v>
      </c>
      <c r="AN30" s="80" t="str">
        <f>IF(AI30="","",$AN$2)</f>
        <v>C</v>
      </c>
      <c r="AO30" s="80" t="str">
        <f>IF(N30="","",IF(N30&gt;=$AO$1/100,"O","X"))</f>
        <v>O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x14ac:dyDescent="0.3">
      <c r="A31" s="9" t="s">
        <v>1037</v>
      </c>
      <c r="B31" s="10" t="s">
        <v>1344</v>
      </c>
      <c r="C31" s="89">
        <v>1041</v>
      </c>
      <c r="D31" s="87">
        <v>114.4</v>
      </c>
      <c r="E31" s="88">
        <v>35</v>
      </c>
      <c r="F31" s="87">
        <v>84.9</v>
      </c>
      <c r="G31" s="17">
        <v>26</v>
      </c>
      <c r="H31" s="89">
        <v>120</v>
      </c>
      <c r="I31" s="90">
        <v>33000</v>
      </c>
      <c r="J31" s="90" t="s">
        <v>72</v>
      </c>
      <c r="K31" s="90">
        <v>26000</v>
      </c>
      <c r="L31" s="90" t="s">
        <v>84</v>
      </c>
      <c r="M31" s="91">
        <f>I31-K31</f>
        <v>7000</v>
      </c>
      <c r="N31" s="4">
        <f>IF(ISERROR(K31/I31),"",K31/I31)</f>
        <v>0.78787878787878785</v>
      </c>
      <c r="O31" s="92">
        <f>I31/E31</f>
        <v>942.85714285714289</v>
      </c>
      <c r="P31" s="92">
        <f>K31/E31</f>
        <v>742.85714285714289</v>
      </c>
      <c r="Q31" s="80">
        <v>3</v>
      </c>
      <c r="R31" s="80">
        <v>2</v>
      </c>
      <c r="S31" s="80" t="s">
        <v>61</v>
      </c>
      <c r="T31" s="5" t="s">
        <v>1042</v>
      </c>
      <c r="U31" s="9"/>
      <c r="W31" s="87">
        <f t="shared" si="30"/>
        <v>114.4</v>
      </c>
      <c r="X31" s="88">
        <f t="shared" si="30"/>
        <v>35</v>
      </c>
      <c r="Y31" s="93">
        <f t="shared" si="31"/>
        <v>120</v>
      </c>
      <c r="Z31" s="91">
        <f t="shared" si="31"/>
        <v>33000</v>
      </c>
      <c r="AA31" s="91">
        <f>K31</f>
        <v>26000</v>
      </c>
      <c r="AB31" s="91">
        <f t="shared" si="32"/>
        <v>7000</v>
      </c>
      <c r="AC31" s="4">
        <f t="shared" si="32"/>
        <v>0.78787878787878785</v>
      </c>
      <c r="AD31" s="92">
        <f t="shared" si="32"/>
        <v>942.85714285714289</v>
      </c>
      <c r="AE31" s="80" t="str">
        <f>S31</f>
        <v>계</v>
      </c>
      <c r="AF31" s="80" t="str">
        <f>Q31&amp;"/"&amp;R31</f>
        <v>3/2</v>
      </c>
      <c r="AH31" s="20" t="str">
        <f t="shared" si="1"/>
        <v>군산수송세영리첼</v>
      </c>
      <c r="AI31" s="88">
        <f t="shared" si="0"/>
        <v>35</v>
      </c>
      <c r="AJ31" s="80" t="str">
        <f>IF(AI31="","",$AJ$2)</f>
        <v>A-</v>
      </c>
      <c r="AK31" s="80" t="s">
        <v>14</v>
      </c>
      <c r="AL31" s="80" t="s">
        <v>63</v>
      </c>
      <c r="AM31" s="80" t="s">
        <v>64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1037</v>
      </c>
      <c r="B32" s="10" t="s">
        <v>1344</v>
      </c>
      <c r="C32" s="89">
        <v>1041</v>
      </c>
      <c r="D32" s="87">
        <v>119.3</v>
      </c>
      <c r="E32" s="88">
        <v>36</v>
      </c>
      <c r="F32" s="87">
        <v>84.9</v>
      </c>
      <c r="G32" s="17">
        <v>26</v>
      </c>
      <c r="H32" s="89">
        <v>295</v>
      </c>
      <c r="I32" s="90">
        <v>33500</v>
      </c>
      <c r="J32" s="90" t="s">
        <v>66</v>
      </c>
      <c r="K32" s="90">
        <v>26000</v>
      </c>
      <c r="L32" s="90" t="s">
        <v>84</v>
      </c>
      <c r="M32" s="91">
        <f>I32-K32</f>
        <v>7500</v>
      </c>
      <c r="N32" s="4">
        <f>IF(ISERROR(K32/I32),"",K32/I32)</f>
        <v>0.77611940298507465</v>
      </c>
      <c r="O32" s="92">
        <f>I32/E32</f>
        <v>930.55555555555554</v>
      </c>
      <c r="P32" s="92">
        <f>K32/E32</f>
        <v>722.22222222222217</v>
      </c>
      <c r="Q32" s="80">
        <v>3</v>
      </c>
      <c r="R32" s="80">
        <v>2</v>
      </c>
      <c r="S32" s="80" t="s">
        <v>61</v>
      </c>
      <c r="T32" s="5">
        <v>119</v>
      </c>
      <c r="U32" s="9"/>
      <c r="W32" s="87">
        <f t="shared" si="30"/>
        <v>119.3</v>
      </c>
      <c r="X32" s="88">
        <f t="shared" si="30"/>
        <v>36</v>
      </c>
      <c r="Y32" s="93">
        <f t="shared" si="31"/>
        <v>295</v>
      </c>
      <c r="Z32" s="91">
        <f t="shared" si="31"/>
        <v>33500</v>
      </c>
      <c r="AA32" s="91">
        <f>K32</f>
        <v>26000</v>
      </c>
      <c r="AB32" s="91">
        <f t="shared" si="32"/>
        <v>7500</v>
      </c>
      <c r="AC32" s="4">
        <f t="shared" si="32"/>
        <v>0.77611940298507465</v>
      </c>
      <c r="AD32" s="92">
        <f t="shared" si="32"/>
        <v>930.55555555555554</v>
      </c>
      <c r="AE32" s="80" t="str">
        <f>S32</f>
        <v>계</v>
      </c>
      <c r="AF32" s="80" t="str">
        <f>Q32&amp;"/"&amp;R32</f>
        <v>3/2</v>
      </c>
      <c r="AH32" s="20" t="str">
        <f t="shared" si="1"/>
        <v>군산수송세영리첼</v>
      </c>
      <c r="AI32" s="88">
        <f t="shared" si="0"/>
        <v>36</v>
      </c>
      <c r="AJ32" s="80" t="str">
        <f>IF(AI32="","",$AJ$2)</f>
        <v>A-</v>
      </c>
      <c r="AK32" s="80" t="s">
        <v>14</v>
      </c>
      <c r="AL32" s="80" t="s">
        <v>63</v>
      </c>
      <c r="AM32" s="80" t="s">
        <v>64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7" t="str">
        <f>$A$4&amp;" "&amp;A34&amp;"("&amp;B34&amp;","&amp;C34&amp;"^)"</f>
        <v>수송동 수송오투그란데2차('11.03.,570^)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1043</v>
      </c>
      <c r="B34" s="10" t="s">
        <v>1345</v>
      </c>
      <c r="C34" s="89">
        <v>570</v>
      </c>
      <c r="D34" s="87">
        <v>71.8</v>
      </c>
      <c r="E34" s="88">
        <v>22</v>
      </c>
      <c r="F34" s="87">
        <v>49.9</v>
      </c>
      <c r="G34" s="17">
        <v>15</v>
      </c>
      <c r="H34" s="89">
        <v>104</v>
      </c>
      <c r="I34" s="90">
        <v>17500</v>
      </c>
      <c r="J34" s="90" t="s">
        <v>71</v>
      </c>
      <c r="K34" s="90">
        <v>16000</v>
      </c>
      <c r="L34" s="90" t="s">
        <v>71</v>
      </c>
      <c r="M34" s="91">
        <f>I34-K34</f>
        <v>1500</v>
      </c>
      <c r="N34" s="4">
        <f>IF(ISERROR(K34/I34),"",K34/I34)</f>
        <v>0.91428571428571426</v>
      </c>
      <c r="O34" s="92">
        <f>I34/E34</f>
        <v>795.4545454545455</v>
      </c>
      <c r="P34" s="92">
        <f>K34/E34</f>
        <v>727.27272727272725</v>
      </c>
      <c r="Q34" s="80">
        <v>2</v>
      </c>
      <c r="R34" s="80">
        <v>1</v>
      </c>
      <c r="S34" s="80" t="s">
        <v>61</v>
      </c>
      <c r="T34" s="5">
        <v>71</v>
      </c>
      <c r="U34" s="9"/>
      <c r="W34" s="87">
        <f t="shared" ref="W34:X36" si="33">D34</f>
        <v>71.8</v>
      </c>
      <c r="X34" s="88">
        <f t="shared" si="33"/>
        <v>22</v>
      </c>
      <c r="Y34" s="93">
        <f t="shared" ref="Y34:Z36" si="34">H34</f>
        <v>104</v>
      </c>
      <c r="Z34" s="91">
        <f t="shared" si="34"/>
        <v>17500</v>
      </c>
      <c r="AA34" s="91">
        <f>K34</f>
        <v>16000</v>
      </c>
      <c r="AB34" s="91">
        <f t="shared" ref="AB34:AD36" si="35">M34</f>
        <v>1500</v>
      </c>
      <c r="AC34" s="4">
        <f t="shared" si="35"/>
        <v>0.91428571428571426</v>
      </c>
      <c r="AD34" s="92">
        <f t="shared" si="35"/>
        <v>795.4545454545455</v>
      </c>
      <c r="AE34" s="80" t="str">
        <f>S34</f>
        <v>계</v>
      </c>
      <c r="AF34" s="80" t="str">
        <f>Q34&amp;"/"&amp;R34</f>
        <v>2/1</v>
      </c>
      <c r="AH34" s="20" t="str">
        <f t="shared" si="1"/>
        <v>수송오투그란데2차</v>
      </c>
      <c r="AI34" s="88">
        <f t="shared" si="0"/>
        <v>22</v>
      </c>
      <c r="AJ34" s="80" t="str">
        <f>IF(AI34="","",$AJ$2)</f>
        <v>A-</v>
      </c>
      <c r="AK34" s="80" t="s">
        <v>14</v>
      </c>
      <c r="AL34" s="80" t="s">
        <v>63</v>
      </c>
      <c r="AM34" s="80" t="s">
        <v>64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x14ac:dyDescent="0.3">
      <c r="A35" s="9" t="s">
        <v>1043</v>
      </c>
      <c r="B35" s="10" t="s">
        <v>1345</v>
      </c>
      <c r="C35" s="89">
        <v>570</v>
      </c>
      <c r="D35" s="87">
        <v>83</v>
      </c>
      <c r="E35" s="88">
        <v>25</v>
      </c>
      <c r="F35" s="87">
        <v>60</v>
      </c>
      <c r="G35" s="17">
        <v>18</v>
      </c>
      <c r="H35" s="89">
        <v>235</v>
      </c>
      <c r="I35" s="90">
        <v>21000</v>
      </c>
      <c r="J35" s="90" t="s">
        <v>70</v>
      </c>
      <c r="K35" s="90">
        <v>18500</v>
      </c>
      <c r="L35" s="90" t="s">
        <v>67</v>
      </c>
      <c r="M35" s="91">
        <f>I35-K35</f>
        <v>2500</v>
      </c>
      <c r="N35" s="4">
        <f>IF(ISERROR(K35/I35),"",K35/I35)</f>
        <v>0.88095238095238093</v>
      </c>
      <c r="O35" s="92">
        <f>I35/E35</f>
        <v>840</v>
      </c>
      <c r="P35" s="92">
        <f>K35/E35</f>
        <v>740</v>
      </c>
      <c r="Q35" s="80">
        <v>3</v>
      </c>
      <c r="R35" s="80">
        <v>2</v>
      </c>
      <c r="S35" s="80" t="s">
        <v>61</v>
      </c>
      <c r="T35" s="5" t="s">
        <v>90</v>
      </c>
      <c r="U35" s="9"/>
      <c r="W35" s="87">
        <f t="shared" si="33"/>
        <v>83</v>
      </c>
      <c r="X35" s="88">
        <f t="shared" si="33"/>
        <v>25</v>
      </c>
      <c r="Y35" s="93">
        <f t="shared" si="34"/>
        <v>235</v>
      </c>
      <c r="Z35" s="91">
        <f t="shared" si="34"/>
        <v>21000</v>
      </c>
      <c r="AA35" s="91">
        <f>K35</f>
        <v>18500</v>
      </c>
      <c r="AB35" s="91">
        <f t="shared" si="35"/>
        <v>2500</v>
      </c>
      <c r="AC35" s="4">
        <f t="shared" si="35"/>
        <v>0.88095238095238093</v>
      </c>
      <c r="AD35" s="92">
        <f t="shared" si="35"/>
        <v>840</v>
      </c>
      <c r="AE35" s="80" t="str">
        <f>S35</f>
        <v>계</v>
      </c>
      <c r="AF35" s="80" t="str">
        <f>Q35&amp;"/"&amp;R35</f>
        <v>3/2</v>
      </c>
      <c r="AH35" s="20" t="str">
        <f t="shared" si="1"/>
        <v>수송오투그란데2차</v>
      </c>
      <c r="AI35" s="88">
        <f t="shared" ref="AI35:AI59" si="36">IF(E35="","",E35)</f>
        <v>25</v>
      </c>
      <c r="AJ35" s="80" t="str">
        <f>IF(AI35="","",$AJ$2)</f>
        <v>A-</v>
      </c>
      <c r="AK35" s="80" t="s">
        <v>14</v>
      </c>
      <c r="AL35" s="80" t="s">
        <v>63</v>
      </c>
      <c r="AM35" s="80" t="s">
        <v>64</v>
      </c>
      <c r="AN35" s="80" t="str">
        <f>IF(AI35="","",$AN$2)</f>
        <v>C</v>
      </c>
      <c r="AO35" s="80" t="str">
        <f>IF(N35="","",IF(N35&gt;=$AO$1/100,"O","X"))</f>
        <v>O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후보</v>
      </c>
    </row>
    <row r="36" spans="1:48" x14ac:dyDescent="0.3">
      <c r="A36" s="9" t="s">
        <v>1043</v>
      </c>
      <c r="B36" s="10" t="s">
        <v>1345</v>
      </c>
      <c r="C36" s="89">
        <v>570</v>
      </c>
      <c r="D36" s="87">
        <v>82.6</v>
      </c>
      <c r="E36" s="88">
        <v>25</v>
      </c>
      <c r="F36" s="87">
        <v>59.7</v>
      </c>
      <c r="G36" s="17">
        <v>18</v>
      </c>
      <c r="H36" s="89">
        <v>231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2</v>
      </c>
      <c r="S36" s="80" t="s">
        <v>61</v>
      </c>
      <c r="T36" s="5" t="s">
        <v>1048</v>
      </c>
      <c r="U36" s="9"/>
      <c r="W36" s="87">
        <f t="shared" si="33"/>
        <v>82.6</v>
      </c>
      <c r="X36" s="88">
        <f t="shared" si="33"/>
        <v>25</v>
      </c>
      <c r="Y36" s="93">
        <f t="shared" si="34"/>
        <v>231</v>
      </c>
      <c r="Z36" s="91">
        <f t="shared" si="34"/>
        <v>0</v>
      </c>
      <c r="AA36" s="91">
        <f>K36</f>
        <v>0</v>
      </c>
      <c r="AB36" s="91">
        <f t="shared" si="35"/>
        <v>0</v>
      </c>
      <c r="AC36" s="4" t="str">
        <f t="shared" si="35"/>
        <v/>
      </c>
      <c r="AD36" s="92">
        <f t="shared" si="35"/>
        <v>0</v>
      </c>
      <c r="AE36" s="80" t="str">
        <f>S36</f>
        <v>계</v>
      </c>
      <c r="AF36" s="80" t="str">
        <f>Q36&amp;"/"&amp;R36</f>
        <v>3/2</v>
      </c>
      <c r="AH36" s="20" t="str">
        <f t="shared" si="1"/>
        <v>수송오투그란데2차</v>
      </c>
      <c r="AI36" s="88">
        <f t="shared" si="36"/>
        <v>25</v>
      </c>
      <c r="AJ36" s="80" t="str">
        <f>IF(AI36="","",$AJ$2)</f>
        <v>A-</v>
      </c>
      <c r="AK36" s="80" t="s">
        <v>14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7" t="str">
        <f>$A$4&amp;" "&amp;A38&amp;"("&amp;B38&amp;","&amp;C38&amp;"^)"</f>
        <v>수송동 현대('97.06.,657^)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59" si="37">IF(A37="","",A37)</f>
        <v/>
      </c>
      <c r="AI37" s="112" t="str">
        <f t="shared" si="36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x14ac:dyDescent="0.3">
      <c r="A38" s="9" t="s">
        <v>217</v>
      </c>
      <c r="B38" s="10" t="s">
        <v>1346</v>
      </c>
      <c r="C38" s="89">
        <v>657</v>
      </c>
      <c r="D38" s="87">
        <v>78.3</v>
      </c>
      <c r="E38" s="88">
        <v>24</v>
      </c>
      <c r="F38" s="87">
        <v>60</v>
      </c>
      <c r="G38" s="17">
        <v>18</v>
      </c>
      <c r="H38" s="89">
        <v>272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3</v>
      </c>
      <c r="R38" s="80">
        <v>1</v>
      </c>
      <c r="S38" s="80" t="s">
        <v>61</v>
      </c>
      <c r="T38" s="5">
        <v>78</v>
      </c>
      <c r="U38" s="9"/>
      <c r="W38" s="87">
        <f t="shared" ref="W38:X40" si="38">D38</f>
        <v>78.3</v>
      </c>
      <c r="X38" s="88">
        <f t="shared" si="38"/>
        <v>24</v>
      </c>
      <c r="Y38" s="93">
        <f t="shared" ref="Y38:Z40" si="39">H38</f>
        <v>272</v>
      </c>
      <c r="Z38" s="91">
        <f t="shared" si="39"/>
        <v>0</v>
      </c>
      <c r="AA38" s="91">
        <f>K38</f>
        <v>0</v>
      </c>
      <c r="AB38" s="91">
        <f t="shared" ref="AB38:AD40" si="40">M38</f>
        <v>0</v>
      </c>
      <c r="AC38" s="4" t="str">
        <f t="shared" si="40"/>
        <v/>
      </c>
      <c r="AD38" s="92">
        <f t="shared" si="40"/>
        <v>0</v>
      </c>
      <c r="AE38" s="80" t="str">
        <f>S38</f>
        <v>계</v>
      </c>
      <c r="AF38" s="80" t="str">
        <f>Q38&amp;"/"&amp;R38</f>
        <v>3/1</v>
      </c>
      <c r="AH38" s="20" t="str">
        <f t="shared" si="37"/>
        <v>현대</v>
      </c>
      <c r="AI38" s="88">
        <f t="shared" si="36"/>
        <v>24</v>
      </c>
      <c r="AJ38" s="80" t="str">
        <f>IF(AI38="","",$AJ$2)</f>
        <v>A-</v>
      </c>
      <c r="AK38" s="80" t="s">
        <v>14</v>
      </c>
      <c r="AL38" s="80" t="s">
        <v>63</v>
      </c>
      <c r="AM38" s="80" t="s">
        <v>64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/>
      </c>
    </row>
    <row r="39" spans="1:48" x14ac:dyDescent="0.3">
      <c r="A39" s="9" t="s">
        <v>217</v>
      </c>
      <c r="B39" s="10" t="s">
        <v>1346</v>
      </c>
      <c r="C39" s="89">
        <v>657</v>
      </c>
      <c r="D39" s="87">
        <v>96.4</v>
      </c>
      <c r="E39" s="88">
        <v>29</v>
      </c>
      <c r="F39" s="87">
        <v>75.2</v>
      </c>
      <c r="G39" s="17">
        <v>23</v>
      </c>
      <c r="H39" s="89">
        <v>136</v>
      </c>
      <c r="I39" s="90">
        <v>17500</v>
      </c>
      <c r="J39" s="90" t="s">
        <v>69</v>
      </c>
      <c r="K39" s="90"/>
      <c r="L39" s="90"/>
      <c r="M39" s="91">
        <f>I39-K39</f>
        <v>17500</v>
      </c>
      <c r="N39" s="4">
        <f>IF(ISERROR(K39/I39),"",K39/I39)</f>
        <v>0</v>
      </c>
      <c r="O39" s="92">
        <f>I39/E39</f>
        <v>603.44827586206895</v>
      </c>
      <c r="P39" s="92">
        <f>K39/E39</f>
        <v>0</v>
      </c>
      <c r="Q39" s="80">
        <v>3</v>
      </c>
      <c r="R39" s="80">
        <v>1</v>
      </c>
      <c r="S39" s="80" t="s">
        <v>61</v>
      </c>
      <c r="T39" s="5">
        <v>96</v>
      </c>
      <c r="U39" s="9"/>
      <c r="W39" s="87">
        <f t="shared" si="38"/>
        <v>96.4</v>
      </c>
      <c r="X39" s="88">
        <f t="shared" si="38"/>
        <v>29</v>
      </c>
      <c r="Y39" s="93">
        <f t="shared" si="39"/>
        <v>136</v>
      </c>
      <c r="Z39" s="91">
        <f t="shared" si="39"/>
        <v>17500</v>
      </c>
      <c r="AA39" s="91">
        <f>K39</f>
        <v>0</v>
      </c>
      <c r="AB39" s="91">
        <f t="shared" si="40"/>
        <v>17500</v>
      </c>
      <c r="AC39" s="4">
        <f t="shared" si="40"/>
        <v>0</v>
      </c>
      <c r="AD39" s="92">
        <f t="shared" si="40"/>
        <v>603.44827586206895</v>
      </c>
      <c r="AE39" s="80" t="str">
        <f>S39</f>
        <v>계</v>
      </c>
      <c r="AF39" s="80" t="str">
        <f>Q39&amp;"/"&amp;R39</f>
        <v>3/1</v>
      </c>
      <c r="AH39" s="20" t="str">
        <f t="shared" si="37"/>
        <v>현대</v>
      </c>
      <c r="AI39" s="88">
        <f t="shared" si="36"/>
        <v>29</v>
      </c>
      <c r="AJ39" s="80" t="str">
        <f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 t="s">
        <v>217</v>
      </c>
      <c r="B40" s="10" t="s">
        <v>1346</v>
      </c>
      <c r="C40" s="89">
        <v>657</v>
      </c>
      <c r="D40" s="87">
        <v>105.2</v>
      </c>
      <c r="E40" s="88">
        <v>32</v>
      </c>
      <c r="F40" s="87">
        <v>85</v>
      </c>
      <c r="G40" s="17">
        <v>26</v>
      </c>
      <c r="H40" s="89">
        <v>249</v>
      </c>
      <c r="I40" s="90">
        <v>19000</v>
      </c>
      <c r="J40" s="90" t="s">
        <v>67</v>
      </c>
      <c r="K40" s="90">
        <v>18000</v>
      </c>
      <c r="L40" s="90" t="s">
        <v>74</v>
      </c>
      <c r="M40" s="91">
        <f>I40-K40</f>
        <v>1000</v>
      </c>
      <c r="N40" s="4">
        <f>IF(ISERROR(K40/I40),"",K40/I40)</f>
        <v>0.94736842105263153</v>
      </c>
      <c r="O40" s="92">
        <f>I40/E40</f>
        <v>593.75</v>
      </c>
      <c r="P40" s="92">
        <f>K40/E40</f>
        <v>562.5</v>
      </c>
      <c r="Q40" s="80">
        <v>3</v>
      </c>
      <c r="R40" s="80">
        <v>2</v>
      </c>
      <c r="S40" s="80" t="s">
        <v>61</v>
      </c>
      <c r="T40" s="5">
        <v>105</v>
      </c>
      <c r="U40" s="9"/>
      <c r="W40" s="87">
        <f t="shared" si="38"/>
        <v>105.2</v>
      </c>
      <c r="X40" s="88">
        <f t="shared" si="38"/>
        <v>32</v>
      </c>
      <c r="Y40" s="93">
        <f t="shared" si="39"/>
        <v>249</v>
      </c>
      <c r="Z40" s="91">
        <f t="shared" si="39"/>
        <v>19000</v>
      </c>
      <c r="AA40" s="91">
        <f>K40</f>
        <v>18000</v>
      </c>
      <c r="AB40" s="91">
        <f t="shared" si="40"/>
        <v>1000</v>
      </c>
      <c r="AC40" s="4">
        <f t="shared" si="40"/>
        <v>0.94736842105263153</v>
      </c>
      <c r="AD40" s="92">
        <f t="shared" si="40"/>
        <v>593.75</v>
      </c>
      <c r="AE40" s="80" t="str">
        <f>S40</f>
        <v>계</v>
      </c>
      <c r="AF40" s="80" t="str">
        <f>Q40&amp;"/"&amp;R40</f>
        <v>3/2</v>
      </c>
      <c r="AH40" s="20" t="str">
        <f t="shared" si="37"/>
        <v>현대</v>
      </c>
      <c r="AI40" s="88">
        <f t="shared" si="36"/>
        <v>32</v>
      </c>
      <c r="AJ40" s="80" t="str">
        <f>IF(AI40="","",$AJ$2)</f>
        <v>A-</v>
      </c>
      <c r="AK40" s="80" t="s">
        <v>14</v>
      </c>
      <c r="AL40" s="80" t="s">
        <v>63</v>
      </c>
      <c r="AM40" s="80" t="s">
        <v>64</v>
      </c>
      <c r="AN40" s="80" t="str">
        <f>IF(AI40="","",$AN$2)</f>
        <v>C</v>
      </c>
      <c r="AO40" s="80" t="str">
        <f>IF(N40="","",IF(N40&gt;=$AO$1/100,"O","X"))</f>
        <v>O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후보</v>
      </c>
    </row>
    <row r="41" spans="1:48" x14ac:dyDescent="0.3">
      <c r="A41" s="9"/>
      <c r="B41" s="80"/>
      <c r="C41" s="6"/>
      <c r="D41" s="9"/>
      <c r="E41" s="14"/>
      <c r="F41" s="87"/>
      <c r="G41" s="9"/>
      <c r="H41" s="9"/>
      <c r="I41" s="9"/>
      <c r="J41" s="9"/>
      <c r="K41" s="9"/>
      <c r="L41" s="9"/>
      <c r="M41" s="9"/>
      <c r="N41" s="9"/>
      <c r="O41" s="92"/>
      <c r="P41" s="92"/>
      <c r="Q41" s="88"/>
      <c r="R41" s="88"/>
      <c r="S41" s="9"/>
      <c r="T41" s="47"/>
      <c r="U41" s="9"/>
      <c r="W41" s="67" t="str">
        <f>$A$4&amp;" "&amp;A42&amp;"("&amp;B42&amp;","&amp;C42&amp;"^)"</f>
        <v>수송동 수송제일('02.03.,941^)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37"/>
        <v/>
      </c>
      <c r="AI41" s="112" t="str">
        <f t="shared" si="36"/>
        <v/>
      </c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</row>
    <row r="42" spans="1:48" x14ac:dyDescent="0.3">
      <c r="A42" s="9" t="s">
        <v>1058</v>
      </c>
      <c r="B42" s="10" t="s">
        <v>1347</v>
      </c>
      <c r="C42" s="89">
        <v>941</v>
      </c>
      <c r="D42" s="87">
        <v>111.5</v>
      </c>
      <c r="E42" s="88">
        <v>34</v>
      </c>
      <c r="F42" s="87">
        <v>84.7</v>
      </c>
      <c r="G42" s="17">
        <v>26</v>
      </c>
      <c r="H42" s="89">
        <v>729</v>
      </c>
      <c r="I42" s="90">
        <v>20000</v>
      </c>
      <c r="J42" s="90" t="s">
        <v>72</v>
      </c>
      <c r="K42" s="90">
        <v>17500</v>
      </c>
      <c r="L42" s="90" t="s">
        <v>75</v>
      </c>
      <c r="M42" s="91">
        <f>I42-K42</f>
        <v>2500</v>
      </c>
      <c r="N42" s="4">
        <f>IF(ISERROR(K42/I42),"",K42/I42)</f>
        <v>0.875</v>
      </c>
      <c r="O42" s="92">
        <f>I42/E42</f>
        <v>588.23529411764707</v>
      </c>
      <c r="P42" s="92">
        <f>K42/E42</f>
        <v>514.70588235294122</v>
      </c>
      <c r="Q42" s="80">
        <v>3</v>
      </c>
      <c r="R42" s="80">
        <v>2</v>
      </c>
      <c r="S42" s="80" t="s">
        <v>61</v>
      </c>
      <c r="T42" s="5" t="s">
        <v>92</v>
      </c>
      <c r="U42" s="9"/>
      <c r="W42" s="87">
        <f t="shared" ref="W42:X44" si="41">D42</f>
        <v>111.5</v>
      </c>
      <c r="X42" s="88">
        <f t="shared" si="41"/>
        <v>34</v>
      </c>
      <c r="Y42" s="93">
        <f t="shared" ref="Y42:Z44" si="42">H42</f>
        <v>729</v>
      </c>
      <c r="Z42" s="91">
        <f t="shared" si="42"/>
        <v>20000</v>
      </c>
      <c r="AA42" s="91">
        <f>K42</f>
        <v>17500</v>
      </c>
      <c r="AB42" s="91">
        <f t="shared" ref="AB42:AD44" si="43">M42</f>
        <v>2500</v>
      </c>
      <c r="AC42" s="4">
        <f t="shared" si="43"/>
        <v>0.875</v>
      </c>
      <c r="AD42" s="92">
        <f t="shared" si="43"/>
        <v>588.23529411764707</v>
      </c>
      <c r="AE42" s="80" t="str">
        <f>S42</f>
        <v>계</v>
      </c>
      <c r="AF42" s="80" t="str">
        <f>Q42&amp;"/"&amp;R42</f>
        <v>3/2</v>
      </c>
      <c r="AH42" s="20" t="str">
        <f t="shared" si="37"/>
        <v>수송제일</v>
      </c>
      <c r="AI42" s="88">
        <f t="shared" si="36"/>
        <v>34</v>
      </c>
      <c r="AJ42" s="80" t="str">
        <f>IF(AI42="","",$AJ$2)</f>
        <v>A-</v>
      </c>
      <c r="AK42" s="80" t="s">
        <v>14</v>
      </c>
      <c r="AL42" s="80" t="s">
        <v>63</v>
      </c>
      <c r="AM42" s="80" t="s">
        <v>64</v>
      </c>
      <c r="AN42" s="80" t="str">
        <f>IF(AI42="","",$AN$2)</f>
        <v>C</v>
      </c>
      <c r="AO42" s="80" t="str">
        <f>IF(N42="","",IF(N42&gt;=$AO$1/100,"O","X"))</f>
        <v>O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후보</v>
      </c>
    </row>
    <row r="43" spans="1:48" x14ac:dyDescent="0.3">
      <c r="A43" s="9" t="s">
        <v>1058</v>
      </c>
      <c r="B43" s="10" t="s">
        <v>1347</v>
      </c>
      <c r="C43" s="89">
        <v>941</v>
      </c>
      <c r="D43" s="87">
        <v>111</v>
      </c>
      <c r="E43" s="88">
        <v>34</v>
      </c>
      <c r="F43" s="87">
        <v>84.8</v>
      </c>
      <c r="G43" s="17">
        <v>26</v>
      </c>
      <c r="H43" s="89">
        <v>178</v>
      </c>
      <c r="I43" s="90">
        <v>18200</v>
      </c>
      <c r="J43" s="90" t="s">
        <v>84</v>
      </c>
      <c r="K43" s="90">
        <v>16000</v>
      </c>
      <c r="L43" s="90" t="s">
        <v>65</v>
      </c>
      <c r="M43" s="91">
        <f>I43-K43</f>
        <v>2200</v>
      </c>
      <c r="N43" s="4">
        <f>IF(ISERROR(K43/I43),"",K43/I43)</f>
        <v>0.87912087912087911</v>
      </c>
      <c r="O43" s="92">
        <f>I43/E43</f>
        <v>535.29411764705878</v>
      </c>
      <c r="P43" s="92">
        <f>K43/E43</f>
        <v>470.58823529411762</v>
      </c>
      <c r="Q43" s="80">
        <v>3</v>
      </c>
      <c r="R43" s="80">
        <v>2</v>
      </c>
      <c r="S43" s="80" t="s">
        <v>61</v>
      </c>
      <c r="T43" s="5" t="s">
        <v>79</v>
      </c>
      <c r="U43" s="9"/>
      <c r="W43" s="87">
        <f t="shared" si="41"/>
        <v>111</v>
      </c>
      <c r="X43" s="88">
        <f t="shared" si="41"/>
        <v>34</v>
      </c>
      <c r="Y43" s="93">
        <f t="shared" si="42"/>
        <v>178</v>
      </c>
      <c r="Z43" s="91">
        <f t="shared" si="42"/>
        <v>18200</v>
      </c>
      <c r="AA43" s="91">
        <f>K43</f>
        <v>16000</v>
      </c>
      <c r="AB43" s="91">
        <f t="shared" si="43"/>
        <v>2200</v>
      </c>
      <c r="AC43" s="4">
        <f t="shared" si="43"/>
        <v>0.87912087912087911</v>
      </c>
      <c r="AD43" s="92">
        <f t="shared" si="43"/>
        <v>535.29411764705878</v>
      </c>
      <c r="AE43" s="80" t="str">
        <f>S43</f>
        <v>계</v>
      </c>
      <c r="AF43" s="80" t="str">
        <f>Q43&amp;"/"&amp;R43</f>
        <v>3/2</v>
      </c>
      <c r="AH43" s="20" t="str">
        <f t="shared" si="37"/>
        <v>수송제일</v>
      </c>
      <c r="AI43" s="88">
        <f t="shared" si="36"/>
        <v>34</v>
      </c>
      <c r="AJ43" s="80" t="str">
        <f>IF(AI43="","",$AJ$2)</f>
        <v>A-</v>
      </c>
      <c r="AK43" s="80" t="s">
        <v>14</v>
      </c>
      <c r="AL43" s="80" t="s">
        <v>63</v>
      </c>
      <c r="AM43" s="80" t="s">
        <v>64</v>
      </c>
      <c r="AN43" s="80" t="str">
        <f>IF(AI43="","",$AN$2)</f>
        <v>C</v>
      </c>
      <c r="AO43" s="80" t="str">
        <f>IF(N43="","",IF(N43&gt;=$AO$1/100,"O","X"))</f>
        <v>O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>후보</v>
      </c>
    </row>
    <row r="44" spans="1:48" x14ac:dyDescent="0.3">
      <c r="A44" s="9" t="s">
        <v>1058</v>
      </c>
      <c r="B44" s="10" t="s">
        <v>1347</v>
      </c>
      <c r="C44" s="89">
        <v>941</v>
      </c>
      <c r="D44" s="87">
        <v>111.1</v>
      </c>
      <c r="E44" s="88">
        <v>34</v>
      </c>
      <c r="F44" s="87">
        <v>84.8</v>
      </c>
      <c r="G44" s="17">
        <v>26</v>
      </c>
      <c r="H44" s="89">
        <v>34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3</v>
      </c>
      <c r="R44" s="80">
        <v>2</v>
      </c>
      <c r="S44" s="80" t="s">
        <v>61</v>
      </c>
      <c r="T44" s="5" t="s">
        <v>78</v>
      </c>
      <c r="U44" s="9"/>
      <c r="W44" s="87">
        <f t="shared" si="41"/>
        <v>111.1</v>
      </c>
      <c r="X44" s="88">
        <f t="shared" si="41"/>
        <v>34</v>
      </c>
      <c r="Y44" s="93">
        <f t="shared" si="42"/>
        <v>34</v>
      </c>
      <c r="Z44" s="91">
        <f t="shared" si="42"/>
        <v>0</v>
      </c>
      <c r="AA44" s="91">
        <f>K44</f>
        <v>0</v>
      </c>
      <c r="AB44" s="91">
        <f t="shared" si="43"/>
        <v>0</v>
      </c>
      <c r="AC44" s="4" t="str">
        <f t="shared" si="43"/>
        <v/>
      </c>
      <c r="AD44" s="92">
        <f t="shared" si="43"/>
        <v>0</v>
      </c>
      <c r="AE44" s="80" t="str">
        <f>S44</f>
        <v>계</v>
      </c>
      <c r="AF44" s="80" t="str">
        <f>Q44&amp;"/"&amp;R44</f>
        <v>3/2</v>
      </c>
      <c r="AH44" s="20" t="str">
        <f t="shared" si="37"/>
        <v>수송제일</v>
      </c>
      <c r="AI44" s="88">
        <f t="shared" si="36"/>
        <v>34</v>
      </c>
      <c r="AJ44" s="80" t="str">
        <f>IF(AI44="","",$AJ$2)</f>
        <v>A-</v>
      </c>
      <c r="AK44" s="80" t="s">
        <v>14</v>
      </c>
      <c r="AL44" s="80" t="s">
        <v>63</v>
      </c>
      <c r="AM44" s="80" t="s">
        <v>64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7" t="str">
        <f>$A$4&amp;" "&amp;A46&amp;"("&amp;B46&amp;","&amp;C46&amp;"^)"</f>
        <v>수송동 동영('98.09.,360^)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7"/>
        <v/>
      </c>
      <c r="AI45" s="112" t="str">
        <f t="shared" si="36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x14ac:dyDescent="0.3">
      <c r="A46" s="9" t="s">
        <v>658</v>
      </c>
      <c r="B46" s="10" t="s">
        <v>1281</v>
      </c>
      <c r="C46" s="89">
        <v>360</v>
      </c>
      <c r="D46" s="87">
        <v>46.9</v>
      </c>
      <c r="E46" s="88">
        <v>14</v>
      </c>
      <c r="F46" s="87">
        <v>39.5</v>
      </c>
      <c r="G46" s="17">
        <v>12</v>
      </c>
      <c r="H46" s="89">
        <v>205</v>
      </c>
      <c r="I46" s="90">
        <v>6300</v>
      </c>
      <c r="J46" s="90" t="s">
        <v>81</v>
      </c>
      <c r="K46" s="90"/>
      <c r="L46" s="90"/>
      <c r="M46" s="91">
        <f>I46-K46</f>
        <v>6300</v>
      </c>
      <c r="N46" s="4">
        <f>IF(ISERROR(K46/I46),"",K46/I46)</f>
        <v>0</v>
      </c>
      <c r="O46" s="92">
        <f>I46/E46</f>
        <v>450</v>
      </c>
      <c r="P46" s="92">
        <f>K46/E46</f>
        <v>0</v>
      </c>
      <c r="Q46" s="80">
        <v>2</v>
      </c>
      <c r="R46" s="80">
        <v>1</v>
      </c>
      <c r="S46" s="80" t="s">
        <v>61</v>
      </c>
      <c r="T46" s="5">
        <v>46</v>
      </c>
      <c r="U46" s="9"/>
      <c r="W46" s="87">
        <f t="shared" ref="W46:X49" si="44">D46</f>
        <v>46.9</v>
      </c>
      <c r="X46" s="88">
        <f t="shared" si="44"/>
        <v>14</v>
      </c>
      <c r="Y46" s="93">
        <f t="shared" ref="Y46:Z49" si="45">H46</f>
        <v>205</v>
      </c>
      <c r="Z46" s="91">
        <f t="shared" si="45"/>
        <v>6300</v>
      </c>
      <c r="AA46" s="91">
        <f>K46</f>
        <v>0</v>
      </c>
      <c r="AB46" s="91">
        <f t="shared" ref="AB46:AD49" si="46">M46</f>
        <v>6300</v>
      </c>
      <c r="AC46" s="4">
        <f t="shared" si="46"/>
        <v>0</v>
      </c>
      <c r="AD46" s="92">
        <f t="shared" si="46"/>
        <v>450</v>
      </c>
      <c r="AE46" s="80" t="str">
        <f>S46</f>
        <v>계</v>
      </c>
      <c r="AF46" s="80" t="str">
        <f>Q46&amp;"/"&amp;R46</f>
        <v>2/1</v>
      </c>
      <c r="AH46" s="20" t="str">
        <f t="shared" si="37"/>
        <v>동영</v>
      </c>
      <c r="AI46" s="88">
        <f t="shared" si="36"/>
        <v>14</v>
      </c>
      <c r="AJ46" s="80" t="str">
        <f>IF(AI46="","",$AJ$2)</f>
        <v>A-</v>
      </c>
      <c r="AK46" s="80" t="s">
        <v>14</v>
      </c>
      <c r="AL46" s="80" t="s">
        <v>63</v>
      </c>
      <c r="AM46" s="80" t="s">
        <v>64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X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x14ac:dyDescent="0.3">
      <c r="A47" s="9" t="s">
        <v>658</v>
      </c>
      <c r="B47" s="10" t="s">
        <v>1281</v>
      </c>
      <c r="C47" s="89">
        <v>360</v>
      </c>
      <c r="D47" s="87">
        <v>54.4</v>
      </c>
      <c r="E47" s="88">
        <v>16</v>
      </c>
      <c r="F47" s="87">
        <v>39.5</v>
      </c>
      <c r="G47" s="17">
        <v>12</v>
      </c>
      <c r="H47" s="89">
        <v>5</v>
      </c>
      <c r="I47" s="90"/>
      <c r="J47" s="90"/>
      <c r="K47" s="90"/>
      <c r="L47" s="90"/>
      <c r="M47" s="91">
        <f>I47-K47</f>
        <v>0</v>
      </c>
      <c r="N47" s="4" t="str">
        <f>IF(ISERROR(K47/I47),"",K47/I47)</f>
        <v/>
      </c>
      <c r="O47" s="92">
        <f>I47/E47</f>
        <v>0</v>
      </c>
      <c r="P47" s="92">
        <f>K47/E47</f>
        <v>0</v>
      </c>
      <c r="Q47" s="80">
        <v>2</v>
      </c>
      <c r="R47" s="80">
        <v>1</v>
      </c>
      <c r="S47" s="80" t="s">
        <v>61</v>
      </c>
      <c r="T47" s="5">
        <v>54</v>
      </c>
      <c r="U47" s="9"/>
      <c r="W47" s="87">
        <f t="shared" si="44"/>
        <v>54.4</v>
      </c>
      <c r="X47" s="88">
        <f t="shared" si="44"/>
        <v>16</v>
      </c>
      <c r="Y47" s="93">
        <f t="shared" si="45"/>
        <v>5</v>
      </c>
      <c r="Z47" s="91">
        <f t="shared" si="45"/>
        <v>0</v>
      </c>
      <c r="AA47" s="91">
        <f>K47</f>
        <v>0</v>
      </c>
      <c r="AB47" s="91">
        <f t="shared" si="46"/>
        <v>0</v>
      </c>
      <c r="AC47" s="4" t="str">
        <f t="shared" si="46"/>
        <v/>
      </c>
      <c r="AD47" s="92">
        <f t="shared" si="46"/>
        <v>0</v>
      </c>
      <c r="AE47" s="80" t="str">
        <f>S47</f>
        <v>계</v>
      </c>
      <c r="AF47" s="80" t="str">
        <f>Q47&amp;"/"&amp;R47</f>
        <v>2/1</v>
      </c>
      <c r="AH47" s="20" t="str">
        <f t="shared" si="37"/>
        <v>동영</v>
      </c>
      <c r="AI47" s="88">
        <f t="shared" si="36"/>
        <v>16</v>
      </c>
      <c r="AJ47" s="80" t="str">
        <f>IF(AI47="","",$AJ$2)</f>
        <v>A-</v>
      </c>
      <c r="AK47" s="80" t="s">
        <v>14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/>
      </c>
      <c r="AP47" s="80" t="str">
        <f>IF(I47="","",IF(I47&lt;=$AP$1,"O","X"))</f>
        <v/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/>
      </c>
    </row>
    <row r="48" spans="1:48" x14ac:dyDescent="0.3">
      <c r="A48" s="9" t="s">
        <v>658</v>
      </c>
      <c r="B48" s="10" t="s">
        <v>1281</v>
      </c>
      <c r="C48" s="89">
        <v>360</v>
      </c>
      <c r="D48" s="87">
        <v>76</v>
      </c>
      <c r="E48" s="88">
        <v>23</v>
      </c>
      <c r="F48" s="87">
        <v>59.9</v>
      </c>
      <c r="G48" s="17">
        <v>18</v>
      </c>
      <c r="H48" s="89">
        <v>15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3</v>
      </c>
      <c r="R48" s="80">
        <v>1</v>
      </c>
      <c r="S48" s="80" t="s">
        <v>61</v>
      </c>
      <c r="T48" s="5" t="s">
        <v>1082</v>
      </c>
      <c r="U48" s="9"/>
      <c r="W48" s="87">
        <f t="shared" si="44"/>
        <v>76</v>
      </c>
      <c r="X48" s="88">
        <f t="shared" si="44"/>
        <v>23</v>
      </c>
      <c r="Y48" s="93">
        <f t="shared" si="45"/>
        <v>15</v>
      </c>
      <c r="Z48" s="91">
        <f t="shared" si="45"/>
        <v>0</v>
      </c>
      <c r="AA48" s="91">
        <f>K48</f>
        <v>0</v>
      </c>
      <c r="AB48" s="91">
        <f t="shared" si="46"/>
        <v>0</v>
      </c>
      <c r="AC48" s="4" t="str">
        <f t="shared" si="46"/>
        <v/>
      </c>
      <c r="AD48" s="92">
        <f t="shared" si="46"/>
        <v>0</v>
      </c>
      <c r="AE48" s="80" t="str">
        <f>S48</f>
        <v>계</v>
      </c>
      <c r="AF48" s="80" t="str">
        <f>Q48&amp;"/"&amp;R48</f>
        <v>3/1</v>
      </c>
      <c r="AH48" s="20" t="str">
        <f t="shared" si="37"/>
        <v>동영</v>
      </c>
      <c r="AI48" s="88">
        <f t="shared" si="36"/>
        <v>23</v>
      </c>
      <c r="AJ48" s="80" t="str">
        <f>IF(AI48="","",$AJ$2)</f>
        <v>A-</v>
      </c>
      <c r="AK48" s="80" t="s">
        <v>14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/>
      </c>
    </row>
    <row r="49" spans="1:48" x14ac:dyDescent="0.3">
      <c r="A49" s="9" t="s">
        <v>658</v>
      </c>
      <c r="B49" s="10" t="s">
        <v>1281</v>
      </c>
      <c r="C49" s="89">
        <v>360</v>
      </c>
      <c r="D49" s="87">
        <v>76</v>
      </c>
      <c r="E49" s="88">
        <v>23</v>
      </c>
      <c r="F49" s="87">
        <v>59.9</v>
      </c>
      <c r="G49" s="17">
        <v>18</v>
      </c>
      <c r="H49" s="89">
        <v>135</v>
      </c>
      <c r="I49" s="90"/>
      <c r="J49" s="90"/>
      <c r="K49" s="90"/>
      <c r="L49" s="90"/>
      <c r="M49" s="91">
        <f>I49-K49</f>
        <v>0</v>
      </c>
      <c r="N49" s="4" t="str">
        <f>IF(ISERROR(K49/I49),"",K49/I49)</f>
        <v/>
      </c>
      <c r="O49" s="92">
        <f>I49/E49</f>
        <v>0</v>
      </c>
      <c r="P49" s="92">
        <f>K49/E49</f>
        <v>0</v>
      </c>
      <c r="Q49" s="80">
        <v>3</v>
      </c>
      <c r="R49" s="80">
        <v>1</v>
      </c>
      <c r="S49" s="80" t="s">
        <v>61</v>
      </c>
      <c r="T49" s="5" t="s">
        <v>151</v>
      </c>
      <c r="U49" s="9"/>
      <c r="W49" s="87">
        <f t="shared" si="44"/>
        <v>76</v>
      </c>
      <c r="X49" s="88">
        <f t="shared" si="44"/>
        <v>23</v>
      </c>
      <c r="Y49" s="93">
        <f t="shared" si="45"/>
        <v>135</v>
      </c>
      <c r="Z49" s="91">
        <f t="shared" si="45"/>
        <v>0</v>
      </c>
      <c r="AA49" s="91">
        <f>K49</f>
        <v>0</v>
      </c>
      <c r="AB49" s="91">
        <f t="shared" si="46"/>
        <v>0</v>
      </c>
      <c r="AC49" s="4" t="str">
        <f t="shared" si="46"/>
        <v/>
      </c>
      <c r="AD49" s="92">
        <f t="shared" si="46"/>
        <v>0</v>
      </c>
      <c r="AE49" s="80" t="str">
        <f>S49</f>
        <v>계</v>
      </c>
      <c r="AF49" s="80" t="str">
        <f>Q49&amp;"/"&amp;R49</f>
        <v>3/1</v>
      </c>
      <c r="AH49" s="20" t="str">
        <f t="shared" si="37"/>
        <v>동영</v>
      </c>
      <c r="AI49" s="88">
        <f t="shared" si="36"/>
        <v>23</v>
      </c>
      <c r="AJ49" s="80" t="str">
        <f>IF(AI49="","",$AJ$2)</f>
        <v>A-</v>
      </c>
      <c r="AK49" s="80" t="s">
        <v>14</v>
      </c>
      <c r="AL49" s="80" t="s">
        <v>63</v>
      </c>
      <c r="AM49" s="80" t="s">
        <v>64</v>
      </c>
      <c r="AN49" s="80" t="str">
        <f>IF(AI49="","",$AN$2)</f>
        <v>C</v>
      </c>
      <c r="AO49" s="80" t="str">
        <f>IF(N49="","",IF(N49&gt;=$AO$1/100,"O","X"))</f>
        <v/>
      </c>
      <c r="AP49" s="80" t="str">
        <f>IF(I49="","",IF(I49&lt;=$AP$1,"O","X"))</f>
        <v/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/>
      </c>
    </row>
    <row r="50" spans="1:48" x14ac:dyDescent="0.3">
      <c r="A50" s="9"/>
      <c r="B50" s="80"/>
      <c r="C50" s="6"/>
      <c r="D50" s="9"/>
      <c r="E50" s="14"/>
      <c r="F50" s="87"/>
      <c r="G50" s="9"/>
      <c r="H50" s="9"/>
      <c r="I50" s="9"/>
      <c r="J50" s="9"/>
      <c r="K50" s="9"/>
      <c r="L50" s="9"/>
      <c r="M50" s="9"/>
      <c r="N50" s="9"/>
      <c r="O50" s="92"/>
      <c r="P50" s="92"/>
      <c r="Q50" s="88"/>
      <c r="R50" s="88"/>
      <c r="S50" s="9"/>
      <c r="T50" s="47"/>
      <c r="U50" s="9"/>
      <c r="W50" s="67" t="str">
        <f>$A$4&amp;" "&amp;A51&amp;"("&amp;B51&amp;","&amp;C51&amp;"^)"</f>
        <v>수송동 군산수송제일오투그란데2단지('08.10.,656^)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37"/>
        <v/>
      </c>
      <c r="AI50" s="112" t="str">
        <f t="shared" si="36"/>
        <v/>
      </c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</row>
    <row r="51" spans="1:48" x14ac:dyDescent="0.3">
      <c r="A51" s="9" t="s">
        <v>1083</v>
      </c>
      <c r="B51" s="10" t="s">
        <v>1348</v>
      </c>
      <c r="C51" s="89">
        <v>656</v>
      </c>
      <c r="D51" s="87">
        <v>117.7</v>
      </c>
      <c r="E51" s="88">
        <v>36</v>
      </c>
      <c r="F51" s="87">
        <v>91.3</v>
      </c>
      <c r="G51" s="17">
        <v>28</v>
      </c>
      <c r="H51" s="89">
        <v>114</v>
      </c>
      <c r="I51" s="90">
        <v>32200</v>
      </c>
      <c r="J51" s="90" t="s">
        <v>111</v>
      </c>
      <c r="K51" s="90">
        <v>28000</v>
      </c>
      <c r="L51" s="90" t="s">
        <v>84</v>
      </c>
      <c r="M51" s="91">
        <f>I51-K51</f>
        <v>4200</v>
      </c>
      <c r="N51" s="4">
        <f>IF(ISERROR(K51/I51),"",K51/I51)</f>
        <v>0.86956521739130432</v>
      </c>
      <c r="O51" s="92">
        <f>I51/E51</f>
        <v>894.44444444444446</v>
      </c>
      <c r="P51" s="92">
        <f>K51/E51</f>
        <v>777.77777777777783</v>
      </c>
      <c r="Q51" s="80">
        <v>3</v>
      </c>
      <c r="R51" s="80">
        <v>2</v>
      </c>
      <c r="S51" s="80" t="s">
        <v>61</v>
      </c>
      <c r="T51" s="5" t="s">
        <v>1085</v>
      </c>
      <c r="U51" s="9"/>
      <c r="W51" s="87">
        <f t="shared" ref="W51:X54" si="47">D51</f>
        <v>117.7</v>
      </c>
      <c r="X51" s="88">
        <f t="shared" si="47"/>
        <v>36</v>
      </c>
      <c r="Y51" s="93">
        <f t="shared" ref="Y51:Z54" si="48">H51</f>
        <v>114</v>
      </c>
      <c r="Z51" s="91">
        <f t="shared" si="48"/>
        <v>32200</v>
      </c>
      <c r="AA51" s="91">
        <f>K51</f>
        <v>28000</v>
      </c>
      <c r="AB51" s="91">
        <f t="shared" ref="AB51:AD54" si="49">M51</f>
        <v>4200</v>
      </c>
      <c r="AC51" s="4">
        <f t="shared" si="49"/>
        <v>0.86956521739130432</v>
      </c>
      <c r="AD51" s="92">
        <f t="shared" si="49"/>
        <v>894.44444444444446</v>
      </c>
      <c r="AE51" s="80" t="str">
        <f>S51</f>
        <v>계</v>
      </c>
      <c r="AF51" s="80" t="str">
        <f>Q51&amp;"/"&amp;R51</f>
        <v>3/2</v>
      </c>
      <c r="AH51" s="20" t="str">
        <f t="shared" si="37"/>
        <v>군산수송제일오투그란데2단지</v>
      </c>
      <c r="AI51" s="88">
        <f t="shared" si="36"/>
        <v>36</v>
      </c>
      <c r="AJ51" s="80" t="str">
        <f>IF(AI51="","",$AJ$2)</f>
        <v>A-</v>
      </c>
      <c r="AK51" s="80" t="s">
        <v>14</v>
      </c>
      <c r="AL51" s="80" t="s">
        <v>63</v>
      </c>
      <c r="AM51" s="80" t="s">
        <v>64</v>
      </c>
      <c r="AN51" s="80" t="str">
        <f>IF(AI51="","",$AN$2)</f>
        <v>C</v>
      </c>
      <c r="AO51" s="80" t="str">
        <f>IF(N51="","",IF(N51&gt;=$AO$1/100,"O","X"))</f>
        <v>O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O</v>
      </c>
      <c r="AS51" s="80" t="s">
        <v>2</v>
      </c>
      <c r="AT51" s="80" t="str">
        <f>IF(OR(F51="",AI51=""),"",IF(AND((F51&lt;=85),(AI51&gt;=15)),"O","X"))</f>
        <v>X</v>
      </c>
      <c r="AU51" s="80" t="str">
        <f>IF(C51="","",IF(C51&gt;=$AU$1,"O","X"))</f>
        <v>O</v>
      </c>
      <c r="AV51" s="80" t="str">
        <f>IF(AO51="","",IF(AND(AO51="O",AP51="O",AR51="O",AT51="O",AU51="O"),"후보","X"))</f>
        <v>X</v>
      </c>
    </row>
    <row r="52" spans="1:48" x14ac:dyDescent="0.3">
      <c r="A52" s="9" t="s">
        <v>1083</v>
      </c>
      <c r="B52" s="10" t="s">
        <v>1348</v>
      </c>
      <c r="C52" s="89">
        <v>656</v>
      </c>
      <c r="D52" s="87">
        <v>118.8</v>
      </c>
      <c r="E52" s="88">
        <v>36</v>
      </c>
      <c r="F52" s="87">
        <v>91.2</v>
      </c>
      <c r="G52" s="17">
        <v>28</v>
      </c>
      <c r="H52" s="89">
        <v>136</v>
      </c>
      <c r="I52" s="90">
        <v>32500</v>
      </c>
      <c r="J52" s="90" t="s">
        <v>66</v>
      </c>
      <c r="K52" s="90">
        <v>28000</v>
      </c>
      <c r="L52" s="90" t="s">
        <v>81</v>
      </c>
      <c r="M52" s="91">
        <f>I52-K52</f>
        <v>4500</v>
      </c>
      <c r="N52" s="4">
        <f>IF(ISERROR(K52/I52),"",K52/I52)</f>
        <v>0.86153846153846159</v>
      </c>
      <c r="O52" s="92">
        <f>I52/E52</f>
        <v>902.77777777777783</v>
      </c>
      <c r="P52" s="92">
        <f>K52/E52</f>
        <v>777.77777777777783</v>
      </c>
      <c r="Q52" s="80">
        <v>3</v>
      </c>
      <c r="R52" s="80">
        <v>2</v>
      </c>
      <c r="S52" s="80" t="s">
        <v>61</v>
      </c>
      <c r="T52" s="5" t="s">
        <v>1089</v>
      </c>
      <c r="U52" s="9"/>
      <c r="W52" s="87">
        <f t="shared" si="47"/>
        <v>118.8</v>
      </c>
      <c r="X52" s="88">
        <f t="shared" si="47"/>
        <v>36</v>
      </c>
      <c r="Y52" s="93">
        <f t="shared" si="48"/>
        <v>136</v>
      </c>
      <c r="Z52" s="91">
        <f t="shared" si="48"/>
        <v>32500</v>
      </c>
      <c r="AA52" s="91">
        <f>K52</f>
        <v>28000</v>
      </c>
      <c r="AB52" s="91">
        <f t="shared" si="49"/>
        <v>4500</v>
      </c>
      <c r="AC52" s="4">
        <f t="shared" si="49"/>
        <v>0.86153846153846159</v>
      </c>
      <c r="AD52" s="92">
        <f t="shared" si="49"/>
        <v>902.77777777777783</v>
      </c>
      <c r="AE52" s="80" t="str">
        <f>S52</f>
        <v>계</v>
      </c>
      <c r="AF52" s="80" t="str">
        <f>Q52&amp;"/"&amp;R52</f>
        <v>3/2</v>
      </c>
      <c r="AH52" s="20" t="str">
        <f t="shared" si="37"/>
        <v>군산수송제일오투그란데2단지</v>
      </c>
      <c r="AI52" s="88">
        <f t="shared" si="36"/>
        <v>36</v>
      </c>
      <c r="AJ52" s="80" t="str">
        <f>IF(AI52="","",$AJ$2)</f>
        <v>A-</v>
      </c>
      <c r="AK52" s="80" t="s">
        <v>14</v>
      </c>
      <c r="AL52" s="80" t="s">
        <v>63</v>
      </c>
      <c r="AM52" s="80" t="s">
        <v>64</v>
      </c>
      <c r="AN52" s="80" t="str">
        <f>IF(AI52="","",$AN$2)</f>
        <v>C</v>
      </c>
      <c r="AO52" s="80" t="str">
        <f>IF(N52="","",IF(N52&gt;=$AO$1/100,"O","X"))</f>
        <v>O</v>
      </c>
      <c r="AP52" s="80" t="str">
        <f>IF(I52="","",IF(I52&lt;=$AP$1,"O","X"))</f>
        <v>O</v>
      </c>
      <c r="AQ52" s="80" t="str">
        <f>IF(O52="","",IF(O52&lt;=$AQ$1,"O","X"))</f>
        <v>O</v>
      </c>
      <c r="AR52" s="80" t="str">
        <f>IF(M52="","",IF(M52&lt;=$AR$1,"O","X"))</f>
        <v>O</v>
      </c>
      <c r="AS52" s="80" t="s">
        <v>2</v>
      </c>
      <c r="AT52" s="80" t="str">
        <f>IF(OR(F52="",AI52=""),"",IF(AND((F52&lt;=85),(AI52&gt;=15)),"O","X"))</f>
        <v>X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x14ac:dyDescent="0.3">
      <c r="A53" s="9" t="s">
        <v>1083</v>
      </c>
      <c r="B53" s="10" t="s">
        <v>1348</v>
      </c>
      <c r="C53" s="89">
        <v>656</v>
      </c>
      <c r="D53" s="87">
        <v>125.6</v>
      </c>
      <c r="E53" s="88">
        <v>38</v>
      </c>
      <c r="F53" s="87">
        <v>92.7</v>
      </c>
      <c r="G53" s="17">
        <v>28</v>
      </c>
      <c r="H53" s="89">
        <v>274</v>
      </c>
      <c r="I53" s="90">
        <v>33500</v>
      </c>
      <c r="J53" s="90" t="s">
        <v>69</v>
      </c>
      <c r="K53" s="90"/>
      <c r="L53" s="90"/>
      <c r="M53" s="91">
        <f>I53-K53</f>
        <v>33500</v>
      </c>
      <c r="N53" s="4">
        <f>IF(ISERROR(K53/I53),"",K53/I53)</f>
        <v>0</v>
      </c>
      <c r="O53" s="92">
        <f>I53/E53</f>
        <v>881.57894736842104</v>
      </c>
      <c r="P53" s="92">
        <f>K53/E53</f>
        <v>0</v>
      </c>
      <c r="Q53" s="80">
        <v>3</v>
      </c>
      <c r="R53" s="80">
        <v>2</v>
      </c>
      <c r="S53" s="80" t="s">
        <v>61</v>
      </c>
      <c r="T53" s="5">
        <v>125</v>
      </c>
      <c r="U53" s="9"/>
      <c r="W53" s="87">
        <f t="shared" si="47"/>
        <v>125.6</v>
      </c>
      <c r="X53" s="88">
        <f t="shared" si="47"/>
        <v>38</v>
      </c>
      <c r="Y53" s="93">
        <f t="shared" si="48"/>
        <v>274</v>
      </c>
      <c r="Z53" s="91">
        <f t="shared" si="48"/>
        <v>33500</v>
      </c>
      <c r="AA53" s="91">
        <f>K53</f>
        <v>0</v>
      </c>
      <c r="AB53" s="91">
        <f t="shared" si="49"/>
        <v>33500</v>
      </c>
      <c r="AC53" s="4">
        <f t="shared" si="49"/>
        <v>0</v>
      </c>
      <c r="AD53" s="92">
        <f t="shared" si="49"/>
        <v>881.57894736842104</v>
      </c>
      <c r="AE53" s="80" t="str">
        <f>S53</f>
        <v>계</v>
      </c>
      <c r="AF53" s="80" t="str">
        <f>Q53&amp;"/"&amp;R53</f>
        <v>3/2</v>
      </c>
      <c r="AH53" s="20" t="str">
        <f t="shared" si="37"/>
        <v>군산수송제일오투그란데2단지</v>
      </c>
      <c r="AI53" s="88">
        <f t="shared" si="36"/>
        <v>38</v>
      </c>
      <c r="AJ53" s="80" t="str">
        <f>IF(AI53="","",$AJ$2)</f>
        <v>A-</v>
      </c>
      <c r="AK53" s="80" t="s">
        <v>14</v>
      </c>
      <c r="AL53" s="80" t="s">
        <v>63</v>
      </c>
      <c r="AM53" s="80" t="s">
        <v>64</v>
      </c>
      <c r="AN53" s="80" t="str">
        <f>IF(AI53="","",$AN$2)</f>
        <v>C</v>
      </c>
      <c r="AO53" s="80" t="str">
        <f>IF(N53="","",IF(N53&gt;=$AO$1/100,"O","X"))</f>
        <v>X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X</v>
      </c>
      <c r="AS53" s="80" t="s">
        <v>2</v>
      </c>
      <c r="AT53" s="80" t="str">
        <f>IF(OR(F53="",AI53=""),"",IF(AND((F53&lt;=85),(AI53&gt;=15)),"O","X"))</f>
        <v>X</v>
      </c>
      <c r="AU53" s="80" t="str">
        <f>IF(C53="","",IF(C53&gt;=$AU$1,"O","X"))</f>
        <v>O</v>
      </c>
      <c r="AV53" s="80" t="str">
        <f>IF(AO53="","",IF(AND(AO53="O",AP53="O",AR53="O",AT53="O",AU53="O"),"후보","X"))</f>
        <v>X</v>
      </c>
    </row>
    <row r="54" spans="1:48" x14ac:dyDescent="0.3">
      <c r="A54" s="9" t="s">
        <v>1083</v>
      </c>
      <c r="B54" s="10" t="s">
        <v>1348</v>
      </c>
      <c r="C54" s="89">
        <v>656</v>
      </c>
      <c r="D54" s="87">
        <v>140.69999999999999</v>
      </c>
      <c r="E54" s="88">
        <v>43</v>
      </c>
      <c r="F54" s="87">
        <v>110.2</v>
      </c>
      <c r="G54" s="17">
        <v>33</v>
      </c>
      <c r="H54" s="89">
        <v>132</v>
      </c>
      <c r="I54" s="90">
        <v>42000</v>
      </c>
      <c r="J54" s="90" t="s">
        <v>81</v>
      </c>
      <c r="K54" s="90"/>
      <c r="L54" s="90"/>
      <c r="M54" s="91">
        <f>I54-K54</f>
        <v>42000</v>
      </c>
      <c r="N54" s="4">
        <f>IF(ISERROR(K54/I54),"",K54/I54)</f>
        <v>0</v>
      </c>
      <c r="O54" s="92">
        <f>I54/E54</f>
        <v>976.74418604651157</v>
      </c>
      <c r="P54" s="92">
        <f>K54/E54</f>
        <v>0</v>
      </c>
      <c r="Q54" s="80">
        <v>4</v>
      </c>
      <c r="R54" s="80">
        <v>2</v>
      </c>
      <c r="S54" s="80" t="s">
        <v>61</v>
      </c>
      <c r="T54" s="5">
        <v>140</v>
      </c>
      <c r="U54" s="9"/>
      <c r="W54" s="87">
        <f t="shared" si="47"/>
        <v>140.69999999999999</v>
      </c>
      <c r="X54" s="88">
        <f t="shared" si="47"/>
        <v>43</v>
      </c>
      <c r="Y54" s="93">
        <f t="shared" si="48"/>
        <v>132</v>
      </c>
      <c r="Z54" s="91">
        <f t="shared" si="48"/>
        <v>42000</v>
      </c>
      <c r="AA54" s="91">
        <f>K54</f>
        <v>0</v>
      </c>
      <c r="AB54" s="91">
        <f t="shared" si="49"/>
        <v>42000</v>
      </c>
      <c r="AC54" s="4">
        <f t="shared" si="49"/>
        <v>0</v>
      </c>
      <c r="AD54" s="92">
        <f t="shared" si="49"/>
        <v>976.74418604651157</v>
      </c>
      <c r="AE54" s="80" t="str">
        <f>S54</f>
        <v>계</v>
      </c>
      <c r="AF54" s="80" t="str">
        <f>Q54&amp;"/"&amp;R54</f>
        <v>4/2</v>
      </c>
      <c r="AH54" s="20" t="str">
        <f t="shared" si="37"/>
        <v>군산수송제일오투그란데2단지</v>
      </c>
      <c r="AI54" s="88">
        <f t="shared" si="36"/>
        <v>43</v>
      </c>
      <c r="AJ54" s="80" t="str">
        <f>IF(AI54="","",$AJ$2)</f>
        <v>A-</v>
      </c>
      <c r="AK54" s="80" t="s">
        <v>14</v>
      </c>
      <c r="AL54" s="80" t="s">
        <v>63</v>
      </c>
      <c r="AM54" s="80" t="s">
        <v>64</v>
      </c>
      <c r="AN54" s="80" t="str">
        <f>IF(AI54="","",$AN$2)</f>
        <v>C</v>
      </c>
      <c r="AO54" s="80" t="str">
        <f>IF(N54="","",IF(N54&gt;=$AO$1/100,"O","X"))</f>
        <v>X</v>
      </c>
      <c r="AP54" s="80" t="str">
        <f>IF(I54="","",IF(I54&lt;=$AP$1,"O","X"))</f>
        <v>O</v>
      </c>
      <c r="AQ54" s="80" t="str">
        <f>IF(O54="","",IF(O54&lt;=$AQ$1,"O","X"))</f>
        <v>O</v>
      </c>
      <c r="AR54" s="80" t="str">
        <f>IF(M54="","",IF(M54&lt;=$AR$1,"O","X"))</f>
        <v>X</v>
      </c>
      <c r="AS54" s="80" t="s">
        <v>2</v>
      </c>
      <c r="AT54" s="80" t="str">
        <f>IF(OR(F54="",AI54=""),"",IF(AND((F54&lt;=85),(AI54&gt;=15)),"O","X"))</f>
        <v>X</v>
      </c>
      <c r="AU54" s="80" t="str">
        <f>IF(C54="","",IF(C54&gt;=$AU$1,"O","X"))</f>
        <v>O</v>
      </c>
      <c r="AV54" s="80" t="str">
        <f>IF(AO54="","",IF(AND(AO54="O",AP54="O",AR54="O",AT54="O",AU54="O"),"후보","X"))</f>
        <v>X</v>
      </c>
    </row>
    <row r="55" spans="1:48" x14ac:dyDescent="0.3">
      <c r="A55" s="9"/>
      <c r="B55" s="80"/>
      <c r="C55" s="6"/>
      <c r="D55" s="9"/>
      <c r="E55" s="14"/>
      <c r="F55" s="87"/>
      <c r="G55" s="9"/>
      <c r="H55" s="9"/>
      <c r="I55" s="9"/>
      <c r="J55" s="9"/>
      <c r="K55" s="9"/>
      <c r="L55" s="9"/>
      <c r="M55" s="9"/>
      <c r="N55" s="9"/>
      <c r="O55" s="92"/>
      <c r="P55" s="92"/>
      <c r="Q55" s="88"/>
      <c r="R55" s="88"/>
      <c r="S55" s="9"/>
      <c r="T55" s="47"/>
      <c r="U55" s="9"/>
      <c r="W55" s="67" t="str">
        <f>$A$4&amp;" "&amp;A56&amp;"("&amp;B56&amp;","&amp;C56&amp;"^)"</f>
        <v>수송동 군산수송제일오투그란데1단지('08.10.,724^)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7"/>
        <v/>
      </c>
      <c r="AI55" s="112" t="str">
        <f t="shared" si="36"/>
        <v/>
      </c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</row>
    <row r="56" spans="1:48" x14ac:dyDescent="0.3">
      <c r="A56" s="9" t="s">
        <v>1090</v>
      </c>
      <c r="B56" s="10" t="s">
        <v>1348</v>
      </c>
      <c r="C56" s="89">
        <v>724</v>
      </c>
      <c r="D56" s="87">
        <v>99</v>
      </c>
      <c r="E56" s="88">
        <v>30</v>
      </c>
      <c r="F56" s="87">
        <v>69</v>
      </c>
      <c r="G56" s="17">
        <v>21</v>
      </c>
      <c r="H56" s="89">
        <v>212</v>
      </c>
      <c r="I56" s="90">
        <v>27000</v>
      </c>
      <c r="J56" s="90" t="s">
        <v>60</v>
      </c>
      <c r="K56" s="90">
        <v>22500</v>
      </c>
      <c r="L56" s="90" t="s">
        <v>68</v>
      </c>
      <c r="M56" s="91">
        <f>I56-K56</f>
        <v>4500</v>
      </c>
      <c r="N56" s="4">
        <f>IF(ISERROR(K56/I56),"",K56/I56)</f>
        <v>0.83333333333333337</v>
      </c>
      <c r="O56" s="92">
        <f>I56/E56</f>
        <v>900</v>
      </c>
      <c r="P56" s="92">
        <f>K56/E56</f>
        <v>750</v>
      </c>
      <c r="Q56" s="80">
        <v>3</v>
      </c>
      <c r="R56" s="80">
        <v>2</v>
      </c>
      <c r="S56" s="80" t="s">
        <v>61</v>
      </c>
      <c r="T56" s="5">
        <v>99</v>
      </c>
      <c r="U56" s="9"/>
      <c r="W56" s="87">
        <f t="shared" ref="W56:X59" si="50">D56</f>
        <v>99</v>
      </c>
      <c r="X56" s="88">
        <f t="shared" si="50"/>
        <v>30</v>
      </c>
      <c r="Y56" s="93">
        <f t="shared" ref="Y56:Z59" si="51">H56</f>
        <v>212</v>
      </c>
      <c r="Z56" s="91">
        <f t="shared" si="51"/>
        <v>27000</v>
      </c>
      <c r="AA56" s="91">
        <f>K56</f>
        <v>22500</v>
      </c>
      <c r="AB56" s="91">
        <f t="shared" ref="AB56:AD59" si="52">M56</f>
        <v>4500</v>
      </c>
      <c r="AC56" s="4">
        <f t="shared" si="52"/>
        <v>0.83333333333333337</v>
      </c>
      <c r="AD56" s="92">
        <f t="shared" si="52"/>
        <v>900</v>
      </c>
      <c r="AE56" s="80" t="str">
        <f>S56</f>
        <v>계</v>
      </c>
      <c r="AF56" s="80" t="str">
        <f>Q56&amp;"/"&amp;R56</f>
        <v>3/2</v>
      </c>
      <c r="AH56" s="20" t="str">
        <f t="shared" si="37"/>
        <v>군산수송제일오투그란데1단지</v>
      </c>
      <c r="AI56" s="88">
        <f t="shared" si="36"/>
        <v>30</v>
      </c>
      <c r="AJ56" s="80" t="str">
        <f>IF(AI56="","",$AJ$2)</f>
        <v>A-</v>
      </c>
      <c r="AK56" s="80" t="s">
        <v>14</v>
      </c>
      <c r="AL56" s="80" t="s">
        <v>63</v>
      </c>
      <c r="AM56" s="80" t="s">
        <v>64</v>
      </c>
      <c r="AN56" s="80" t="str">
        <f>IF(AI56="","",$AN$2)</f>
        <v>C</v>
      </c>
      <c r="AO56" s="80" t="str">
        <f>IF(N56="","",IF(N56&gt;=$AO$1/100,"O","X"))</f>
        <v>O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후보</v>
      </c>
    </row>
    <row r="57" spans="1:48" x14ac:dyDescent="0.3">
      <c r="A57" s="9" t="s">
        <v>1090</v>
      </c>
      <c r="B57" s="10" t="s">
        <v>1348</v>
      </c>
      <c r="C57" s="89">
        <v>724</v>
      </c>
      <c r="D57" s="87">
        <v>115.6</v>
      </c>
      <c r="E57" s="88">
        <v>35</v>
      </c>
      <c r="F57" s="87">
        <v>84.9</v>
      </c>
      <c r="G57" s="17">
        <v>26</v>
      </c>
      <c r="H57" s="89">
        <v>206</v>
      </c>
      <c r="I57" s="90">
        <v>32000</v>
      </c>
      <c r="J57" s="90" t="s">
        <v>65</v>
      </c>
      <c r="K57" s="90">
        <v>28000</v>
      </c>
      <c r="L57" s="90" t="s">
        <v>68</v>
      </c>
      <c r="M57" s="91">
        <f>I57-K57</f>
        <v>4000</v>
      </c>
      <c r="N57" s="4">
        <f>IF(ISERROR(K57/I57),"",K57/I57)</f>
        <v>0.875</v>
      </c>
      <c r="O57" s="92">
        <f>I57/E57</f>
        <v>914.28571428571433</v>
      </c>
      <c r="P57" s="92">
        <f>K57/E57</f>
        <v>800</v>
      </c>
      <c r="Q57" s="80">
        <v>3</v>
      </c>
      <c r="R57" s="80">
        <v>2</v>
      </c>
      <c r="S57" s="80" t="s">
        <v>61</v>
      </c>
      <c r="T57" s="5" t="s">
        <v>93</v>
      </c>
      <c r="U57" s="9"/>
      <c r="W57" s="87">
        <f t="shared" si="50"/>
        <v>115.6</v>
      </c>
      <c r="X57" s="88">
        <f t="shared" si="50"/>
        <v>35</v>
      </c>
      <c r="Y57" s="93">
        <f t="shared" si="51"/>
        <v>206</v>
      </c>
      <c r="Z57" s="91">
        <f t="shared" si="51"/>
        <v>32000</v>
      </c>
      <c r="AA57" s="91">
        <f>K57</f>
        <v>28000</v>
      </c>
      <c r="AB57" s="91">
        <f t="shared" si="52"/>
        <v>4000</v>
      </c>
      <c r="AC57" s="4">
        <f t="shared" si="52"/>
        <v>0.875</v>
      </c>
      <c r="AD57" s="92">
        <f t="shared" si="52"/>
        <v>914.28571428571433</v>
      </c>
      <c r="AE57" s="80" t="str">
        <f>S57</f>
        <v>계</v>
      </c>
      <c r="AF57" s="80" t="str">
        <f>Q57&amp;"/"&amp;R57</f>
        <v>3/2</v>
      </c>
      <c r="AH57" s="20" t="str">
        <f t="shared" si="37"/>
        <v>군산수송제일오투그란데1단지</v>
      </c>
      <c r="AI57" s="88">
        <f t="shared" si="36"/>
        <v>35</v>
      </c>
      <c r="AJ57" s="80" t="str">
        <f>IF(AI57="","",$AJ$2)</f>
        <v>A-</v>
      </c>
      <c r="AK57" s="80" t="s">
        <v>14</v>
      </c>
      <c r="AL57" s="80" t="s">
        <v>63</v>
      </c>
      <c r="AM57" s="80" t="s">
        <v>64</v>
      </c>
      <c r="AN57" s="80" t="str">
        <f>IF(AI57="","",$AN$2)</f>
        <v>C</v>
      </c>
      <c r="AO57" s="80" t="str">
        <f>IF(N57="","",IF(N57&gt;=$AO$1/100,"O","X"))</f>
        <v>O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후보</v>
      </c>
    </row>
    <row r="58" spans="1:48" x14ac:dyDescent="0.3">
      <c r="A58" s="9" t="s">
        <v>1090</v>
      </c>
      <c r="B58" s="10" t="s">
        <v>1348</v>
      </c>
      <c r="C58" s="89">
        <v>724</v>
      </c>
      <c r="D58" s="87">
        <v>115.7</v>
      </c>
      <c r="E58" s="88">
        <v>35</v>
      </c>
      <c r="F58" s="87">
        <v>84.9</v>
      </c>
      <c r="G58" s="17">
        <v>26</v>
      </c>
      <c r="H58" s="89">
        <v>160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3</v>
      </c>
      <c r="R58" s="80">
        <v>2</v>
      </c>
      <c r="S58" s="80" t="s">
        <v>61</v>
      </c>
      <c r="T58" s="5" t="s">
        <v>141</v>
      </c>
      <c r="U58" s="9"/>
      <c r="W58" s="87">
        <f t="shared" si="50"/>
        <v>115.7</v>
      </c>
      <c r="X58" s="88">
        <f t="shared" si="50"/>
        <v>35</v>
      </c>
      <c r="Y58" s="93">
        <f t="shared" si="51"/>
        <v>160</v>
      </c>
      <c r="Z58" s="91">
        <f t="shared" si="51"/>
        <v>0</v>
      </c>
      <c r="AA58" s="91">
        <f>K58</f>
        <v>0</v>
      </c>
      <c r="AB58" s="91">
        <f t="shared" si="52"/>
        <v>0</v>
      </c>
      <c r="AC58" s="4" t="str">
        <f t="shared" si="52"/>
        <v/>
      </c>
      <c r="AD58" s="92">
        <f t="shared" si="52"/>
        <v>0</v>
      </c>
      <c r="AE58" s="80" t="str">
        <f>S58</f>
        <v>계</v>
      </c>
      <c r="AF58" s="80" t="str">
        <f>Q58&amp;"/"&amp;R58</f>
        <v>3/2</v>
      </c>
      <c r="AH58" s="20" t="str">
        <f t="shared" si="37"/>
        <v>군산수송제일오투그란데1단지</v>
      </c>
      <c r="AI58" s="88">
        <f t="shared" si="36"/>
        <v>35</v>
      </c>
      <c r="AJ58" s="80" t="str">
        <f>IF(AI58="","",$AJ$2)</f>
        <v>A-</v>
      </c>
      <c r="AK58" s="80" t="s">
        <v>14</v>
      </c>
      <c r="AL58" s="80" t="s">
        <v>63</v>
      </c>
      <c r="AM58" s="80" t="s">
        <v>64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/>
      </c>
    </row>
    <row r="59" spans="1:48" x14ac:dyDescent="0.3">
      <c r="A59" s="9" t="s">
        <v>1090</v>
      </c>
      <c r="B59" s="10" t="s">
        <v>1348</v>
      </c>
      <c r="C59" s="89">
        <v>724</v>
      </c>
      <c r="D59" s="87">
        <v>115.6</v>
      </c>
      <c r="E59" s="88">
        <v>35</v>
      </c>
      <c r="F59" s="87">
        <v>84.9</v>
      </c>
      <c r="G59" s="17">
        <v>26</v>
      </c>
      <c r="H59" s="89">
        <v>146</v>
      </c>
      <c r="I59" s="90">
        <v>32000</v>
      </c>
      <c r="J59" s="90" t="s">
        <v>65</v>
      </c>
      <c r="K59" s="90">
        <v>28000</v>
      </c>
      <c r="L59" s="90" t="s">
        <v>68</v>
      </c>
      <c r="M59" s="91">
        <f>I59-K59</f>
        <v>4000</v>
      </c>
      <c r="N59" s="4">
        <f>IF(ISERROR(K59/I59),"",K59/I59)</f>
        <v>0.875</v>
      </c>
      <c r="O59" s="92">
        <f>I59/E59</f>
        <v>914.28571428571433</v>
      </c>
      <c r="P59" s="92">
        <f>K59/E59</f>
        <v>800</v>
      </c>
      <c r="Q59" s="80">
        <v>3</v>
      </c>
      <c r="R59" s="80">
        <v>2</v>
      </c>
      <c r="S59" s="80" t="s">
        <v>61</v>
      </c>
      <c r="T59" s="5" t="s">
        <v>94</v>
      </c>
      <c r="U59" s="9"/>
      <c r="W59" s="87">
        <f t="shared" si="50"/>
        <v>115.6</v>
      </c>
      <c r="X59" s="88">
        <f t="shared" si="50"/>
        <v>35</v>
      </c>
      <c r="Y59" s="93">
        <f t="shared" si="51"/>
        <v>146</v>
      </c>
      <c r="Z59" s="91">
        <f t="shared" si="51"/>
        <v>32000</v>
      </c>
      <c r="AA59" s="91">
        <f>K59</f>
        <v>28000</v>
      </c>
      <c r="AB59" s="91">
        <f t="shared" si="52"/>
        <v>4000</v>
      </c>
      <c r="AC59" s="4">
        <f t="shared" si="52"/>
        <v>0.875</v>
      </c>
      <c r="AD59" s="92">
        <f t="shared" si="52"/>
        <v>914.28571428571433</v>
      </c>
      <c r="AE59" s="80" t="str">
        <f>S59</f>
        <v>계</v>
      </c>
      <c r="AF59" s="80" t="str">
        <f>Q59&amp;"/"&amp;R59</f>
        <v>3/2</v>
      </c>
      <c r="AH59" s="20" t="str">
        <f t="shared" si="37"/>
        <v>군산수송제일오투그란데1단지</v>
      </c>
      <c r="AI59" s="88">
        <f t="shared" si="36"/>
        <v>35</v>
      </c>
      <c r="AJ59" s="80" t="str">
        <f>IF(AI59="","",$AJ$2)</f>
        <v>A-</v>
      </c>
      <c r="AK59" s="80" t="s">
        <v>14</v>
      </c>
      <c r="AL59" s="80" t="s">
        <v>63</v>
      </c>
      <c r="AM59" s="80" t="s">
        <v>64</v>
      </c>
      <c r="AN59" s="80" t="str">
        <f>IF(AI59="","",$AN$2)</f>
        <v>C</v>
      </c>
      <c r="AO59" s="80" t="str">
        <f>IF(N59="","",IF(N59&gt;=$AO$1/100,"O","X"))</f>
        <v>O</v>
      </c>
      <c r="AP59" s="80" t="str">
        <f>IF(I59="","",IF(I59&lt;=$AP$1,"O","X"))</f>
        <v>O</v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O</v>
      </c>
      <c r="AU59" s="80" t="str">
        <f>IF(C59="","",IF(C59&gt;=$AU$1,"O","X"))</f>
        <v>O</v>
      </c>
      <c r="AV59" s="80" t="str">
        <f>IF(AO59="","",IF(AND(AO59="O",AP59="O",AR59="O",AT59="O",AU59="O"),"후보","X"))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2191" priority="833">
      <formula>AV4="X"</formula>
    </cfRule>
    <cfRule type="expression" dxfId="2190" priority="834">
      <formula>AV4="후보"</formula>
    </cfRule>
  </conditionalFormatting>
  <conditionalFormatting sqref="AC1:AC2 AC4:AC6 N4:N5">
    <cfRule type="cellIs" dxfId="2189" priority="831" operator="greaterThan">
      <formula>0.9</formula>
    </cfRule>
    <cfRule type="cellIs" dxfId="2188" priority="832" operator="greaterThan">
      <formula>0.85</formula>
    </cfRule>
  </conditionalFormatting>
  <conditionalFormatting sqref="N1:N2">
    <cfRule type="cellIs" dxfId="2187" priority="829" operator="greaterThan">
      <formula>0.9</formula>
    </cfRule>
    <cfRule type="cellIs" dxfId="2186" priority="830" operator="greaterThan">
      <formula>0.85</formula>
    </cfRule>
  </conditionalFormatting>
  <conditionalFormatting sqref="N6">
    <cfRule type="cellIs" dxfId="2185" priority="827" operator="greaterThan">
      <formula>0.9</formula>
    </cfRule>
    <cfRule type="cellIs" dxfId="2184" priority="828" operator="greaterThan">
      <formula>0.85</formula>
    </cfRule>
  </conditionalFormatting>
  <conditionalFormatting sqref="E6">
    <cfRule type="expression" dxfId="2183" priority="823">
      <formula>AND(IF(OR($Q6=1,$Q6=2),1,0),IF($X6&lt;=20,1,0))</formula>
    </cfRule>
    <cfRule type="expression" dxfId="2182" priority="824">
      <formula>AND(IF($Q6=2,1,0),IF($X6&lt;30,1,0))</formula>
    </cfRule>
    <cfRule type="expression" dxfId="2181" priority="825">
      <formula>AND(IF($Q6=3,1,0),IF($X6&lt;30,1,0))</formula>
    </cfRule>
    <cfRule type="expression" dxfId="2180" priority="826">
      <formula>AND(IF($Q6=3,1,IF($Q6=4,1,0)),IF($F6&lt;=85,1,0))</formula>
    </cfRule>
  </conditionalFormatting>
  <conditionalFormatting sqref="X6">
    <cfRule type="expression" dxfId="2179" priority="819">
      <formula>AND(IF(OR($Q6=1,$Q6=2),1,0),IF($X6&lt;=20,1,0))</formula>
    </cfRule>
    <cfRule type="expression" dxfId="2178" priority="820">
      <formula>AND(IF($Q6=2,1,0),IF($X6&lt;30,1,0))</formula>
    </cfRule>
    <cfRule type="expression" dxfId="2177" priority="821">
      <formula>AND(IF($Q6=3,1,0),IF($X6&lt;30,1,0))</formula>
    </cfRule>
    <cfRule type="expression" dxfId="2176" priority="822">
      <formula>AND(IF($Q6=3,1,IF($Q6=4,1,0)),IF($F6&lt;=85,1,0))</formula>
    </cfRule>
  </conditionalFormatting>
  <conditionalFormatting sqref="AI6">
    <cfRule type="expression" dxfId="2175" priority="815">
      <formula>AND(IF(OR($Q6=1,$Q6=2),1,0),IF($X6&lt;=20,1,0))</formula>
    </cfRule>
    <cfRule type="expression" dxfId="2174" priority="816">
      <formula>AND(IF($Q6=2,1,0),IF($X6&lt;30,1,0))</formula>
    </cfRule>
    <cfRule type="expression" dxfId="2173" priority="817">
      <formula>AND(IF($Q6=3,1,0),IF($X6&lt;30,1,0))</formula>
    </cfRule>
    <cfRule type="expression" dxfId="2172" priority="818">
      <formula>AND(IF($Q6=3,1,IF($Q6=4,1,0)),IF($F6&lt;=85,1,0))</formula>
    </cfRule>
  </conditionalFormatting>
  <conditionalFormatting sqref="AV7">
    <cfRule type="expression" dxfId="2171" priority="813">
      <formula>AV7="X"</formula>
    </cfRule>
    <cfRule type="expression" dxfId="2170" priority="814">
      <formula>AV7="후보"</formula>
    </cfRule>
  </conditionalFormatting>
  <conditionalFormatting sqref="AC7">
    <cfRule type="cellIs" dxfId="2169" priority="811" operator="greaterThan">
      <formula>0.9</formula>
    </cfRule>
    <cfRule type="cellIs" dxfId="2168" priority="812" operator="greaterThan">
      <formula>0.85</formula>
    </cfRule>
  </conditionalFormatting>
  <conditionalFormatting sqref="N7">
    <cfRule type="cellIs" dxfId="2167" priority="809" operator="greaterThan">
      <formula>0.9</formula>
    </cfRule>
    <cfRule type="cellIs" dxfId="2166" priority="810" operator="greaterThan">
      <formula>0.85</formula>
    </cfRule>
  </conditionalFormatting>
  <conditionalFormatting sqref="E7">
    <cfRule type="expression" dxfId="2165" priority="805">
      <formula>AND(IF(OR($Q7=1,$Q7=2),1,0),IF($X7&lt;=20,1,0))</formula>
    </cfRule>
    <cfRule type="expression" dxfId="2164" priority="806">
      <formula>AND(IF($Q7=2,1,0),IF($X7&lt;30,1,0))</formula>
    </cfRule>
    <cfRule type="expression" dxfId="2163" priority="807">
      <formula>AND(IF($Q7=3,1,0),IF($X7&lt;30,1,0))</formula>
    </cfRule>
    <cfRule type="expression" dxfId="2162" priority="808">
      <formula>AND(IF($Q7=3,1,IF($Q7=4,1,0)),IF($F7&lt;=85,1,0))</formula>
    </cfRule>
  </conditionalFormatting>
  <conditionalFormatting sqref="X7">
    <cfRule type="expression" dxfId="2161" priority="801">
      <formula>AND(IF(OR($Q7=1,$Q7=2),1,0),IF($X7&lt;=20,1,0))</formula>
    </cfRule>
    <cfRule type="expression" dxfId="2160" priority="802">
      <formula>AND(IF($Q7=2,1,0),IF($X7&lt;30,1,0))</formula>
    </cfRule>
    <cfRule type="expression" dxfId="2159" priority="803">
      <formula>AND(IF($Q7=3,1,0),IF($X7&lt;30,1,0))</formula>
    </cfRule>
    <cfRule type="expression" dxfId="2158" priority="804">
      <formula>AND(IF($Q7=3,1,IF($Q7=4,1,0)),IF($F7&lt;=85,1,0))</formula>
    </cfRule>
  </conditionalFormatting>
  <conditionalFormatting sqref="AI7">
    <cfRule type="expression" dxfId="2157" priority="797">
      <formula>AND(IF(OR($Q7=1,$Q7=2),1,0),IF($X7&lt;=20,1,0))</formula>
    </cfRule>
    <cfRule type="expression" dxfId="2156" priority="798">
      <formula>AND(IF($Q7=2,1,0),IF($X7&lt;30,1,0))</formula>
    </cfRule>
    <cfRule type="expression" dxfId="2155" priority="799">
      <formula>AND(IF($Q7=3,1,0),IF($X7&lt;30,1,0))</formula>
    </cfRule>
    <cfRule type="expression" dxfId="2154" priority="800">
      <formula>AND(IF($Q7=3,1,IF($Q7=4,1,0)),IF($F7&lt;=85,1,0))</formula>
    </cfRule>
  </conditionalFormatting>
  <conditionalFormatting sqref="AV8">
    <cfRule type="expression" dxfId="2153" priority="795">
      <formula>AV8="X"</formula>
    </cfRule>
    <cfRule type="expression" dxfId="2152" priority="796">
      <formula>AV8="후보"</formula>
    </cfRule>
  </conditionalFormatting>
  <conditionalFormatting sqref="AC8">
    <cfRule type="cellIs" dxfId="2151" priority="793" operator="greaterThan">
      <formula>0.9</formula>
    </cfRule>
    <cfRule type="cellIs" dxfId="2150" priority="794" operator="greaterThan">
      <formula>0.85</formula>
    </cfRule>
  </conditionalFormatting>
  <conditionalFormatting sqref="N8">
    <cfRule type="cellIs" dxfId="2149" priority="791" operator="greaterThan">
      <formula>0.9</formula>
    </cfRule>
    <cfRule type="cellIs" dxfId="2148" priority="792" operator="greaterThan">
      <formula>0.85</formula>
    </cfRule>
  </conditionalFormatting>
  <conditionalFormatting sqref="E8">
    <cfRule type="expression" dxfId="2147" priority="787">
      <formula>AND(IF(OR($Q8=1,$Q8=2),1,0),IF($X8&lt;=20,1,0))</formula>
    </cfRule>
    <cfRule type="expression" dxfId="2146" priority="788">
      <formula>AND(IF($Q8=2,1,0),IF($X8&lt;30,1,0))</formula>
    </cfRule>
    <cfRule type="expression" dxfId="2145" priority="789">
      <formula>AND(IF($Q8=3,1,0),IF($X8&lt;30,1,0))</formula>
    </cfRule>
    <cfRule type="expression" dxfId="2144" priority="790">
      <formula>AND(IF($Q8=3,1,IF($Q8=4,1,0)),IF($F8&lt;=85,1,0))</formula>
    </cfRule>
  </conditionalFormatting>
  <conditionalFormatting sqref="X8">
    <cfRule type="expression" dxfId="2143" priority="783">
      <formula>AND(IF(OR($Q8=1,$Q8=2),1,0),IF($X8&lt;=20,1,0))</formula>
    </cfRule>
    <cfRule type="expression" dxfId="2142" priority="784">
      <formula>AND(IF($Q8=2,1,0),IF($X8&lt;30,1,0))</formula>
    </cfRule>
    <cfRule type="expression" dxfId="2141" priority="785">
      <formula>AND(IF($Q8=3,1,0),IF($X8&lt;30,1,0))</formula>
    </cfRule>
    <cfRule type="expression" dxfId="2140" priority="786">
      <formula>AND(IF($Q8=3,1,IF($Q8=4,1,0)),IF($F8&lt;=85,1,0))</formula>
    </cfRule>
  </conditionalFormatting>
  <conditionalFormatting sqref="AI8">
    <cfRule type="expression" dxfId="2139" priority="779">
      <formula>AND(IF(OR($Q8=1,$Q8=2),1,0),IF($X8&lt;=20,1,0))</formula>
    </cfRule>
    <cfRule type="expression" dxfId="2138" priority="780">
      <formula>AND(IF($Q8=2,1,0),IF($X8&lt;30,1,0))</formula>
    </cfRule>
    <cfRule type="expression" dxfId="2137" priority="781">
      <formula>AND(IF($Q8=3,1,0),IF($X8&lt;30,1,0))</formula>
    </cfRule>
    <cfRule type="expression" dxfId="2136" priority="782">
      <formula>AND(IF($Q8=3,1,IF($Q8=4,1,0)),IF($F8&lt;=85,1,0))</formula>
    </cfRule>
  </conditionalFormatting>
  <conditionalFormatting sqref="AV9">
    <cfRule type="expression" dxfId="2135" priority="777">
      <formula>AV9="X"</formula>
    </cfRule>
    <cfRule type="expression" dxfId="2134" priority="778">
      <formula>AV9="후보"</formula>
    </cfRule>
  </conditionalFormatting>
  <conditionalFormatting sqref="AC9 N9">
    <cfRule type="cellIs" dxfId="2133" priority="775" operator="greaterThan">
      <formula>0.9</formula>
    </cfRule>
    <cfRule type="cellIs" dxfId="2132" priority="776" operator="greaterThan">
      <formula>0.85</formula>
    </cfRule>
  </conditionalFormatting>
  <conditionalFormatting sqref="AV10">
    <cfRule type="expression" dxfId="2131" priority="773">
      <formula>AV10="X"</formula>
    </cfRule>
    <cfRule type="expression" dxfId="2130" priority="774">
      <formula>AV10="후보"</formula>
    </cfRule>
  </conditionalFormatting>
  <conditionalFormatting sqref="AC10">
    <cfRule type="cellIs" dxfId="2129" priority="771" operator="greaterThan">
      <formula>0.9</formula>
    </cfRule>
    <cfRule type="cellIs" dxfId="2128" priority="772" operator="greaterThan">
      <formula>0.85</formula>
    </cfRule>
  </conditionalFormatting>
  <conditionalFormatting sqref="N10">
    <cfRule type="cellIs" dxfId="2127" priority="769" operator="greaterThan">
      <formula>0.9</formula>
    </cfRule>
    <cfRule type="cellIs" dxfId="2126" priority="770" operator="greaterThan">
      <formula>0.85</formula>
    </cfRule>
  </conditionalFormatting>
  <conditionalFormatting sqref="E10">
    <cfRule type="expression" dxfId="2125" priority="765">
      <formula>AND(IF(OR($Q10=1,$Q10=2),1,0),IF($X10&lt;=20,1,0))</formula>
    </cfRule>
    <cfRule type="expression" dxfId="2124" priority="766">
      <formula>AND(IF($Q10=2,1,0),IF($X10&lt;30,1,0))</formula>
    </cfRule>
    <cfRule type="expression" dxfId="2123" priority="767">
      <formula>AND(IF($Q10=3,1,0),IF($X10&lt;30,1,0))</formula>
    </cfRule>
    <cfRule type="expression" dxfId="2122" priority="768">
      <formula>AND(IF($Q10=3,1,IF($Q10=4,1,0)),IF($F10&lt;=85,1,0))</formula>
    </cfRule>
  </conditionalFormatting>
  <conditionalFormatting sqref="X10">
    <cfRule type="expression" dxfId="2121" priority="761">
      <formula>AND(IF(OR($Q10=1,$Q10=2),1,0),IF($X10&lt;=20,1,0))</formula>
    </cfRule>
    <cfRule type="expression" dxfId="2120" priority="762">
      <formula>AND(IF($Q10=2,1,0),IF($X10&lt;30,1,0))</formula>
    </cfRule>
    <cfRule type="expression" dxfId="2119" priority="763">
      <formula>AND(IF($Q10=3,1,0),IF($X10&lt;30,1,0))</formula>
    </cfRule>
    <cfRule type="expression" dxfId="2118" priority="764">
      <formula>AND(IF($Q10=3,1,IF($Q10=4,1,0)),IF($F10&lt;=85,1,0))</formula>
    </cfRule>
  </conditionalFormatting>
  <conditionalFormatting sqref="AI10">
    <cfRule type="expression" dxfId="2117" priority="757">
      <formula>AND(IF(OR($Q10=1,$Q10=2),1,0),IF($X10&lt;=20,1,0))</formula>
    </cfRule>
    <cfRule type="expression" dxfId="2116" priority="758">
      <formula>AND(IF($Q10=2,1,0),IF($X10&lt;30,1,0))</formula>
    </cfRule>
    <cfRule type="expression" dxfId="2115" priority="759">
      <formula>AND(IF($Q10=3,1,0),IF($X10&lt;30,1,0))</formula>
    </cfRule>
    <cfRule type="expression" dxfId="2114" priority="760">
      <formula>AND(IF($Q10=3,1,IF($Q10=4,1,0)),IF($F10&lt;=85,1,0))</formula>
    </cfRule>
  </conditionalFormatting>
  <conditionalFormatting sqref="AV11">
    <cfRule type="expression" dxfId="2113" priority="755">
      <formula>AV11="X"</formula>
    </cfRule>
    <cfRule type="expression" dxfId="2112" priority="756">
      <formula>AV11="후보"</formula>
    </cfRule>
  </conditionalFormatting>
  <conditionalFormatting sqref="AC11">
    <cfRule type="cellIs" dxfId="2111" priority="753" operator="greaterThan">
      <formula>0.9</formula>
    </cfRule>
    <cfRule type="cellIs" dxfId="2110" priority="754" operator="greaterThan">
      <formula>0.85</formula>
    </cfRule>
  </conditionalFormatting>
  <conditionalFormatting sqref="N11">
    <cfRule type="cellIs" dxfId="2109" priority="751" operator="greaterThan">
      <formula>0.9</formula>
    </cfRule>
    <cfRule type="cellIs" dxfId="2108" priority="752" operator="greaterThan">
      <formula>0.85</formula>
    </cfRule>
  </conditionalFormatting>
  <conditionalFormatting sqref="E11">
    <cfRule type="expression" dxfId="2107" priority="747">
      <formula>AND(IF(OR($Q11=1,$Q11=2),1,0),IF($X11&lt;=20,1,0))</formula>
    </cfRule>
    <cfRule type="expression" dxfId="2106" priority="748">
      <formula>AND(IF($Q11=2,1,0),IF($X11&lt;30,1,0))</formula>
    </cfRule>
    <cfRule type="expression" dxfId="2105" priority="749">
      <formula>AND(IF($Q11=3,1,0),IF($X11&lt;30,1,0))</formula>
    </cfRule>
    <cfRule type="expression" dxfId="2104" priority="750">
      <formula>AND(IF($Q11=3,1,IF($Q11=4,1,0)),IF($F11&lt;=85,1,0))</formula>
    </cfRule>
  </conditionalFormatting>
  <conditionalFormatting sqref="X11">
    <cfRule type="expression" dxfId="2103" priority="743">
      <formula>AND(IF(OR($Q11=1,$Q11=2),1,0),IF($X11&lt;=20,1,0))</formula>
    </cfRule>
    <cfRule type="expression" dxfId="2102" priority="744">
      <formula>AND(IF($Q11=2,1,0),IF($X11&lt;30,1,0))</formula>
    </cfRule>
    <cfRule type="expression" dxfId="2101" priority="745">
      <formula>AND(IF($Q11=3,1,0),IF($X11&lt;30,1,0))</formula>
    </cfRule>
    <cfRule type="expression" dxfId="2100" priority="746">
      <formula>AND(IF($Q11=3,1,IF($Q11=4,1,0)),IF($F11&lt;=85,1,0))</formula>
    </cfRule>
  </conditionalFormatting>
  <conditionalFormatting sqref="AI11">
    <cfRule type="expression" dxfId="2099" priority="739">
      <formula>AND(IF(OR($Q11=1,$Q11=2),1,0),IF($X11&lt;=20,1,0))</formula>
    </cfRule>
    <cfRule type="expression" dxfId="2098" priority="740">
      <formula>AND(IF($Q11=2,1,0),IF($X11&lt;30,1,0))</formula>
    </cfRule>
    <cfRule type="expression" dxfId="2097" priority="741">
      <formula>AND(IF($Q11=3,1,0),IF($X11&lt;30,1,0))</formula>
    </cfRule>
    <cfRule type="expression" dxfId="2096" priority="742">
      <formula>AND(IF($Q11=3,1,IF($Q11=4,1,0)),IF($F11&lt;=85,1,0))</formula>
    </cfRule>
  </conditionalFormatting>
  <conditionalFormatting sqref="AV12">
    <cfRule type="expression" dxfId="2095" priority="737">
      <formula>AV12="X"</formula>
    </cfRule>
    <cfRule type="expression" dxfId="2094" priority="738">
      <formula>AV12="후보"</formula>
    </cfRule>
  </conditionalFormatting>
  <conditionalFormatting sqref="AC12">
    <cfRule type="cellIs" dxfId="2093" priority="735" operator="greaterThan">
      <formula>0.9</formula>
    </cfRule>
    <cfRule type="cellIs" dxfId="2092" priority="736" operator="greaterThan">
      <formula>0.85</formula>
    </cfRule>
  </conditionalFormatting>
  <conditionalFormatting sqref="N12">
    <cfRule type="cellIs" dxfId="2091" priority="733" operator="greaterThan">
      <formula>0.9</formula>
    </cfRule>
    <cfRule type="cellIs" dxfId="2090" priority="734" operator="greaterThan">
      <formula>0.85</formula>
    </cfRule>
  </conditionalFormatting>
  <conditionalFormatting sqref="E12">
    <cfRule type="expression" dxfId="2089" priority="729">
      <formula>AND(IF(OR($Q12=1,$Q12=2),1,0),IF($X12&lt;=20,1,0))</formula>
    </cfRule>
    <cfRule type="expression" dxfId="2088" priority="730">
      <formula>AND(IF($Q12=2,1,0),IF($X12&lt;30,1,0))</formula>
    </cfRule>
    <cfRule type="expression" dxfId="2087" priority="731">
      <formula>AND(IF($Q12=3,1,0),IF($X12&lt;30,1,0))</formula>
    </cfRule>
    <cfRule type="expression" dxfId="2086" priority="732">
      <formula>AND(IF($Q12=3,1,IF($Q12=4,1,0)),IF($F12&lt;=85,1,0))</formula>
    </cfRule>
  </conditionalFormatting>
  <conditionalFormatting sqref="X12">
    <cfRule type="expression" dxfId="2085" priority="725">
      <formula>AND(IF(OR($Q12=1,$Q12=2),1,0),IF($X12&lt;=20,1,0))</formula>
    </cfRule>
    <cfRule type="expression" dxfId="2084" priority="726">
      <formula>AND(IF($Q12=2,1,0),IF($X12&lt;30,1,0))</formula>
    </cfRule>
    <cfRule type="expression" dxfId="2083" priority="727">
      <formula>AND(IF($Q12=3,1,0),IF($X12&lt;30,1,0))</formula>
    </cfRule>
    <cfRule type="expression" dxfId="2082" priority="728">
      <formula>AND(IF($Q12=3,1,IF($Q12=4,1,0)),IF($F12&lt;=85,1,0))</formula>
    </cfRule>
  </conditionalFormatting>
  <conditionalFormatting sqref="AI12">
    <cfRule type="expression" dxfId="2081" priority="721">
      <formula>AND(IF(OR($Q12=1,$Q12=2),1,0),IF($X12&lt;=20,1,0))</formula>
    </cfRule>
    <cfRule type="expression" dxfId="2080" priority="722">
      <formula>AND(IF($Q12=2,1,0),IF($X12&lt;30,1,0))</formula>
    </cfRule>
    <cfRule type="expression" dxfId="2079" priority="723">
      <formula>AND(IF($Q12=3,1,0),IF($X12&lt;30,1,0))</formula>
    </cfRule>
    <cfRule type="expression" dxfId="2078" priority="724">
      <formula>AND(IF($Q12=3,1,IF($Q12=4,1,0)),IF($F12&lt;=85,1,0))</formula>
    </cfRule>
  </conditionalFormatting>
  <conditionalFormatting sqref="AV13">
    <cfRule type="expression" dxfId="2077" priority="719">
      <formula>AV13="X"</formula>
    </cfRule>
    <cfRule type="expression" dxfId="2076" priority="720">
      <formula>AV13="후보"</formula>
    </cfRule>
  </conditionalFormatting>
  <conditionalFormatting sqref="AC13">
    <cfRule type="cellIs" dxfId="2075" priority="717" operator="greaterThan">
      <formula>0.9</formula>
    </cfRule>
    <cfRule type="cellIs" dxfId="2074" priority="718" operator="greaterThan">
      <formula>0.85</formula>
    </cfRule>
  </conditionalFormatting>
  <conditionalFormatting sqref="N13">
    <cfRule type="cellIs" dxfId="2073" priority="715" operator="greaterThan">
      <formula>0.9</formula>
    </cfRule>
    <cfRule type="cellIs" dxfId="2072" priority="716" operator="greaterThan">
      <formula>0.85</formula>
    </cfRule>
  </conditionalFormatting>
  <conditionalFormatting sqref="E13">
    <cfRule type="expression" dxfId="2071" priority="711">
      <formula>AND(IF(OR($Q13=1,$Q13=2),1,0),IF($X13&lt;=20,1,0))</formula>
    </cfRule>
    <cfRule type="expression" dxfId="2070" priority="712">
      <formula>AND(IF($Q13=2,1,0),IF($X13&lt;30,1,0))</formula>
    </cfRule>
    <cfRule type="expression" dxfId="2069" priority="713">
      <formula>AND(IF($Q13=3,1,0),IF($X13&lt;30,1,0))</formula>
    </cfRule>
    <cfRule type="expression" dxfId="2068" priority="714">
      <formula>AND(IF($Q13=3,1,IF($Q13=4,1,0)),IF($F13&lt;=85,1,0))</formula>
    </cfRule>
  </conditionalFormatting>
  <conditionalFormatting sqref="X13">
    <cfRule type="expression" dxfId="2067" priority="707">
      <formula>AND(IF(OR($Q13=1,$Q13=2),1,0),IF($X13&lt;=20,1,0))</formula>
    </cfRule>
    <cfRule type="expression" dxfId="2066" priority="708">
      <formula>AND(IF($Q13=2,1,0),IF($X13&lt;30,1,0))</formula>
    </cfRule>
    <cfRule type="expression" dxfId="2065" priority="709">
      <formula>AND(IF($Q13=3,1,0),IF($X13&lt;30,1,0))</formula>
    </cfRule>
    <cfRule type="expression" dxfId="2064" priority="710">
      <formula>AND(IF($Q13=3,1,IF($Q13=4,1,0)),IF($F13&lt;=85,1,0))</formula>
    </cfRule>
  </conditionalFormatting>
  <conditionalFormatting sqref="AI13">
    <cfRule type="expression" dxfId="2063" priority="703">
      <formula>AND(IF(OR($Q13=1,$Q13=2),1,0),IF($X13&lt;=20,1,0))</formula>
    </cfRule>
    <cfRule type="expression" dxfId="2062" priority="704">
      <formula>AND(IF($Q13=2,1,0),IF($X13&lt;30,1,0))</formula>
    </cfRule>
    <cfRule type="expression" dxfId="2061" priority="705">
      <formula>AND(IF($Q13=3,1,0),IF($X13&lt;30,1,0))</formula>
    </cfRule>
    <cfRule type="expression" dxfId="2060" priority="706">
      <formula>AND(IF($Q13=3,1,IF($Q13=4,1,0)),IF($F13&lt;=85,1,0))</formula>
    </cfRule>
  </conditionalFormatting>
  <conditionalFormatting sqref="AV14">
    <cfRule type="expression" dxfId="2059" priority="701">
      <formula>AV14="X"</formula>
    </cfRule>
    <cfRule type="expression" dxfId="2058" priority="702">
      <formula>AV14="후보"</formula>
    </cfRule>
  </conditionalFormatting>
  <conditionalFormatting sqref="AC14">
    <cfRule type="cellIs" dxfId="2057" priority="699" operator="greaterThan">
      <formula>0.9</formula>
    </cfRule>
    <cfRule type="cellIs" dxfId="2056" priority="700" operator="greaterThan">
      <formula>0.85</formula>
    </cfRule>
  </conditionalFormatting>
  <conditionalFormatting sqref="N14">
    <cfRule type="cellIs" dxfId="2055" priority="697" operator="greaterThan">
      <formula>0.9</formula>
    </cfRule>
    <cfRule type="cellIs" dxfId="2054" priority="698" operator="greaterThan">
      <formula>0.85</formula>
    </cfRule>
  </conditionalFormatting>
  <conditionalFormatting sqref="E14">
    <cfRule type="expression" dxfId="2053" priority="693">
      <formula>AND(IF(OR($Q14=1,$Q14=2),1,0),IF($X14&lt;=20,1,0))</formula>
    </cfRule>
    <cfRule type="expression" dxfId="2052" priority="694">
      <formula>AND(IF($Q14=2,1,0),IF($X14&lt;30,1,0))</formula>
    </cfRule>
    <cfRule type="expression" dxfId="2051" priority="695">
      <formula>AND(IF($Q14=3,1,0),IF($X14&lt;30,1,0))</formula>
    </cfRule>
    <cfRule type="expression" dxfId="2050" priority="696">
      <formula>AND(IF($Q14=3,1,IF($Q14=4,1,0)),IF($F14&lt;=85,1,0))</formula>
    </cfRule>
  </conditionalFormatting>
  <conditionalFormatting sqref="X14">
    <cfRule type="expression" dxfId="2049" priority="689">
      <formula>AND(IF(OR($Q14=1,$Q14=2),1,0),IF($X14&lt;=20,1,0))</formula>
    </cfRule>
    <cfRule type="expression" dxfId="2048" priority="690">
      <formula>AND(IF($Q14=2,1,0),IF($X14&lt;30,1,0))</formula>
    </cfRule>
    <cfRule type="expression" dxfId="2047" priority="691">
      <formula>AND(IF($Q14=3,1,0),IF($X14&lt;30,1,0))</formula>
    </cfRule>
    <cfRule type="expression" dxfId="2046" priority="692">
      <formula>AND(IF($Q14=3,1,IF($Q14=4,1,0)),IF($F14&lt;=85,1,0))</formula>
    </cfRule>
  </conditionalFormatting>
  <conditionalFormatting sqref="AI14">
    <cfRule type="expression" dxfId="2045" priority="685">
      <formula>AND(IF(OR($Q14=1,$Q14=2),1,0),IF($X14&lt;=20,1,0))</formula>
    </cfRule>
    <cfRule type="expression" dxfId="2044" priority="686">
      <formula>AND(IF($Q14=2,1,0),IF($X14&lt;30,1,0))</formula>
    </cfRule>
    <cfRule type="expression" dxfId="2043" priority="687">
      <formula>AND(IF($Q14=3,1,0),IF($X14&lt;30,1,0))</formula>
    </cfRule>
    <cfRule type="expression" dxfId="2042" priority="688">
      <formula>AND(IF($Q14=3,1,IF($Q14=4,1,0)),IF($F14&lt;=85,1,0))</formula>
    </cfRule>
  </conditionalFormatting>
  <conditionalFormatting sqref="AV15">
    <cfRule type="expression" dxfId="2041" priority="683">
      <formula>AV15="X"</formula>
    </cfRule>
    <cfRule type="expression" dxfId="2040" priority="684">
      <formula>AV15="후보"</formula>
    </cfRule>
  </conditionalFormatting>
  <conditionalFormatting sqref="AC15">
    <cfRule type="cellIs" dxfId="2039" priority="681" operator="greaterThan">
      <formula>0.9</formula>
    </cfRule>
    <cfRule type="cellIs" dxfId="2038" priority="682" operator="greaterThan">
      <formula>0.85</formula>
    </cfRule>
  </conditionalFormatting>
  <conditionalFormatting sqref="N15">
    <cfRule type="cellIs" dxfId="2037" priority="679" operator="greaterThan">
      <formula>0.9</formula>
    </cfRule>
    <cfRule type="cellIs" dxfId="2036" priority="680" operator="greaterThan">
      <formula>0.85</formula>
    </cfRule>
  </conditionalFormatting>
  <conditionalFormatting sqref="E15">
    <cfRule type="expression" dxfId="2035" priority="675">
      <formula>AND(IF(OR($Q15=1,$Q15=2),1,0),IF($X15&lt;=20,1,0))</formula>
    </cfRule>
    <cfRule type="expression" dxfId="2034" priority="676">
      <formula>AND(IF($Q15=2,1,0),IF($X15&lt;30,1,0))</formula>
    </cfRule>
    <cfRule type="expression" dxfId="2033" priority="677">
      <formula>AND(IF($Q15=3,1,0),IF($X15&lt;30,1,0))</formula>
    </cfRule>
    <cfRule type="expression" dxfId="2032" priority="678">
      <formula>AND(IF($Q15=3,1,IF($Q15=4,1,0)),IF($F15&lt;=85,1,0))</formula>
    </cfRule>
  </conditionalFormatting>
  <conditionalFormatting sqref="X15">
    <cfRule type="expression" dxfId="2031" priority="671">
      <formula>AND(IF(OR($Q15=1,$Q15=2),1,0),IF($X15&lt;=20,1,0))</formula>
    </cfRule>
    <cfRule type="expression" dxfId="2030" priority="672">
      <formula>AND(IF($Q15=2,1,0),IF($X15&lt;30,1,0))</formula>
    </cfRule>
    <cfRule type="expression" dxfId="2029" priority="673">
      <formula>AND(IF($Q15=3,1,0),IF($X15&lt;30,1,0))</formula>
    </cfRule>
    <cfRule type="expression" dxfId="2028" priority="674">
      <formula>AND(IF($Q15=3,1,IF($Q15=4,1,0)),IF($F15&lt;=85,1,0))</formula>
    </cfRule>
  </conditionalFormatting>
  <conditionalFormatting sqref="AI15">
    <cfRule type="expression" dxfId="2027" priority="667">
      <formula>AND(IF(OR($Q15=1,$Q15=2),1,0),IF($X15&lt;=20,1,0))</formula>
    </cfRule>
    <cfRule type="expression" dxfId="2026" priority="668">
      <formula>AND(IF($Q15=2,1,0),IF($X15&lt;30,1,0))</formula>
    </cfRule>
    <cfRule type="expression" dxfId="2025" priority="669">
      <formula>AND(IF($Q15=3,1,0),IF($X15&lt;30,1,0))</formula>
    </cfRule>
    <cfRule type="expression" dxfId="2024" priority="670">
      <formula>AND(IF($Q15=3,1,IF($Q15=4,1,0)),IF($F15&lt;=85,1,0))</formula>
    </cfRule>
  </conditionalFormatting>
  <conditionalFormatting sqref="AV16">
    <cfRule type="expression" dxfId="2023" priority="665">
      <formula>AV16="X"</formula>
    </cfRule>
    <cfRule type="expression" dxfId="2022" priority="666">
      <formula>AV16="후보"</formula>
    </cfRule>
  </conditionalFormatting>
  <conditionalFormatting sqref="AC16 N16">
    <cfRule type="cellIs" dxfId="2021" priority="663" operator="greaterThan">
      <formula>0.9</formula>
    </cfRule>
    <cfRule type="cellIs" dxfId="2020" priority="664" operator="greaterThan">
      <formula>0.85</formula>
    </cfRule>
  </conditionalFormatting>
  <conditionalFormatting sqref="AV17">
    <cfRule type="expression" dxfId="2019" priority="661">
      <formula>AV17="X"</formula>
    </cfRule>
    <cfRule type="expression" dxfId="2018" priority="662">
      <formula>AV17="후보"</formula>
    </cfRule>
  </conditionalFormatting>
  <conditionalFormatting sqref="AC17">
    <cfRule type="cellIs" dxfId="2017" priority="659" operator="greaterThan">
      <formula>0.9</formula>
    </cfRule>
    <cfRule type="cellIs" dxfId="2016" priority="660" operator="greaterThan">
      <formula>0.85</formula>
    </cfRule>
  </conditionalFormatting>
  <conditionalFormatting sqref="N17">
    <cfRule type="cellIs" dxfId="2015" priority="657" operator="greaterThan">
      <formula>0.9</formula>
    </cfRule>
    <cfRule type="cellIs" dxfId="2014" priority="658" operator="greaterThan">
      <formula>0.85</formula>
    </cfRule>
  </conditionalFormatting>
  <conditionalFormatting sqref="E17">
    <cfRule type="expression" dxfId="2013" priority="653">
      <formula>AND(IF(OR($Q17=1,$Q17=2),1,0),IF($X17&lt;=20,1,0))</formula>
    </cfRule>
    <cfRule type="expression" dxfId="2012" priority="654">
      <formula>AND(IF($Q17=2,1,0),IF($X17&lt;30,1,0))</formula>
    </cfRule>
    <cfRule type="expression" dxfId="2011" priority="655">
      <formula>AND(IF($Q17=3,1,0),IF($X17&lt;30,1,0))</formula>
    </cfRule>
    <cfRule type="expression" dxfId="2010" priority="656">
      <formula>AND(IF($Q17=3,1,IF($Q17=4,1,0)),IF($F17&lt;=85,1,0))</formula>
    </cfRule>
  </conditionalFormatting>
  <conditionalFormatting sqref="X17">
    <cfRule type="expression" dxfId="2009" priority="649">
      <formula>AND(IF(OR($Q17=1,$Q17=2),1,0),IF($X17&lt;=20,1,0))</formula>
    </cfRule>
    <cfRule type="expression" dxfId="2008" priority="650">
      <formula>AND(IF($Q17=2,1,0),IF($X17&lt;30,1,0))</formula>
    </cfRule>
    <cfRule type="expression" dxfId="2007" priority="651">
      <formula>AND(IF($Q17=3,1,0),IF($X17&lt;30,1,0))</formula>
    </cfRule>
    <cfRule type="expression" dxfId="2006" priority="652">
      <formula>AND(IF($Q17=3,1,IF($Q17=4,1,0)),IF($F17&lt;=85,1,0))</formula>
    </cfRule>
  </conditionalFormatting>
  <conditionalFormatting sqref="AI17">
    <cfRule type="expression" dxfId="2005" priority="645">
      <formula>AND(IF(OR($Q17=1,$Q17=2),1,0),IF($X17&lt;=20,1,0))</formula>
    </cfRule>
    <cfRule type="expression" dxfId="2004" priority="646">
      <formula>AND(IF($Q17=2,1,0),IF($X17&lt;30,1,0))</formula>
    </cfRule>
    <cfRule type="expression" dxfId="2003" priority="647">
      <formula>AND(IF($Q17=3,1,0),IF($X17&lt;30,1,0))</formula>
    </cfRule>
    <cfRule type="expression" dxfId="2002" priority="648">
      <formula>AND(IF($Q17=3,1,IF($Q17=4,1,0)),IF($F17&lt;=85,1,0))</formula>
    </cfRule>
  </conditionalFormatting>
  <conditionalFormatting sqref="AV18">
    <cfRule type="expression" dxfId="2001" priority="643">
      <formula>AV18="X"</formula>
    </cfRule>
    <cfRule type="expression" dxfId="2000" priority="644">
      <formula>AV18="후보"</formula>
    </cfRule>
  </conditionalFormatting>
  <conditionalFormatting sqref="AC18">
    <cfRule type="cellIs" dxfId="1999" priority="641" operator="greaterThan">
      <formula>0.9</formula>
    </cfRule>
    <cfRule type="cellIs" dxfId="1998" priority="642" operator="greaterThan">
      <formula>0.85</formula>
    </cfRule>
  </conditionalFormatting>
  <conditionalFormatting sqref="N18">
    <cfRule type="cellIs" dxfId="1997" priority="639" operator="greaterThan">
      <formula>0.9</formula>
    </cfRule>
    <cfRule type="cellIs" dxfId="1996" priority="640" operator="greaterThan">
      <formula>0.85</formula>
    </cfRule>
  </conditionalFormatting>
  <conditionalFormatting sqref="E18">
    <cfRule type="expression" dxfId="1995" priority="635">
      <formula>AND(IF(OR($Q18=1,$Q18=2),1,0),IF($X18&lt;=20,1,0))</formula>
    </cfRule>
    <cfRule type="expression" dxfId="1994" priority="636">
      <formula>AND(IF($Q18=2,1,0),IF($X18&lt;30,1,0))</formula>
    </cfRule>
    <cfRule type="expression" dxfId="1993" priority="637">
      <formula>AND(IF($Q18=3,1,0),IF($X18&lt;30,1,0))</formula>
    </cfRule>
    <cfRule type="expression" dxfId="1992" priority="638">
      <formula>AND(IF($Q18=3,1,IF($Q18=4,1,0)),IF($F18&lt;=85,1,0))</formula>
    </cfRule>
  </conditionalFormatting>
  <conditionalFormatting sqref="X18">
    <cfRule type="expression" dxfId="1991" priority="631">
      <formula>AND(IF(OR($Q18=1,$Q18=2),1,0),IF($X18&lt;=20,1,0))</formula>
    </cfRule>
    <cfRule type="expression" dxfId="1990" priority="632">
      <formula>AND(IF($Q18=2,1,0),IF($X18&lt;30,1,0))</formula>
    </cfRule>
    <cfRule type="expression" dxfId="1989" priority="633">
      <formula>AND(IF($Q18=3,1,0),IF($X18&lt;30,1,0))</formula>
    </cfRule>
    <cfRule type="expression" dxfId="1988" priority="634">
      <formula>AND(IF($Q18=3,1,IF($Q18=4,1,0)),IF($F18&lt;=85,1,0))</formula>
    </cfRule>
  </conditionalFormatting>
  <conditionalFormatting sqref="AI18">
    <cfRule type="expression" dxfId="1987" priority="627">
      <formula>AND(IF(OR($Q18=1,$Q18=2),1,0),IF($X18&lt;=20,1,0))</formula>
    </cfRule>
    <cfRule type="expression" dxfId="1986" priority="628">
      <formula>AND(IF($Q18=2,1,0),IF($X18&lt;30,1,0))</formula>
    </cfRule>
    <cfRule type="expression" dxfId="1985" priority="629">
      <formula>AND(IF($Q18=3,1,0),IF($X18&lt;30,1,0))</formula>
    </cfRule>
    <cfRule type="expression" dxfId="1984" priority="630">
      <formula>AND(IF($Q18=3,1,IF($Q18=4,1,0)),IF($F18&lt;=85,1,0))</formula>
    </cfRule>
  </conditionalFormatting>
  <conditionalFormatting sqref="AV19">
    <cfRule type="expression" dxfId="1983" priority="625">
      <formula>AV19="X"</formula>
    </cfRule>
    <cfRule type="expression" dxfId="1982" priority="626">
      <formula>AV19="후보"</formula>
    </cfRule>
  </conditionalFormatting>
  <conditionalFormatting sqref="AC19">
    <cfRule type="cellIs" dxfId="1981" priority="623" operator="greaterThan">
      <formula>0.9</formula>
    </cfRule>
    <cfRule type="cellIs" dxfId="1980" priority="624" operator="greaterThan">
      <formula>0.85</formula>
    </cfRule>
  </conditionalFormatting>
  <conditionalFormatting sqref="N19">
    <cfRule type="cellIs" dxfId="1979" priority="621" operator="greaterThan">
      <formula>0.9</formula>
    </cfRule>
    <cfRule type="cellIs" dxfId="1978" priority="622" operator="greaterThan">
      <formula>0.85</formula>
    </cfRule>
  </conditionalFormatting>
  <conditionalFormatting sqref="E19">
    <cfRule type="expression" dxfId="1977" priority="617">
      <formula>AND(IF(OR($Q19=1,$Q19=2),1,0),IF($X19&lt;=20,1,0))</formula>
    </cfRule>
    <cfRule type="expression" dxfId="1976" priority="618">
      <formula>AND(IF($Q19=2,1,0),IF($X19&lt;30,1,0))</formula>
    </cfRule>
    <cfRule type="expression" dxfId="1975" priority="619">
      <formula>AND(IF($Q19=3,1,0),IF($X19&lt;30,1,0))</formula>
    </cfRule>
    <cfRule type="expression" dxfId="1974" priority="620">
      <formula>AND(IF($Q19=3,1,IF($Q19=4,1,0)),IF($F19&lt;=85,1,0))</formula>
    </cfRule>
  </conditionalFormatting>
  <conditionalFormatting sqref="X19">
    <cfRule type="expression" dxfId="1973" priority="613">
      <formula>AND(IF(OR($Q19=1,$Q19=2),1,0),IF($X19&lt;=20,1,0))</formula>
    </cfRule>
    <cfRule type="expression" dxfId="1972" priority="614">
      <formula>AND(IF($Q19=2,1,0),IF($X19&lt;30,1,0))</formula>
    </cfRule>
    <cfRule type="expression" dxfId="1971" priority="615">
      <formula>AND(IF($Q19=3,1,0),IF($X19&lt;30,1,0))</formula>
    </cfRule>
    <cfRule type="expression" dxfId="1970" priority="616">
      <formula>AND(IF($Q19=3,1,IF($Q19=4,1,0)),IF($F19&lt;=85,1,0))</formula>
    </cfRule>
  </conditionalFormatting>
  <conditionalFormatting sqref="AI19">
    <cfRule type="expression" dxfId="1969" priority="609">
      <formula>AND(IF(OR($Q19=1,$Q19=2),1,0),IF($X19&lt;=20,1,0))</formula>
    </cfRule>
    <cfRule type="expression" dxfId="1968" priority="610">
      <formula>AND(IF($Q19=2,1,0),IF($X19&lt;30,1,0))</formula>
    </cfRule>
    <cfRule type="expression" dxfId="1967" priority="611">
      <formula>AND(IF($Q19=3,1,0),IF($X19&lt;30,1,0))</formula>
    </cfRule>
    <cfRule type="expression" dxfId="1966" priority="612">
      <formula>AND(IF($Q19=3,1,IF($Q19=4,1,0)),IF($F19&lt;=85,1,0))</formula>
    </cfRule>
  </conditionalFormatting>
  <conditionalFormatting sqref="AV20">
    <cfRule type="expression" dxfId="1965" priority="607">
      <formula>AV20="X"</formula>
    </cfRule>
    <cfRule type="expression" dxfId="1964" priority="608">
      <formula>AV20="후보"</formula>
    </cfRule>
  </conditionalFormatting>
  <conditionalFormatting sqref="AC20">
    <cfRule type="cellIs" dxfId="1963" priority="605" operator="greaterThan">
      <formula>0.9</formula>
    </cfRule>
    <cfRule type="cellIs" dxfId="1962" priority="606" operator="greaterThan">
      <formula>0.85</formula>
    </cfRule>
  </conditionalFormatting>
  <conditionalFormatting sqref="N20">
    <cfRule type="cellIs" dxfId="1961" priority="603" operator="greaterThan">
      <formula>0.9</formula>
    </cfRule>
    <cfRule type="cellIs" dxfId="1960" priority="604" operator="greaterThan">
      <formula>0.85</formula>
    </cfRule>
  </conditionalFormatting>
  <conditionalFormatting sqref="E20">
    <cfRule type="expression" dxfId="1959" priority="599">
      <formula>AND(IF(OR($Q20=1,$Q20=2),1,0),IF($X20&lt;=20,1,0))</formula>
    </cfRule>
    <cfRule type="expression" dxfId="1958" priority="600">
      <formula>AND(IF($Q20=2,1,0),IF($X20&lt;30,1,0))</formula>
    </cfRule>
    <cfRule type="expression" dxfId="1957" priority="601">
      <formula>AND(IF($Q20=3,1,0),IF($X20&lt;30,1,0))</formula>
    </cfRule>
    <cfRule type="expression" dxfId="1956" priority="602">
      <formula>AND(IF($Q20=3,1,IF($Q20=4,1,0)),IF($F20&lt;=85,1,0))</formula>
    </cfRule>
  </conditionalFormatting>
  <conditionalFormatting sqref="X20">
    <cfRule type="expression" dxfId="1955" priority="595">
      <formula>AND(IF(OR($Q20=1,$Q20=2),1,0),IF($X20&lt;=20,1,0))</formula>
    </cfRule>
    <cfRule type="expression" dxfId="1954" priority="596">
      <formula>AND(IF($Q20=2,1,0),IF($X20&lt;30,1,0))</formula>
    </cfRule>
    <cfRule type="expression" dxfId="1953" priority="597">
      <formula>AND(IF($Q20=3,1,0),IF($X20&lt;30,1,0))</formula>
    </cfRule>
    <cfRule type="expression" dxfId="1952" priority="598">
      <formula>AND(IF($Q20=3,1,IF($Q20=4,1,0)),IF($F20&lt;=85,1,0))</formula>
    </cfRule>
  </conditionalFormatting>
  <conditionalFormatting sqref="AI20">
    <cfRule type="expression" dxfId="1951" priority="591">
      <formula>AND(IF(OR($Q20=1,$Q20=2),1,0),IF($X20&lt;=20,1,0))</formula>
    </cfRule>
    <cfRule type="expression" dxfId="1950" priority="592">
      <formula>AND(IF($Q20=2,1,0),IF($X20&lt;30,1,0))</formula>
    </cfRule>
    <cfRule type="expression" dxfId="1949" priority="593">
      <formula>AND(IF($Q20=3,1,0),IF($X20&lt;30,1,0))</formula>
    </cfRule>
    <cfRule type="expression" dxfId="1948" priority="594">
      <formula>AND(IF($Q20=3,1,IF($Q20=4,1,0)),IF($F20&lt;=85,1,0))</formula>
    </cfRule>
  </conditionalFormatting>
  <conditionalFormatting sqref="AV21">
    <cfRule type="expression" dxfId="1947" priority="589">
      <formula>AV21="X"</formula>
    </cfRule>
    <cfRule type="expression" dxfId="1946" priority="590">
      <formula>AV21="후보"</formula>
    </cfRule>
  </conditionalFormatting>
  <conditionalFormatting sqref="AC21">
    <cfRule type="cellIs" dxfId="1945" priority="587" operator="greaterThan">
      <formula>0.9</formula>
    </cfRule>
    <cfRule type="cellIs" dxfId="1944" priority="588" operator="greaterThan">
      <formula>0.85</formula>
    </cfRule>
  </conditionalFormatting>
  <conditionalFormatting sqref="N21">
    <cfRule type="cellIs" dxfId="1943" priority="585" operator="greaterThan">
      <formula>0.9</formula>
    </cfRule>
    <cfRule type="cellIs" dxfId="1942" priority="586" operator="greaterThan">
      <formula>0.85</formula>
    </cfRule>
  </conditionalFormatting>
  <conditionalFormatting sqref="E21">
    <cfRule type="expression" dxfId="1941" priority="581">
      <formula>AND(IF(OR($Q21=1,$Q21=2),1,0),IF($X21&lt;=20,1,0))</formula>
    </cfRule>
    <cfRule type="expression" dxfId="1940" priority="582">
      <formula>AND(IF($Q21=2,1,0),IF($X21&lt;30,1,0))</formula>
    </cfRule>
    <cfRule type="expression" dxfId="1939" priority="583">
      <formula>AND(IF($Q21=3,1,0),IF($X21&lt;30,1,0))</formula>
    </cfRule>
    <cfRule type="expression" dxfId="1938" priority="584">
      <formula>AND(IF($Q21=3,1,IF($Q21=4,1,0)),IF($F21&lt;=85,1,0))</formula>
    </cfRule>
  </conditionalFormatting>
  <conditionalFormatting sqref="X21">
    <cfRule type="expression" dxfId="1937" priority="577">
      <formula>AND(IF(OR($Q21=1,$Q21=2),1,0),IF($X21&lt;=20,1,0))</formula>
    </cfRule>
    <cfRule type="expression" dxfId="1936" priority="578">
      <formula>AND(IF($Q21=2,1,0),IF($X21&lt;30,1,0))</formula>
    </cfRule>
    <cfRule type="expression" dxfId="1935" priority="579">
      <formula>AND(IF($Q21=3,1,0),IF($X21&lt;30,1,0))</formula>
    </cfRule>
    <cfRule type="expression" dxfId="1934" priority="580">
      <formula>AND(IF($Q21=3,1,IF($Q21=4,1,0)),IF($F21&lt;=85,1,0))</formula>
    </cfRule>
  </conditionalFormatting>
  <conditionalFormatting sqref="AI21">
    <cfRule type="expression" dxfId="1933" priority="573">
      <formula>AND(IF(OR($Q21=1,$Q21=2),1,0),IF($X21&lt;=20,1,0))</formula>
    </cfRule>
    <cfRule type="expression" dxfId="1932" priority="574">
      <formula>AND(IF($Q21=2,1,0),IF($X21&lt;30,1,0))</formula>
    </cfRule>
    <cfRule type="expression" dxfId="1931" priority="575">
      <formula>AND(IF($Q21=3,1,0),IF($X21&lt;30,1,0))</formula>
    </cfRule>
    <cfRule type="expression" dxfId="1930" priority="576">
      <formula>AND(IF($Q21=3,1,IF($Q21=4,1,0)),IF($F21&lt;=85,1,0))</formula>
    </cfRule>
  </conditionalFormatting>
  <conditionalFormatting sqref="AV22">
    <cfRule type="expression" dxfId="1929" priority="571">
      <formula>AV22="X"</formula>
    </cfRule>
    <cfRule type="expression" dxfId="1928" priority="572">
      <formula>AV22="후보"</formula>
    </cfRule>
  </conditionalFormatting>
  <conditionalFormatting sqref="AC22 N22">
    <cfRule type="cellIs" dxfId="1927" priority="569" operator="greaterThan">
      <formula>0.9</formula>
    </cfRule>
    <cfRule type="cellIs" dxfId="1926" priority="570" operator="greaterThan">
      <formula>0.85</formula>
    </cfRule>
  </conditionalFormatting>
  <conditionalFormatting sqref="AV23">
    <cfRule type="expression" dxfId="1925" priority="567">
      <formula>AV23="X"</formula>
    </cfRule>
    <cfRule type="expression" dxfId="1924" priority="568">
      <formula>AV23="후보"</formula>
    </cfRule>
  </conditionalFormatting>
  <conditionalFormatting sqref="AC23">
    <cfRule type="cellIs" dxfId="1923" priority="565" operator="greaterThan">
      <formula>0.9</formula>
    </cfRule>
    <cfRule type="cellIs" dxfId="1922" priority="566" operator="greaterThan">
      <formula>0.85</formula>
    </cfRule>
  </conditionalFormatting>
  <conditionalFormatting sqref="N23">
    <cfRule type="cellIs" dxfId="1921" priority="563" operator="greaterThan">
      <formula>0.9</formula>
    </cfRule>
    <cfRule type="cellIs" dxfId="1920" priority="564" operator="greaterThan">
      <formula>0.85</formula>
    </cfRule>
  </conditionalFormatting>
  <conditionalFormatting sqref="E23">
    <cfRule type="expression" dxfId="1919" priority="559">
      <formula>AND(IF(OR($Q23=1,$Q23=2),1,0),IF($X23&lt;=20,1,0))</formula>
    </cfRule>
    <cfRule type="expression" dxfId="1918" priority="560">
      <formula>AND(IF($Q23=2,1,0),IF($X23&lt;30,1,0))</formula>
    </cfRule>
    <cfRule type="expression" dxfId="1917" priority="561">
      <formula>AND(IF($Q23=3,1,0),IF($X23&lt;30,1,0))</formula>
    </cfRule>
    <cfRule type="expression" dxfId="1916" priority="562">
      <formula>AND(IF($Q23=3,1,IF($Q23=4,1,0)),IF($F23&lt;=85,1,0))</formula>
    </cfRule>
  </conditionalFormatting>
  <conditionalFormatting sqref="X23">
    <cfRule type="expression" dxfId="1915" priority="555">
      <formula>AND(IF(OR($Q23=1,$Q23=2),1,0),IF($X23&lt;=20,1,0))</formula>
    </cfRule>
    <cfRule type="expression" dxfId="1914" priority="556">
      <formula>AND(IF($Q23=2,1,0),IF($X23&lt;30,1,0))</formula>
    </cfRule>
    <cfRule type="expression" dxfId="1913" priority="557">
      <formula>AND(IF($Q23=3,1,0),IF($X23&lt;30,1,0))</formula>
    </cfRule>
    <cfRule type="expression" dxfId="1912" priority="558">
      <formula>AND(IF($Q23=3,1,IF($Q23=4,1,0)),IF($F23&lt;=85,1,0))</formula>
    </cfRule>
  </conditionalFormatting>
  <conditionalFormatting sqref="AI23">
    <cfRule type="expression" dxfId="1911" priority="551">
      <formula>AND(IF(OR($Q23=1,$Q23=2),1,0),IF($X23&lt;=20,1,0))</formula>
    </cfRule>
    <cfRule type="expression" dxfId="1910" priority="552">
      <formula>AND(IF($Q23=2,1,0),IF($X23&lt;30,1,0))</formula>
    </cfRule>
    <cfRule type="expression" dxfId="1909" priority="553">
      <formula>AND(IF($Q23=3,1,0),IF($X23&lt;30,1,0))</formula>
    </cfRule>
    <cfRule type="expression" dxfId="1908" priority="554">
      <formula>AND(IF($Q23=3,1,IF($Q23=4,1,0)),IF($F23&lt;=85,1,0))</formula>
    </cfRule>
  </conditionalFormatting>
  <conditionalFormatting sqref="AV24">
    <cfRule type="expression" dxfId="1907" priority="549">
      <formula>AV24="X"</formula>
    </cfRule>
    <cfRule type="expression" dxfId="1906" priority="550">
      <formula>AV24="후보"</formula>
    </cfRule>
  </conditionalFormatting>
  <conditionalFormatting sqref="AC24">
    <cfRule type="cellIs" dxfId="1905" priority="547" operator="greaterThan">
      <formula>0.9</formula>
    </cfRule>
    <cfRule type="cellIs" dxfId="1904" priority="548" operator="greaterThan">
      <formula>0.85</formula>
    </cfRule>
  </conditionalFormatting>
  <conditionalFormatting sqref="N24">
    <cfRule type="cellIs" dxfId="1903" priority="545" operator="greaterThan">
      <formula>0.9</formula>
    </cfRule>
    <cfRule type="cellIs" dxfId="1902" priority="546" operator="greaterThan">
      <formula>0.85</formula>
    </cfRule>
  </conditionalFormatting>
  <conditionalFormatting sqref="E24">
    <cfRule type="expression" dxfId="1901" priority="541">
      <formula>AND(IF(OR($Q24=1,$Q24=2),1,0),IF($X24&lt;=20,1,0))</formula>
    </cfRule>
    <cfRule type="expression" dxfId="1900" priority="542">
      <formula>AND(IF($Q24=2,1,0),IF($X24&lt;30,1,0))</formula>
    </cfRule>
    <cfRule type="expression" dxfId="1899" priority="543">
      <formula>AND(IF($Q24=3,1,0),IF($X24&lt;30,1,0))</formula>
    </cfRule>
    <cfRule type="expression" dxfId="1898" priority="544">
      <formula>AND(IF($Q24=3,1,IF($Q24=4,1,0)),IF($F24&lt;=85,1,0))</formula>
    </cfRule>
  </conditionalFormatting>
  <conditionalFormatting sqref="X24">
    <cfRule type="expression" dxfId="1897" priority="537">
      <formula>AND(IF(OR($Q24=1,$Q24=2),1,0),IF($X24&lt;=20,1,0))</formula>
    </cfRule>
    <cfRule type="expression" dxfId="1896" priority="538">
      <formula>AND(IF($Q24=2,1,0),IF($X24&lt;30,1,0))</formula>
    </cfRule>
    <cfRule type="expression" dxfId="1895" priority="539">
      <formula>AND(IF($Q24=3,1,0),IF($X24&lt;30,1,0))</formula>
    </cfRule>
    <cfRule type="expression" dxfId="1894" priority="540">
      <formula>AND(IF($Q24=3,1,IF($Q24=4,1,0)),IF($F24&lt;=85,1,0))</formula>
    </cfRule>
  </conditionalFormatting>
  <conditionalFormatting sqref="AI24">
    <cfRule type="expression" dxfId="1893" priority="533">
      <formula>AND(IF(OR($Q24=1,$Q24=2),1,0),IF($X24&lt;=20,1,0))</formula>
    </cfRule>
    <cfRule type="expression" dxfId="1892" priority="534">
      <formula>AND(IF($Q24=2,1,0),IF($X24&lt;30,1,0))</formula>
    </cfRule>
    <cfRule type="expression" dxfId="1891" priority="535">
      <formula>AND(IF($Q24=3,1,0),IF($X24&lt;30,1,0))</formula>
    </cfRule>
    <cfRule type="expression" dxfId="1890" priority="536">
      <formula>AND(IF($Q24=3,1,IF($Q24=4,1,0)),IF($F24&lt;=85,1,0))</formula>
    </cfRule>
  </conditionalFormatting>
  <conditionalFormatting sqref="AV25">
    <cfRule type="expression" dxfId="1889" priority="531">
      <formula>AV25="X"</formula>
    </cfRule>
    <cfRule type="expression" dxfId="1888" priority="532">
      <formula>AV25="후보"</formula>
    </cfRule>
  </conditionalFormatting>
  <conditionalFormatting sqref="AC25">
    <cfRule type="cellIs" dxfId="1887" priority="529" operator="greaterThan">
      <formula>0.9</formula>
    </cfRule>
    <cfRule type="cellIs" dxfId="1886" priority="530" operator="greaterThan">
      <formula>0.85</formula>
    </cfRule>
  </conditionalFormatting>
  <conditionalFormatting sqref="N25">
    <cfRule type="cellIs" dxfId="1885" priority="527" operator="greaterThan">
      <formula>0.9</formula>
    </cfRule>
    <cfRule type="cellIs" dxfId="1884" priority="528" operator="greaterThan">
      <formula>0.85</formula>
    </cfRule>
  </conditionalFormatting>
  <conditionalFormatting sqref="E25">
    <cfRule type="expression" dxfId="1883" priority="523">
      <formula>AND(IF(OR($Q25=1,$Q25=2),1,0),IF($X25&lt;=20,1,0))</formula>
    </cfRule>
    <cfRule type="expression" dxfId="1882" priority="524">
      <formula>AND(IF($Q25=2,1,0),IF($X25&lt;30,1,0))</formula>
    </cfRule>
    <cfRule type="expression" dxfId="1881" priority="525">
      <formula>AND(IF($Q25=3,1,0),IF($X25&lt;30,1,0))</formula>
    </cfRule>
    <cfRule type="expression" dxfId="1880" priority="526">
      <formula>AND(IF($Q25=3,1,IF($Q25=4,1,0)),IF($F25&lt;=85,1,0))</formula>
    </cfRule>
  </conditionalFormatting>
  <conditionalFormatting sqref="X25">
    <cfRule type="expression" dxfId="1879" priority="519">
      <formula>AND(IF(OR($Q25=1,$Q25=2),1,0),IF($X25&lt;=20,1,0))</formula>
    </cfRule>
    <cfRule type="expression" dxfId="1878" priority="520">
      <formula>AND(IF($Q25=2,1,0),IF($X25&lt;30,1,0))</formula>
    </cfRule>
    <cfRule type="expression" dxfId="1877" priority="521">
      <formula>AND(IF($Q25=3,1,0),IF($X25&lt;30,1,0))</formula>
    </cfRule>
    <cfRule type="expression" dxfId="1876" priority="522">
      <formula>AND(IF($Q25=3,1,IF($Q25=4,1,0)),IF($F25&lt;=85,1,0))</formula>
    </cfRule>
  </conditionalFormatting>
  <conditionalFormatting sqref="AI25">
    <cfRule type="expression" dxfId="1875" priority="515">
      <formula>AND(IF(OR($Q25=1,$Q25=2),1,0),IF($X25&lt;=20,1,0))</formula>
    </cfRule>
    <cfRule type="expression" dxfId="1874" priority="516">
      <formula>AND(IF($Q25=2,1,0),IF($X25&lt;30,1,0))</formula>
    </cfRule>
    <cfRule type="expression" dxfId="1873" priority="517">
      <formula>AND(IF($Q25=3,1,0),IF($X25&lt;30,1,0))</formula>
    </cfRule>
    <cfRule type="expression" dxfId="1872" priority="518">
      <formula>AND(IF($Q25=3,1,IF($Q25=4,1,0)),IF($F25&lt;=85,1,0))</formula>
    </cfRule>
  </conditionalFormatting>
  <conditionalFormatting sqref="AV26">
    <cfRule type="expression" dxfId="1871" priority="513">
      <formula>AV26="X"</formula>
    </cfRule>
    <cfRule type="expression" dxfId="1870" priority="514">
      <formula>AV26="후보"</formula>
    </cfRule>
  </conditionalFormatting>
  <conditionalFormatting sqref="AC26">
    <cfRule type="cellIs" dxfId="1869" priority="511" operator="greaterThan">
      <formula>0.9</formula>
    </cfRule>
    <cfRule type="cellIs" dxfId="1868" priority="512" operator="greaterThan">
      <formula>0.85</formula>
    </cfRule>
  </conditionalFormatting>
  <conditionalFormatting sqref="N26">
    <cfRule type="cellIs" dxfId="1867" priority="509" operator="greaterThan">
      <formula>0.9</formula>
    </cfRule>
    <cfRule type="cellIs" dxfId="1866" priority="510" operator="greaterThan">
      <formula>0.85</formula>
    </cfRule>
  </conditionalFormatting>
  <conditionalFormatting sqref="E26">
    <cfRule type="expression" dxfId="1865" priority="505">
      <formula>AND(IF(OR($Q26=1,$Q26=2),1,0),IF($X26&lt;=20,1,0))</formula>
    </cfRule>
    <cfRule type="expression" dxfId="1864" priority="506">
      <formula>AND(IF($Q26=2,1,0),IF($X26&lt;30,1,0))</formula>
    </cfRule>
    <cfRule type="expression" dxfId="1863" priority="507">
      <formula>AND(IF($Q26=3,1,0),IF($X26&lt;30,1,0))</formula>
    </cfRule>
    <cfRule type="expression" dxfId="1862" priority="508">
      <formula>AND(IF($Q26=3,1,IF($Q26=4,1,0)),IF($F26&lt;=85,1,0))</formula>
    </cfRule>
  </conditionalFormatting>
  <conditionalFormatting sqref="X26">
    <cfRule type="expression" dxfId="1861" priority="501">
      <formula>AND(IF(OR($Q26=1,$Q26=2),1,0),IF($X26&lt;=20,1,0))</formula>
    </cfRule>
    <cfRule type="expression" dxfId="1860" priority="502">
      <formula>AND(IF($Q26=2,1,0),IF($X26&lt;30,1,0))</formula>
    </cfRule>
    <cfRule type="expression" dxfId="1859" priority="503">
      <formula>AND(IF($Q26=3,1,0),IF($X26&lt;30,1,0))</formula>
    </cfRule>
    <cfRule type="expression" dxfId="1858" priority="504">
      <formula>AND(IF($Q26=3,1,IF($Q26=4,1,0)),IF($F26&lt;=85,1,0))</formula>
    </cfRule>
  </conditionalFormatting>
  <conditionalFormatting sqref="AI26">
    <cfRule type="expression" dxfId="1857" priority="497">
      <formula>AND(IF(OR($Q26=1,$Q26=2),1,0),IF($X26&lt;=20,1,0))</formula>
    </cfRule>
    <cfRule type="expression" dxfId="1856" priority="498">
      <formula>AND(IF($Q26=2,1,0),IF($X26&lt;30,1,0))</formula>
    </cfRule>
    <cfRule type="expression" dxfId="1855" priority="499">
      <formula>AND(IF($Q26=3,1,0),IF($X26&lt;30,1,0))</formula>
    </cfRule>
    <cfRule type="expression" dxfId="1854" priority="500">
      <formula>AND(IF($Q26=3,1,IF($Q26=4,1,0)),IF($F26&lt;=85,1,0))</formula>
    </cfRule>
  </conditionalFormatting>
  <conditionalFormatting sqref="AV27">
    <cfRule type="expression" dxfId="1853" priority="495">
      <formula>AV27="X"</formula>
    </cfRule>
    <cfRule type="expression" dxfId="1852" priority="496">
      <formula>AV27="후보"</formula>
    </cfRule>
  </conditionalFormatting>
  <conditionalFormatting sqref="AC27">
    <cfRule type="cellIs" dxfId="1851" priority="493" operator="greaterThan">
      <formula>0.9</formula>
    </cfRule>
    <cfRule type="cellIs" dxfId="1850" priority="494" operator="greaterThan">
      <formula>0.85</formula>
    </cfRule>
  </conditionalFormatting>
  <conditionalFormatting sqref="N27">
    <cfRule type="cellIs" dxfId="1849" priority="491" operator="greaterThan">
      <formula>0.9</formula>
    </cfRule>
    <cfRule type="cellIs" dxfId="1848" priority="492" operator="greaterThan">
      <formula>0.85</formula>
    </cfRule>
  </conditionalFormatting>
  <conditionalFormatting sqref="E27">
    <cfRule type="expression" dxfId="1847" priority="487">
      <formula>AND(IF(OR($Q27=1,$Q27=2),1,0),IF($X27&lt;=20,1,0))</formula>
    </cfRule>
    <cfRule type="expression" dxfId="1846" priority="488">
      <formula>AND(IF($Q27=2,1,0),IF($X27&lt;30,1,0))</formula>
    </cfRule>
    <cfRule type="expression" dxfId="1845" priority="489">
      <formula>AND(IF($Q27=3,1,0),IF($X27&lt;30,1,0))</formula>
    </cfRule>
    <cfRule type="expression" dxfId="1844" priority="490">
      <formula>AND(IF($Q27=3,1,IF($Q27=4,1,0)),IF($F27&lt;=85,1,0))</formula>
    </cfRule>
  </conditionalFormatting>
  <conditionalFormatting sqref="X27">
    <cfRule type="expression" dxfId="1843" priority="483">
      <formula>AND(IF(OR($Q27=1,$Q27=2),1,0),IF($X27&lt;=20,1,0))</formula>
    </cfRule>
    <cfRule type="expression" dxfId="1842" priority="484">
      <formula>AND(IF($Q27=2,1,0),IF($X27&lt;30,1,0))</formula>
    </cfRule>
    <cfRule type="expression" dxfId="1841" priority="485">
      <formula>AND(IF($Q27=3,1,0),IF($X27&lt;30,1,0))</formula>
    </cfRule>
    <cfRule type="expression" dxfId="1840" priority="486">
      <formula>AND(IF($Q27=3,1,IF($Q27=4,1,0)),IF($F27&lt;=85,1,0))</formula>
    </cfRule>
  </conditionalFormatting>
  <conditionalFormatting sqref="AI27">
    <cfRule type="expression" dxfId="1839" priority="479">
      <formula>AND(IF(OR($Q27=1,$Q27=2),1,0),IF($X27&lt;=20,1,0))</formula>
    </cfRule>
    <cfRule type="expression" dxfId="1838" priority="480">
      <formula>AND(IF($Q27=2,1,0),IF($X27&lt;30,1,0))</formula>
    </cfRule>
    <cfRule type="expression" dxfId="1837" priority="481">
      <formula>AND(IF($Q27=3,1,0),IF($X27&lt;30,1,0))</formula>
    </cfRule>
    <cfRule type="expression" dxfId="1836" priority="482">
      <formula>AND(IF($Q27=3,1,IF($Q27=4,1,0)),IF($F27&lt;=85,1,0))</formula>
    </cfRule>
  </conditionalFormatting>
  <conditionalFormatting sqref="AV28">
    <cfRule type="expression" dxfId="1835" priority="477">
      <formula>AV28="X"</formula>
    </cfRule>
    <cfRule type="expression" dxfId="1834" priority="478">
      <formula>AV28="후보"</formula>
    </cfRule>
  </conditionalFormatting>
  <conditionalFormatting sqref="AC28 N28">
    <cfRule type="cellIs" dxfId="1833" priority="475" operator="greaterThan">
      <formula>0.9</formula>
    </cfRule>
    <cfRule type="cellIs" dxfId="1832" priority="476" operator="greaterThan">
      <formula>0.85</formula>
    </cfRule>
  </conditionalFormatting>
  <conditionalFormatting sqref="AV29">
    <cfRule type="expression" dxfId="1831" priority="473">
      <formula>AV29="X"</formula>
    </cfRule>
    <cfRule type="expression" dxfId="1830" priority="474">
      <formula>AV29="후보"</formula>
    </cfRule>
  </conditionalFormatting>
  <conditionalFormatting sqref="AC29">
    <cfRule type="cellIs" dxfId="1829" priority="471" operator="greaterThan">
      <formula>0.9</formula>
    </cfRule>
    <cfRule type="cellIs" dxfId="1828" priority="472" operator="greaterThan">
      <formula>0.85</formula>
    </cfRule>
  </conditionalFormatting>
  <conditionalFormatting sqref="N29">
    <cfRule type="cellIs" dxfId="1827" priority="469" operator="greaterThan">
      <formula>0.9</formula>
    </cfRule>
    <cfRule type="cellIs" dxfId="1826" priority="470" operator="greaterThan">
      <formula>0.85</formula>
    </cfRule>
  </conditionalFormatting>
  <conditionalFormatting sqref="E29">
    <cfRule type="expression" dxfId="1825" priority="465">
      <formula>AND(IF(OR($Q29=1,$Q29=2),1,0),IF($X29&lt;=20,1,0))</formula>
    </cfRule>
    <cfRule type="expression" dxfId="1824" priority="466">
      <formula>AND(IF($Q29=2,1,0),IF($X29&lt;30,1,0))</formula>
    </cfRule>
    <cfRule type="expression" dxfId="1823" priority="467">
      <formula>AND(IF($Q29=3,1,0),IF($X29&lt;30,1,0))</formula>
    </cfRule>
    <cfRule type="expression" dxfId="1822" priority="468">
      <formula>AND(IF($Q29=3,1,IF($Q29=4,1,0)),IF($F29&lt;=85,1,0))</formula>
    </cfRule>
  </conditionalFormatting>
  <conditionalFormatting sqref="X29">
    <cfRule type="expression" dxfId="1821" priority="461">
      <formula>AND(IF(OR($Q29=1,$Q29=2),1,0),IF($X29&lt;=20,1,0))</formula>
    </cfRule>
    <cfRule type="expression" dxfId="1820" priority="462">
      <formula>AND(IF($Q29=2,1,0),IF($X29&lt;30,1,0))</formula>
    </cfRule>
    <cfRule type="expression" dxfId="1819" priority="463">
      <formula>AND(IF($Q29=3,1,0),IF($X29&lt;30,1,0))</formula>
    </cfRule>
    <cfRule type="expression" dxfId="1818" priority="464">
      <formula>AND(IF($Q29=3,1,IF($Q29=4,1,0)),IF($F29&lt;=85,1,0))</formula>
    </cfRule>
  </conditionalFormatting>
  <conditionalFormatting sqref="AI29">
    <cfRule type="expression" dxfId="1817" priority="457">
      <formula>AND(IF(OR($Q29=1,$Q29=2),1,0),IF($X29&lt;=20,1,0))</formula>
    </cfRule>
    <cfRule type="expression" dxfId="1816" priority="458">
      <formula>AND(IF($Q29=2,1,0),IF($X29&lt;30,1,0))</formula>
    </cfRule>
    <cfRule type="expression" dxfId="1815" priority="459">
      <formula>AND(IF($Q29=3,1,0),IF($X29&lt;30,1,0))</formula>
    </cfRule>
    <cfRule type="expression" dxfId="1814" priority="460">
      <formula>AND(IF($Q29=3,1,IF($Q29=4,1,0)),IF($F29&lt;=85,1,0))</formula>
    </cfRule>
  </conditionalFormatting>
  <conditionalFormatting sqref="AV30">
    <cfRule type="expression" dxfId="1813" priority="455">
      <formula>AV30="X"</formula>
    </cfRule>
    <cfRule type="expression" dxfId="1812" priority="456">
      <formula>AV30="후보"</formula>
    </cfRule>
  </conditionalFormatting>
  <conditionalFormatting sqref="AC30">
    <cfRule type="cellIs" dxfId="1811" priority="453" operator="greaterThan">
      <formula>0.9</formula>
    </cfRule>
    <cfRule type="cellIs" dxfId="1810" priority="454" operator="greaterThan">
      <formula>0.85</formula>
    </cfRule>
  </conditionalFormatting>
  <conditionalFormatting sqref="N30">
    <cfRule type="cellIs" dxfId="1809" priority="451" operator="greaterThan">
      <formula>0.9</formula>
    </cfRule>
    <cfRule type="cellIs" dxfId="1808" priority="452" operator="greaterThan">
      <formula>0.85</formula>
    </cfRule>
  </conditionalFormatting>
  <conditionalFormatting sqref="E30">
    <cfRule type="expression" dxfId="1807" priority="447">
      <formula>AND(IF(OR($Q30=1,$Q30=2),1,0),IF($X30&lt;=20,1,0))</formula>
    </cfRule>
    <cfRule type="expression" dxfId="1806" priority="448">
      <formula>AND(IF($Q30=2,1,0),IF($X30&lt;30,1,0))</formula>
    </cfRule>
    <cfRule type="expression" dxfId="1805" priority="449">
      <formula>AND(IF($Q30=3,1,0),IF($X30&lt;30,1,0))</formula>
    </cfRule>
    <cfRule type="expression" dxfId="1804" priority="450">
      <formula>AND(IF($Q30=3,1,IF($Q30=4,1,0)),IF($F30&lt;=85,1,0))</formula>
    </cfRule>
  </conditionalFormatting>
  <conditionalFormatting sqref="X30">
    <cfRule type="expression" dxfId="1803" priority="443">
      <formula>AND(IF(OR($Q30=1,$Q30=2),1,0),IF($X30&lt;=20,1,0))</formula>
    </cfRule>
    <cfRule type="expression" dxfId="1802" priority="444">
      <formula>AND(IF($Q30=2,1,0),IF($X30&lt;30,1,0))</formula>
    </cfRule>
    <cfRule type="expression" dxfId="1801" priority="445">
      <formula>AND(IF($Q30=3,1,0),IF($X30&lt;30,1,0))</formula>
    </cfRule>
    <cfRule type="expression" dxfId="1800" priority="446">
      <formula>AND(IF($Q30=3,1,IF($Q30=4,1,0)),IF($F30&lt;=85,1,0))</formula>
    </cfRule>
  </conditionalFormatting>
  <conditionalFormatting sqref="AI30">
    <cfRule type="expression" dxfId="1799" priority="439">
      <formula>AND(IF(OR($Q30=1,$Q30=2),1,0),IF($X30&lt;=20,1,0))</formula>
    </cfRule>
    <cfRule type="expression" dxfId="1798" priority="440">
      <formula>AND(IF($Q30=2,1,0),IF($X30&lt;30,1,0))</formula>
    </cfRule>
    <cfRule type="expression" dxfId="1797" priority="441">
      <formula>AND(IF($Q30=3,1,0),IF($X30&lt;30,1,0))</formula>
    </cfRule>
    <cfRule type="expression" dxfId="1796" priority="442">
      <formula>AND(IF($Q30=3,1,IF($Q30=4,1,0)),IF($F30&lt;=85,1,0))</formula>
    </cfRule>
  </conditionalFormatting>
  <conditionalFormatting sqref="AV31">
    <cfRule type="expression" dxfId="1795" priority="437">
      <formula>AV31="X"</formula>
    </cfRule>
    <cfRule type="expression" dxfId="1794" priority="438">
      <formula>AV31="후보"</formula>
    </cfRule>
  </conditionalFormatting>
  <conditionalFormatting sqref="AC31">
    <cfRule type="cellIs" dxfId="1793" priority="435" operator="greaterThan">
      <formula>0.9</formula>
    </cfRule>
    <cfRule type="cellIs" dxfId="1792" priority="436" operator="greaterThan">
      <formula>0.85</formula>
    </cfRule>
  </conditionalFormatting>
  <conditionalFormatting sqref="N31">
    <cfRule type="cellIs" dxfId="1791" priority="433" operator="greaterThan">
      <formula>0.9</formula>
    </cfRule>
    <cfRule type="cellIs" dxfId="1790" priority="434" operator="greaterThan">
      <formula>0.85</formula>
    </cfRule>
  </conditionalFormatting>
  <conditionalFormatting sqref="E31">
    <cfRule type="expression" dxfId="1789" priority="429">
      <formula>AND(IF(OR($Q31=1,$Q31=2),1,0),IF($X31&lt;=20,1,0))</formula>
    </cfRule>
    <cfRule type="expression" dxfId="1788" priority="430">
      <formula>AND(IF($Q31=2,1,0),IF($X31&lt;30,1,0))</formula>
    </cfRule>
    <cfRule type="expression" dxfId="1787" priority="431">
      <formula>AND(IF($Q31=3,1,0),IF($X31&lt;30,1,0))</formula>
    </cfRule>
    <cfRule type="expression" dxfId="1786" priority="432">
      <formula>AND(IF($Q31=3,1,IF($Q31=4,1,0)),IF($F31&lt;=85,1,0))</formula>
    </cfRule>
  </conditionalFormatting>
  <conditionalFormatting sqref="X31">
    <cfRule type="expression" dxfId="1785" priority="425">
      <formula>AND(IF(OR($Q31=1,$Q31=2),1,0),IF($X31&lt;=20,1,0))</formula>
    </cfRule>
    <cfRule type="expression" dxfId="1784" priority="426">
      <formula>AND(IF($Q31=2,1,0),IF($X31&lt;30,1,0))</formula>
    </cfRule>
    <cfRule type="expression" dxfId="1783" priority="427">
      <formula>AND(IF($Q31=3,1,0),IF($X31&lt;30,1,0))</formula>
    </cfRule>
    <cfRule type="expression" dxfId="1782" priority="428">
      <formula>AND(IF($Q31=3,1,IF($Q31=4,1,0)),IF($F31&lt;=85,1,0))</formula>
    </cfRule>
  </conditionalFormatting>
  <conditionalFormatting sqref="AI31">
    <cfRule type="expression" dxfId="1781" priority="421">
      <formula>AND(IF(OR($Q31=1,$Q31=2),1,0),IF($X31&lt;=20,1,0))</formula>
    </cfRule>
    <cfRule type="expression" dxfId="1780" priority="422">
      <formula>AND(IF($Q31=2,1,0),IF($X31&lt;30,1,0))</formula>
    </cfRule>
    <cfRule type="expression" dxfId="1779" priority="423">
      <formula>AND(IF($Q31=3,1,0),IF($X31&lt;30,1,0))</formula>
    </cfRule>
    <cfRule type="expression" dxfId="1778" priority="424">
      <formula>AND(IF($Q31=3,1,IF($Q31=4,1,0)),IF($F31&lt;=85,1,0))</formula>
    </cfRule>
  </conditionalFormatting>
  <conditionalFormatting sqref="AV32">
    <cfRule type="expression" dxfId="1777" priority="419">
      <formula>AV32="X"</formula>
    </cfRule>
    <cfRule type="expression" dxfId="1776" priority="420">
      <formula>AV32="후보"</formula>
    </cfRule>
  </conditionalFormatting>
  <conditionalFormatting sqref="AC32">
    <cfRule type="cellIs" dxfId="1775" priority="417" operator="greaterThan">
      <formula>0.9</formula>
    </cfRule>
    <cfRule type="cellIs" dxfId="1774" priority="418" operator="greaterThan">
      <formula>0.85</formula>
    </cfRule>
  </conditionalFormatting>
  <conditionalFormatting sqref="N32">
    <cfRule type="cellIs" dxfId="1773" priority="415" operator="greaterThan">
      <formula>0.9</formula>
    </cfRule>
    <cfRule type="cellIs" dxfId="1772" priority="416" operator="greaterThan">
      <formula>0.85</formula>
    </cfRule>
  </conditionalFormatting>
  <conditionalFormatting sqref="E32">
    <cfRule type="expression" dxfId="1771" priority="411">
      <formula>AND(IF(OR($Q32=1,$Q32=2),1,0),IF($X32&lt;=20,1,0))</formula>
    </cfRule>
    <cfRule type="expression" dxfId="1770" priority="412">
      <formula>AND(IF($Q32=2,1,0),IF($X32&lt;30,1,0))</formula>
    </cfRule>
    <cfRule type="expression" dxfId="1769" priority="413">
      <formula>AND(IF($Q32=3,1,0),IF($X32&lt;30,1,0))</formula>
    </cfRule>
    <cfRule type="expression" dxfId="1768" priority="414">
      <formula>AND(IF($Q32=3,1,IF($Q32=4,1,0)),IF($F32&lt;=85,1,0))</formula>
    </cfRule>
  </conditionalFormatting>
  <conditionalFormatting sqref="X32">
    <cfRule type="expression" dxfId="1767" priority="407">
      <formula>AND(IF(OR($Q32=1,$Q32=2),1,0),IF($X32&lt;=20,1,0))</formula>
    </cfRule>
    <cfRule type="expression" dxfId="1766" priority="408">
      <formula>AND(IF($Q32=2,1,0),IF($X32&lt;30,1,0))</formula>
    </cfRule>
    <cfRule type="expression" dxfId="1765" priority="409">
      <formula>AND(IF($Q32=3,1,0),IF($X32&lt;30,1,0))</formula>
    </cfRule>
    <cfRule type="expression" dxfId="1764" priority="410">
      <formula>AND(IF($Q32=3,1,IF($Q32=4,1,0)),IF($F32&lt;=85,1,0))</formula>
    </cfRule>
  </conditionalFormatting>
  <conditionalFormatting sqref="AI32">
    <cfRule type="expression" dxfId="1763" priority="403">
      <formula>AND(IF(OR($Q32=1,$Q32=2),1,0),IF($X32&lt;=20,1,0))</formula>
    </cfRule>
    <cfRule type="expression" dxfId="1762" priority="404">
      <formula>AND(IF($Q32=2,1,0),IF($X32&lt;30,1,0))</formula>
    </cfRule>
    <cfRule type="expression" dxfId="1761" priority="405">
      <formula>AND(IF($Q32=3,1,0),IF($X32&lt;30,1,0))</formula>
    </cfRule>
    <cfRule type="expression" dxfId="1760" priority="406">
      <formula>AND(IF($Q32=3,1,IF($Q32=4,1,0)),IF($F32&lt;=85,1,0))</formula>
    </cfRule>
  </conditionalFormatting>
  <conditionalFormatting sqref="AV33">
    <cfRule type="expression" dxfId="1759" priority="401">
      <formula>AV33="X"</formula>
    </cfRule>
    <cfRule type="expression" dxfId="1758" priority="402">
      <formula>AV33="후보"</formula>
    </cfRule>
  </conditionalFormatting>
  <conditionalFormatting sqref="AC33 N33">
    <cfRule type="cellIs" dxfId="1757" priority="399" operator="greaterThan">
      <formula>0.9</formula>
    </cfRule>
    <cfRule type="cellIs" dxfId="1756" priority="400" operator="greaterThan">
      <formula>0.85</formula>
    </cfRule>
  </conditionalFormatting>
  <conditionalFormatting sqref="AV34">
    <cfRule type="expression" dxfId="1755" priority="397">
      <formula>AV34="X"</formula>
    </cfRule>
    <cfRule type="expression" dxfId="1754" priority="398">
      <formula>AV34="후보"</formula>
    </cfRule>
  </conditionalFormatting>
  <conditionalFormatting sqref="AC34">
    <cfRule type="cellIs" dxfId="1753" priority="395" operator="greaterThan">
      <formula>0.9</formula>
    </cfRule>
    <cfRule type="cellIs" dxfId="1752" priority="396" operator="greaterThan">
      <formula>0.85</formula>
    </cfRule>
  </conditionalFormatting>
  <conditionalFormatting sqref="N34">
    <cfRule type="cellIs" dxfId="1751" priority="393" operator="greaterThan">
      <formula>0.9</formula>
    </cfRule>
    <cfRule type="cellIs" dxfId="1750" priority="394" operator="greaterThan">
      <formula>0.85</formula>
    </cfRule>
  </conditionalFormatting>
  <conditionalFormatting sqref="E34">
    <cfRule type="expression" dxfId="1749" priority="389">
      <formula>AND(IF(OR($Q34=1,$Q34=2),1,0),IF($X34&lt;=20,1,0))</formula>
    </cfRule>
    <cfRule type="expression" dxfId="1748" priority="390">
      <formula>AND(IF($Q34=2,1,0),IF($X34&lt;30,1,0))</formula>
    </cfRule>
    <cfRule type="expression" dxfId="1747" priority="391">
      <formula>AND(IF($Q34=3,1,0),IF($X34&lt;30,1,0))</formula>
    </cfRule>
    <cfRule type="expression" dxfId="1746" priority="392">
      <formula>AND(IF($Q34=3,1,IF($Q34=4,1,0)),IF($F34&lt;=85,1,0))</formula>
    </cfRule>
  </conditionalFormatting>
  <conditionalFormatting sqref="X34">
    <cfRule type="expression" dxfId="1745" priority="385">
      <formula>AND(IF(OR($Q34=1,$Q34=2),1,0),IF($X34&lt;=20,1,0))</formula>
    </cfRule>
    <cfRule type="expression" dxfId="1744" priority="386">
      <formula>AND(IF($Q34=2,1,0),IF($X34&lt;30,1,0))</formula>
    </cfRule>
    <cfRule type="expression" dxfId="1743" priority="387">
      <formula>AND(IF($Q34=3,1,0),IF($X34&lt;30,1,0))</formula>
    </cfRule>
    <cfRule type="expression" dxfId="1742" priority="388">
      <formula>AND(IF($Q34=3,1,IF($Q34=4,1,0)),IF($F34&lt;=85,1,0))</formula>
    </cfRule>
  </conditionalFormatting>
  <conditionalFormatting sqref="AI34">
    <cfRule type="expression" dxfId="1741" priority="381">
      <formula>AND(IF(OR($Q34=1,$Q34=2),1,0),IF($X34&lt;=20,1,0))</formula>
    </cfRule>
    <cfRule type="expression" dxfId="1740" priority="382">
      <formula>AND(IF($Q34=2,1,0),IF($X34&lt;30,1,0))</formula>
    </cfRule>
    <cfRule type="expression" dxfId="1739" priority="383">
      <formula>AND(IF($Q34=3,1,0),IF($X34&lt;30,1,0))</formula>
    </cfRule>
    <cfRule type="expression" dxfId="1738" priority="384">
      <formula>AND(IF($Q34=3,1,IF($Q34=4,1,0)),IF($F34&lt;=85,1,0))</formula>
    </cfRule>
  </conditionalFormatting>
  <conditionalFormatting sqref="AV35">
    <cfRule type="expression" dxfId="1737" priority="379">
      <formula>AV35="X"</formula>
    </cfRule>
    <cfRule type="expression" dxfId="1736" priority="380">
      <formula>AV35="후보"</formula>
    </cfRule>
  </conditionalFormatting>
  <conditionalFormatting sqref="AC35">
    <cfRule type="cellIs" dxfId="1735" priority="377" operator="greaterThan">
      <formula>0.9</formula>
    </cfRule>
    <cfRule type="cellIs" dxfId="1734" priority="378" operator="greaterThan">
      <formula>0.85</formula>
    </cfRule>
  </conditionalFormatting>
  <conditionalFormatting sqref="N35">
    <cfRule type="cellIs" dxfId="1733" priority="375" operator="greaterThan">
      <formula>0.9</formula>
    </cfRule>
    <cfRule type="cellIs" dxfId="1732" priority="376" operator="greaterThan">
      <formula>0.85</formula>
    </cfRule>
  </conditionalFormatting>
  <conditionalFormatting sqref="E35">
    <cfRule type="expression" dxfId="1731" priority="371">
      <formula>AND(IF(OR($Q35=1,$Q35=2),1,0),IF($X35&lt;=20,1,0))</formula>
    </cfRule>
    <cfRule type="expression" dxfId="1730" priority="372">
      <formula>AND(IF($Q35=2,1,0),IF($X35&lt;30,1,0))</formula>
    </cfRule>
    <cfRule type="expression" dxfId="1729" priority="373">
      <formula>AND(IF($Q35=3,1,0),IF($X35&lt;30,1,0))</formula>
    </cfRule>
    <cfRule type="expression" dxfId="1728" priority="374">
      <formula>AND(IF($Q35=3,1,IF($Q35=4,1,0)),IF($F35&lt;=85,1,0))</formula>
    </cfRule>
  </conditionalFormatting>
  <conditionalFormatting sqref="X35">
    <cfRule type="expression" dxfId="1727" priority="367">
      <formula>AND(IF(OR($Q35=1,$Q35=2),1,0),IF($X35&lt;=20,1,0))</formula>
    </cfRule>
    <cfRule type="expression" dxfId="1726" priority="368">
      <formula>AND(IF($Q35=2,1,0),IF($X35&lt;30,1,0))</formula>
    </cfRule>
    <cfRule type="expression" dxfId="1725" priority="369">
      <formula>AND(IF($Q35=3,1,0),IF($X35&lt;30,1,0))</formula>
    </cfRule>
    <cfRule type="expression" dxfId="1724" priority="370">
      <formula>AND(IF($Q35=3,1,IF($Q35=4,1,0)),IF($F35&lt;=85,1,0))</formula>
    </cfRule>
  </conditionalFormatting>
  <conditionalFormatting sqref="AI35">
    <cfRule type="expression" dxfId="1723" priority="363">
      <formula>AND(IF(OR($Q35=1,$Q35=2),1,0),IF($X35&lt;=20,1,0))</formula>
    </cfRule>
    <cfRule type="expression" dxfId="1722" priority="364">
      <formula>AND(IF($Q35=2,1,0),IF($X35&lt;30,1,0))</formula>
    </cfRule>
    <cfRule type="expression" dxfId="1721" priority="365">
      <formula>AND(IF($Q35=3,1,0),IF($X35&lt;30,1,0))</formula>
    </cfRule>
    <cfRule type="expression" dxfId="1720" priority="366">
      <formula>AND(IF($Q35=3,1,IF($Q35=4,1,0)),IF($F35&lt;=85,1,0))</formula>
    </cfRule>
  </conditionalFormatting>
  <conditionalFormatting sqref="AV36">
    <cfRule type="expression" dxfId="1719" priority="361">
      <formula>AV36="X"</formula>
    </cfRule>
    <cfRule type="expression" dxfId="1718" priority="362">
      <formula>AV36="후보"</formula>
    </cfRule>
  </conditionalFormatting>
  <conditionalFormatting sqref="AC36">
    <cfRule type="cellIs" dxfId="1717" priority="359" operator="greaterThan">
      <formula>0.9</formula>
    </cfRule>
    <cfRule type="cellIs" dxfId="1716" priority="360" operator="greaterThan">
      <formula>0.85</formula>
    </cfRule>
  </conditionalFormatting>
  <conditionalFormatting sqref="N36">
    <cfRule type="cellIs" dxfId="1715" priority="357" operator="greaterThan">
      <formula>0.9</formula>
    </cfRule>
    <cfRule type="cellIs" dxfId="1714" priority="358" operator="greaterThan">
      <formula>0.85</formula>
    </cfRule>
  </conditionalFormatting>
  <conditionalFormatting sqref="E36">
    <cfRule type="expression" dxfId="1713" priority="353">
      <formula>AND(IF(OR($Q36=1,$Q36=2),1,0),IF($X36&lt;=20,1,0))</formula>
    </cfRule>
    <cfRule type="expression" dxfId="1712" priority="354">
      <formula>AND(IF($Q36=2,1,0),IF($X36&lt;30,1,0))</formula>
    </cfRule>
    <cfRule type="expression" dxfId="1711" priority="355">
      <formula>AND(IF($Q36=3,1,0),IF($X36&lt;30,1,0))</formula>
    </cfRule>
    <cfRule type="expression" dxfId="1710" priority="356">
      <formula>AND(IF($Q36=3,1,IF($Q36=4,1,0)),IF($F36&lt;=85,1,0))</formula>
    </cfRule>
  </conditionalFormatting>
  <conditionalFormatting sqref="X36">
    <cfRule type="expression" dxfId="1709" priority="349">
      <formula>AND(IF(OR($Q36=1,$Q36=2),1,0),IF($X36&lt;=20,1,0))</formula>
    </cfRule>
    <cfRule type="expression" dxfId="1708" priority="350">
      <formula>AND(IF($Q36=2,1,0),IF($X36&lt;30,1,0))</formula>
    </cfRule>
    <cfRule type="expression" dxfId="1707" priority="351">
      <formula>AND(IF($Q36=3,1,0),IF($X36&lt;30,1,0))</formula>
    </cfRule>
    <cfRule type="expression" dxfId="1706" priority="352">
      <formula>AND(IF($Q36=3,1,IF($Q36=4,1,0)),IF($F36&lt;=85,1,0))</formula>
    </cfRule>
  </conditionalFormatting>
  <conditionalFormatting sqref="AI36">
    <cfRule type="expression" dxfId="1705" priority="345">
      <formula>AND(IF(OR($Q36=1,$Q36=2),1,0),IF($X36&lt;=20,1,0))</formula>
    </cfRule>
    <cfRule type="expression" dxfId="1704" priority="346">
      <formula>AND(IF($Q36=2,1,0),IF($X36&lt;30,1,0))</formula>
    </cfRule>
    <cfRule type="expression" dxfId="1703" priority="347">
      <formula>AND(IF($Q36=3,1,0),IF($X36&lt;30,1,0))</formula>
    </cfRule>
    <cfRule type="expression" dxfId="1702" priority="348">
      <formula>AND(IF($Q36=3,1,IF($Q36=4,1,0)),IF($F36&lt;=85,1,0))</formula>
    </cfRule>
  </conditionalFormatting>
  <conditionalFormatting sqref="AV37">
    <cfRule type="expression" dxfId="1701" priority="343">
      <formula>AV37="X"</formula>
    </cfRule>
    <cfRule type="expression" dxfId="1700" priority="344">
      <formula>AV37="후보"</formula>
    </cfRule>
  </conditionalFormatting>
  <conditionalFormatting sqref="AC37 N37">
    <cfRule type="cellIs" dxfId="1699" priority="341" operator="greaterThan">
      <formula>0.9</formula>
    </cfRule>
    <cfRule type="cellIs" dxfId="1698" priority="342" operator="greaterThan">
      <formula>0.85</formula>
    </cfRule>
  </conditionalFormatting>
  <conditionalFormatting sqref="AV38">
    <cfRule type="expression" dxfId="1697" priority="339">
      <formula>AV38="X"</formula>
    </cfRule>
    <cfRule type="expression" dxfId="1696" priority="340">
      <formula>AV38="후보"</formula>
    </cfRule>
  </conditionalFormatting>
  <conditionalFormatting sqref="AC38">
    <cfRule type="cellIs" dxfId="1695" priority="337" operator="greaterThan">
      <formula>0.9</formula>
    </cfRule>
    <cfRule type="cellIs" dxfId="1694" priority="338" operator="greaterThan">
      <formula>0.85</formula>
    </cfRule>
  </conditionalFormatting>
  <conditionalFormatting sqref="N38">
    <cfRule type="cellIs" dxfId="1693" priority="335" operator="greaterThan">
      <formula>0.9</formula>
    </cfRule>
    <cfRule type="cellIs" dxfId="1692" priority="336" operator="greaterThan">
      <formula>0.85</formula>
    </cfRule>
  </conditionalFormatting>
  <conditionalFormatting sqref="E38">
    <cfRule type="expression" dxfId="1691" priority="331">
      <formula>AND(IF(OR($Q38=1,$Q38=2),1,0),IF($X38&lt;=20,1,0))</formula>
    </cfRule>
    <cfRule type="expression" dxfId="1690" priority="332">
      <formula>AND(IF($Q38=2,1,0),IF($X38&lt;30,1,0))</formula>
    </cfRule>
    <cfRule type="expression" dxfId="1689" priority="333">
      <formula>AND(IF($Q38=3,1,0),IF($X38&lt;30,1,0))</formula>
    </cfRule>
    <cfRule type="expression" dxfId="1688" priority="334">
      <formula>AND(IF($Q38=3,1,IF($Q38=4,1,0)),IF($F38&lt;=85,1,0))</formula>
    </cfRule>
  </conditionalFormatting>
  <conditionalFormatting sqref="X38">
    <cfRule type="expression" dxfId="1687" priority="327">
      <formula>AND(IF(OR($Q38=1,$Q38=2),1,0),IF($X38&lt;=20,1,0))</formula>
    </cfRule>
    <cfRule type="expression" dxfId="1686" priority="328">
      <formula>AND(IF($Q38=2,1,0),IF($X38&lt;30,1,0))</formula>
    </cfRule>
    <cfRule type="expression" dxfId="1685" priority="329">
      <formula>AND(IF($Q38=3,1,0),IF($X38&lt;30,1,0))</formula>
    </cfRule>
    <cfRule type="expression" dxfId="1684" priority="330">
      <formula>AND(IF($Q38=3,1,IF($Q38=4,1,0)),IF($F38&lt;=85,1,0))</formula>
    </cfRule>
  </conditionalFormatting>
  <conditionalFormatting sqref="AI38">
    <cfRule type="expression" dxfId="1683" priority="323">
      <formula>AND(IF(OR($Q38=1,$Q38=2),1,0),IF($X38&lt;=20,1,0))</formula>
    </cfRule>
    <cfRule type="expression" dxfId="1682" priority="324">
      <formula>AND(IF($Q38=2,1,0),IF($X38&lt;30,1,0))</formula>
    </cfRule>
    <cfRule type="expression" dxfId="1681" priority="325">
      <formula>AND(IF($Q38=3,1,0),IF($X38&lt;30,1,0))</formula>
    </cfRule>
    <cfRule type="expression" dxfId="1680" priority="326">
      <formula>AND(IF($Q38=3,1,IF($Q38=4,1,0)),IF($F38&lt;=85,1,0))</formula>
    </cfRule>
  </conditionalFormatting>
  <conditionalFormatting sqref="AV39">
    <cfRule type="expression" dxfId="1679" priority="321">
      <formula>AV39="X"</formula>
    </cfRule>
    <cfRule type="expression" dxfId="1678" priority="322">
      <formula>AV39="후보"</formula>
    </cfRule>
  </conditionalFormatting>
  <conditionalFormatting sqref="AC39">
    <cfRule type="cellIs" dxfId="1677" priority="319" operator="greaterThan">
      <formula>0.9</formula>
    </cfRule>
    <cfRule type="cellIs" dxfId="1676" priority="320" operator="greaterThan">
      <formula>0.85</formula>
    </cfRule>
  </conditionalFormatting>
  <conditionalFormatting sqref="N39">
    <cfRule type="cellIs" dxfId="1675" priority="317" operator="greaterThan">
      <formula>0.9</formula>
    </cfRule>
    <cfRule type="cellIs" dxfId="1674" priority="318" operator="greaterThan">
      <formula>0.85</formula>
    </cfRule>
  </conditionalFormatting>
  <conditionalFormatting sqref="E39">
    <cfRule type="expression" dxfId="1673" priority="313">
      <formula>AND(IF(OR($Q39=1,$Q39=2),1,0),IF($X39&lt;=20,1,0))</formula>
    </cfRule>
    <cfRule type="expression" dxfId="1672" priority="314">
      <formula>AND(IF($Q39=2,1,0),IF($X39&lt;30,1,0))</formula>
    </cfRule>
    <cfRule type="expression" dxfId="1671" priority="315">
      <formula>AND(IF($Q39=3,1,0),IF($X39&lt;30,1,0))</formula>
    </cfRule>
    <cfRule type="expression" dxfId="1670" priority="316">
      <formula>AND(IF($Q39=3,1,IF($Q39=4,1,0)),IF($F39&lt;=85,1,0))</formula>
    </cfRule>
  </conditionalFormatting>
  <conditionalFormatting sqref="X39">
    <cfRule type="expression" dxfId="1669" priority="309">
      <formula>AND(IF(OR($Q39=1,$Q39=2),1,0),IF($X39&lt;=20,1,0))</formula>
    </cfRule>
    <cfRule type="expression" dxfId="1668" priority="310">
      <formula>AND(IF($Q39=2,1,0),IF($X39&lt;30,1,0))</formula>
    </cfRule>
    <cfRule type="expression" dxfId="1667" priority="311">
      <formula>AND(IF($Q39=3,1,0),IF($X39&lt;30,1,0))</formula>
    </cfRule>
    <cfRule type="expression" dxfId="1666" priority="312">
      <formula>AND(IF($Q39=3,1,IF($Q39=4,1,0)),IF($F39&lt;=85,1,0))</formula>
    </cfRule>
  </conditionalFormatting>
  <conditionalFormatting sqref="AI39">
    <cfRule type="expression" dxfId="1665" priority="305">
      <formula>AND(IF(OR($Q39=1,$Q39=2),1,0),IF($X39&lt;=20,1,0))</formula>
    </cfRule>
    <cfRule type="expression" dxfId="1664" priority="306">
      <formula>AND(IF($Q39=2,1,0),IF($X39&lt;30,1,0))</formula>
    </cfRule>
    <cfRule type="expression" dxfId="1663" priority="307">
      <formula>AND(IF($Q39=3,1,0),IF($X39&lt;30,1,0))</formula>
    </cfRule>
    <cfRule type="expression" dxfId="1662" priority="308">
      <formula>AND(IF($Q39=3,1,IF($Q39=4,1,0)),IF($F39&lt;=85,1,0))</formula>
    </cfRule>
  </conditionalFormatting>
  <conditionalFormatting sqref="AV40">
    <cfRule type="expression" dxfId="1661" priority="303">
      <formula>AV40="X"</formula>
    </cfRule>
    <cfRule type="expression" dxfId="1660" priority="304">
      <formula>AV40="후보"</formula>
    </cfRule>
  </conditionalFormatting>
  <conditionalFormatting sqref="AC40">
    <cfRule type="cellIs" dxfId="1659" priority="301" operator="greaterThan">
      <formula>0.9</formula>
    </cfRule>
    <cfRule type="cellIs" dxfId="1658" priority="302" operator="greaterThan">
      <formula>0.85</formula>
    </cfRule>
  </conditionalFormatting>
  <conditionalFormatting sqref="N40">
    <cfRule type="cellIs" dxfId="1657" priority="299" operator="greaterThan">
      <formula>0.9</formula>
    </cfRule>
    <cfRule type="cellIs" dxfId="1656" priority="300" operator="greaterThan">
      <formula>0.85</formula>
    </cfRule>
  </conditionalFormatting>
  <conditionalFormatting sqref="E40">
    <cfRule type="expression" dxfId="1655" priority="295">
      <formula>AND(IF(OR($Q40=1,$Q40=2),1,0),IF($X40&lt;=20,1,0))</formula>
    </cfRule>
    <cfRule type="expression" dxfId="1654" priority="296">
      <formula>AND(IF($Q40=2,1,0),IF($X40&lt;30,1,0))</formula>
    </cfRule>
    <cfRule type="expression" dxfId="1653" priority="297">
      <formula>AND(IF($Q40=3,1,0),IF($X40&lt;30,1,0))</formula>
    </cfRule>
    <cfRule type="expression" dxfId="1652" priority="298">
      <formula>AND(IF($Q40=3,1,IF($Q40=4,1,0)),IF($F40&lt;=85,1,0))</formula>
    </cfRule>
  </conditionalFormatting>
  <conditionalFormatting sqref="X40">
    <cfRule type="expression" dxfId="1651" priority="291">
      <formula>AND(IF(OR($Q40=1,$Q40=2),1,0),IF($X40&lt;=20,1,0))</formula>
    </cfRule>
    <cfRule type="expression" dxfId="1650" priority="292">
      <formula>AND(IF($Q40=2,1,0),IF($X40&lt;30,1,0))</formula>
    </cfRule>
    <cfRule type="expression" dxfId="1649" priority="293">
      <formula>AND(IF($Q40=3,1,0),IF($X40&lt;30,1,0))</formula>
    </cfRule>
    <cfRule type="expression" dxfId="1648" priority="294">
      <formula>AND(IF($Q40=3,1,IF($Q40=4,1,0)),IF($F40&lt;=85,1,0))</formula>
    </cfRule>
  </conditionalFormatting>
  <conditionalFormatting sqref="AI40">
    <cfRule type="expression" dxfId="1647" priority="287">
      <formula>AND(IF(OR($Q40=1,$Q40=2),1,0),IF($X40&lt;=20,1,0))</formula>
    </cfRule>
    <cfRule type="expression" dxfId="1646" priority="288">
      <formula>AND(IF($Q40=2,1,0),IF($X40&lt;30,1,0))</formula>
    </cfRule>
    <cfRule type="expression" dxfId="1645" priority="289">
      <formula>AND(IF($Q40=3,1,0),IF($X40&lt;30,1,0))</formula>
    </cfRule>
    <cfRule type="expression" dxfId="1644" priority="290">
      <formula>AND(IF($Q40=3,1,IF($Q40=4,1,0)),IF($F40&lt;=85,1,0))</formula>
    </cfRule>
  </conditionalFormatting>
  <conditionalFormatting sqref="AV41">
    <cfRule type="expression" dxfId="1643" priority="285">
      <formula>AV41="X"</formula>
    </cfRule>
    <cfRule type="expression" dxfId="1642" priority="286">
      <formula>AV41="후보"</formula>
    </cfRule>
  </conditionalFormatting>
  <conditionalFormatting sqref="AC41 N41">
    <cfRule type="cellIs" dxfId="1641" priority="283" operator="greaterThan">
      <formula>0.9</formula>
    </cfRule>
    <cfRule type="cellIs" dxfId="1640" priority="284" operator="greaterThan">
      <formula>0.85</formula>
    </cfRule>
  </conditionalFormatting>
  <conditionalFormatting sqref="AV42">
    <cfRule type="expression" dxfId="1639" priority="281">
      <formula>AV42="X"</formula>
    </cfRule>
    <cfRule type="expression" dxfId="1638" priority="282">
      <formula>AV42="후보"</formula>
    </cfRule>
  </conditionalFormatting>
  <conditionalFormatting sqref="AC42">
    <cfRule type="cellIs" dxfId="1637" priority="279" operator="greaterThan">
      <formula>0.9</formula>
    </cfRule>
    <cfRule type="cellIs" dxfId="1636" priority="280" operator="greaterThan">
      <formula>0.85</formula>
    </cfRule>
  </conditionalFormatting>
  <conditionalFormatting sqref="N42">
    <cfRule type="cellIs" dxfId="1635" priority="277" operator="greaterThan">
      <formula>0.9</formula>
    </cfRule>
    <cfRule type="cellIs" dxfId="1634" priority="278" operator="greaterThan">
      <formula>0.85</formula>
    </cfRule>
  </conditionalFormatting>
  <conditionalFormatting sqref="E42">
    <cfRule type="expression" dxfId="1633" priority="273">
      <formula>AND(IF(OR($Q42=1,$Q42=2),1,0),IF($X42&lt;=20,1,0))</formula>
    </cfRule>
    <cfRule type="expression" dxfId="1632" priority="274">
      <formula>AND(IF($Q42=2,1,0),IF($X42&lt;30,1,0))</formula>
    </cfRule>
    <cfRule type="expression" dxfId="1631" priority="275">
      <formula>AND(IF($Q42=3,1,0),IF($X42&lt;30,1,0))</formula>
    </cfRule>
    <cfRule type="expression" dxfId="1630" priority="276">
      <formula>AND(IF($Q42=3,1,IF($Q42=4,1,0)),IF($F42&lt;=85,1,0))</formula>
    </cfRule>
  </conditionalFormatting>
  <conditionalFormatting sqref="X42">
    <cfRule type="expression" dxfId="1629" priority="269">
      <formula>AND(IF(OR($Q42=1,$Q42=2),1,0),IF($X42&lt;=20,1,0))</formula>
    </cfRule>
    <cfRule type="expression" dxfId="1628" priority="270">
      <formula>AND(IF($Q42=2,1,0),IF($X42&lt;30,1,0))</formula>
    </cfRule>
    <cfRule type="expression" dxfId="1627" priority="271">
      <formula>AND(IF($Q42=3,1,0),IF($X42&lt;30,1,0))</formula>
    </cfRule>
    <cfRule type="expression" dxfId="1626" priority="272">
      <formula>AND(IF($Q42=3,1,IF($Q42=4,1,0)),IF($F42&lt;=85,1,0))</formula>
    </cfRule>
  </conditionalFormatting>
  <conditionalFormatting sqref="AI42">
    <cfRule type="expression" dxfId="1625" priority="265">
      <formula>AND(IF(OR($Q42=1,$Q42=2),1,0),IF($X42&lt;=20,1,0))</formula>
    </cfRule>
    <cfRule type="expression" dxfId="1624" priority="266">
      <formula>AND(IF($Q42=2,1,0),IF($X42&lt;30,1,0))</formula>
    </cfRule>
    <cfRule type="expression" dxfId="1623" priority="267">
      <formula>AND(IF($Q42=3,1,0),IF($X42&lt;30,1,0))</formula>
    </cfRule>
    <cfRule type="expression" dxfId="1622" priority="268">
      <formula>AND(IF($Q42=3,1,IF($Q42=4,1,0)),IF($F42&lt;=85,1,0))</formula>
    </cfRule>
  </conditionalFormatting>
  <conditionalFormatting sqref="AV43">
    <cfRule type="expression" dxfId="1621" priority="263">
      <formula>AV43="X"</formula>
    </cfRule>
    <cfRule type="expression" dxfId="1620" priority="264">
      <formula>AV43="후보"</formula>
    </cfRule>
  </conditionalFormatting>
  <conditionalFormatting sqref="AC43">
    <cfRule type="cellIs" dxfId="1619" priority="261" operator="greaterThan">
      <formula>0.9</formula>
    </cfRule>
    <cfRule type="cellIs" dxfId="1618" priority="262" operator="greaterThan">
      <formula>0.85</formula>
    </cfRule>
  </conditionalFormatting>
  <conditionalFormatting sqref="N43">
    <cfRule type="cellIs" dxfId="1617" priority="259" operator="greaterThan">
      <formula>0.9</formula>
    </cfRule>
    <cfRule type="cellIs" dxfId="1616" priority="260" operator="greaterThan">
      <formula>0.85</formula>
    </cfRule>
  </conditionalFormatting>
  <conditionalFormatting sqref="E43">
    <cfRule type="expression" dxfId="1615" priority="255">
      <formula>AND(IF(OR($Q43=1,$Q43=2),1,0),IF($X43&lt;=20,1,0))</formula>
    </cfRule>
    <cfRule type="expression" dxfId="1614" priority="256">
      <formula>AND(IF($Q43=2,1,0),IF($X43&lt;30,1,0))</formula>
    </cfRule>
    <cfRule type="expression" dxfId="1613" priority="257">
      <formula>AND(IF($Q43=3,1,0),IF($X43&lt;30,1,0))</formula>
    </cfRule>
    <cfRule type="expression" dxfId="1612" priority="258">
      <formula>AND(IF($Q43=3,1,IF($Q43=4,1,0)),IF($F43&lt;=85,1,0))</formula>
    </cfRule>
  </conditionalFormatting>
  <conditionalFormatting sqref="X43">
    <cfRule type="expression" dxfId="1611" priority="251">
      <formula>AND(IF(OR($Q43=1,$Q43=2),1,0),IF($X43&lt;=20,1,0))</formula>
    </cfRule>
    <cfRule type="expression" dxfId="1610" priority="252">
      <formula>AND(IF($Q43=2,1,0),IF($X43&lt;30,1,0))</formula>
    </cfRule>
    <cfRule type="expression" dxfId="1609" priority="253">
      <formula>AND(IF($Q43=3,1,0),IF($X43&lt;30,1,0))</formula>
    </cfRule>
    <cfRule type="expression" dxfId="1608" priority="254">
      <formula>AND(IF($Q43=3,1,IF($Q43=4,1,0)),IF($F43&lt;=85,1,0))</formula>
    </cfRule>
  </conditionalFormatting>
  <conditionalFormatting sqref="AI43">
    <cfRule type="expression" dxfId="1607" priority="247">
      <formula>AND(IF(OR($Q43=1,$Q43=2),1,0),IF($X43&lt;=20,1,0))</formula>
    </cfRule>
    <cfRule type="expression" dxfId="1606" priority="248">
      <formula>AND(IF($Q43=2,1,0),IF($X43&lt;30,1,0))</formula>
    </cfRule>
    <cfRule type="expression" dxfId="1605" priority="249">
      <formula>AND(IF($Q43=3,1,0),IF($X43&lt;30,1,0))</formula>
    </cfRule>
    <cfRule type="expression" dxfId="1604" priority="250">
      <formula>AND(IF($Q43=3,1,IF($Q43=4,1,0)),IF($F43&lt;=85,1,0))</formula>
    </cfRule>
  </conditionalFormatting>
  <conditionalFormatting sqref="AV44">
    <cfRule type="expression" dxfId="1603" priority="245">
      <formula>AV44="X"</formula>
    </cfRule>
    <cfRule type="expression" dxfId="1602" priority="246">
      <formula>AV44="후보"</formula>
    </cfRule>
  </conditionalFormatting>
  <conditionalFormatting sqref="AC44">
    <cfRule type="cellIs" dxfId="1601" priority="243" operator="greaterThan">
      <formula>0.9</formula>
    </cfRule>
    <cfRule type="cellIs" dxfId="1600" priority="244" operator="greaterThan">
      <formula>0.85</formula>
    </cfRule>
  </conditionalFormatting>
  <conditionalFormatting sqref="N44">
    <cfRule type="cellIs" dxfId="1599" priority="241" operator="greaterThan">
      <formula>0.9</formula>
    </cfRule>
    <cfRule type="cellIs" dxfId="1598" priority="242" operator="greaterThan">
      <formula>0.85</formula>
    </cfRule>
  </conditionalFormatting>
  <conditionalFormatting sqref="E44">
    <cfRule type="expression" dxfId="1597" priority="237">
      <formula>AND(IF(OR($Q44=1,$Q44=2),1,0),IF($X44&lt;=20,1,0))</formula>
    </cfRule>
    <cfRule type="expression" dxfId="1596" priority="238">
      <formula>AND(IF($Q44=2,1,0),IF($X44&lt;30,1,0))</formula>
    </cfRule>
    <cfRule type="expression" dxfId="1595" priority="239">
      <formula>AND(IF($Q44=3,1,0),IF($X44&lt;30,1,0))</formula>
    </cfRule>
    <cfRule type="expression" dxfId="1594" priority="240">
      <formula>AND(IF($Q44=3,1,IF($Q44=4,1,0)),IF($F44&lt;=85,1,0))</formula>
    </cfRule>
  </conditionalFormatting>
  <conditionalFormatting sqref="X44">
    <cfRule type="expression" dxfId="1593" priority="233">
      <formula>AND(IF(OR($Q44=1,$Q44=2),1,0),IF($X44&lt;=20,1,0))</formula>
    </cfRule>
    <cfRule type="expression" dxfId="1592" priority="234">
      <formula>AND(IF($Q44=2,1,0),IF($X44&lt;30,1,0))</formula>
    </cfRule>
    <cfRule type="expression" dxfId="1591" priority="235">
      <formula>AND(IF($Q44=3,1,0),IF($X44&lt;30,1,0))</formula>
    </cfRule>
    <cfRule type="expression" dxfId="1590" priority="236">
      <formula>AND(IF($Q44=3,1,IF($Q44=4,1,0)),IF($F44&lt;=85,1,0))</formula>
    </cfRule>
  </conditionalFormatting>
  <conditionalFormatting sqref="AI44">
    <cfRule type="expression" dxfId="1589" priority="229">
      <formula>AND(IF(OR($Q44=1,$Q44=2),1,0),IF($X44&lt;=20,1,0))</formula>
    </cfRule>
    <cfRule type="expression" dxfId="1588" priority="230">
      <formula>AND(IF($Q44=2,1,0),IF($X44&lt;30,1,0))</formula>
    </cfRule>
    <cfRule type="expression" dxfId="1587" priority="231">
      <formula>AND(IF($Q44=3,1,0),IF($X44&lt;30,1,0))</formula>
    </cfRule>
    <cfRule type="expression" dxfId="1586" priority="232">
      <formula>AND(IF($Q44=3,1,IF($Q44=4,1,0)),IF($F44&lt;=85,1,0))</formula>
    </cfRule>
  </conditionalFormatting>
  <conditionalFormatting sqref="AV45">
    <cfRule type="expression" dxfId="1585" priority="227">
      <formula>AV45="X"</formula>
    </cfRule>
    <cfRule type="expression" dxfId="1584" priority="228">
      <formula>AV45="후보"</formula>
    </cfRule>
  </conditionalFormatting>
  <conditionalFormatting sqref="AC45 N45">
    <cfRule type="cellIs" dxfId="1583" priority="225" operator="greaterThan">
      <formula>0.9</formula>
    </cfRule>
    <cfRule type="cellIs" dxfId="1582" priority="226" operator="greaterThan">
      <formula>0.85</formula>
    </cfRule>
  </conditionalFormatting>
  <conditionalFormatting sqref="AV46">
    <cfRule type="expression" dxfId="1581" priority="223">
      <formula>AV46="X"</formula>
    </cfRule>
    <cfRule type="expression" dxfId="1580" priority="224">
      <formula>AV46="후보"</formula>
    </cfRule>
  </conditionalFormatting>
  <conditionalFormatting sqref="AC46">
    <cfRule type="cellIs" dxfId="1579" priority="221" operator="greaterThan">
      <formula>0.9</formula>
    </cfRule>
    <cfRule type="cellIs" dxfId="1578" priority="222" operator="greaterThan">
      <formula>0.85</formula>
    </cfRule>
  </conditionalFormatting>
  <conditionalFormatting sqref="N46">
    <cfRule type="cellIs" dxfId="1577" priority="219" operator="greaterThan">
      <formula>0.9</formula>
    </cfRule>
    <cfRule type="cellIs" dxfId="1576" priority="220" operator="greaterThan">
      <formula>0.85</formula>
    </cfRule>
  </conditionalFormatting>
  <conditionalFormatting sqref="E46">
    <cfRule type="expression" dxfId="1575" priority="215">
      <formula>AND(IF(OR($Q46=1,$Q46=2),1,0),IF($X46&lt;=20,1,0))</formula>
    </cfRule>
    <cfRule type="expression" dxfId="1574" priority="216">
      <formula>AND(IF($Q46=2,1,0),IF($X46&lt;30,1,0))</formula>
    </cfRule>
    <cfRule type="expression" dxfId="1573" priority="217">
      <formula>AND(IF($Q46=3,1,0),IF($X46&lt;30,1,0))</formula>
    </cfRule>
    <cfRule type="expression" dxfId="1572" priority="218">
      <formula>AND(IF($Q46=3,1,IF($Q46=4,1,0)),IF($F46&lt;=85,1,0))</formula>
    </cfRule>
  </conditionalFormatting>
  <conditionalFormatting sqref="X46">
    <cfRule type="expression" dxfId="1571" priority="211">
      <formula>AND(IF(OR($Q46=1,$Q46=2),1,0),IF($X46&lt;=20,1,0))</formula>
    </cfRule>
    <cfRule type="expression" dxfId="1570" priority="212">
      <formula>AND(IF($Q46=2,1,0),IF($X46&lt;30,1,0))</formula>
    </cfRule>
    <cfRule type="expression" dxfId="1569" priority="213">
      <formula>AND(IF($Q46=3,1,0),IF($X46&lt;30,1,0))</formula>
    </cfRule>
    <cfRule type="expression" dxfId="1568" priority="214">
      <formula>AND(IF($Q46=3,1,IF($Q46=4,1,0)),IF($F46&lt;=85,1,0))</formula>
    </cfRule>
  </conditionalFormatting>
  <conditionalFormatting sqref="AI46">
    <cfRule type="expression" dxfId="1567" priority="207">
      <formula>AND(IF(OR($Q46=1,$Q46=2),1,0),IF($X46&lt;=20,1,0))</formula>
    </cfRule>
    <cfRule type="expression" dxfId="1566" priority="208">
      <formula>AND(IF($Q46=2,1,0),IF($X46&lt;30,1,0))</formula>
    </cfRule>
    <cfRule type="expression" dxfId="1565" priority="209">
      <formula>AND(IF($Q46=3,1,0),IF($X46&lt;30,1,0))</formula>
    </cfRule>
    <cfRule type="expression" dxfId="1564" priority="210">
      <formula>AND(IF($Q46=3,1,IF($Q46=4,1,0)),IF($F46&lt;=85,1,0))</formula>
    </cfRule>
  </conditionalFormatting>
  <conditionalFormatting sqref="AV47">
    <cfRule type="expression" dxfId="1563" priority="205">
      <formula>AV47="X"</formula>
    </cfRule>
    <cfRule type="expression" dxfId="1562" priority="206">
      <formula>AV47="후보"</formula>
    </cfRule>
  </conditionalFormatting>
  <conditionalFormatting sqref="AC47">
    <cfRule type="cellIs" dxfId="1561" priority="203" operator="greaterThan">
      <formula>0.9</formula>
    </cfRule>
    <cfRule type="cellIs" dxfId="1560" priority="204" operator="greaterThan">
      <formula>0.85</formula>
    </cfRule>
  </conditionalFormatting>
  <conditionalFormatting sqref="N47">
    <cfRule type="cellIs" dxfId="1559" priority="201" operator="greaterThan">
      <formula>0.9</formula>
    </cfRule>
    <cfRule type="cellIs" dxfId="1558" priority="202" operator="greaterThan">
      <formula>0.85</formula>
    </cfRule>
  </conditionalFormatting>
  <conditionalFormatting sqref="E47">
    <cfRule type="expression" dxfId="1557" priority="197">
      <formula>AND(IF(OR($Q47=1,$Q47=2),1,0),IF($X47&lt;=20,1,0))</formula>
    </cfRule>
    <cfRule type="expression" dxfId="1556" priority="198">
      <formula>AND(IF($Q47=2,1,0),IF($X47&lt;30,1,0))</formula>
    </cfRule>
    <cfRule type="expression" dxfId="1555" priority="199">
      <formula>AND(IF($Q47=3,1,0),IF($X47&lt;30,1,0))</formula>
    </cfRule>
    <cfRule type="expression" dxfId="1554" priority="200">
      <formula>AND(IF($Q47=3,1,IF($Q47=4,1,0)),IF($F47&lt;=85,1,0))</formula>
    </cfRule>
  </conditionalFormatting>
  <conditionalFormatting sqref="X47">
    <cfRule type="expression" dxfId="1553" priority="193">
      <formula>AND(IF(OR($Q47=1,$Q47=2),1,0),IF($X47&lt;=20,1,0))</formula>
    </cfRule>
    <cfRule type="expression" dxfId="1552" priority="194">
      <formula>AND(IF($Q47=2,1,0),IF($X47&lt;30,1,0))</formula>
    </cfRule>
    <cfRule type="expression" dxfId="1551" priority="195">
      <formula>AND(IF($Q47=3,1,0),IF($X47&lt;30,1,0))</formula>
    </cfRule>
    <cfRule type="expression" dxfId="1550" priority="196">
      <formula>AND(IF($Q47=3,1,IF($Q47=4,1,0)),IF($F47&lt;=85,1,0))</formula>
    </cfRule>
  </conditionalFormatting>
  <conditionalFormatting sqref="AI47">
    <cfRule type="expression" dxfId="1549" priority="189">
      <formula>AND(IF(OR($Q47=1,$Q47=2),1,0),IF($X47&lt;=20,1,0))</formula>
    </cfRule>
    <cfRule type="expression" dxfId="1548" priority="190">
      <formula>AND(IF($Q47=2,1,0),IF($X47&lt;30,1,0))</formula>
    </cfRule>
    <cfRule type="expression" dxfId="1547" priority="191">
      <formula>AND(IF($Q47=3,1,0),IF($X47&lt;30,1,0))</formula>
    </cfRule>
    <cfRule type="expression" dxfId="1546" priority="192">
      <formula>AND(IF($Q47=3,1,IF($Q47=4,1,0)),IF($F47&lt;=85,1,0))</formula>
    </cfRule>
  </conditionalFormatting>
  <conditionalFormatting sqref="AV48">
    <cfRule type="expression" dxfId="1545" priority="187">
      <formula>AV48="X"</formula>
    </cfRule>
    <cfRule type="expression" dxfId="1544" priority="188">
      <formula>AV48="후보"</formula>
    </cfRule>
  </conditionalFormatting>
  <conditionalFormatting sqref="AC48">
    <cfRule type="cellIs" dxfId="1543" priority="185" operator="greaterThan">
      <formula>0.9</formula>
    </cfRule>
    <cfRule type="cellIs" dxfId="1542" priority="186" operator="greaterThan">
      <formula>0.85</formula>
    </cfRule>
  </conditionalFormatting>
  <conditionalFormatting sqref="N48">
    <cfRule type="cellIs" dxfId="1541" priority="183" operator="greaterThan">
      <formula>0.9</formula>
    </cfRule>
    <cfRule type="cellIs" dxfId="1540" priority="184" operator="greaterThan">
      <formula>0.85</formula>
    </cfRule>
  </conditionalFormatting>
  <conditionalFormatting sqref="E48">
    <cfRule type="expression" dxfId="1539" priority="179">
      <formula>AND(IF(OR($Q48=1,$Q48=2),1,0),IF($X48&lt;=20,1,0))</formula>
    </cfRule>
    <cfRule type="expression" dxfId="1538" priority="180">
      <formula>AND(IF($Q48=2,1,0),IF($X48&lt;30,1,0))</formula>
    </cfRule>
    <cfRule type="expression" dxfId="1537" priority="181">
      <formula>AND(IF($Q48=3,1,0),IF($X48&lt;30,1,0))</formula>
    </cfRule>
    <cfRule type="expression" dxfId="1536" priority="182">
      <formula>AND(IF($Q48=3,1,IF($Q48=4,1,0)),IF($F48&lt;=85,1,0))</formula>
    </cfRule>
  </conditionalFormatting>
  <conditionalFormatting sqref="X48">
    <cfRule type="expression" dxfId="1535" priority="175">
      <formula>AND(IF(OR($Q48=1,$Q48=2),1,0),IF($X48&lt;=20,1,0))</formula>
    </cfRule>
    <cfRule type="expression" dxfId="1534" priority="176">
      <formula>AND(IF($Q48=2,1,0),IF($X48&lt;30,1,0))</formula>
    </cfRule>
    <cfRule type="expression" dxfId="1533" priority="177">
      <formula>AND(IF($Q48=3,1,0),IF($X48&lt;30,1,0))</formula>
    </cfRule>
    <cfRule type="expression" dxfId="1532" priority="178">
      <formula>AND(IF($Q48=3,1,IF($Q48=4,1,0)),IF($F48&lt;=85,1,0))</formula>
    </cfRule>
  </conditionalFormatting>
  <conditionalFormatting sqref="AI48">
    <cfRule type="expression" dxfId="1531" priority="171">
      <formula>AND(IF(OR($Q48=1,$Q48=2),1,0),IF($X48&lt;=20,1,0))</formula>
    </cfRule>
    <cfRule type="expression" dxfId="1530" priority="172">
      <formula>AND(IF($Q48=2,1,0),IF($X48&lt;30,1,0))</formula>
    </cfRule>
    <cfRule type="expression" dxfId="1529" priority="173">
      <formula>AND(IF($Q48=3,1,0),IF($X48&lt;30,1,0))</formula>
    </cfRule>
    <cfRule type="expression" dxfId="1528" priority="174">
      <formula>AND(IF($Q48=3,1,IF($Q48=4,1,0)),IF($F48&lt;=85,1,0))</formula>
    </cfRule>
  </conditionalFormatting>
  <conditionalFormatting sqref="AV49">
    <cfRule type="expression" dxfId="1527" priority="169">
      <formula>AV49="X"</formula>
    </cfRule>
    <cfRule type="expression" dxfId="1526" priority="170">
      <formula>AV49="후보"</formula>
    </cfRule>
  </conditionalFormatting>
  <conditionalFormatting sqref="AC49">
    <cfRule type="cellIs" dxfId="1525" priority="167" operator="greaterThan">
      <formula>0.9</formula>
    </cfRule>
    <cfRule type="cellIs" dxfId="1524" priority="168" operator="greaterThan">
      <formula>0.85</formula>
    </cfRule>
  </conditionalFormatting>
  <conditionalFormatting sqref="N49">
    <cfRule type="cellIs" dxfId="1523" priority="165" operator="greaterThan">
      <formula>0.9</formula>
    </cfRule>
    <cfRule type="cellIs" dxfId="1522" priority="166" operator="greaterThan">
      <formula>0.85</formula>
    </cfRule>
  </conditionalFormatting>
  <conditionalFormatting sqref="E49">
    <cfRule type="expression" dxfId="1521" priority="161">
      <formula>AND(IF(OR($Q49=1,$Q49=2),1,0),IF($X49&lt;=20,1,0))</formula>
    </cfRule>
    <cfRule type="expression" dxfId="1520" priority="162">
      <formula>AND(IF($Q49=2,1,0),IF($X49&lt;30,1,0))</formula>
    </cfRule>
    <cfRule type="expression" dxfId="1519" priority="163">
      <formula>AND(IF($Q49=3,1,0),IF($X49&lt;30,1,0))</formula>
    </cfRule>
    <cfRule type="expression" dxfId="1518" priority="164">
      <formula>AND(IF($Q49=3,1,IF($Q49=4,1,0)),IF($F49&lt;=85,1,0))</formula>
    </cfRule>
  </conditionalFormatting>
  <conditionalFormatting sqref="X49">
    <cfRule type="expression" dxfId="1517" priority="157">
      <formula>AND(IF(OR($Q49=1,$Q49=2),1,0),IF($X49&lt;=20,1,0))</formula>
    </cfRule>
    <cfRule type="expression" dxfId="1516" priority="158">
      <formula>AND(IF($Q49=2,1,0),IF($X49&lt;30,1,0))</formula>
    </cfRule>
    <cfRule type="expression" dxfId="1515" priority="159">
      <formula>AND(IF($Q49=3,1,0),IF($X49&lt;30,1,0))</formula>
    </cfRule>
    <cfRule type="expression" dxfId="1514" priority="160">
      <formula>AND(IF($Q49=3,1,IF($Q49=4,1,0)),IF($F49&lt;=85,1,0))</formula>
    </cfRule>
  </conditionalFormatting>
  <conditionalFormatting sqref="AI49">
    <cfRule type="expression" dxfId="1513" priority="153">
      <formula>AND(IF(OR($Q49=1,$Q49=2),1,0),IF($X49&lt;=20,1,0))</formula>
    </cfRule>
    <cfRule type="expression" dxfId="1512" priority="154">
      <formula>AND(IF($Q49=2,1,0),IF($X49&lt;30,1,0))</formula>
    </cfRule>
    <cfRule type="expression" dxfId="1511" priority="155">
      <formula>AND(IF($Q49=3,1,0),IF($X49&lt;30,1,0))</formula>
    </cfRule>
    <cfRule type="expression" dxfId="1510" priority="156">
      <formula>AND(IF($Q49=3,1,IF($Q49=4,1,0)),IF($F49&lt;=85,1,0))</formula>
    </cfRule>
  </conditionalFormatting>
  <conditionalFormatting sqref="AV50">
    <cfRule type="expression" dxfId="1509" priority="151">
      <formula>AV50="X"</formula>
    </cfRule>
    <cfRule type="expression" dxfId="1508" priority="152">
      <formula>AV50="후보"</formula>
    </cfRule>
  </conditionalFormatting>
  <conditionalFormatting sqref="AC50 N50">
    <cfRule type="cellIs" dxfId="1507" priority="149" operator="greaterThan">
      <formula>0.9</formula>
    </cfRule>
    <cfRule type="cellIs" dxfId="1506" priority="150" operator="greaterThan">
      <formula>0.85</formula>
    </cfRule>
  </conditionalFormatting>
  <conditionalFormatting sqref="AV51">
    <cfRule type="expression" dxfId="1505" priority="147">
      <formula>AV51="X"</formula>
    </cfRule>
    <cfRule type="expression" dxfId="1504" priority="148">
      <formula>AV51="후보"</formula>
    </cfRule>
  </conditionalFormatting>
  <conditionalFormatting sqref="AC51">
    <cfRule type="cellIs" dxfId="1503" priority="145" operator="greaterThan">
      <formula>0.9</formula>
    </cfRule>
    <cfRule type="cellIs" dxfId="1502" priority="146" operator="greaterThan">
      <formula>0.85</formula>
    </cfRule>
  </conditionalFormatting>
  <conditionalFormatting sqref="N51">
    <cfRule type="cellIs" dxfId="1501" priority="143" operator="greaterThan">
      <formula>0.9</formula>
    </cfRule>
    <cfRule type="cellIs" dxfId="1500" priority="144" operator="greaterThan">
      <formula>0.85</formula>
    </cfRule>
  </conditionalFormatting>
  <conditionalFormatting sqref="E51">
    <cfRule type="expression" dxfId="1499" priority="139">
      <formula>AND(IF(OR($Q51=1,$Q51=2),1,0),IF($X51&lt;=20,1,0))</formula>
    </cfRule>
    <cfRule type="expression" dxfId="1498" priority="140">
      <formula>AND(IF($Q51=2,1,0),IF($X51&lt;30,1,0))</formula>
    </cfRule>
    <cfRule type="expression" dxfId="1497" priority="141">
      <formula>AND(IF($Q51=3,1,0),IF($X51&lt;30,1,0))</formula>
    </cfRule>
    <cfRule type="expression" dxfId="1496" priority="142">
      <formula>AND(IF($Q51=3,1,IF($Q51=4,1,0)),IF($F51&lt;=85,1,0))</formula>
    </cfRule>
  </conditionalFormatting>
  <conditionalFormatting sqref="X51">
    <cfRule type="expression" dxfId="1495" priority="135">
      <formula>AND(IF(OR($Q51=1,$Q51=2),1,0),IF($X51&lt;=20,1,0))</formula>
    </cfRule>
    <cfRule type="expression" dxfId="1494" priority="136">
      <formula>AND(IF($Q51=2,1,0),IF($X51&lt;30,1,0))</formula>
    </cfRule>
    <cfRule type="expression" dxfId="1493" priority="137">
      <formula>AND(IF($Q51=3,1,0),IF($X51&lt;30,1,0))</formula>
    </cfRule>
    <cfRule type="expression" dxfId="1492" priority="138">
      <formula>AND(IF($Q51=3,1,IF($Q51=4,1,0)),IF($F51&lt;=85,1,0))</formula>
    </cfRule>
  </conditionalFormatting>
  <conditionalFormatting sqref="AI51">
    <cfRule type="expression" dxfId="1491" priority="131">
      <formula>AND(IF(OR($Q51=1,$Q51=2),1,0),IF($X51&lt;=20,1,0))</formula>
    </cfRule>
    <cfRule type="expression" dxfId="1490" priority="132">
      <formula>AND(IF($Q51=2,1,0),IF($X51&lt;30,1,0))</formula>
    </cfRule>
    <cfRule type="expression" dxfId="1489" priority="133">
      <formula>AND(IF($Q51=3,1,0),IF($X51&lt;30,1,0))</formula>
    </cfRule>
    <cfRule type="expression" dxfId="1488" priority="134">
      <formula>AND(IF($Q51=3,1,IF($Q51=4,1,0)),IF($F51&lt;=85,1,0))</formula>
    </cfRule>
  </conditionalFormatting>
  <conditionalFormatting sqref="AV52">
    <cfRule type="expression" dxfId="1487" priority="129">
      <formula>AV52="X"</formula>
    </cfRule>
    <cfRule type="expression" dxfId="1486" priority="130">
      <formula>AV52="후보"</formula>
    </cfRule>
  </conditionalFormatting>
  <conditionalFormatting sqref="AC52">
    <cfRule type="cellIs" dxfId="1485" priority="127" operator="greaterThan">
      <formula>0.9</formula>
    </cfRule>
    <cfRule type="cellIs" dxfId="1484" priority="128" operator="greaterThan">
      <formula>0.85</formula>
    </cfRule>
  </conditionalFormatting>
  <conditionalFormatting sqref="N52">
    <cfRule type="cellIs" dxfId="1483" priority="125" operator="greaterThan">
      <formula>0.9</formula>
    </cfRule>
    <cfRule type="cellIs" dxfId="1482" priority="126" operator="greaterThan">
      <formula>0.85</formula>
    </cfRule>
  </conditionalFormatting>
  <conditionalFormatting sqref="E52">
    <cfRule type="expression" dxfId="1481" priority="121">
      <formula>AND(IF(OR($Q52=1,$Q52=2),1,0),IF($X52&lt;=20,1,0))</formula>
    </cfRule>
    <cfRule type="expression" dxfId="1480" priority="122">
      <formula>AND(IF($Q52=2,1,0),IF($X52&lt;30,1,0))</formula>
    </cfRule>
    <cfRule type="expression" dxfId="1479" priority="123">
      <formula>AND(IF($Q52=3,1,0),IF($X52&lt;30,1,0))</formula>
    </cfRule>
    <cfRule type="expression" dxfId="1478" priority="124">
      <formula>AND(IF($Q52=3,1,IF($Q52=4,1,0)),IF($F52&lt;=85,1,0))</formula>
    </cfRule>
  </conditionalFormatting>
  <conditionalFormatting sqref="X52">
    <cfRule type="expression" dxfId="1477" priority="117">
      <formula>AND(IF(OR($Q52=1,$Q52=2),1,0),IF($X52&lt;=20,1,0))</formula>
    </cfRule>
    <cfRule type="expression" dxfId="1476" priority="118">
      <formula>AND(IF($Q52=2,1,0),IF($X52&lt;30,1,0))</formula>
    </cfRule>
    <cfRule type="expression" dxfId="1475" priority="119">
      <formula>AND(IF($Q52=3,1,0),IF($X52&lt;30,1,0))</formula>
    </cfRule>
    <cfRule type="expression" dxfId="1474" priority="120">
      <formula>AND(IF($Q52=3,1,IF($Q52=4,1,0)),IF($F52&lt;=85,1,0))</formula>
    </cfRule>
  </conditionalFormatting>
  <conditionalFormatting sqref="AI52">
    <cfRule type="expression" dxfId="1473" priority="113">
      <formula>AND(IF(OR($Q52=1,$Q52=2),1,0),IF($X52&lt;=20,1,0))</formula>
    </cfRule>
    <cfRule type="expression" dxfId="1472" priority="114">
      <formula>AND(IF($Q52=2,1,0),IF($X52&lt;30,1,0))</formula>
    </cfRule>
    <cfRule type="expression" dxfId="1471" priority="115">
      <formula>AND(IF($Q52=3,1,0),IF($X52&lt;30,1,0))</formula>
    </cfRule>
    <cfRule type="expression" dxfId="1470" priority="116">
      <formula>AND(IF($Q52=3,1,IF($Q52=4,1,0)),IF($F52&lt;=85,1,0))</formula>
    </cfRule>
  </conditionalFormatting>
  <conditionalFormatting sqref="AV53">
    <cfRule type="expression" dxfId="1469" priority="111">
      <formula>AV53="X"</formula>
    </cfRule>
    <cfRule type="expression" dxfId="1468" priority="112">
      <formula>AV53="후보"</formula>
    </cfRule>
  </conditionalFormatting>
  <conditionalFormatting sqref="AC53">
    <cfRule type="cellIs" dxfId="1467" priority="109" operator="greaterThan">
      <formula>0.9</formula>
    </cfRule>
    <cfRule type="cellIs" dxfId="1466" priority="110" operator="greaterThan">
      <formula>0.85</formula>
    </cfRule>
  </conditionalFormatting>
  <conditionalFormatting sqref="N53">
    <cfRule type="cellIs" dxfId="1465" priority="107" operator="greaterThan">
      <formula>0.9</formula>
    </cfRule>
    <cfRule type="cellIs" dxfId="1464" priority="108" operator="greaterThan">
      <formula>0.85</formula>
    </cfRule>
  </conditionalFormatting>
  <conditionalFormatting sqref="E53">
    <cfRule type="expression" dxfId="1463" priority="103">
      <formula>AND(IF(OR($Q53=1,$Q53=2),1,0),IF($X53&lt;=20,1,0))</formula>
    </cfRule>
    <cfRule type="expression" dxfId="1462" priority="104">
      <formula>AND(IF($Q53=2,1,0),IF($X53&lt;30,1,0))</formula>
    </cfRule>
    <cfRule type="expression" dxfId="1461" priority="105">
      <formula>AND(IF($Q53=3,1,0),IF($X53&lt;30,1,0))</formula>
    </cfRule>
    <cfRule type="expression" dxfId="1460" priority="106">
      <formula>AND(IF($Q53=3,1,IF($Q53=4,1,0)),IF($F53&lt;=85,1,0))</formula>
    </cfRule>
  </conditionalFormatting>
  <conditionalFormatting sqref="X53">
    <cfRule type="expression" dxfId="1459" priority="99">
      <formula>AND(IF(OR($Q53=1,$Q53=2),1,0),IF($X53&lt;=20,1,0))</formula>
    </cfRule>
    <cfRule type="expression" dxfId="1458" priority="100">
      <formula>AND(IF($Q53=2,1,0),IF($X53&lt;30,1,0))</formula>
    </cfRule>
    <cfRule type="expression" dxfId="1457" priority="101">
      <formula>AND(IF($Q53=3,1,0),IF($X53&lt;30,1,0))</formula>
    </cfRule>
    <cfRule type="expression" dxfId="1456" priority="102">
      <formula>AND(IF($Q53=3,1,IF($Q53=4,1,0)),IF($F53&lt;=85,1,0))</formula>
    </cfRule>
  </conditionalFormatting>
  <conditionalFormatting sqref="AI53">
    <cfRule type="expression" dxfId="1455" priority="95">
      <formula>AND(IF(OR($Q53=1,$Q53=2),1,0),IF($X53&lt;=20,1,0))</formula>
    </cfRule>
    <cfRule type="expression" dxfId="1454" priority="96">
      <formula>AND(IF($Q53=2,1,0),IF($X53&lt;30,1,0))</formula>
    </cfRule>
    <cfRule type="expression" dxfId="1453" priority="97">
      <formula>AND(IF($Q53=3,1,0),IF($X53&lt;30,1,0))</formula>
    </cfRule>
    <cfRule type="expression" dxfId="1452" priority="98">
      <formula>AND(IF($Q53=3,1,IF($Q53=4,1,0)),IF($F53&lt;=85,1,0))</formula>
    </cfRule>
  </conditionalFormatting>
  <conditionalFormatting sqref="AV54">
    <cfRule type="expression" dxfId="1451" priority="93">
      <formula>AV54="X"</formula>
    </cfRule>
    <cfRule type="expression" dxfId="1450" priority="94">
      <formula>AV54="후보"</formula>
    </cfRule>
  </conditionalFormatting>
  <conditionalFormatting sqref="AC54">
    <cfRule type="cellIs" dxfId="1449" priority="91" operator="greaterThan">
      <formula>0.9</formula>
    </cfRule>
    <cfRule type="cellIs" dxfId="1448" priority="92" operator="greaterThan">
      <formula>0.85</formula>
    </cfRule>
  </conditionalFormatting>
  <conditionalFormatting sqref="N54">
    <cfRule type="cellIs" dxfId="1447" priority="89" operator="greaterThan">
      <formula>0.9</formula>
    </cfRule>
    <cfRule type="cellIs" dxfId="1446" priority="90" operator="greaterThan">
      <formula>0.85</formula>
    </cfRule>
  </conditionalFormatting>
  <conditionalFormatting sqref="E54">
    <cfRule type="expression" dxfId="1445" priority="85">
      <formula>AND(IF(OR($Q54=1,$Q54=2),1,0),IF($X54&lt;=20,1,0))</formula>
    </cfRule>
    <cfRule type="expression" dxfId="1444" priority="86">
      <formula>AND(IF($Q54=2,1,0),IF($X54&lt;30,1,0))</formula>
    </cfRule>
    <cfRule type="expression" dxfId="1443" priority="87">
      <formula>AND(IF($Q54=3,1,0),IF($X54&lt;30,1,0))</formula>
    </cfRule>
    <cfRule type="expression" dxfId="1442" priority="88">
      <formula>AND(IF($Q54=3,1,IF($Q54=4,1,0)),IF($F54&lt;=85,1,0))</formula>
    </cfRule>
  </conditionalFormatting>
  <conditionalFormatting sqref="X54">
    <cfRule type="expression" dxfId="1441" priority="81">
      <formula>AND(IF(OR($Q54=1,$Q54=2),1,0),IF($X54&lt;=20,1,0))</formula>
    </cfRule>
    <cfRule type="expression" dxfId="1440" priority="82">
      <formula>AND(IF($Q54=2,1,0),IF($X54&lt;30,1,0))</formula>
    </cfRule>
    <cfRule type="expression" dxfId="1439" priority="83">
      <formula>AND(IF($Q54=3,1,0),IF($X54&lt;30,1,0))</formula>
    </cfRule>
    <cfRule type="expression" dxfId="1438" priority="84">
      <formula>AND(IF($Q54=3,1,IF($Q54=4,1,0)),IF($F54&lt;=85,1,0))</formula>
    </cfRule>
  </conditionalFormatting>
  <conditionalFormatting sqref="AI54">
    <cfRule type="expression" dxfId="1437" priority="77">
      <formula>AND(IF(OR($Q54=1,$Q54=2),1,0),IF($X54&lt;=20,1,0))</formula>
    </cfRule>
    <cfRule type="expression" dxfId="1436" priority="78">
      <formula>AND(IF($Q54=2,1,0),IF($X54&lt;30,1,0))</formula>
    </cfRule>
    <cfRule type="expression" dxfId="1435" priority="79">
      <formula>AND(IF($Q54=3,1,0),IF($X54&lt;30,1,0))</formula>
    </cfRule>
    <cfRule type="expression" dxfId="1434" priority="80">
      <formula>AND(IF($Q54=3,1,IF($Q54=4,1,0)),IF($F54&lt;=85,1,0))</formula>
    </cfRule>
  </conditionalFormatting>
  <conditionalFormatting sqref="AV55">
    <cfRule type="expression" dxfId="1433" priority="75">
      <formula>AV55="X"</formula>
    </cfRule>
    <cfRule type="expression" dxfId="1432" priority="76">
      <formula>AV55="후보"</formula>
    </cfRule>
  </conditionalFormatting>
  <conditionalFormatting sqref="AC55 N55">
    <cfRule type="cellIs" dxfId="1431" priority="73" operator="greaterThan">
      <formula>0.9</formula>
    </cfRule>
    <cfRule type="cellIs" dxfId="1430" priority="74" operator="greaterThan">
      <formula>0.85</formula>
    </cfRule>
  </conditionalFormatting>
  <conditionalFormatting sqref="AV56">
    <cfRule type="expression" dxfId="1429" priority="71">
      <formula>AV56="X"</formula>
    </cfRule>
    <cfRule type="expression" dxfId="1428" priority="72">
      <formula>AV56="후보"</formula>
    </cfRule>
  </conditionalFormatting>
  <conditionalFormatting sqref="AC56">
    <cfRule type="cellIs" dxfId="1427" priority="69" operator="greaterThan">
      <formula>0.9</formula>
    </cfRule>
    <cfRule type="cellIs" dxfId="1426" priority="70" operator="greaterThan">
      <formula>0.85</formula>
    </cfRule>
  </conditionalFormatting>
  <conditionalFormatting sqref="N56">
    <cfRule type="cellIs" dxfId="1425" priority="67" operator="greaterThan">
      <formula>0.9</formula>
    </cfRule>
    <cfRule type="cellIs" dxfId="1424" priority="68" operator="greaterThan">
      <formula>0.85</formula>
    </cfRule>
  </conditionalFormatting>
  <conditionalFormatting sqref="E56">
    <cfRule type="expression" dxfId="1423" priority="63">
      <formula>AND(IF(OR($Q56=1,$Q56=2),1,0),IF($X56&lt;=20,1,0))</formula>
    </cfRule>
    <cfRule type="expression" dxfId="1422" priority="64">
      <formula>AND(IF($Q56=2,1,0),IF($X56&lt;30,1,0))</formula>
    </cfRule>
    <cfRule type="expression" dxfId="1421" priority="65">
      <formula>AND(IF($Q56=3,1,0),IF($X56&lt;30,1,0))</formula>
    </cfRule>
    <cfRule type="expression" dxfId="1420" priority="66">
      <formula>AND(IF($Q56=3,1,IF($Q56=4,1,0)),IF($F56&lt;=85,1,0))</formula>
    </cfRule>
  </conditionalFormatting>
  <conditionalFormatting sqref="X56">
    <cfRule type="expression" dxfId="1419" priority="59">
      <formula>AND(IF(OR($Q56=1,$Q56=2),1,0),IF($X56&lt;=20,1,0))</formula>
    </cfRule>
    <cfRule type="expression" dxfId="1418" priority="60">
      <formula>AND(IF($Q56=2,1,0),IF($X56&lt;30,1,0))</formula>
    </cfRule>
    <cfRule type="expression" dxfId="1417" priority="61">
      <formula>AND(IF($Q56=3,1,0),IF($X56&lt;30,1,0))</formula>
    </cfRule>
    <cfRule type="expression" dxfId="1416" priority="62">
      <formula>AND(IF($Q56=3,1,IF($Q56=4,1,0)),IF($F56&lt;=85,1,0))</formula>
    </cfRule>
  </conditionalFormatting>
  <conditionalFormatting sqref="AI56">
    <cfRule type="expression" dxfId="1415" priority="55">
      <formula>AND(IF(OR($Q56=1,$Q56=2),1,0),IF($X56&lt;=20,1,0))</formula>
    </cfRule>
    <cfRule type="expression" dxfId="1414" priority="56">
      <formula>AND(IF($Q56=2,1,0),IF($X56&lt;30,1,0))</formula>
    </cfRule>
    <cfRule type="expression" dxfId="1413" priority="57">
      <formula>AND(IF($Q56=3,1,0),IF($X56&lt;30,1,0))</formula>
    </cfRule>
    <cfRule type="expression" dxfId="1412" priority="58">
      <formula>AND(IF($Q56=3,1,IF($Q56=4,1,0)),IF($F56&lt;=85,1,0))</formula>
    </cfRule>
  </conditionalFormatting>
  <conditionalFormatting sqref="AV57">
    <cfRule type="expression" dxfId="1411" priority="53">
      <formula>AV57="X"</formula>
    </cfRule>
    <cfRule type="expression" dxfId="1410" priority="54">
      <formula>AV57="후보"</formula>
    </cfRule>
  </conditionalFormatting>
  <conditionalFormatting sqref="AC57">
    <cfRule type="cellIs" dxfId="1409" priority="51" operator="greaterThan">
      <formula>0.9</formula>
    </cfRule>
    <cfRule type="cellIs" dxfId="1408" priority="52" operator="greaterThan">
      <formula>0.85</formula>
    </cfRule>
  </conditionalFormatting>
  <conditionalFormatting sqref="N57">
    <cfRule type="cellIs" dxfId="1407" priority="49" operator="greaterThan">
      <formula>0.9</formula>
    </cfRule>
    <cfRule type="cellIs" dxfId="1406" priority="50" operator="greaterThan">
      <formula>0.85</formula>
    </cfRule>
  </conditionalFormatting>
  <conditionalFormatting sqref="E57">
    <cfRule type="expression" dxfId="1405" priority="45">
      <formula>AND(IF(OR($Q57=1,$Q57=2),1,0),IF($X57&lt;=20,1,0))</formula>
    </cfRule>
    <cfRule type="expression" dxfId="1404" priority="46">
      <formula>AND(IF($Q57=2,1,0),IF($X57&lt;30,1,0))</formula>
    </cfRule>
    <cfRule type="expression" dxfId="1403" priority="47">
      <formula>AND(IF($Q57=3,1,0),IF($X57&lt;30,1,0))</formula>
    </cfRule>
    <cfRule type="expression" dxfId="1402" priority="48">
      <formula>AND(IF($Q57=3,1,IF($Q57=4,1,0)),IF($F57&lt;=85,1,0))</formula>
    </cfRule>
  </conditionalFormatting>
  <conditionalFormatting sqref="X57">
    <cfRule type="expression" dxfId="1401" priority="41">
      <formula>AND(IF(OR($Q57=1,$Q57=2),1,0),IF($X57&lt;=20,1,0))</formula>
    </cfRule>
    <cfRule type="expression" dxfId="1400" priority="42">
      <formula>AND(IF($Q57=2,1,0),IF($X57&lt;30,1,0))</formula>
    </cfRule>
    <cfRule type="expression" dxfId="1399" priority="43">
      <formula>AND(IF($Q57=3,1,0),IF($X57&lt;30,1,0))</formula>
    </cfRule>
    <cfRule type="expression" dxfId="1398" priority="44">
      <formula>AND(IF($Q57=3,1,IF($Q57=4,1,0)),IF($F57&lt;=85,1,0))</formula>
    </cfRule>
  </conditionalFormatting>
  <conditionalFormatting sqref="AI57">
    <cfRule type="expression" dxfId="1397" priority="37">
      <formula>AND(IF(OR($Q57=1,$Q57=2),1,0),IF($X57&lt;=20,1,0))</formula>
    </cfRule>
    <cfRule type="expression" dxfId="1396" priority="38">
      <formula>AND(IF($Q57=2,1,0),IF($X57&lt;30,1,0))</formula>
    </cfRule>
    <cfRule type="expression" dxfId="1395" priority="39">
      <formula>AND(IF($Q57=3,1,0),IF($X57&lt;30,1,0))</formula>
    </cfRule>
    <cfRule type="expression" dxfId="1394" priority="40">
      <formula>AND(IF($Q57=3,1,IF($Q57=4,1,0)),IF($F57&lt;=85,1,0))</formula>
    </cfRule>
  </conditionalFormatting>
  <conditionalFormatting sqref="AV58">
    <cfRule type="expression" dxfId="1393" priority="35">
      <formula>AV58="X"</formula>
    </cfRule>
    <cfRule type="expression" dxfId="1392" priority="36">
      <formula>AV58="후보"</formula>
    </cfRule>
  </conditionalFormatting>
  <conditionalFormatting sqref="AC58">
    <cfRule type="cellIs" dxfId="1391" priority="33" operator="greaterThan">
      <formula>0.9</formula>
    </cfRule>
    <cfRule type="cellIs" dxfId="1390" priority="34" operator="greaterThan">
      <formula>0.85</formula>
    </cfRule>
  </conditionalFormatting>
  <conditionalFormatting sqref="N58">
    <cfRule type="cellIs" dxfId="1389" priority="31" operator="greaterThan">
      <formula>0.9</formula>
    </cfRule>
    <cfRule type="cellIs" dxfId="1388" priority="32" operator="greaterThan">
      <formula>0.85</formula>
    </cfRule>
  </conditionalFormatting>
  <conditionalFormatting sqref="E58">
    <cfRule type="expression" dxfId="1387" priority="27">
      <formula>AND(IF(OR($Q58=1,$Q58=2),1,0),IF($X58&lt;=20,1,0))</formula>
    </cfRule>
    <cfRule type="expression" dxfId="1386" priority="28">
      <formula>AND(IF($Q58=2,1,0),IF($X58&lt;30,1,0))</formula>
    </cfRule>
    <cfRule type="expression" dxfId="1385" priority="29">
      <formula>AND(IF($Q58=3,1,0),IF($X58&lt;30,1,0))</formula>
    </cfRule>
    <cfRule type="expression" dxfId="1384" priority="30">
      <formula>AND(IF($Q58=3,1,IF($Q58=4,1,0)),IF($F58&lt;=85,1,0))</formula>
    </cfRule>
  </conditionalFormatting>
  <conditionalFormatting sqref="X58">
    <cfRule type="expression" dxfId="1383" priority="23">
      <formula>AND(IF(OR($Q58=1,$Q58=2),1,0),IF($X58&lt;=20,1,0))</formula>
    </cfRule>
    <cfRule type="expression" dxfId="1382" priority="24">
      <formula>AND(IF($Q58=2,1,0),IF($X58&lt;30,1,0))</formula>
    </cfRule>
    <cfRule type="expression" dxfId="1381" priority="25">
      <formula>AND(IF($Q58=3,1,0),IF($X58&lt;30,1,0))</formula>
    </cfRule>
    <cfRule type="expression" dxfId="1380" priority="26">
      <formula>AND(IF($Q58=3,1,IF($Q58=4,1,0)),IF($F58&lt;=85,1,0))</formula>
    </cfRule>
  </conditionalFormatting>
  <conditionalFormatting sqref="AI58">
    <cfRule type="expression" dxfId="1379" priority="19">
      <formula>AND(IF(OR($Q58=1,$Q58=2),1,0),IF($X58&lt;=20,1,0))</formula>
    </cfRule>
    <cfRule type="expression" dxfId="1378" priority="20">
      <formula>AND(IF($Q58=2,1,0),IF($X58&lt;30,1,0))</formula>
    </cfRule>
    <cfRule type="expression" dxfId="1377" priority="21">
      <formula>AND(IF($Q58=3,1,0),IF($X58&lt;30,1,0))</formula>
    </cfRule>
    <cfRule type="expression" dxfId="1376" priority="22">
      <formula>AND(IF($Q58=3,1,IF($Q58=4,1,0)),IF($F58&lt;=85,1,0))</formula>
    </cfRule>
  </conditionalFormatting>
  <conditionalFormatting sqref="AV59">
    <cfRule type="expression" dxfId="1375" priority="17">
      <formula>AV59="X"</formula>
    </cfRule>
    <cfRule type="expression" dxfId="1374" priority="18">
      <formula>AV59="후보"</formula>
    </cfRule>
  </conditionalFormatting>
  <conditionalFormatting sqref="AC59">
    <cfRule type="cellIs" dxfId="1373" priority="15" operator="greaterThan">
      <formula>0.9</formula>
    </cfRule>
    <cfRule type="cellIs" dxfId="1372" priority="16" operator="greaterThan">
      <formula>0.85</formula>
    </cfRule>
  </conditionalFormatting>
  <conditionalFormatting sqref="N59">
    <cfRule type="cellIs" dxfId="1371" priority="13" operator="greaterThan">
      <formula>0.9</formula>
    </cfRule>
    <cfRule type="cellIs" dxfId="1370" priority="14" operator="greaterThan">
      <formula>0.85</formula>
    </cfRule>
  </conditionalFormatting>
  <conditionalFormatting sqref="E59">
    <cfRule type="expression" dxfId="1369" priority="9">
      <formula>AND(IF(OR($Q59=1,$Q59=2),1,0),IF($X59&lt;=20,1,0))</formula>
    </cfRule>
    <cfRule type="expression" dxfId="1368" priority="10">
      <formula>AND(IF($Q59=2,1,0),IF($X59&lt;30,1,0))</formula>
    </cfRule>
    <cfRule type="expression" dxfId="1367" priority="11">
      <formula>AND(IF($Q59=3,1,0),IF($X59&lt;30,1,0))</formula>
    </cfRule>
    <cfRule type="expression" dxfId="1366" priority="12">
      <formula>AND(IF($Q59=3,1,IF($Q59=4,1,0)),IF($F59&lt;=85,1,0))</formula>
    </cfRule>
  </conditionalFormatting>
  <conditionalFormatting sqref="X59">
    <cfRule type="expression" dxfId="1365" priority="5">
      <formula>AND(IF(OR($Q59=1,$Q59=2),1,0),IF($X59&lt;=20,1,0))</formula>
    </cfRule>
    <cfRule type="expression" dxfId="1364" priority="6">
      <formula>AND(IF($Q59=2,1,0),IF($X59&lt;30,1,0))</formula>
    </cfRule>
    <cfRule type="expression" dxfId="1363" priority="7">
      <formula>AND(IF($Q59=3,1,0),IF($X59&lt;30,1,0))</formula>
    </cfRule>
    <cfRule type="expression" dxfId="1362" priority="8">
      <formula>AND(IF($Q59=3,1,IF($Q59=4,1,0)),IF($F59&lt;=85,1,0))</formula>
    </cfRule>
  </conditionalFormatting>
  <conditionalFormatting sqref="AI59">
    <cfRule type="expression" dxfId="1361" priority="1">
      <formula>AND(IF(OR($Q59=1,$Q59=2),1,0),IF($X59&lt;=20,1,0))</formula>
    </cfRule>
    <cfRule type="expression" dxfId="1360" priority="2">
      <formula>AND(IF($Q59=2,1,0),IF($X59&lt;30,1,0))</formula>
    </cfRule>
    <cfRule type="expression" dxfId="1359" priority="3">
      <formula>AND(IF($Q59=3,1,0),IF($X59&lt;30,1,0))</formula>
    </cfRule>
    <cfRule type="expression" dxfId="1358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신풍동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1099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신풍동 월명('79.05.,240^)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1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1095</v>
      </c>
      <c r="B6" s="10" t="s">
        <v>1349</v>
      </c>
      <c r="C6" s="89">
        <v>240</v>
      </c>
      <c r="D6" s="87">
        <v>62</v>
      </c>
      <c r="E6" s="88">
        <v>19</v>
      </c>
      <c r="F6" s="87">
        <v>62</v>
      </c>
      <c r="G6" s="17">
        <v>19</v>
      </c>
      <c r="H6" s="89">
        <v>30</v>
      </c>
      <c r="I6" s="90"/>
      <c r="J6" s="90"/>
      <c r="K6" s="90"/>
      <c r="L6" s="90"/>
      <c r="M6" s="91">
        <f t="shared" ref="M6:M11" si="2">I6-K6</f>
        <v>0</v>
      </c>
      <c r="N6" s="4" t="str">
        <f t="shared" ref="N6:N11" si="3">IF(ISERROR(K6/I6),"",K6/I6)</f>
        <v/>
      </c>
      <c r="O6" s="92">
        <f t="shared" ref="O6:O11" si="4">I6/E6</f>
        <v>0</v>
      </c>
      <c r="P6" s="92">
        <f t="shared" ref="P6:P11" si="5">K6/E6</f>
        <v>0</v>
      </c>
      <c r="Q6" s="80">
        <v>2</v>
      </c>
      <c r="R6" s="80">
        <v>1</v>
      </c>
      <c r="S6" s="80" t="s">
        <v>61</v>
      </c>
      <c r="T6" s="5">
        <v>61</v>
      </c>
      <c r="U6" s="9"/>
      <c r="W6" s="87">
        <f t="shared" ref="W6:X11" si="6">D6</f>
        <v>62</v>
      </c>
      <c r="X6" s="88">
        <f t="shared" si="6"/>
        <v>19</v>
      </c>
      <c r="Y6" s="93">
        <f t="shared" ref="Y6:Z11" si="7">H6</f>
        <v>30</v>
      </c>
      <c r="Z6" s="91">
        <f t="shared" si="7"/>
        <v>0</v>
      </c>
      <c r="AA6" s="91">
        <f t="shared" ref="AA6:AA11" si="8">K6</f>
        <v>0</v>
      </c>
      <c r="AB6" s="91">
        <f t="shared" ref="AB6:AD11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1" si="10">S6</f>
        <v>계</v>
      </c>
      <c r="AF6" s="80" t="str">
        <f t="shared" ref="AF6:AF11" si="11">Q6&amp;"/"&amp;R6</f>
        <v>2/1</v>
      </c>
      <c r="AH6" s="20" t="str">
        <f t="shared" si="1"/>
        <v>월명</v>
      </c>
      <c r="AI6" s="88">
        <f t="shared" si="0"/>
        <v>19</v>
      </c>
      <c r="AJ6" s="80" t="str">
        <f t="shared" ref="AJ6:AJ11" si="12">IF(AI6="","",$AJ$2)</f>
        <v>A-</v>
      </c>
      <c r="AK6" s="80" t="s">
        <v>14</v>
      </c>
      <c r="AL6" s="80" t="s">
        <v>63</v>
      </c>
      <c r="AM6" s="80" t="s">
        <v>64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/>
      </c>
      <c r="AP6" s="80" t="str">
        <f t="shared" ref="AP6:AP11" si="15">IF(I6="","",IF(I6&lt;=$AP$1,"O","X"))</f>
        <v/>
      </c>
      <c r="AQ6" s="80" t="str">
        <f t="shared" ref="AQ6:AQ11" si="16">IF(O6="","",IF(O6&lt;=$AQ$1,"O","X"))</f>
        <v>O</v>
      </c>
      <c r="AR6" s="80" t="str">
        <f t="shared" ref="AR6:AR11" si="17">IF(M6="","",IF(M6&lt;=$AR$1,"O","X"))</f>
        <v>O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X</v>
      </c>
      <c r="AV6" s="80" t="str">
        <f t="shared" ref="AV6:AV11" si="20">IF(AO6="","",IF(AND(AO6="O",AP6="O",AR6="O",AT6="O",AU6="O"),"후보","X"))</f>
        <v/>
      </c>
    </row>
    <row r="7" spans="1:48" x14ac:dyDescent="0.3">
      <c r="A7" s="9" t="s">
        <v>1095</v>
      </c>
      <c r="B7" s="10" t="s">
        <v>1349</v>
      </c>
      <c r="C7" s="89">
        <v>240</v>
      </c>
      <c r="D7" s="87">
        <v>70.7</v>
      </c>
      <c r="E7" s="88">
        <v>21</v>
      </c>
      <c r="F7" s="87">
        <v>70.7</v>
      </c>
      <c r="G7" s="17">
        <v>21</v>
      </c>
      <c r="H7" s="89">
        <v>30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2</v>
      </c>
      <c r="R7" s="80">
        <v>1</v>
      </c>
      <c r="S7" s="80" t="s">
        <v>61</v>
      </c>
      <c r="T7" s="5">
        <v>70</v>
      </c>
      <c r="U7" s="9"/>
      <c r="W7" s="87">
        <f t="shared" si="6"/>
        <v>70.7</v>
      </c>
      <c r="X7" s="88">
        <f t="shared" si="6"/>
        <v>21</v>
      </c>
      <c r="Y7" s="93">
        <f t="shared" si="7"/>
        <v>30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2/1</v>
      </c>
      <c r="AH7" s="20" t="str">
        <f t="shared" si="1"/>
        <v>월명</v>
      </c>
      <c r="AI7" s="88">
        <f t="shared" si="0"/>
        <v>21</v>
      </c>
      <c r="AJ7" s="80" t="str">
        <f t="shared" si="12"/>
        <v>A-</v>
      </c>
      <c r="AK7" s="80" t="s">
        <v>14</v>
      </c>
      <c r="AL7" s="80" t="s">
        <v>63</v>
      </c>
      <c r="AM7" s="80" t="s">
        <v>64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X</v>
      </c>
      <c r="AV7" s="80" t="str">
        <f t="shared" si="20"/>
        <v/>
      </c>
    </row>
    <row r="8" spans="1:48" x14ac:dyDescent="0.3">
      <c r="A8" s="9" t="s">
        <v>1095</v>
      </c>
      <c r="B8" s="10" t="s">
        <v>1349</v>
      </c>
      <c r="C8" s="89">
        <v>240</v>
      </c>
      <c r="D8" s="87">
        <v>76.099999999999994</v>
      </c>
      <c r="E8" s="88">
        <v>23</v>
      </c>
      <c r="F8" s="87">
        <v>76.099999999999994</v>
      </c>
      <c r="G8" s="17">
        <v>23</v>
      </c>
      <c r="H8" s="89">
        <v>60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1</v>
      </c>
      <c r="S8" s="80" t="s">
        <v>76</v>
      </c>
      <c r="T8" s="5">
        <v>76</v>
      </c>
      <c r="U8" s="9"/>
      <c r="W8" s="87">
        <f t="shared" si="6"/>
        <v>76.099999999999994</v>
      </c>
      <c r="X8" s="88">
        <f t="shared" si="6"/>
        <v>23</v>
      </c>
      <c r="Y8" s="93">
        <f t="shared" si="7"/>
        <v>60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복</v>
      </c>
      <c r="AF8" s="80" t="str">
        <f t="shared" si="11"/>
        <v>3/1</v>
      </c>
      <c r="AH8" s="20" t="str">
        <f t="shared" si="1"/>
        <v>월명</v>
      </c>
      <c r="AI8" s="88">
        <f t="shared" si="0"/>
        <v>23</v>
      </c>
      <c r="AJ8" s="80" t="str">
        <f t="shared" si="12"/>
        <v>A-</v>
      </c>
      <c r="AK8" s="80" t="s">
        <v>14</v>
      </c>
      <c r="AL8" s="80" t="s">
        <v>63</v>
      </c>
      <c r="AM8" s="80" t="s">
        <v>64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X</v>
      </c>
      <c r="AV8" s="80" t="str">
        <f t="shared" si="20"/>
        <v/>
      </c>
    </row>
    <row r="9" spans="1:48" x14ac:dyDescent="0.3">
      <c r="A9" s="9" t="s">
        <v>1095</v>
      </c>
      <c r="B9" s="10" t="s">
        <v>1349</v>
      </c>
      <c r="C9" s="89">
        <v>240</v>
      </c>
      <c r="D9" s="87">
        <v>78.5</v>
      </c>
      <c r="E9" s="88">
        <v>24</v>
      </c>
      <c r="F9" s="87">
        <v>78.5</v>
      </c>
      <c r="G9" s="17">
        <v>24</v>
      </c>
      <c r="H9" s="89">
        <v>60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2</v>
      </c>
      <c r="R9" s="80">
        <v>1</v>
      </c>
      <c r="S9" s="80" t="s">
        <v>61</v>
      </c>
      <c r="T9" s="5">
        <v>78</v>
      </c>
      <c r="U9" s="9"/>
      <c r="W9" s="87">
        <f t="shared" si="6"/>
        <v>78.5</v>
      </c>
      <c r="X9" s="88">
        <f t="shared" si="6"/>
        <v>24</v>
      </c>
      <c r="Y9" s="93">
        <f t="shared" si="7"/>
        <v>60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2/1</v>
      </c>
      <c r="AH9" s="20" t="str">
        <f t="shared" si="1"/>
        <v>월명</v>
      </c>
      <c r="AI9" s="88">
        <f t="shared" si="0"/>
        <v>24</v>
      </c>
      <c r="AJ9" s="80" t="str">
        <f t="shared" si="12"/>
        <v>A-</v>
      </c>
      <c r="AK9" s="80" t="s">
        <v>14</v>
      </c>
      <c r="AL9" s="80" t="s">
        <v>63</v>
      </c>
      <c r="AM9" s="80" t="s">
        <v>64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X</v>
      </c>
      <c r="AV9" s="80" t="str">
        <f t="shared" si="20"/>
        <v/>
      </c>
    </row>
    <row r="10" spans="1:48" x14ac:dyDescent="0.3">
      <c r="A10" s="9" t="s">
        <v>1095</v>
      </c>
      <c r="B10" s="10" t="s">
        <v>1349</v>
      </c>
      <c r="C10" s="89">
        <v>240</v>
      </c>
      <c r="D10" s="87">
        <v>81.2</v>
      </c>
      <c r="E10" s="88">
        <v>25</v>
      </c>
      <c r="F10" s="87">
        <v>81.2</v>
      </c>
      <c r="G10" s="17">
        <v>25</v>
      </c>
      <c r="H10" s="89">
        <v>40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1</v>
      </c>
      <c r="S10" s="80" t="s">
        <v>61</v>
      </c>
      <c r="T10" s="5">
        <v>81</v>
      </c>
      <c r="U10" s="9"/>
      <c r="W10" s="87">
        <f t="shared" si="6"/>
        <v>81.2</v>
      </c>
      <c r="X10" s="88">
        <f t="shared" si="6"/>
        <v>25</v>
      </c>
      <c r="Y10" s="93">
        <f t="shared" si="7"/>
        <v>40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3/1</v>
      </c>
      <c r="AH10" s="20" t="str">
        <f t="shared" si="1"/>
        <v>월명</v>
      </c>
      <c r="AI10" s="88">
        <f t="shared" si="0"/>
        <v>25</v>
      </c>
      <c r="AJ10" s="80" t="str">
        <f t="shared" si="12"/>
        <v>A-</v>
      </c>
      <c r="AK10" s="80" t="s">
        <v>14</v>
      </c>
      <c r="AL10" s="80" t="s">
        <v>63</v>
      </c>
      <c r="AM10" s="80" t="s">
        <v>64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X</v>
      </c>
      <c r="AV10" s="80" t="str">
        <f t="shared" si="20"/>
        <v/>
      </c>
    </row>
    <row r="11" spans="1:48" x14ac:dyDescent="0.3">
      <c r="A11" s="9" t="s">
        <v>1095</v>
      </c>
      <c r="B11" s="10" t="s">
        <v>1349</v>
      </c>
      <c r="C11" s="89">
        <v>240</v>
      </c>
      <c r="D11" s="87">
        <v>83.6</v>
      </c>
      <c r="E11" s="88">
        <v>25</v>
      </c>
      <c r="F11" s="87">
        <v>83.6</v>
      </c>
      <c r="G11" s="17">
        <v>25</v>
      </c>
      <c r="H11" s="89">
        <v>20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1</v>
      </c>
      <c r="S11" s="80" t="s">
        <v>61</v>
      </c>
      <c r="T11" s="5">
        <v>83</v>
      </c>
      <c r="U11" s="9"/>
      <c r="W11" s="87">
        <f t="shared" si="6"/>
        <v>83.6</v>
      </c>
      <c r="X11" s="88">
        <f t="shared" si="6"/>
        <v>25</v>
      </c>
      <c r="Y11" s="93">
        <f t="shared" si="7"/>
        <v>20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3/1</v>
      </c>
      <c r="AH11" s="20" t="str">
        <f t="shared" si="1"/>
        <v>월명</v>
      </c>
      <c r="AI11" s="88">
        <f t="shared" si="0"/>
        <v>25</v>
      </c>
      <c r="AJ11" s="80" t="str">
        <f t="shared" si="12"/>
        <v>A-</v>
      </c>
      <c r="AK11" s="80" t="s">
        <v>14</v>
      </c>
      <c r="AL11" s="80" t="s">
        <v>63</v>
      </c>
      <c r="AM11" s="80" t="s">
        <v>64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X</v>
      </c>
      <c r="AV11" s="80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1357" priority="109">
      <formula>AV4="X"</formula>
    </cfRule>
    <cfRule type="expression" dxfId="1356" priority="110">
      <formula>AV4="후보"</formula>
    </cfRule>
  </conditionalFormatting>
  <conditionalFormatting sqref="AC1:AC2 AC4:AC6 N4:N5">
    <cfRule type="cellIs" dxfId="1355" priority="107" operator="greaterThan">
      <formula>0.9</formula>
    </cfRule>
    <cfRule type="cellIs" dxfId="1354" priority="108" operator="greaterThan">
      <formula>0.85</formula>
    </cfRule>
  </conditionalFormatting>
  <conditionalFormatting sqref="N1:N2">
    <cfRule type="cellIs" dxfId="1353" priority="105" operator="greaterThan">
      <formula>0.9</formula>
    </cfRule>
    <cfRule type="cellIs" dxfId="1352" priority="106" operator="greaterThan">
      <formula>0.85</formula>
    </cfRule>
  </conditionalFormatting>
  <conditionalFormatting sqref="N6">
    <cfRule type="cellIs" dxfId="1351" priority="103" operator="greaterThan">
      <formula>0.9</formula>
    </cfRule>
    <cfRule type="cellIs" dxfId="1350" priority="104" operator="greaterThan">
      <formula>0.85</formula>
    </cfRule>
  </conditionalFormatting>
  <conditionalFormatting sqref="E6">
    <cfRule type="expression" dxfId="1349" priority="99">
      <formula>AND(IF(OR($Q6=1,$Q6=2),1,0),IF($X6&lt;=20,1,0))</formula>
    </cfRule>
    <cfRule type="expression" dxfId="1348" priority="100">
      <formula>AND(IF($Q6=2,1,0),IF($X6&lt;30,1,0))</formula>
    </cfRule>
    <cfRule type="expression" dxfId="1347" priority="101">
      <formula>AND(IF($Q6=3,1,0),IF($X6&lt;30,1,0))</formula>
    </cfRule>
    <cfRule type="expression" dxfId="1346" priority="102">
      <formula>AND(IF($Q6=3,1,IF($Q6=4,1,0)),IF($F6&lt;=85,1,0))</formula>
    </cfRule>
  </conditionalFormatting>
  <conditionalFormatting sqref="X6">
    <cfRule type="expression" dxfId="1345" priority="95">
      <formula>AND(IF(OR($Q6=1,$Q6=2),1,0),IF($X6&lt;=20,1,0))</formula>
    </cfRule>
    <cfRule type="expression" dxfId="1344" priority="96">
      <formula>AND(IF($Q6=2,1,0),IF($X6&lt;30,1,0))</formula>
    </cfRule>
    <cfRule type="expression" dxfId="1343" priority="97">
      <formula>AND(IF($Q6=3,1,0),IF($X6&lt;30,1,0))</formula>
    </cfRule>
    <cfRule type="expression" dxfId="1342" priority="98">
      <formula>AND(IF($Q6=3,1,IF($Q6=4,1,0)),IF($F6&lt;=85,1,0))</formula>
    </cfRule>
  </conditionalFormatting>
  <conditionalFormatting sqref="AI6">
    <cfRule type="expression" dxfId="1341" priority="91">
      <formula>AND(IF(OR($Q6=1,$Q6=2),1,0),IF($X6&lt;=20,1,0))</formula>
    </cfRule>
    <cfRule type="expression" dxfId="1340" priority="92">
      <formula>AND(IF($Q6=2,1,0),IF($X6&lt;30,1,0))</formula>
    </cfRule>
    <cfRule type="expression" dxfId="1339" priority="93">
      <formula>AND(IF($Q6=3,1,0),IF($X6&lt;30,1,0))</formula>
    </cfRule>
    <cfRule type="expression" dxfId="1338" priority="94">
      <formula>AND(IF($Q6=3,1,IF($Q6=4,1,0)),IF($F6&lt;=85,1,0))</formula>
    </cfRule>
  </conditionalFormatting>
  <conditionalFormatting sqref="AV7">
    <cfRule type="expression" dxfId="1337" priority="89">
      <formula>AV7="X"</formula>
    </cfRule>
    <cfRule type="expression" dxfId="1336" priority="90">
      <formula>AV7="후보"</formula>
    </cfRule>
  </conditionalFormatting>
  <conditionalFormatting sqref="AC7">
    <cfRule type="cellIs" dxfId="1335" priority="87" operator="greaterThan">
      <formula>0.9</formula>
    </cfRule>
    <cfRule type="cellIs" dxfId="1334" priority="88" operator="greaterThan">
      <formula>0.85</formula>
    </cfRule>
  </conditionalFormatting>
  <conditionalFormatting sqref="N7">
    <cfRule type="cellIs" dxfId="1333" priority="85" operator="greaterThan">
      <formula>0.9</formula>
    </cfRule>
    <cfRule type="cellIs" dxfId="1332" priority="86" operator="greaterThan">
      <formula>0.85</formula>
    </cfRule>
  </conditionalFormatting>
  <conditionalFormatting sqref="E7">
    <cfRule type="expression" dxfId="1331" priority="81">
      <formula>AND(IF(OR($Q7=1,$Q7=2),1,0),IF($X7&lt;=20,1,0))</formula>
    </cfRule>
    <cfRule type="expression" dxfId="1330" priority="82">
      <formula>AND(IF($Q7=2,1,0),IF($X7&lt;30,1,0))</formula>
    </cfRule>
    <cfRule type="expression" dxfId="1329" priority="83">
      <formula>AND(IF($Q7=3,1,0),IF($X7&lt;30,1,0))</formula>
    </cfRule>
    <cfRule type="expression" dxfId="1328" priority="84">
      <formula>AND(IF($Q7=3,1,IF($Q7=4,1,0)),IF($F7&lt;=85,1,0))</formula>
    </cfRule>
  </conditionalFormatting>
  <conditionalFormatting sqref="X7">
    <cfRule type="expression" dxfId="1327" priority="77">
      <formula>AND(IF(OR($Q7=1,$Q7=2),1,0),IF($X7&lt;=20,1,0))</formula>
    </cfRule>
    <cfRule type="expression" dxfId="1326" priority="78">
      <formula>AND(IF($Q7=2,1,0),IF($X7&lt;30,1,0))</formula>
    </cfRule>
    <cfRule type="expression" dxfId="1325" priority="79">
      <formula>AND(IF($Q7=3,1,0),IF($X7&lt;30,1,0))</formula>
    </cfRule>
    <cfRule type="expression" dxfId="1324" priority="80">
      <formula>AND(IF($Q7=3,1,IF($Q7=4,1,0)),IF($F7&lt;=85,1,0))</formula>
    </cfRule>
  </conditionalFormatting>
  <conditionalFormatting sqref="AI7">
    <cfRule type="expression" dxfId="1323" priority="73">
      <formula>AND(IF(OR($Q7=1,$Q7=2),1,0),IF($X7&lt;=20,1,0))</formula>
    </cfRule>
    <cfRule type="expression" dxfId="1322" priority="74">
      <formula>AND(IF($Q7=2,1,0),IF($X7&lt;30,1,0))</formula>
    </cfRule>
    <cfRule type="expression" dxfId="1321" priority="75">
      <formula>AND(IF($Q7=3,1,0),IF($X7&lt;30,1,0))</formula>
    </cfRule>
    <cfRule type="expression" dxfId="1320" priority="76">
      <formula>AND(IF($Q7=3,1,IF($Q7=4,1,0)),IF($F7&lt;=85,1,0))</formula>
    </cfRule>
  </conditionalFormatting>
  <conditionalFormatting sqref="AV8">
    <cfRule type="expression" dxfId="1319" priority="71">
      <formula>AV8="X"</formula>
    </cfRule>
    <cfRule type="expression" dxfId="1318" priority="72">
      <formula>AV8="후보"</formula>
    </cfRule>
  </conditionalFormatting>
  <conditionalFormatting sqref="AC8">
    <cfRule type="cellIs" dxfId="1317" priority="69" operator="greaterThan">
      <formula>0.9</formula>
    </cfRule>
    <cfRule type="cellIs" dxfId="1316" priority="70" operator="greaterThan">
      <formula>0.85</formula>
    </cfRule>
  </conditionalFormatting>
  <conditionalFormatting sqref="N8">
    <cfRule type="cellIs" dxfId="1315" priority="67" operator="greaterThan">
      <formula>0.9</formula>
    </cfRule>
    <cfRule type="cellIs" dxfId="1314" priority="68" operator="greaterThan">
      <formula>0.85</formula>
    </cfRule>
  </conditionalFormatting>
  <conditionalFormatting sqref="E8">
    <cfRule type="expression" dxfId="1313" priority="63">
      <formula>AND(IF(OR($Q8=1,$Q8=2),1,0),IF($X8&lt;=20,1,0))</formula>
    </cfRule>
    <cfRule type="expression" dxfId="1312" priority="64">
      <formula>AND(IF($Q8=2,1,0),IF($X8&lt;30,1,0))</formula>
    </cfRule>
    <cfRule type="expression" dxfId="1311" priority="65">
      <formula>AND(IF($Q8=3,1,0),IF($X8&lt;30,1,0))</formula>
    </cfRule>
    <cfRule type="expression" dxfId="1310" priority="66">
      <formula>AND(IF($Q8=3,1,IF($Q8=4,1,0)),IF($F8&lt;=85,1,0))</formula>
    </cfRule>
  </conditionalFormatting>
  <conditionalFormatting sqref="X8">
    <cfRule type="expression" dxfId="1309" priority="59">
      <formula>AND(IF(OR($Q8=1,$Q8=2),1,0),IF($X8&lt;=20,1,0))</formula>
    </cfRule>
    <cfRule type="expression" dxfId="1308" priority="60">
      <formula>AND(IF($Q8=2,1,0),IF($X8&lt;30,1,0))</formula>
    </cfRule>
    <cfRule type="expression" dxfId="1307" priority="61">
      <formula>AND(IF($Q8=3,1,0),IF($X8&lt;30,1,0))</formula>
    </cfRule>
    <cfRule type="expression" dxfId="1306" priority="62">
      <formula>AND(IF($Q8=3,1,IF($Q8=4,1,0)),IF($F8&lt;=85,1,0))</formula>
    </cfRule>
  </conditionalFormatting>
  <conditionalFormatting sqref="AI8">
    <cfRule type="expression" dxfId="1305" priority="55">
      <formula>AND(IF(OR($Q8=1,$Q8=2),1,0),IF($X8&lt;=20,1,0))</formula>
    </cfRule>
    <cfRule type="expression" dxfId="1304" priority="56">
      <formula>AND(IF($Q8=2,1,0),IF($X8&lt;30,1,0))</formula>
    </cfRule>
    <cfRule type="expression" dxfId="1303" priority="57">
      <formula>AND(IF($Q8=3,1,0),IF($X8&lt;30,1,0))</formula>
    </cfRule>
    <cfRule type="expression" dxfId="1302" priority="58">
      <formula>AND(IF($Q8=3,1,IF($Q8=4,1,0)),IF($F8&lt;=85,1,0))</formula>
    </cfRule>
  </conditionalFormatting>
  <conditionalFormatting sqref="AV9">
    <cfRule type="expression" dxfId="1301" priority="53">
      <formula>AV9="X"</formula>
    </cfRule>
    <cfRule type="expression" dxfId="1300" priority="54">
      <formula>AV9="후보"</formula>
    </cfRule>
  </conditionalFormatting>
  <conditionalFormatting sqref="AC9">
    <cfRule type="cellIs" dxfId="1299" priority="51" operator="greaterThan">
      <formula>0.9</formula>
    </cfRule>
    <cfRule type="cellIs" dxfId="1298" priority="52" operator="greaterThan">
      <formula>0.85</formula>
    </cfRule>
  </conditionalFormatting>
  <conditionalFormatting sqref="N9">
    <cfRule type="cellIs" dxfId="1297" priority="49" operator="greaterThan">
      <formula>0.9</formula>
    </cfRule>
    <cfRule type="cellIs" dxfId="1296" priority="50" operator="greaterThan">
      <formula>0.85</formula>
    </cfRule>
  </conditionalFormatting>
  <conditionalFormatting sqref="E9">
    <cfRule type="expression" dxfId="1295" priority="45">
      <formula>AND(IF(OR($Q9=1,$Q9=2),1,0),IF($X9&lt;=20,1,0))</formula>
    </cfRule>
    <cfRule type="expression" dxfId="1294" priority="46">
      <formula>AND(IF($Q9=2,1,0),IF($X9&lt;30,1,0))</formula>
    </cfRule>
    <cfRule type="expression" dxfId="1293" priority="47">
      <formula>AND(IF($Q9=3,1,0),IF($X9&lt;30,1,0))</formula>
    </cfRule>
    <cfRule type="expression" dxfId="1292" priority="48">
      <formula>AND(IF($Q9=3,1,IF($Q9=4,1,0)),IF($F9&lt;=85,1,0))</formula>
    </cfRule>
  </conditionalFormatting>
  <conditionalFormatting sqref="X9">
    <cfRule type="expression" dxfId="1291" priority="41">
      <formula>AND(IF(OR($Q9=1,$Q9=2),1,0),IF($X9&lt;=20,1,0))</formula>
    </cfRule>
    <cfRule type="expression" dxfId="1290" priority="42">
      <formula>AND(IF($Q9=2,1,0),IF($X9&lt;30,1,0))</formula>
    </cfRule>
    <cfRule type="expression" dxfId="1289" priority="43">
      <formula>AND(IF($Q9=3,1,0),IF($X9&lt;30,1,0))</formula>
    </cfRule>
    <cfRule type="expression" dxfId="1288" priority="44">
      <formula>AND(IF($Q9=3,1,IF($Q9=4,1,0)),IF($F9&lt;=85,1,0))</formula>
    </cfRule>
  </conditionalFormatting>
  <conditionalFormatting sqref="AI9">
    <cfRule type="expression" dxfId="1287" priority="37">
      <formula>AND(IF(OR($Q9=1,$Q9=2),1,0),IF($X9&lt;=20,1,0))</formula>
    </cfRule>
    <cfRule type="expression" dxfId="1286" priority="38">
      <formula>AND(IF($Q9=2,1,0),IF($X9&lt;30,1,0))</formula>
    </cfRule>
    <cfRule type="expression" dxfId="1285" priority="39">
      <formula>AND(IF($Q9=3,1,0),IF($X9&lt;30,1,0))</formula>
    </cfRule>
    <cfRule type="expression" dxfId="1284" priority="40">
      <formula>AND(IF($Q9=3,1,IF($Q9=4,1,0)),IF($F9&lt;=85,1,0))</formula>
    </cfRule>
  </conditionalFormatting>
  <conditionalFormatting sqref="AV10">
    <cfRule type="expression" dxfId="1283" priority="35">
      <formula>AV10="X"</formula>
    </cfRule>
    <cfRule type="expression" dxfId="1282" priority="36">
      <formula>AV10="후보"</formula>
    </cfRule>
  </conditionalFormatting>
  <conditionalFormatting sqref="AC10">
    <cfRule type="cellIs" dxfId="1281" priority="33" operator="greaterThan">
      <formula>0.9</formula>
    </cfRule>
    <cfRule type="cellIs" dxfId="1280" priority="34" operator="greaterThan">
      <formula>0.85</formula>
    </cfRule>
  </conditionalFormatting>
  <conditionalFormatting sqref="N10">
    <cfRule type="cellIs" dxfId="1279" priority="31" operator="greaterThan">
      <formula>0.9</formula>
    </cfRule>
    <cfRule type="cellIs" dxfId="1278" priority="32" operator="greaterThan">
      <formula>0.85</formula>
    </cfRule>
  </conditionalFormatting>
  <conditionalFormatting sqref="E10">
    <cfRule type="expression" dxfId="1277" priority="27">
      <formula>AND(IF(OR($Q10=1,$Q10=2),1,0),IF($X10&lt;=20,1,0))</formula>
    </cfRule>
    <cfRule type="expression" dxfId="1276" priority="28">
      <formula>AND(IF($Q10=2,1,0),IF($X10&lt;30,1,0))</formula>
    </cfRule>
    <cfRule type="expression" dxfId="1275" priority="29">
      <formula>AND(IF($Q10=3,1,0),IF($X10&lt;30,1,0))</formula>
    </cfRule>
    <cfRule type="expression" dxfId="1274" priority="30">
      <formula>AND(IF($Q10=3,1,IF($Q10=4,1,0)),IF($F10&lt;=85,1,0))</formula>
    </cfRule>
  </conditionalFormatting>
  <conditionalFormatting sqref="X10">
    <cfRule type="expression" dxfId="1273" priority="23">
      <formula>AND(IF(OR($Q10=1,$Q10=2),1,0),IF($X10&lt;=20,1,0))</formula>
    </cfRule>
    <cfRule type="expression" dxfId="1272" priority="24">
      <formula>AND(IF($Q10=2,1,0),IF($X10&lt;30,1,0))</formula>
    </cfRule>
    <cfRule type="expression" dxfId="1271" priority="25">
      <formula>AND(IF($Q10=3,1,0),IF($X10&lt;30,1,0))</formula>
    </cfRule>
    <cfRule type="expression" dxfId="1270" priority="26">
      <formula>AND(IF($Q10=3,1,IF($Q10=4,1,0)),IF($F10&lt;=85,1,0))</formula>
    </cfRule>
  </conditionalFormatting>
  <conditionalFormatting sqref="AI10">
    <cfRule type="expression" dxfId="1269" priority="19">
      <formula>AND(IF(OR($Q10=1,$Q10=2),1,0),IF($X10&lt;=20,1,0))</formula>
    </cfRule>
    <cfRule type="expression" dxfId="1268" priority="20">
      <formula>AND(IF($Q10=2,1,0),IF($X10&lt;30,1,0))</formula>
    </cfRule>
    <cfRule type="expression" dxfId="1267" priority="21">
      <formula>AND(IF($Q10=3,1,0),IF($X10&lt;30,1,0))</formula>
    </cfRule>
    <cfRule type="expression" dxfId="1266" priority="22">
      <formula>AND(IF($Q10=3,1,IF($Q10=4,1,0)),IF($F10&lt;=85,1,0))</formula>
    </cfRule>
  </conditionalFormatting>
  <conditionalFormatting sqref="AV11">
    <cfRule type="expression" dxfId="1265" priority="17">
      <formula>AV11="X"</formula>
    </cfRule>
    <cfRule type="expression" dxfId="1264" priority="18">
      <formula>AV11="후보"</formula>
    </cfRule>
  </conditionalFormatting>
  <conditionalFormatting sqref="AC11">
    <cfRule type="cellIs" dxfId="1263" priority="15" operator="greaterThan">
      <formula>0.9</formula>
    </cfRule>
    <cfRule type="cellIs" dxfId="1262" priority="16" operator="greaterThan">
      <formula>0.85</formula>
    </cfRule>
  </conditionalFormatting>
  <conditionalFormatting sqref="N11">
    <cfRule type="cellIs" dxfId="1261" priority="13" operator="greaterThan">
      <formula>0.9</formula>
    </cfRule>
    <cfRule type="cellIs" dxfId="1260" priority="14" operator="greaterThan">
      <formula>0.85</formula>
    </cfRule>
  </conditionalFormatting>
  <conditionalFormatting sqref="E11">
    <cfRule type="expression" dxfId="1259" priority="9">
      <formula>AND(IF(OR($Q11=1,$Q11=2),1,0),IF($X11&lt;=20,1,0))</formula>
    </cfRule>
    <cfRule type="expression" dxfId="1258" priority="10">
      <formula>AND(IF($Q11=2,1,0),IF($X11&lt;30,1,0))</formula>
    </cfRule>
    <cfRule type="expression" dxfId="1257" priority="11">
      <formula>AND(IF($Q11=3,1,0),IF($X11&lt;30,1,0))</formula>
    </cfRule>
    <cfRule type="expression" dxfId="1256" priority="12">
      <formula>AND(IF($Q11=3,1,IF($Q11=4,1,0)),IF($F11&lt;=85,1,0))</formula>
    </cfRule>
  </conditionalFormatting>
  <conditionalFormatting sqref="X11">
    <cfRule type="expression" dxfId="1255" priority="5">
      <formula>AND(IF(OR($Q11=1,$Q11=2),1,0),IF($X11&lt;=20,1,0))</formula>
    </cfRule>
    <cfRule type="expression" dxfId="1254" priority="6">
      <formula>AND(IF($Q11=2,1,0),IF($X11&lt;30,1,0))</formula>
    </cfRule>
    <cfRule type="expression" dxfId="1253" priority="7">
      <formula>AND(IF($Q11=3,1,0),IF($X11&lt;30,1,0))</formula>
    </cfRule>
    <cfRule type="expression" dxfId="1252" priority="8">
      <formula>AND(IF($Q11=3,1,IF($Q11=4,1,0)),IF($F11&lt;=85,1,0))</formula>
    </cfRule>
  </conditionalFormatting>
  <conditionalFormatting sqref="AI11">
    <cfRule type="expression" dxfId="1251" priority="1">
      <formula>AND(IF(OR($Q11=1,$Q11=2),1,0),IF($X11&lt;=20,1,0))</formula>
    </cfRule>
    <cfRule type="expression" dxfId="1250" priority="2">
      <formula>AND(IF($Q11=2,1,0),IF($X11&lt;30,1,0))</formula>
    </cfRule>
    <cfRule type="expression" dxfId="1249" priority="3">
      <formula>AND(IF($Q11=3,1,0),IF($X11&lt;30,1,0))</formula>
    </cfRule>
    <cfRule type="expression" dxfId="124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오식도동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1106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오식도동 한성필하우스('12.08.,892^)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1102</v>
      </c>
      <c r="B6" s="10" t="s">
        <v>1350</v>
      </c>
      <c r="C6" s="89">
        <v>892</v>
      </c>
      <c r="D6" s="87">
        <v>50.2</v>
      </c>
      <c r="E6" s="88">
        <v>15</v>
      </c>
      <c r="F6" s="87">
        <v>35.4</v>
      </c>
      <c r="G6" s="17">
        <v>11</v>
      </c>
      <c r="H6" s="89">
        <v>4</v>
      </c>
      <c r="I6" s="90">
        <v>8500</v>
      </c>
      <c r="J6" s="90" t="s">
        <v>120</v>
      </c>
      <c r="K6" s="90"/>
      <c r="L6" s="90"/>
      <c r="M6" s="91">
        <f>I6-K6</f>
        <v>8500</v>
      </c>
      <c r="N6" s="4">
        <f>IF(ISERROR(K6/I6),"",K6/I6)</f>
        <v>0</v>
      </c>
      <c r="O6" s="92">
        <f>I6/E6</f>
        <v>566.66666666666663</v>
      </c>
      <c r="P6" s="92">
        <f>K6/E6</f>
        <v>0</v>
      </c>
      <c r="Q6" s="80">
        <v>2</v>
      </c>
      <c r="R6" s="80">
        <v>1</v>
      </c>
      <c r="S6" s="80" t="s">
        <v>61</v>
      </c>
      <c r="T6" s="5">
        <v>50</v>
      </c>
      <c r="U6" s="9"/>
      <c r="W6" s="87">
        <f t="shared" ref="W6:X9" si="1">D6</f>
        <v>50.2</v>
      </c>
      <c r="X6" s="88">
        <f t="shared" si="1"/>
        <v>15</v>
      </c>
      <c r="Y6" s="93">
        <f t="shared" ref="Y6:Z9" si="2">H6</f>
        <v>4</v>
      </c>
      <c r="Z6" s="91">
        <f t="shared" si="2"/>
        <v>8500</v>
      </c>
      <c r="AA6" s="91">
        <f>K6</f>
        <v>0</v>
      </c>
      <c r="AB6" s="91">
        <f t="shared" ref="AB6:AD9" si="3">M6</f>
        <v>8500</v>
      </c>
      <c r="AC6" s="4">
        <f t="shared" si="3"/>
        <v>0</v>
      </c>
      <c r="AD6" s="92">
        <f t="shared" si="3"/>
        <v>566.66666666666663</v>
      </c>
      <c r="AE6" s="80" t="str">
        <f>S6</f>
        <v>계</v>
      </c>
      <c r="AF6" s="80" t="str">
        <f>Q6&amp;"/"&amp;R6</f>
        <v>2/1</v>
      </c>
      <c r="AH6" s="20" t="str">
        <f>IF(A6="","",A6)</f>
        <v>한성필하우스</v>
      </c>
      <c r="AI6" s="88">
        <f t="shared" si="0"/>
        <v>15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1102</v>
      </c>
      <c r="B7" s="10" t="s">
        <v>1350</v>
      </c>
      <c r="C7" s="89">
        <v>892</v>
      </c>
      <c r="D7" s="87">
        <v>82.6</v>
      </c>
      <c r="E7" s="88">
        <v>25</v>
      </c>
      <c r="F7" s="87">
        <v>60</v>
      </c>
      <c r="G7" s="17">
        <v>18</v>
      </c>
      <c r="H7" s="89">
        <v>17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61</v>
      </c>
      <c r="T7" s="5" t="s">
        <v>90</v>
      </c>
      <c r="U7" s="9"/>
      <c r="W7" s="87">
        <f t="shared" si="1"/>
        <v>82.6</v>
      </c>
      <c r="X7" s="88">
        <f t="shared" si="1"/>
        <v>25</v>
      </c>
      <c r="Y7" s="93">
        <f t="shared" si="2"/>
        <v>17</v>
      </c>
      <c r="Z7" s="91">
        <f t="shared" si="2"/>
        <v>0</v>
      </c>
      <c r="AA7" s="91">
        <f>K7</f>
        <v>0</v>
      </c>
      <c r="AB7" s="91">
        <f t="shared" si="3"/>
        <v>0</v>
      </c>
      <c r="AC7" s="4" t="str">
        <f t="shared" si="3"/>
        <v/>
      </c>
      <c r="AD7" s="92">
        <f t="shared" si="3"/>
        <v>0</v>
      </c>
      <c r="AE7" s="80" t="str">
        <f>S7</f>
        <v>계</v>
      </c>
      <c r="AF7" s="80" t="str">
        <f>Q7&amp;"/"&amp;R7</f>
        <v>3/2</v>
      </c>
      <c r="AH7" s="20" t="str">
        <f>IF(A7="","",A7)</f>
        <v>한성필하우스</v>
      </c>
      <c r="AI7" s="88">
        <f t="shared" si="0"/>
        <v>25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 t="s">
        <v>1102</v>
      </c>
      <c r="B8" s="10" t="s">
        <v>1350</v>
      </c>
      <c r="C8" s="89">
        <v>892</v>
      </c>
      <c r="D8" s="87">
        <v>83.8</v>
      </c>
      <c r="E8" s="88">
        <v>25</v>
      </c>
      <c r="F8" s="87">
        <v>60</v>
      </c>
      <c r="G8" s="17">
        <v>18</v>
      </c>
      <c r="H8" s="89">
        <v>51</v>
      </c>
      <c r="I8" s="90">
        <v>12800</v>
      </c>
      <c r="J8" s="90" t="s">
        <v>65</v>
      </c>
      <c r="K8" s="90"/>
      <c r="L8" s="90"/>
      <c r="M8" s="91">
        <f>I8-K8</f>
        <v>12800</v>
      </c>
      <c r="N8" s="4">
        <f>IF(ISERROR(K8/I8),"",K8/I8)</f>
        <v>0</v>
      </c>
      <c r="O8" s="92">
        <f>I8/E8</f>
        <v>512</v>
      </c>
      <c r="P8" s="92">
        <f>K8/E8</f>
        <v>0</v>
      </c>
      <c r="Q8" s="80">
        <v>3</v>
      </c>
      <c r="R8" s="80">
        <v>2</v>
      </c>
      <c r="S8" s="80" t="s">
        <v>61</v>
      </c>
      <c r="T8" s="5" t="s">
        <v>1108</v>
      </c>
      <c r="U8" s="9"/>
      <c r="W8" s="87">
        <f t="shared" si="1"/>
        <v>83.8</v>
      </c>
      <c r="X8" s="88">
        <f t="shared" si="1"/>
        <v>25</v>
      </c>
      <c r="Y8" s="93">
        <f t="shared" si="2"/>
        <v>51</v>
      </c>
      <c r="Z8" s="91">
        <f t="shared" si="2"/>
        <v>12800</v>
      </c>
      <c r="AA8" s="91">
        <f>K8</f>
        <v>0</v>
      </c>
      <c r="AB8" s="91">
        <f t="shared" si="3"/>
        <v>12800</v>
      </c>
      <c r="AC8" s="4">
        <f t="shared" si="3"/>
        <v>0</v>
      </c>
      <c r="AD8" s="92">
        <f t="shared" si="3"/>
        <v>512</v>
      </c>
      <c r="AE8" s="80" t="str">
        <f>S8</f>
        <v>계</v>
      </c>
      <c r="AF8" s="80" t="str">
        <f>Q8&amp;"/"&amp;R8</f>
        <v>3/2</v>
      </c>
      <c r="AH8" s="20" t="str">
        <f>IF(A8="","",A8)</f>
        <v>한성필하우스</v>
      </c>
      <c r="AI8" s="88">
        <f t="shared" si="0"/>
        <v>25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 t="s">
        <v>1102</v>
      </c>
      <c r="B9" s="10" t="s">
        <v>1350</v>
      </c>
      <c r="C9" s="89">
        <v>892</v>
      </c>
      <c r="D9" s="87">
        <v>84.4</v>
      </c>
      <c r="E9" s="88">
        <v>26</v>
      </c>
      <c r="F9" s="87">
        <v>59.9</v>
      </c>
      <c r="G9" s="17">
        <v>18</v>
      </c>
      <c r="H9" s="89">
        <v>465</v>
      </c>
      <c r="I9" s="90">
        <v>12500</v>
      </c>
      <c r="J9" s="90" t="s">
        <v>70</v>
      </c>
      <c r="K9" s="90">
        <v>8000</v>
      </c>
      <c r="L9" s="90" t="s">
        <v>88</v>
      </c>
      <c r="M9" s="91">
        <f>I9-K9</f>
        <v>4500</v>
      </c>
      <c r="N9" s="4">
        <f>IF(ISERROR(K9/I9),"",K9/I9)</f>
        <v>0.64</v>
      </c>
      <c r="O9" s="92">
        <f>I9/E9</f>
        <v>480.76923076923077</v>
      </c>
      <c r="P9" s="92">
        <f>K9/E9</f>
        <v>307.69230769230768</v>
      </c>
      <c r="Q9" s="80">
        <v>3</v>
      </c>
      <c r="R9" s="80">
        <v>2</v>
      </c>
      <c r="S9" s="80" t="s">
        <v>61</v>
      </c>
      <c r="T9" s="5" t="s">
        <v>131</v>
      </c>
      <c r="U9" s="9"/>
      <c r="W9" s="87">
        <f t="shared" si="1"/>
        <v>84.4</v>
      </c>
      <c r="X9" s="88">
        <f t="shared" si="1"/>
        <v>26</v>
      </c>
      <c r="Y9" s="93">
        <f t="shared" si="2"/>
        <v>465</v>
      </c>
      <c r="Z9" s="91">
        <f t="shared" si="2"/>
        <v>12500</v>
      </c>
      <c r="AA9" s="91">
        <f>K9</f>
        <v>8000</v>
      </c>
      <c r="AB9" s="91">
        <f t="shared" si="3"/>
        <v>4500</v>
      </c>
      <c r="AC9" s="4">
        <f t="shared" si="3"/>
        <v>0.64</v>
      </c>
      <c r="AD9" s="92">
        <f t="shared" si="3"/>
        <v>480.76923076923077</v>
      </c>
      <c r="AE9" s="80" t="str">
        <f>S9</f>
        <v>계</v>
      </c>
      <c r="AF9" s="80" t="str">
        <f>Q9&amp;"/"&amp;R9</f>
        <v>3/2</v>
      </c>
      <c r="AH9" s="20" t="str">
        <f>IF(A9="","",A9)</f>
        <v>한성필하우스</v>
      </c>
      <c r="AI9" s="88">
        <f t="shared" si="0"/>
        <v>26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X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1247" priority="73">
      <formula>AV4="X"</formula>
    </cfRule>
    <cfRule type="expression" dxfId="1246" priority="74">
      <formula>AV4="후보"</formula>
    </cfRule>
  </conditionalFormatting>
  <conditionalFormatting sqref="AC1:AC2 AC4:AC6 N4:N5">
    <cfRule type="cellIs" dxfId="1245" priority="71" operator="greaterThan">
      <formula>0.9</formula>
    </cfRule>
    <cfRule type="cellIs" dxfId="1244" priority="72" operator="greaterThan">
      <formula>0.85</formula>
    </cfRule>
  </conditionalFormatting>
  <conditionalFormatting sqref="N1:N2">
    <cfRule type="cellIs" dxfId="1243" priority="69" operator="greaterThan">
      <formula>0.9</formula>
    </cfRule>
    <cfRule type="cellIs" dxfId="1242" priority="70" operator="greaterThan">
      <formula>0.85</formula>
    </cfRule>
  </conditionalFormatting>
  <conditionalFormatting sqref="N6">
    <cfRule type="cellIs" dxfId="1241" priority="67" operator="greaterThan">
      <formula>0.9</formula>
    </cfRule>
    <cfRule type="cellIs" dxfId="1240" priority="68" operator="greaterThan">
      <formula>0.85</formula>
    </cfRule>
  </conditionalFormatting>
  <conditionalFormatting sqref="E6">
    <cfRule type="expression" dxfId="1239" priority="63">
      <formula>AND(IF(OR($Q6=1,$Q6=2),1,0),IF($X6&lt;=20,1,0))</formula>
    </cfRule>
    <cfRule type="expression" dxfId="1238" priority="64">
      <formula>AND(IF($Q6=2,1,0),IF($X6&lt;30,1,0))</formula>
    </cfRule>
    <cfRule type="expression" dxfId="1237" priority="65">
      <formula>AND(IF($Q6=3,1,0),IF($X6&lt;30,1,0))</formula>
    </cfRule>
    <cfRule type="expression" dxfId="1236" priority="66">
      <formula>AND(IF($Q6=3,1,IF($Q6=4,1,0)),IF($F6&lt;=85,1,0))</formula>
    </cfRule>
  </conditionalFormatting>
  <conditionalFormatting sqref="X6">
    <cfRule type="expression" dxfId="1235" priority="59">
      <formula>AND(IF(OR($Q6=1,$Q6=2),1,0),IF($X6&lt;=20,1,0))</formula>
    </cfRule>
    <cfRule type="expression" dxfId="1234" priority="60">
      <formula>AND(IF($Q6=2,1,0),IF($X6&lt;30,1,0))</formula>
    </cfRule>
    <cfRule type="expression" dxfId="1233" priority="61">
      <formula>AND(IF($Q6=3,1,0),IF($X6&lt;30,1,0))</formula>
    </cfRule>
    <cfRule type="expression" dxfId="1232" priority="62">
      <formula>AND(IF($Q6=3,1,IF($Q6=4,1,0)),IF($F6&lt;=85,1,0))</formula>
    </cfRule>
  </conditionalFormatting>
  <conditionalFormatting sqref="AI6">
    <cfRule type="expression" dxfId="1231" priority="55">
      <formula>AND(IF(OR($Q6=1,$Q6=2),1,0),IF($X6&lt;=20,1,0))</formula>
    </cfRule>
    <cfRule type="expression" dxfId="1230" priority="56">
      <formula>AND(IF($Q6=2,1,0),IF($X6&lt;30,1,0))</formula>
    </cfRule>
    <cfRule type="expression" dxfId="1229" priority="57">
      <formula>AND(IF($Q6=3,1,0),IF($X6&lt;30,1,0))</formula>
    </cfRule>
    <cfRule type="expression" dxfId="1228" priority="58">
      <formula>AND(IF($Q6=3,1,IF($Q6=4,1,0)),IF($F6&lt;=85,1,0))</formula>
    </cfRule>
  </conditionalFormatting>
  <conditionalFormatting sqref="AV7">
    <cfRule type="expression" dxfId="1227" priority="53">
      <formula>AV7="X"</formula>
    </cfRule>
    <cfRule type="expression" dxfId="1226" priority="54">
      <formula>AV7="후보"</formula>
    </cfRule>
  </conditionalFormatting>
  <conditionalFormatting sqref="AC7">
    <cfRule type="cellIs" dxfId="1225" priority="51" operator="greaterThan">
      <formula>0.9</formula>
    </cfRule>
    <cfRule type="cellIs" dxfId="1224" priority="52" operator="greaterThan">
      <formula>0.85</formula>
    </cfRule>
  </conditionalFormatting>
  <conditionalFormatting sqref="N7">
    <cfRule type="cellIs" dxfId="1223" priority="49" operator="greaterThan">
      <formula>0.9</formula>
    </cfRule>
    <cfRule type="cellIs" dxfId="1222" priority="50" operator="greaterThan">
      <formula>0.85</formula>
    </cfRule>
  </conditionalFormatting>
  <conditionalFormatting sqref="E7">
    <cfRule type="expression" dxfId="1221" priority="45">
      <formula>AND(IF(OR($Q7=1,$Q7=2),1,0),IF($X7&lt;=20,1,0))</formula>
    </cfRule>
    <cfRule type="expression" dxfId="1220" priority="46">
      <formula>AND(IF($Q7=2,1,0),IF($X7&lt;30,1,0))</formula>
    </cfRule>
    <cfRule type="expression" dxfId="1219" priority="47">
      <formula>AND(IF($Q7=3,1,0),IF($X7&lt;30,1,0))</formula>
    </cfRule>
    <cfRule type="expression" dxfId="1218" priority="48">
      <formula>AND(IF($Q7=3,1,IF($Q7=4,1,0)),IF($F7&lt;=85,1,0))</formula>
    </cfRule>
  </conditionalFormatting>
  <conditionalFormatting sqref="X7">
    <cfRule type="expression" dxfId="1217" priority="41">
      <formula>AND(IF(OR($Q7=1,$Q7=2),1,0),IF($X7&lt;=20,1,0))</formula>
    </cfRule>
    <cfRule type="expression" dxfId="1216" priority="42">
      <formula>AND(IF($Q7=2,1,0),IF($X7&lt;30,1,0))</formula>
    </cfRule>
    <cfRule type="expression" dxfId="1215" priority="43">
      <formula>AND(IF($Q7=3,1,0),IF($X7&lt;30,1,0))</formula>
    </cfRule>
    <cfRule type="expression" dxfId="1214" priority="44">
      <formula>AND(IF($Q7=3,1,IF($Q7=4,1,0)),IF($F7&lt;=85,1,0))</formula>
    </cfRule>
  </conditionalFormatting>
  <conditionalFormatting sqref="AI7">
    <cfRule type="expression" dxfId="1213" priority="37">
      <formula>AND(IF(OR($Q7=1,$Q7=2),1,0),IF($X7&lt;=20,1,0))</formula>
    </cfRule>
    <cfRule type="expression" dxfId="1212" priority="38">
      <formula>AND(IF($Q7=2,1,0),IF($X7&lt;30,1,0))</formula>
    </cfRule>
    <cfRule type="expression" dxfId="1211" priority="39">
      <formula>AND(IF($Q7=3,1,0),IF($X7&lt;30,1,0))</formula>
    </cfRule>
    <cfRule type="expression" dxfId="1210" priority="40">
      <formula>AND(IF($Q7=3,1,IF($Q7=4,1,0)),IF($F7&lt;=85,1,0))</formula>
    </cfRule>
  </conditionalFormatting>
  <conditionalFormatting sqref="AV8">
    <cfRule type="expression" dxfId="1209" priority="35">
      <formula>AV8="X"</formula>
    </cfRule>
    <cfRule type="expression" dxfId="1208" priority="36">
      <formula>AV8="후보"</formula>
    </cfRule>
  </conditionalFormatting>
  <conditionalFormatting sqref="AC8">
    <cfRule type="cellIs" dxfId="1207" priority="33" operator="greaterThan">
      <formula>0.9</formula>
    </cfRule>
    <cfRule type="cellIs" dxfId="1206" priority="34" operator="greaterThan">
      <formula>0.85</formula>
    </cfRule>
  </conditionalFormatting>
  <conditionalFormatting sqref="N8">
    <cfRule type="cellIs" dxfId="1205" priority="31" operator="greaterThan">
      <formula>0.9</formula>
    </cfRule>
    <cfRule type="cellIs" dxfId="1204" priority="32" operator="greaterThan">
      <formula>0.85</formula>
    </cfRule>
  </conditionalFormatting>
  <conditionalFormatting sqref="E8">
    <cfRule type="expression" dxfId="1203" priority="27">
      <formula>AND(IF(OR($Q8=1,$Q8=2),1,0),IF($X8&lt;=20,1,0))</formula>
    </cfRule>
    <cfRule type="expression" dxfId="1202" priority="28">
      <formula>AND(IF($Q8=2,1,0),IF($X8&lt;30,1,0))</formula>
    </cfRule>
    <cfRule type="expression" dxfId="1201" priority="29">
      <formula>AND(IF($Q8=3,1,0),IF($X8&lt;30,1,0))</formula>
    </cfRule>
    <cfRule type="expression" dxfId="1200" priority="30">
      <formula>AND(IF($Q8=3,1,IF($Q8=4,1,0)),IF($F8&lt;=85,1,0))</formula>
    </cfRule>
  </conditionalFormatting>
  <conditionalFormatting sqref="X8">
    <cfRule type="expression" dxfId="1199" priority="23">
      <formula>AND(IF(OR($Q8=1,$Q8=2),1,0),IF($X8&lt;=20,1,0))</formula>
    </cfRule>
    <cfRule type="expression" dxfId="1198" priority="24">
      <formula>AND(IF($Q8=2,1,0),IF($X8&lt;30,1,0))</formula>
    </cfRule>
    <cfRule type="expression" dxfId="1197" priority="25">
      <formula>AND(IF($Q8=3,1,0),IF($X8&lt;30,1,0))</formula>
    </cfRule>
    <cfRule type="expression" dxfId="1196" priority="26">
      <formula>AND(IF($Q8=3,1,IF($Q8=4,1,0)),IF($F8&lt;=85,1,0))</formula>
    </cfRule>
  </conditionalFormatting>
  <conditionalFormatting sqref="AI8">
    <cfRule type="expression" dxfId="1195" priority="19">
      <formula>AND(IF(OR($Q8=1,$Q8=2),1,0),IF($X8&lt;=20,1,0))</formula>
    </cfRule>
    <cfRule type="expression" dxfId="1194" priority="20">
      <formula>AND(IF($Q8=2,1,0),IF($X8&lt;30,1,0))</formula>
    </cfRule>
    <cfRule type="expression" dxfId="1193" priority="21">
      <formula>AND(IF($Q8=3,1,0),IF($X8&lt;30,1,0))</formula>
    </cfRule>
    <cfRule type="expression" dxfId="1192" priority="22">
      <formula>AND(IF($Q8=3,1,IF($Q8=4,1,0)),IF($F8&lt;=85,1,0))</formula>
    </cfRule>
  </conditionalFormatting>
  <conditionalFormatting sqref="AV9">
    <cfRule type="expression" dxfId="1191" priority="17">
      <formula>AV9="X"</formula>
    </cfRule>
    <cfRule type="expression" dxfId="1190" priority="18">
      <formula>AV9="후보"</formula>
    </cfRule>
  </conditionalFormatting>
  <conditionalFormatting sqref="AC9">
    <cfRule type="cellIs" dxfId="1189" priority="15" operator="greaterThan">
      <formula>0.9</formula>
    </cfRule>
    <cfRule type="cellIs" dxfId="1188" priority="16" operator="greaterThan">
      <formula>0.85</formula>
    </cfRule>
  </conditionalFormatting>
  <conditionalFormatting sqref="N9">
    <cfRule type="cellIs" dxfId="1187" priority="13" operator="greaterThan">
      <formula>0.9</formula>
    </cfRule>
    <cfRule type="cellIs" dxfId="1186" priority="14" operator="greaterThan">
      <formula>0.85</formula>
    </cfRule>
  </conditionalFormatting>
  <conditionalFormatting sqref="E9">
    <cfRule type="expression" dxfId="1185" priority="9">
      <formula>AND(IF(OR($Q9=1,$Q9=2),1,0),IF($X9&lt;=20,1,0))</formula>
    </cfRule>
    <cfRule type="expression" dxfId="1184" priority="10">
      <formula>AND(IF($Q9=2,1,0),IF($X9&lt;30,1,0))</formula>
    </cfRule>
    <cfRule type="expression" dxfId="1183" priority="11">
      <formula>AND(IF($Q9=3,1,0),IF($X9&lt;30,1,0))</formula>
    </cfRule>
    <cfRule type="expression" dxfId="1182" priority="12">
      <formula>AND(IF($Q9=3,1,IF($Q9=4,1,0)),IF($F9&lt;=85,1,0))</formula>
    </cfRule>
  </conditionalFormatting>
  <conditionalFormatting sqref="X9">
    <cfRule type="expression" dxfId="1181" priority="5">
      <formula>AND(IF(OR($Q9=1,$Q9=2),1,0),IF($X9&lt;=20,1,0))</formula>
    </cfRule>
    <cfRule type="expression" dxfId="1180" priority="6">
      <formula>AND(IF($Q9=2,1,0),IF($X9&lt;30,1,0))</formula>
    </cfRule>
    <cfRule type="expression" dxfId="1179" priority="7">
      <formula>AND(IF($Q9=3,1,0),IF($X9&lt;30,1,0))</formula>
    </cfRule>
    <cfRule type="expression" dxfId="1178" priority="8">
      <formula>AND(IF($Q9=3,1,IF($Q9=4,1,0)),IF($F9&lt;=85,1,0))</formula>
    </cfRule>
  </conditionalFormatting>
  <conditionalFormatting sqref="AI9">
    <cfRule type="expression" dxfId="1177" priority="1">
      <formula>AND(IF(OR($Q9=1,$Q9=2),1,0),IF($X9&lt;=20,1,0))</formula>
    </cfRule>
    <cfRule type="expression" dxfId="1176" priority="2">
      <formula>AND(IF($Q9=2,1,0),IF($X9&lt;30,1,0))</formula>
    </cfRule>
    <cfRule type="expression" dxfId="1175" priority="3">
      <formula>AND(IF($Q9=3,1,0),IF($X9&lt;30,1,0))</formula>
    </cfRule>
    <cfRule type="expression" dxfId="117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옥산면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1114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옥산면 힐스테이트은파('15.09.,449^)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1110</v>
      </c>
      <c r="B6" s="10" t="s">
        <v>1351</v>
      </c>
      <c r="C6" s="89">
        <v>449</v>
      </c>
      <c r="D6" s="87">
        <v>110.9</v>
      </c>
      <c r="E6" s="88">
        <v>34</v>
      </c>
      <c r="F6" s="87">
        <v>85</v>
      </c>
      <c r="G6" s="17">
        <v>26</v>
      </c>
      <c r="H6" s="89">
        <v>449</v>
      </c>
      <c r="I6" s="90">
        <v>27500</v>
      </c>
      <c r="J6" s="90" t="s">
        <v>80</v>
      </c>
      <c r="K6" s="90">
        <v>23000</v>
      </c>
      <c r="L6" s="90" t="s">
        <v>71</v>
      </c>
      <c r="M6" s="91">
        <f>I6-K6</f>
        <v>4500</v>
      </c>
      <c r="N6" s="4">
        <f>IF(ISERROR(K6/I6),"",K6/I6)</f>
        <v>0.83636363636363631</v>
      </c>
      <c r="O6" s="92">
        <f>I6/E6</f>
        <v>808.82352941176475</v>
      </c>
      <c r="P6" s="92">
        <f>K6/E6</f>
        <v>676.47058823529414</v>
      </c>
      <c r="Q6" s="80">
        <v>3</v>
      </c>
      <c r="R6" s="80">
        <v>2</v>
      </c>
      <c r="S6" s="80" t="s">
        <v>61</v>
      </c>
      <c r="T6" s="5">
        <v>110</v>
      </c>
      <c r="U6" s="9"/>
      <c r="W6" s="87">
        <f>D6</f>
        <v>110.9</v>
      </c>
      <c r="X6" s="88">
        <f>E6</f>
        <v>34</v>
      </c>
      <c r="Y6" s="93">
        <f>H6</f>
        <v>449</v>
      </c>
      <c r="Z6" s="91">
        <f>I6</f>
        <v>27500</v>
      </c>
      <c r="AA6" s="91">
        <f>K6</f>
        <v>23000</v>
      </c>
      <c r="AB6" s="91">
        <f>M6</f>
        <v>4500</v>
      </c>
      <c r="AC6" s="4">
        <f>N6</f>
        <v>0.83636363636363631</v>
      </c>
      <c r="AD6" s="92">
        <f>O6</f>
        <v>808.82352941176475</v>
      </c>
      <c r="AE6" s="80" t="str">
        <f>S6</f>
        <v>계</v>
      </c>
      <c r="AF6" s="80" t="str">
        <f>Q6&amp;"/"&amp;R6</f>
        <v>3/2</v>
      </c>
      <c r="AH6" s="20" t="str">
        <f t="shared" si="1"/>
        <v>힐스테이트은파</v>
      </c>
      <c r="AI6" s="88">
        <f t="shared" si="0"/>
        <v>34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7" t="str">
        <f>$A$4&amp;" "&amp;A8&amp;"("&amp;B8&amp;","&amp;C8&amp;"^)"</f>
        <v>옥산면 군산대광로제비앙('17.12.,469^)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1116</v>
      </c>
      <c r="B8" s="10" t="s">
        <v>1352</v>
      </c>
      <c r="C8" s="89">
        <v>469</v>
      </c>
      <c r="D8" s="87">
        <v>109.8</v>
      </c>
      <c r="E8" s="88">
        <v>33</v>
      </c>
      <c r="F8" s="87">
        <v>85</v>
      </c>
      <c r="G8" s="17">
        <v>26</v>
      </c>
      <c r="H8" s="89">
        <v>380</v>
      </c>
      <c r="I8" s="90">
        <v>31000</v>
      </c>
      <c r="J8" s="90" t="s">
        <v>77</v>
      </c>
      <c r="K8" s="90">
        <v>30000</v>
      </c>
      <c r="L8" s="90" t="s">
        <v>81</v>
      </c>
      <c r="M8" s="91">
        <f>I8-K8</f>
        <v>1000</v>
      </c>
      <c r="N8" s="4">
        <f>IF(ISERROR(K8/I8),"",K8/I8)</f>
        <v>0.967741935483871</v>
      </c>
      <c r="O8" s="92">
        <f>I8/E8</f>
        <v>939.39393939393938</v>
      </c>
      <c r="P8" s="92">
        <f>K8/E8</f>
        <v>909.09090909090912</v>
      </c>
      <c r="Q8" s="80">
        <v>3</v>
      </c>
      <c r="R8" s="80">
        <v>2</v>
      </c>
      <c r="S8" s="80" t="s">
        <v>61</v>
      </c>
      <c r="T8" s="5" t="s">
        <v>123</v>
      </c>
      <c r="U8" s="9"/>
      <c r="W8" s="87">
        <f t="shared" ref="W8:X10" si="2">D8</f>
        <v>109.8</v>
      </c>
      <c r="X8" s="88">
        <f t="shared" si="2"/>
        <v>33</v>
      </c>
      <c r="Y8" s="93">
        <f t="shared" ref="Y8:Z10" si="3">H8</f>
        <v>380</v>
      </c>
      <c r="Z8" s="91">
        <f t="shared" si="3"/>
        <v>31000</v>
      </c>
      <c r="AA8" s="91">
        <f>K8</f>
        <v>30000</v>
      </c>
      <c r="AB8" s="91">
        <f t="shared" ref="AB8:AD10" si="4">M8</f>
        <v>1000</v>
      </c>
      <c r="AC8" s="4">
        <f t="shared" si="4"/>
        <v>0.967741935483871</v>
      </c>
      <c r="AD8" s="92">
        <f t="shared" si="4"/>
        <v>939.39393939393938</v>
      </c>
      <c r="AE8" s="80" t="str">
        <f>S8</f>
        <v>계</v>
      </c>
      <c r="AF8" s="80" t="str">
        <f>Q8&amp;"/"&amp;R8</f>
        <v>3/2</v>
      </c>
      <c r="AH8" s="20" t="str">
        <f t="shared" si="1"/>
        <v>군산대광로제비앙</v>
      </c>
      <c r="AI8" s="88">
        <f t="shared" si="0"/>
        <v>33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 t="s">
        <v>1116</v>
      </c>
      <c r="B9" s="10" t="s">
        <v>1352</v>
      </c>
      <c r="C9" s="89">
        <v>469</v>
      </c>
      <c r="D9" s="87">
        <v>111.4</v>
      </c>
      <c r="E9" s="88">
        <v>34</v>
      </c>
      <c r="F9" s="87">
        <v>85</v>
      </c>
      <c r="G9" s="17">
        <v>26</v>
      </c>
      <c r="H9" s="89">
        <v>46</v>
      </c>
      <c r="I9" s="90">
        <v>31500</v>
      </c>
      <c r="J9" s="90" t="s">
        <v>70</v>
      </c>
      <c r="K9" s="90">
        <v>25000</v>
      </c>
      <c r="L9" s="90" t="s">
        <v>124</v>
      </c>
      <c r="M9" s="91">
        <f>I9-K9</f>
        <v>6500</v>
      </c>
      <c r="N9" s="4">
        <f>IF(ISERROR(K9/I9),"",K9/I9)</f>
        <v>0.79365079365079361</v>
      </c>
      <c r="O9" s="92">
        <f>I9/E9</f>
        <v>926.47058823529414</v>
      </c>
      <c r="P9" s="92">
        <f>K9/E9</f>
        <v>735.29411764705878</v>
      </c>
      <c r="Q9" s="80">
        <v>3</v>
      </c>
      <c r="R9" s="80">
        <v>2</v>
      </c>
      <c r="S9" s="80" t="s">
        <v>61</v>
      </c>
      <c r="T9" s="5" t="s">
        <v>78</v>
      </c>
      <c r="U9" s="9"/>
      <c r="W9" s="87">
        <f t="shared" si="2"/>
        <v>111.4</v>
      </c>
      <c r="X9" s="88">
        <f t="shared" si="2"/>
        <v>34</v>
      </c>
      <c r="Y9" s="93">
        <f t="shared" si="3"/>
        <v>46</v>
      </c>
      <c r="Z9" s="91">
        <f t="shared" si="3"/>
        <v>31500</v>
      </c>
      <c r="AA9" s="91">
        <f>K9</f>
        <v>25000</v>
      </c>
      <c r="AB9" s="91">
        <f t="shared" si="4"/>
        <v>6500</v>
      </c>
      <c r="AC9" s="4">
        <f t="shared" si="4"/>
        <v>0.79365079365079361</v>
      </c>
      <c r="AD9" s="92">
        <f t="shared" si="4"/>
        <v>926.47058823529414</v>
      </c>
      <c r="AE9" s="80" t="str">
        <f>S9</f>
        <v>계</v>
      </c>
      <c r="AF9" s="80" t="str">
        <f>Q9&amp;"/"&amp;R9</f>
        <v>3/2</v>
      </c>
      <c r="AH9" s="20" t="str">
        <f t="shared" si="1"/>
        <v>군산대광로제비앙</v>
      </c>
      <c r="AI9" s="88">
        <f t="shared" si="0"/>
        <v>34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>X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48" x14ac:dyDescent="0.3">
      <c r="A10" s="9" t="s">
        <v>1116</v>
      </c>
      <c r="B10" s="10" t="s">
        <v>1352</v>
      </c>
      <c r="C10" s="89">
        <v>469</v>
      </c>
      <c r="D10" s="87">
        <v>111.6</v>
      </c>
      <c r="E10" s="88">
        <v>34</v>
      </c>
      <c r="F10" s="87">
        <v>85</v>
      </c>
      <c r="G10" s="17">
        <v>26</v>
      </c>
      <c r="H10" s="89">
        <v>43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61</v>
      </c>
      <c r="T10" s="5" t="s">
        <v>79</v>
      </c>
      <c r="U10" s="9"/>
      <c r="W10" s="87">
        <f t="shared" si="2"/>
        <v>111.6</v>
      </c>
      <c r="X10" s="88">
        <f t="shared" si="2"/>
        <v>34</v>
      </c>
      <c r="Y10" s="93">
        <f t="shared" si="3"/>
        <v>43</v>
      </c>
      <c r="Z10" s="91">
        <f t="shared" si="3"/>
        <v>0</v>
      </c>
      <c r="AA10" s="91">
        <f>K10</f>
        <v>0</v>
      </c>
      <c r="AB10" s="91">
        <f t="shared" si="4"/>
        <v>0</v>
      </c>
      <c r="AC10" s="4" t="str">
        <f t="shared" si="4"/>
        <v/>
      </c>
      <c r="AD10" s="92">
        <f t="shared" si="4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군산대광로제비앙</v>
      </c>
      <c r="AI10" s="88">
        <f t="shared" si="0"/>
        <v>34</v>
      </c>
      <c r="AJ10" s="80" t="str">
        <f>IF(AI10="","",$AJ$2)</f>
        <v>A-</v>
      </c>
      <c r="AK10" s="80" t="s">
        <v>14</v>
      </c>
      <c r="AL10" s="80" t="s">
        <v>63</v>
      </c>
      <c r="AM10" s="80" t="s">
        <v>64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1173" priority="77">
      <formula>AV4="X"</formula>
    </cfRule>
    <cfRule type="expression" dxfId="1172" priority="78">
      <formula>AV4="후보"</formula>
    </cfRule>
  </conditionalFormatting>
  <conditionalFormatting sqref="AC1:AC2 AC4:AC6 N4:N5">
    <cfRule type="cellIs" dxfId="1171" priority="75" operator="greaterThan">
      <formula>0.9</formula>
    </cfRule>
    <cfRule type="cellIs" dxfId="1170" priority="76" operator="greaterThan">
      <formula>0.85</formula>
    </cfRule>
  </conditionalFormatting>
  <conditionalFormatting sqref="N1:N2">
    <cfRule type="cellIs" dxfId="1169" priority="73" operator="greaterThan">
      <formula>0.9</formula>
    </cfRule>
    <cfRule type="cellIs" dxfId="1168" priority="74" operator="greaterThan">
      <formula>0.85</formula>
    </cfRule>
  </conditionalFormatting>
  <conditionalFormatting sqref="N6">
    <cfRule type="cellIs" dxfId="1167" priority="71" operator="greaterThan">
      <formula>0.9</formula>
    </cfRule>
    <cfRule type="cellIs" dxfId="1166" priority="72" operator="greaterThan">
      <formula>0.85</formula>
    </cfRule>
  </conditionalFormatting>
  <conditionalFormatting sqref="E6">
    <cfRule type="expression" dxfId="1165" priority="67">
      <formula>AND(IF(OR($Q6=1,$Q6=2),1,0),IF($X6&lt;=20,1,0))</formula>
    </cfRule>
    <cfRule type="expression" dxfId="1164" priority="68">
      <formula>AND(IF($Q6=2,1,0),IF($X6&lt;30,1,0))</formula>
    </cfRule>
    <cfRule type="expression" dxfId="1163" priority="69">
      <formula>AND(IF($Q6=3,1,0),IF($X6&lt;30,1,0))</formula>
    </cfRule>
    <cfRule type="expression" dxfId="1162" priority="70">
      <formula>AND(IF($Q6=3,1,IF($Q6=4,1,0)),IF($F6&lt;=85,1,0))</formula>
    </cfRule>
  </conditionalFormatting>
  <conditionalFormatting sqref="X6">
    <cfRule type="expression" dxfId="1161" priority="63">
      <formula>AND(IF(OR($Q6=1,$Q6=2),1,0),IF($X6&lt;=20,1,0))</formula>
    </cfRule>
    <cfRule type="expression" dxfId="1160" priority="64">
      <formula>AND(IF($Q6=2,1,0),IF($X6&lt;30,1,0))</formula>
    </cfRule>
    <cfRule type="expression" dxfId="1159" priority="65">
      <formula>AND(IF($Q6=3,1,0),IF($X6&lt;30,1,0))</formula>
    </cfRule>
    <cfRule type="expression" dxfId="1158" priority="66">
      <formula>AND(IF($Q6=3,1,IF($Q6=4,1,0)),IF($F6&lt;=85,1,0))</formula>
    </cfRule>
  </conditionalFormatting>
  <conditionalFormatting sqref="AI6">
    <cfRule type="expression" dxfId="1157" priority="59">
      <formula>AND(IF(OR($Q6=1,$Q6=2),1,0),IF($X6&lt;=20,1,0))</formula>
    </cfRule>
    <cfRule type="expression" dxfId="1156" priority="60">
      <formula>AND(IF($Q6=2,1,0),IF($X6&lt;30,1,0))</formula>
    </cfRule>
    <cfRule type="expression" dxfId="1155" priority="61">
      <formula>AND(IF($Q6=3,1,0),IF($X6&lt;30,1,0))</formula>
    </cfRule>
    <cfRule type="expression" dxfId="1154" priority="62">
      <formula>AND(IF($Q6=3,1,IF($Q6=4,1,0)),IF($F6&lt;=85,1,0))</formula>
    </cfRule>
  </conditionalFormatting>
  <conditionalFormatting sqref="AV7">
    <cfRule type="expression" dxfId="1153" priority="57">
      <formula>AV7="X"</formula>
    </cfRule>
    <cfRule type="expression" dxfId="1152" priority="58">
      <formula>AV7="후보"</formula>
    </cfRule>
  </conditionalFormatting>
  <conditionalFormatting sqref="AC7 N7">
    <cfRule type="cellIs" dxfId="1151" priority="55" operator="greaterThan">
      <formula>0.9</formula>
    </cfRule>
    <cfRule type="cellIs" dxfId="1150" priority="56" operator="greaterThan">
      <formula>0.85</formula>
    </cfRule>
  </conditionalFormatting>
  <conditionalFormatting sqref="AV8">
    <cfRule type="expression" dxfId="1149" priority="53">
      <formula>AV8="X"</formula>
    </cfRule>
    <cfRule type="expression" dxfId="1148" priority="54">
      <formula>AV8="후보"</formula>
    </cfRule>
  </conditionalFormatting>
  <conditionalFormatting sqref="AC8">
    <cfRule type="cellIs" dxfId="1147" priority="51" operator="greaterThan">
      <formula>0.9</formula>
    </cfRule>
    <cfRule type="cellIs" dxfId="1146" priority="52" operator="greaterThan">
      <formula>0.85</formula>
    </cfRule>
  </conditionalFormatting>
  <conditionalFormatting sqref="N8">
    <cfRule type="cellIs" dxfId="1145" priority="49" operator="greaterThan">
      <formula>0.9</formula>
    </cfRule>
    <cfRule type="cellIs" dxfId="1144" priority="50" operator="greaterThan">
      <formula>0.85</formula>
    </cfRule>
  </conditionalFormatting>
  <conditionalFormatting sqref="E8">
    <cfRule type="expression" dxfId="1143" priority="45">
      <formula>AND(IF(OR($Q8=1,$Q8=2),1,0),IF($X8&lt;=20,1,0))</formula>
    </cfRule>
    <cfRule type="expression" dxfId="1142" priority="46">
      <formula>AND(IF($Q8=2,1,0),IF($X8&lt;30,1,0))</formula>
    </cfRule>
    <cfRule type="expression" dxfId="1141" priority="47">
      <formula>AND(IF($Q8=3,1,0),IF($X8&lt;30,1,0))</formula>
    </cfRule>
    <cfRule type="expression" dxfId="1140" priority="48">
      <formula>AND(IF($Q8=3,1,IF($Q8=4,1,0)),IF($F8&lt;=85,1,0))</formula>
    </cfRule>
  </conditionalFormatting>
  <conditionalFormatting sqref="X8">
    <cfRule type="expression" dxfId="1139" priority="41">
      <formula>AND(IF(OR($Q8=1,$Q8=2),1,0),IF($X8&lt;=20,1,0))</formula>
    </cfRule>
    <cfRule type="expression" dxfId="1138" priority="42">
      <formula>AND(IF($Q8=2,1,0),IF($X8&lt;30,1,0))</formula>
    </cfRule>
    <cfRule type="expression" dxfId="1137" priority="43">
      <formula>AND(IF($Q8=3,1,0),IF($X8&lt;30,1,0))</formula>
    </cfRule>
    <cfRule type="expression" dxfId="1136" priority="44">
      <formula>AND(IF($Q8=3,1,IF($Q8=4,1,0)),IF($F8&lt;=85,1,0))</formula>
    </cfRule>
  </conditionalFormatting>
  <conditionalFormatting sqref="AI8">
    <cfRule type="expression" dxfId="1135" priority="37">
      <formula>AND(IF(OR($Q8=1,$Q8=2),1,0),IF($X8&lt;=20,1,0))</formula>
    </cfRule>
    <cfRule type="expression" dxfId="1134" priority="38">
      <formula>AND(IF($Q8=2,1,0),IF($X8&lt;30,1,0))</formula>
    </cfRule>
    <cfRule type="expression" dxfId="1133" priority="39">
      <formula>AND(IF($Q8=3,1,0),IF($X8&lt;30,1,0))</formula>
    </cfRule>
    <cfRule type="expression" dxfId="1132" priority="40">
      <formula>AND(IF($Q8=3,1,IF($Q8=4,1,0)),IF($F8&lt;=85,1,0))</formula>
    </cfRule>
  </conditionalFormatting>
  <conditionalFormatting sqref="AV9">
    <cfRule type="expression" dxfId="1131" priority="35">
      <formula>AV9="X"</formula>
    </cfRule>
    <cfRule type="expression" dxfId="1130" priority="36">
      <formula>AV9="후보"</formula>
    </cfRule>
  </conditionalFormatting>
  <conditionalFormatting sqref="AC9">
    <cfRule type="cellIs" dxfId="1129" priority="33" operator="greaterThan">
      <formula>0.9</formula>
    </cfRule>
    <cfRule type="cellIs" dxfId="1128" priority="34" operator="greaterThan">
      <formula>0.85</formula>
    </cfRule>
  </conditionalFormatting>
  <conditionalFormatting sqref="N9">
    <cfRule type="cellIs" dxfId="1127" priority="31" operator="greaterThan">
      <formula>0.9</formula>
    </cfRule>
    <cfRule type="cellIs" dxfId="1126" priority="32" operator="greaterThan">
      <formula>0.85</formula>
    </cfRule>
  </conditionalFormatting>
  <conditionalFormatting sqref="E9">
    <cfRule type="expression" dxfId="1125" priority="27">
      <formula>AND(IF(OR($Q9=1,$Q9=2),1,0),IF($X9&lt;=20,1,0))</formula>
    </cfRule>
    <cfRule type="expression" dxfId="1124" priority="28">
      <formula>AND(IF($Q9=2,1,0),IF($X9&lt;30,1,0))</formula>
    </cfRule>
    <cfRule type="expression" dxfId="1123" priority="29">
      <formula>AND(IF($Q9=3,1,0),IF($X9&lt;30,1,0))</formula>
    </cfRule>
    <cfRule type="expression" dxfId="1122" priority="30">
      <formula>AND(IF($Q9=3,1,IF($Q9=4,1,0)),IF($F9&lt;=85,1,0))</formula>
    </cfRule>
  </conditionalFormatting>
  <conditionalFormatting sqref="X9">
    <cfRule type="expression" dxfId="1121" priority="23">
      <formula>AND(IF(OR($Q9=1,$Q9=2),1,0),IF($X9&lt;=20,1,0))</formula>
    </cfRule>
    <cfRule type="expression" dxfId="1120" priority="24">
      <formula>AND(IF($Q9=2,1,0),IF($X9&lt;30,1,0))</formula>
    </cfRule>
    <cfRule type="expression" dxfId="1119" priority="25">
      <formula>AND(IF($Q9=3,1,0),IF($X9&lt;30,1,0))</formula>
    </cfRule>
    <cfRule type="expression" dxfId="1118" priority="26">
      <formula>AND(IF($Q9=3,1,IF($Q9=4,1,0)),IF($F9&lt;=85,1,0))</formula>
    </cfRule>
  </conditionalFormatting>
  <conditionalFormatting sqref="AI9">
    <cfRule type="expression" dxfId="1117" priority="19">
      <formula>AND(IF(OR($Q9=1,$Q9=2),1,0),IF($X9&lt;=20,1,0))</formula>
    </cfRule>
    <cfRule type="expression" dxfId="1116" priority="20">
      <formula>AND(IF($Q9=2,1,0),IF($X9&lt;30,1,0))</formula>
    </cfRule>
    <cfRule type="expression" dxfId="1115" priority="21">
      <formula>AND(IF($Q9=3,1,0),IF($X9&lt;30,1,0))</formula>
    </cfRule>
    <cfRule type="expression" dxfId="1114" priority="22">
      <formula>AND(IF($Q9=3,1,IF($Q9=4,1,0)),IF($F9&lt;=85,1,0))</formula>
    </cfRule>
  </conditionalFormatting>
  <conditionalFormatting sqref="AV10">
    <cfRule type="expression" dxfId="1113" priority="17">
      <formula>AV10="X"</formula>
    </cfRule>
    <cfRule type="expression" dxfId="1112" priority="18">
      <formula>AV10="후보"</formula>
    </cfRule>
  </conditionalFormatting>
  <conditionalFormatting sqref="AC10">
    <cfRule type="cellIs" dxfId="1111" priority="15" operator="greaterThan">
      <formula>0.9</formula>
    </cfRule>
    <cfRule type="cellIs" dxfId="1110" priority="16" operator="greaterThan">
      <formula>0.85</formula>
    </cfRule>
  </conditionalFormatting>
  <conditionalFormatting sqref="N10">
    <cfRule type="cellIs" dxfId="1109" priority="13" operator="greaterThan">
      <formula>0.9</formula>
    </cfRule>
    <cfRule type="cellIs" dxfId="1108" priority="14" operator="greaterThan">
      <formula>0.85</formula>
    </cfRule>
  </conditionalFormatting>
  <conditionalFormatting sqref="E10">
    <cfRule type="expression" dxfId="1107" priority="9">
      <formula>AND(IF(OR($Q10=1,$Q10=2),1,0),IF($X10&lt;=20,1,0))</formula>
    </cfRule>
    <cfRule type="expression" dxfId="1106" priority="10">
      <formula>AND(IF($Q10=2,1,0),IF($X10&lt;30,1,0))</formula>
    </cfRule>
    <cfRule type="expression" dxfId="1105" priority="11">
      <formula>AND(IF($Q10=3,1,0),IF($X10&lt;30,1,0))</formula>
    </cfRule>
    <cfRule type="expression" dxfId="1104" priority="12">
      <formula>AND(IF($Q10=3,1,IF($Q10=4,1,0)),IF($F10&lt;=85,1,0))</formula>
    </cfRule>
  </conditionalFormatting>
  <conditionalFormatting sqref="X10">
    <cfRule type="expression" dxfId="1103" priority="5">
      <formula>AND(IF(OR($Q10=1,$Q10=2),1,0),IF($X10&lt;=20,1,0))</formula>
    </cfRule>
    <cfRule type="expression" dxfId="1102" priority="6">
      <formula>AND(IF($Q10=2,1,0),IF($X10&lt;30,1,0))</formula>
    </cfRule>
    <cfRule type="expression" dxfId="1101" priority="7">
      <formula>AND(IF($Q10=3,1,0),IF($X10&lt;30,1,0))</formula>
    </cfRule>
    <cfRule type="expression" dxfId="1100" priority="8">
      <formula>AND(IF($Q10=3,1,IF($Q10=4,1,0)),IF($F10&lt;=85,1,0))</formula>
    </cfRule>
  </conditionalFormatting>
  <conditionalFormatting sqref="AI10">
    <cfRule type="expression" dxfId="1099" priority="1">
      <formula>AND(IF(OR($Q10=1,$Q10=2),1,0),IF($X10&lt;=20,1,0))</formula>
    </cfRule>
    <cfRule type="expression" dxfId="1098" priority="2">
      <formula>AND(IF($Q10=2,1,0),IF($X10&lt;30,1,0))</formula>
    </cfRule>
    <cfRule type="expression" dxfId="1097" priority="3">
      <formula>AND(IF($Q10=3,1,0),IF($X10&lt;30,1,0))</formula>
    </cfRule>
    <cfRule type="expression" dxfId="109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월명동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1131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월명동 클래시움('04.05.,210^)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1133</v>
      </c>
      <c r="B6" s="10" t="s">
        <v>1353</v>
      </c>
      <c r="C6" s="89">
        <v>210</v>
      </c>
      <c r="D6" s="87">
        <v>126.8</v>
      </c>
      <c r="E6" s="88">
        <v>38</v>
      </c>
      <c r="F6" s="87">
        <v>101.7</v>
      </c>
      <c r="G6" s="17">
        <v>31</v>
      </c>
      <c r="H6" s="89">
        <v>120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126</v>
      </c>
      <c r="U6" s="9"/>
      <c r="W6" s="87">
        <f t="shared" ref="W6:X9" si="1">D6</f>
        <v>126.8</v>
      </c>
      <c r="X6" s="88">
        <f t="shared" si="1"/>
        <v>38</v>
      </c>
      <c r="Y6" s="93">
        <f t="shared" ref="Y6:Z9" si="2">H6</f>
        <v>120</v>
      </c>
      <c r="Z6" s="91">
        <f t="shared" si="2"/>
        <v>0</v>
      </c>
      <c r="AA6" s="91">
        <f>K6</f>
        <v>0</v>
      </c>
      <c r="AB6" s="91">
        <f t="shared" ref="AB6:AD9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클래시움</v>
      </c>
      <c r="AI6" s="88">
        <f t="shared" si="0"/>
        <v>38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1133</v>
      </c>
      <c r="B7" s="10" t="s">
        <v>1353</v>
      </c>
      <c r="C7" s="89">
        <v>210</v>
      </c>
      <c r="D7" s="87">
        <v>165</v>
      </c>
      <c r="E7" s="88">
        <v>50</v>
      </c>
      <c r="F7" s="87">
        <v>142.1</v>
      </c>
      <c r="G7" s="17">
        <v>43</v>
      </c>
      <c r="H7" s="89">
        <v>30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61</v>
      </c>
      <c r="T7" s="5">
        <v>164</v>
      </c>
      <c r="U7" s="9"/>
      <c r="W7" s="87">
        <f t="shared" si="1"/>
        <v>165</v>
      </c>
      <c r="X7" s="88">
        <f t="shared" si="1"/>
        <v>50</v>
      </c>
      <c r="Y7" s="93">
        <f t="shared" si="2"/>
        <v>30</v>
      </c>
      <c r="Z7" s="91">
        <f t="shared" si="2"/>
        <v>0</v>
      </c>
      <c r="AA7" s="91">
        <f>K7</f>
        <v>0</v>
      </c>
      <c r="AB7" s="91">
        <f t="shared" si="3"/>
        <v>0</v>
      </c>
      <c r="AC7" s="4" t="str">
        <f t="shared" si="3"/>
        <v/>
      </c>
      <c r="AD7" s="92">
        <f t="shared" si="3"/>
        <v>0</v>
      </c>
      <c r="AE7" s="80" t="str">
        <f>S7</f>
        <v>계</v>
      </c>
      <c r="AF7" s="80" t="str">
        <f>Q7&amp;"/"&amp;R7</f>
        <v>4/2</v>
      </c>
      <c r="AH7" s="20" t="str">
        <f>IF(A7="","",A7)</f>
        <v>클래시움</v>
      </c>
      <c r="AI7" s="88">
        <f t="shared" si="0"/>
        <v>50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1133</v>
      </c>
      <c r="B8" s="10" t="s">
        <v>1353</v>
      </c>
      <c r="C8" s="89">
        <v>210</v>
      </c>
      <c r="D8" s="87">
        <v>189.9</v>
      </c>
      <c r="E8" s="88">
        <v>57</v>
      </c>
      <c r="F8" s="87">
        <v>166.5</v>
      </c>
      <c r="G8" s="17">
        <v>50</v>
      </c>
      <c r="H8" s="89">
        <v>45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4</v>
      </c>
      <c r="R8" s="80">
        <v>2</v>
      </c>
      <c r="S8" s="80" t="s">
        <v>61</v>
      </c>
      <c r="T8" s="5">
        <v>189</v>
      </c>
      <c r="U8" s="9"/>
      <c r="W8" s="87">
        <f t="shared" si="1"/>
        <v>189.9</v>
      </c>
      <c r="X8" s="88">
        <f t="shared" si="1"/>
        <v>57</v>
      </c>
      <c r="Y8" s="93">
        <f t="shared" si="2"/>
        <v>45</v>
      </c>
      <c r="Z8" s="91">
        <f t="shared" si="2"/>
        <v>0</v>
      </c>
      <c r="AA8" s="91">
        <f>K8</f>
        <v>0</v>
      </c>
      <c r="AB8" s="91">
        <f t="shared" si="3"/>
        <v>0</v>
      </c>
      <c r="AC8" s="4" t="str">
        <f t="shared" si="3"/>
        <v/>
      </c>
      <c r="AD8" s="92">
        <f t="shared" si="3"/>
        <v>0</v>
      </c>
      <c r="AE8" s="80" t="str">
        <f>S8</f>
        <v>계</v>
      </c>
      <c r="AF8" s="80" t="str">
        <f>Q8&amp;"/"&amp;R8</f>
        <v>4/2</v>
      </c>
      <c r="AH8" s="20" t="str">
        <f>IF(A8="","",A8)</f>
        <v>클래시움</v>
      </c>
      <c r="AI8" s="88">
        <f t="shared" si="0"/>
        <v>57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 t="s">
        <v>1133</v>
      </c>
      <c r="B9" s="10" t="s">
        <v>1353</v>
      </c>
      <c r="C9" s="89">
        <v>210</v>
      </c>
      <c r="D9" s="87">
        <v>193.8</v>
      </c>
      <c r="E9" s="88">
        <v>59</v>
      </c>
      <c r="F9" s="87">
        <v>170.4</v>
      </c>
      <c r="G9" s="17">
        <v>52</v>
      </c>
      <c r="H9" s="89">
        <v>15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4</v>
      </c>
      <c r="R9" s="80">
        <v>2</v>
      </c>
      <c r="S9" s="80" t="s">
        <v>61</v>
      </c>
      <c r="T9" s="5">
        <v>193</v>
      </c>
      <c r="U9" s="9"/>
      <c r="W9" s="87">
        <f t="shared" si="1"/>
        <v>193.8</v>
      </c>
      <c r="X9" s="88">
        <f t="shared" si="1"/>
        <v>59</v>
      </c>
      <c r="Y9" s="93">
        <f t="shared" si="2"/>
        <v>15</v>
      </c>
      <c r="Z9" s="91">
        <f t="shared" si="2"/>
        <v>0</v>
      </c>
      <c r="AA9" s="91">
        <f>K9</f>
        <v>0</v>
      </c>
      <c r="AB9" s="91">
        <f t="shared" si="3"/>
        <v>0</v>
      </c>
      <c r="AC9" s="4" t="str">
        <f t="shared" si="3"/>
        <v/>
      </c>
      <c r="AD9" s="92">
        <f t="shared" si="3"/>
        <v>0</v>
      </c>
      <c r="AE9" s="80" t="str">
        <f>S9</f>
        <v>계</v>
      </c>
      <c r="AF9" s="80" t="str">
        <f>Q9&amp;"/"&amp;R9</f>
        <v>4/2</v>
      </c>
      <c r="AH9" s="20" t="str">
        <f>IF(A9="","",A9)</f>
        <v>클래시움</v>
      </c>
      <c r="AI9" s="88">
        <f t="shared" si="0"/>
        <v>59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X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095" priority="73">
      <formula>AV4="X"</formula>
    </cfRule>
    <cfRule type="expression" dxfId="1094" priority="74">
      <formula>AV4="후보"</formula>
    </cfRule>
  </conditionalFormatting>
  <conditionalFormatting sqref="AC1:AC2 AC4:AC6 N4:N5">
    <cfRule type="cellIs" dxfId="1093" priority="71" operator="greaterThan">
      <formula>0.9</formula>
    </cfRule>
    <cfRule type="cellIs" dxfId="1092" priority="72" operator="greaterThan">
      <formula>0.85</formula>
    </cfRule>
  </conditionalFormatting>
  <conditionalFormatting sqref="N1:N2">
    <cfRule type="cellIs" dxfId="1091" priority="69" operator="greaterThan">
      <formula>0.9</formula>
    </cfRule>
    <cfRule type="cellIs" dxfId="1090" priority="70" operator="greaterThan">
      <formula>0.85</formula>
    </cfRule>
  </conditionalFormatting>
  <conditionalFormatting sqref="N6">
    <cfRule type="cellIs" dxfId="1089" priority="67" operator="greaterThan">
      <formula>0.9</formula>
    </cfRule>
    <cfRule type="cellIs" dxfId="1088" priority="68" operator="greaterThan">
      <formula>0.85</formula>
    </cfRule>
  </conditionalFormatting>
  <conditionalFormatting sqref="E6">
    <cfRule type="expression" dxfId="1087" priority="63">
      <formula>AND(IF(OR($Q6=1,$Q6=2),1,0),IF($X6&lt;=20,1,0))</formula>
    </cfRule>
    <cfRule type="expression" dxfId="1086" priority="64">
      <formula>AND(IF($Q6=2,1,0),IF($X6&lt;30,1,0))</formula>
    </cfRule>
    <cfRule type="expression" dxfId="1085" priority="65">
      <formula>AND(IF($Q6=3,1,0),IF($X6&lt;30,1,0))</formula>
    </cfRule>
    <cfRule type="expression" dxfId="1084" priority="66">
      <formula>AND(IF($Q6=3,1,IF($Q6=4,1,0)),IF($F6&lt;=85,1,0))</formula>
    </cfRule>
  </conditionalFormatting>
  <conditionalFormatting sqref="X6">
    <cfRule type="expression" dxfId="1083" priority="59">
      <formula>AND(IF(OR($Q6=1,$Q6=2),1,0),IF($X6&lt;=20,1,0))</formula>
    </cfRule>
    <cfRule type="expression" dxfId="1082" priority="60">
      <formula>AND(IF($Q6=2,1,0),IF($X6&lt;30,1,0))</formula>
    </cfRule>
    <cfRule type="expression" dxfId="1081" priority="61">
      <formula>AND(IF($Q6=3,1,0),IF($X6&lt;30,1,0))</formula>
    </cfRule>
    <cfRule type="expression" dxfId="1080" priority="62">
      <formula>AND(IF($Q6=3,1,IF($Q6=4,1,0)),IF($F6&lt;=85,1,0))</formula>
    </cfRule>
  </conditionalFormatting>
  <conditionalFormatting sqref="AI6">
    <cfRule type="expression" dxfId="1079" priority="55">
      <formula>AND(IF(OR($Q6=1,$Q6=2),1,0),IF($X6&lt;=20,1,0))</formula>
    </cfRule>
    <cfRule type="expression" dxfId="1078" priority="56">
      <formula>AND(IF($Q6=2,1,0),IF($X6&lt;30,1,0))</formula>
    </cfRule>
    <cfRule type="expression" dxfId="1077" priority="57">
      <formula>AND(IF($Q6=3,1,0),IF($X6&lt;30,1,0))</formula>
    </cfRule>
    <cfRule type="expression" dxfId="1076" priority="58">
      <formula>AND(IF($Q6=3,1,IF($Q6=4,1,0)),IF($F6&lt;=85,1,0))</formula>
    </cfRule>
  </conditionalFormatting>
  <conditionalFormatting sqref="AV7">
    <cfRule type="expression" dxfId="1075" priority="53">
      <formula>AV7="X"</formula>
    </cfRule>
    <cfRule type="expression" dxfId="1074" priority="54">
      <formula>AV7="후보"</formula>
    </cfRule>
  </conditionalFormatting>
  <conditionalFormatting sqref="AC7">
    <cfRule type="cellIs" dxfId="1073" priority="51" operator="greaterThan">
      <formula>0.9</formula>
    </cfRule>
    <cfRule type="cellIs" dxfId="1072" priority="52" operator="greaterThan">
      <formula>0.85</formula>
    </cfRule>
  </conditionalFormatting>
  <conditionalFormatting sqref="N7">
    <cfRule type="cellIs" dxfId="1071" priority="49" operator="greaterThan">
      <formula>0.9</formula>
    </cfRule>
    <cfRule type="cellIs" dxfId="1070" priority="50" operator="greaterThan">
      <formula>0.85</formula>
    </cfRule>
  </conditionalFormatting>
  <conditionalFormatting sqref="E7">
    <cfRule type="expression" dxfId="1069" priority="45">
      <formula>AND(IF(OR($Q7=1,$Q7=2),1,0),IF($X7&lt;=20,1,0))</formula>
    </cfRule>
    <cfRule type="expression" dxfId="1068" priority="46">
      <formula>AND(IF($Q7=2,1,0),IF($X7&lt;30,1,0))</formula>
    </cfRule>
    <cfRule type="expression" dxfId="1067" priority="47">
      <formula>AND(IF($Q7=3,1,0),IF($X7&lt;30,1,0))</formula>
    </cfRule>
    <cfRule type="expression" dxfId="1066" priority="48">
      <formula>AND(IF($Q7=3,1,IF($Q7=4,1,0)),IF($F7&lt;=85,1,0))</formula>
    </cfRule>
  </conditionalFormatting>
  <conditionalFormatting sqref="X7">
    <cfRule type="expression" dxfId="1065" priority="41">
      <formula>AND(IF(OR($Q7=1,$Q7=2),1,0),IF($X7&lt;=20,1,0))</formula>
    </cfRule>
    <cfRule type="expression" dxfId="1064" priority="42">
      <formula>AND(IF($Q7=2,1,0),IF($X7&lt;30,1,0))</formula>
    </cfRule>
    <cfRule type="expression" dxfId="1063" priority="43">
      <formula>AND(IF($Q7=3,1,0),IF($X7&lt;30,1,0))</formula>
    </cfRule>
    <cfRule type="expression" dxfId="1062" priority="44">
      <formula>AND(IF($Q7=3,1,IF($Q7=4,1,0)),IF($F7&lt;=85,1,0))</formula>
    </cfRule>
  </conditionalFormatting>
  <conditionalFormatting sqref="AI7">
    <cfRule type="expression" dxfId="1061" priority="37">
      <formula>AND(IF(OR($Q7=1,$Q7=2),1,0),IF($X7&lt;=20,1,0))</formula>
    </cfRule>
    <cfRule type="expression" dxfId="1060" priority="38">
      <formula>AND(IF($Q7=2,1,0),IF($X7&lt;30,1,0))</formula>
    </cfRule>
    <cfRule type="expression" dxfId="1059" priority="39">
      <formula>AND(IF($Q7=3,1,0),IF($X7&lt;30,1,0))</formula>
    </cfRule>
    <cfRule type="expression" dxfId="1058" priority="40">
      <formula>AND(IF($Q7=3,1,IF($Q7=4,1,0)),IF($F7&lt;=85,1,0))</formula>
    </cfRule>
  </conditionalFormatting>
  <conditionalFormatting sqref="AV8">
    <cfRule type="expression" dxfId="1057" priority="35">
      <formula>AV8="X"</formula>
    </cfRule>
    <cfRule type="expression" dxfId="1056" priority="36">
      <formula>AV8="후보"</formula>
    </cfRule>
  </conditionalFormatting>
  <conditionalFormatting sqref="AC8">
    <cfRule type="cellIs" dxfId="1055" priority="33" operator="greaterThan">
      <formula>0.9</formula>
    </cfRule>
    <cfRule type="cellIs" dxfId="1054" priority="34" operator="greaterThan">
      <formula>0.85</formula>
    </cfRule>
  </conditionalFormatting>
  <conditionalFormatting sqref="N8">
    <cfRule type="cellIs" dxfId="1053" priority="31" operator="greaterThan">
      <formula>0.9</formula>
    </cfRule>
    <cfRule type="cellIs" dxfId="1052" priority="32" operator="greaterThan">
      <formula>0.85</formula>
    </cfRule>
  </conditionalFormatting>
  <conditionalFormatting sqref="E8">
    <cfRule type="expression" dxfId="1051" priority="27">
      <formula>AND(IF(OR($Q8=1,$Q8=2),1,0),IF($X8&lt;=20,1,0))</formula>
    </cfRule>
    <cfRule type="expression" dxfId="1050" priority="28">
      <formula>AND(IF($Q8=2,1,0),IF($X8&lt;30,1,0))</formula>
    </cfRule>
    <cfRule type="expression" dxfId="1049" priority="29">
      <formula>AND(IF($Q8=3,1,0),IF($X8&lt;30,1,0))</formula>
    </cfRule>
    <cfRule type="expression" dxfId="1048" priority="30">
      <formula>AND(IF($Q8=3,1,IF($Q8=4,1,0)),IF($F8&lt;=85,1,0))</formula>
    </cfRule>
  </conditionalFormatting>
  <conditionalFormatting sqref="X8">
    <cfRule type="expression" dxfId="1047" priority="23">
      <formula>AND(IF(OR($Q8=1,$Q8=2),1,0),IF($X8&lt;=20,1,0))</formula>
    </cfRule>
    <cfRule type="expression" dxfId="1046" priority="24">
      <formula>AND(IF($Q8=2,1,0),IF($X8&lt;30,1,0))</formula>
    </cfRule>
    <cfRule type="expression" dxfId="1045" priority="25">
      <formula>AND(IF($Q8=3,1,0),IF($X8&lt;30,1,0))</formula>
    </cfRule>
    <cfRule type="expression" dxfId="1044" priority="26">
      <formula>AND(IF($Q8=3,1,IF($Q8=4,1,0)),IF($F8&lt;=85,1,0))</formula>
    </cfRule>
  </conditionalFormatting>
  <conditionalFormatting sqref="AI8">
    <cfRule type="expression" dxfId="1043" priority="19">
      <formula>AND(IF(OR($Q8=1,$Q8=2),1,0),IF($X8&lt;=20,1,0))</formula>
    </cfRule>
    <cfRule type="expression" dxfId="1042" priority="20">
      <formula>AND(IF($Q8=2,1,0),IF($X8&lt;30,1,0))</formula>
    </cfRule>
    <cfRule type="expression" dxfId="1041" priority="21">
      <formula>AND(IF($Q8=3,1,0),IF($X8&lt;30,1,0))</formula>
    </cfRule>
    <cfRule type="expression" dxfId="1040" priority="22">
      <formula>AND(IF($Q8=3,1,IF($Q8=4,1,0)),IF($F8&lt;=85,1,0))</formula>
    </cfRule>
  </conditionalFormatting>
  <conditionalFormatting sqref="AV9">
    <cfRule type="expression" dxfId="1039" priority="17">
      <formula>AV9="X"</formula>
    </cfRule>
    <cfRule type="expression" dxfId="1038" priority="18">
      <formula>AV9="후보"</formula>
    </cfRule>
  </conditionalFormatting>
  <conditionalFormatting sqref="AC9">
    <cfRule type="cellIs" dxfId="1037" priority="15" operator="greaterThan">
      <formula>0.9</formula>
    </cfRule>
    <cfRule type="cellIs" dxfId="1036" priority="16" operator="greaterThan">
      <formula>0.85</formula>
    </cfRule>
  </conditionalFormatting>
  <conditionalFormatting sqref="N9">
    <cfRule type="cellIs" dxfId="1035" priority="13" operator="greaterThan">
      <formula>0.9</formula>
    </cfRule>
    <cfRule type="cellIs" dxfId="1034" priority="14" operator="greaterThan">
      <formula>0.85</formula>
    </cfRule>
  </conditionalFormatting>
  <conditionalFormatting sqref="E9">
    <cfRule type="expression" dxfId="1033" priority="9">
      <formula>AND(IF(OR($Q9=1,$Q9=2),1,0),IF($X9&lt;=20,1,0))</formula>
    </cfRule>
    <cfRule type="expression" dxfId="1032" priority="10">
      <formula>AND(IF($Q9=2,1,0),IF($X9&lt;30,1,0))</formula>
    </cfRule>
    <cfRule type="expression" dxfId="1031" priority="11">
      <formula>AND(IF($Q9=3,1,0),IF($X9&lt;30,1,0))</formula>
    </cfRule>
    <cfRule type="expression" dxfId="1030" priority="12">
      <formula>AND(IF($Q9=3,1,IF($Q9=4,1,0)),IF($F9&lt;=85,1,0))</formula>
    </cfRule>
  </conditionalFormatting>
  <conditionalFormatting sqref="X9">
    <cfRule type="expression" dxfId="1029" priority="5">
      <formula>AND(IF(OR($Q9=1,$Q9=2),1,0),IF($X9&lt;=20,1,0))</formula>
    </cfRule>
    <cfRule type="expression" dxfId="1028" priority="6">
      <formula>AND(IF($Q9=2,1,0),IF($X9&lt;30,1,0))</formula>
    </cfRule>
    <cfRule type="expression" dxfId="1027" priority="7">
      <formula>AND(IF($Q9=3,1,0),IF($X9&lt;30,1,0))</formula>
    </cfRule>
    <cfRule type="expression" dxfId="1026" priority="8">
      <formula>AND(IF($Q9=3,1,IF($Q9=4,1,0)),IF($F9&lt;=85,1,0))</formula>
    </cfRule>
  </conditionalFormatting>
  <conditionalFormatting sqref="AI9">
    <cfRule type="expression" dxfId="1025" priority="1">
      <formula>AND(IF(OR($Q9=1,$Q9=2),1,0),IF($X9&lt;=20,1,0))</formula>
    </cfRule>
    <cfRule type="expression" dxfId="1024" priority="2">
      <formula>AND(IF($Q9=2,1,0),IF($X9&lt;30,1,0))</formula>
    </cfRule>
    <cfRule type="expression" dxfId="1023" priority="3">
      <formula>AND(IF($Q9=3,1,0),IF($X9&lt;30,1,0))</formula>
    </cfRule>
    <cfRule type="expression" dxfId="102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장재동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1152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장재동 현대세솔('02.03.,547^)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1159</v>
      </c>
      <c r="B6" s="10" t="s">
        <v>1347</v>
      </c>
      <c r="C6" s="89">
        <v>547</v>
      </c>
      <c r="D6" s="87">
        <v>76.5</v>
      </c>
      <c r="E6" s="88">
        <v>23</v>
      </c>
      <c r="F6" s="87">
        <v>59.7</v>
      </c>
      <c r="G6" s="17">
        <v>18</v>
      </c>
      <c r="H6" s="89">
        <v>48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61</v>
      </c>
      <c r="T6" s="5">
        <v>76</v>
      </c>
      <c r="U6" s="9"/>
      <c r="W6" s="87">
        <f t="shared" ref="W6:X9" si="1">D6</f>
        <v>76.5</v>
      </c>
      <c r="X6" s="88">
        <f t="shared" si="1"/>
        <v>23</v>
      </c>
      <c r="Y6" s="93">
        <f t="shared" ref="Y6:Z9" si="2">H6</f>
        <v>48</v>
      </c>
      <c r="Z6" s="91">
        <f t="shared" si="2"/>
        <v>0</v>
      </c>
      <c r="AA6" s="91">
        <f>K6</f>
        <v>0</v>
      </c>
      <c r="AB6" s="91">
        <f t="shared" ref="AB6:AD9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2/1</v>
      </c>
      <c r="AH6" s="20" t="str">
        <f>IF(A6="","",A6)</f>
        <v>현대세솔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1159</v>
      </c>
      <c r="B7" s="10" t="s">
        <v>1347</v>
      </c>
      <c r="C7" s="89">
        <v>547</v>
      </c>
      <c r="D7" s="87">
        <v>82.5</v>
      </c>
      <c r="E7" s="88">
        <v>25</v>
      </c>
      <c r="F7" s="87">
        <v>60</v>
      </c>
      <c r="G7" s="17">
        <v>18</v>
      </c>
      <c r="H7" s="89">
        <v>259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2</v>
      </c>
      <c r="R7" s="80">
        <v>1</v>
      </c>
      <c r="S7" s="80" t="s">
        <v>61</v>
      </c>
      <c r="T7" s="5">
        <v>82</v>
      </c>
      <c r="U7" s="9"/>
      <c r="W7" s="87">
        <f t="shared" si="1"/>
        <v>82.5</v>
      </c>
      <c r="X7" s="88">
        <f t="shared" si="1"/>
        <v>25</v>
      </c>
      <c r="Y7" s="93">
        <f t="shared" si="2"/>
        <v>259</v>
      </c>
      <c r="Z7" s="91">
        <f t="shared" si="2"/>
        <v>0</v>
      </c>
      <c r="AA7" s="91">
        <f>K7</f>
        <v>0</v>
      </c>
      <c r="AB7" s="91">
        <f t="shared" si="3"/>
        <v>0</v>
      </c>
      <c r="AC7" s="4" t="str">
        <f t="shared" si="3"/>
        <v/>
      </c>
      <c r="AD7" s="92">
        <f t="shared" si="3"/>
        <v>0</v>
      </c>
      <c r="AE7" s="80" t="str">
        <f>S7</f>
        <v>계</v>
      </c>
      <c r="AF7" s="80" t="str">
        <f>Q7&amp;"/"&amp;R7</f>
        <v>2/1</v>
      </c>
      <c r="AH7" s="20" t="str">
        <f>IF(A7="","",A7)</f>
        <v>현대세솔</v>
      </c>
      <c r="AI7" s="88">
        <f t="shared" si="0"/>
        <v>25</v>
      </c>
      <c r="AJ7" s="80" t="str">
        <f>IF(AI7="","",$AJ$2)</f>
        <v>A-</v>
      </c>
      <c r="AK7" s="80" t="s">
        <v>14</v>
      </c>
      <c r="AL7" s="80" t="s">
        <v>63</v>
      </c>
      <c r="AM7" s="80" t="s">
        <v>64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 t="s">
        <v>1159</v>
      </c>
      <c r="B8" s="10" t="s">
        <v>1347</v>
      </c>
      <c r="C8" s="89">
        <v>547</v>
      </c>
      <c r="D8" s="87">
        <v>103.1</v>
      </c>
      <c r="E8" s="88">
        <v>31</v>
      </c>
      <c r="F8" s="87">
        <v>85</v>
      </c>
      <c r="G8" s="17">
        <v>26</v>
      </c>
      <c r="H8" s="89">
        <v>210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3</v>
      </c>
      <c r="R8" s="80">
        <v>2</v>
      </c>
      <c r="S8" s="80" t="s">
        <v>76</v>
      </c>
      <c r="T8" s="5" t="s">
        <v>152</v>
      </c>
      <c r="U8" s="9"/>
      <c r="W8" s="87">
        <f t="shared" si="1"/>
        <v>103.1</v>
      </c>
      <c r="X8" s="88">
        <f t="shared" si="1"/>
        <v>31</v>
      </c>
      <c r="Y8" s="93">
        <f t="shared" si="2"/>
        <v>210</v>
      </c>
      <c r="Z8" s="91">
        <f t="shared" si="2"/>
        <v>0</v>
      </c>
      <c r="AA8" s="91">
        <f>K8</f>
        <v>0</v>
      </c>
      <c r="AB8" s="91">
        <f t="shared" si="3"/>
        <v>0</v>
      </c>
      <c r="AC8" s="4" t="str">
        <f t="shared" si="3"/>
        <v/>
      </c>
      <c r="AD8" s="92">
        <f t="shared" si="3"/>
        <v>0</v>
      </c>
      <c r="AE8" s="80" t="str">
        <f>S8</f>
        <v>복</v>
      </c>
      <c r="AF8" s="80" t="str">
        <f>Q8&amp;"/"&amp;R8</f>
        <v>3/2</v>
      </c>
      <c r="AH8" s="20" t="str">
        <f>IF(A8="","",A8)</f>
        <v>현대세솔</v>
      </c>
      <c r="AI8" s="88">
        <f t="shared" si="0"/>
        <v>31</v>
      </c>
      <c r="AJ8" s="80" t="str">
        <f>IF(AI8="","",$AJ$2)</f>
        <v>A-</v>
      </c>
      <c r="AK8" s="80" t="s">
        <v>14</v>
      </c>
      <c r="AL8" s="80" t="s">
        <v>63</v>
      </c>
      <c r="AM8" s="80" t="s">
        <v>64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/>
      </c>
    </row>
    <row r="9" spans="1:48" x14ac:dyDescent="0.3">
      <c r="A9" s="9" t="s">
        <v>1159</v>
      </c>
      <c r="B9" s="10" t="s">
        <v>1347</v>
      </c>
      <c r="C9" s="89">
        <v>547</v>
      </c>
      <c r="D9" s="87">
        <v>103.1</v>
      </c>
      <c r="E9" s="88">
        <v>31</v>
      </c>
      <c r="F9" s="87">
        <v>85</v>
      </c>
      <c r="G9" s="17">
        <v>26</v>
      </c>
      <c r="H9" s="89">
        <v>30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61</v>
      </c>
      <c r="T9" s="5" t="s">
        <v>134</v>
      </c>
      <c r="U9" s="9"/>
      <c r="W9" s="87">
        <f t="shared" si="1"/>
        <v>103.1</v>
      </c>
      <c r="X9" s="88">
        <f t="shared" si="1"/>
        <v>31</v>
      </c>
      <c r="Y9" s="93">
        <f t="shared" si="2"/>
        <v>30</v>
      </c>
      <c r="Z9" s="91">
        <f t="shared" si="2"/>
        <v>0</v>
      </c>
      <c r="AA9" s="91">
        <f>K9</f>
        <v>0</v>
      </c>
      <c r="AB9" s="91">
        <f t="shared" si="3"/>
        <v>0</v>
      </c>
      <c r="AC9" s="4" t="str">
        <f t="shared" si="3"/>
        <v/>
      </c>
      <c r="AD9" s="92">
        <f t="shared" si="3"/>
        <v>0</v>
      </c>
      <c r="AE9" s="80" t="str">
        <f>S9</f>
        <v>계</v>
      </c>
      <c r="AF9" s="80" t="str">
        <f>Q9&amp;"/"&amp;R9</f>
        <v>3/2</v>
      </c>
      <c r="AH9" s="20" t="str">
        <f>IF(A9="","",A9)</f>
        <v>현대세솔</v>
      </c>
      <c r="AI9" s="88">
        <f t="shared" si="0"/>
        <v>31</v>
      </c>
      <c r="AJ9" s="80" t="str">
        <f>IF(AI9="","",$AJ$2)</f>
        <v>A-</v>
      </c>
      <c r="AK9" s="80" t="s">
        <v>14</v>
      </c>
      <c r="AL9" s="80" t="s">
        <v>63</v>
      </c>
      <c r="AM9" s="80" t="s">
        <v>64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021" priority="73">
      <formula>AV4="X"</formula>
    </cfRule>
    <cfRule type="expression" dxfId="1020" priority="74">
      <formula>AV4="후보"</formula>
    </cfRule>
  </conditionalFormatting>
  <conditionalFormatting sqref="AC1:AC2 AC4:AC6 N4:N5">
    <cfRule type="cellIs" dxfId="1019" priority="71" operator="greaterThan">
      <formula>0.9</formula>
    </cfRule>
    <cfRule type="cellIs" dxfId="1018" priority="72" operator="greaterThan">
      <formula>0.85</formula>
    </cfRule>
  </conditionalFormatting>
  <conditionalFormatting sqref="N1:N2">
    <cfRule type="cellIs" dxfId="1017" priority="69" operator="greaterThan">
      <formula>0.9</formula>
    </cfRule>
    <cfRule type="cellIs" dxfId="1016" priority="70" operator="greaterThan">
      <formula>0.85</formula>
    </cfRule>
  </conditionalFormatting>
  <conditionalFormatting sqref="N6">
    <cfRule type="cellIs" dxfId="1015" priority="67" operator="greaterThan">
      <formula>0.9</formula>
    </cfRule>
    <cfRule type="cellIs" dxfId="1014" priority="68" operator="greaterThan">
      <formula>0.85</formula>
    </cfRule>
  </conditionalFormatting>
  <conditionalFormatting sqref="E6">
    <cfRule type="expression" dxfId="1013" priority="63">
      <formula>AND(IF(OR($Q6=1,$Q6=2),1,0),IF($X6&lt;=20,1,0))</formula>
    </cfRule>
    <cfRule type="expression" dxfId="1012" priority="64">
      <formula>AND(IF($Q6=2,1,0),IF($X6&lt;30,1,0))</formula>
    </cfRule>
    <cfRule type="expression" dxfId="1011" priority="65">
      <formula>AND(IF($Q6=3,1,0),IF($X6&lt;30,1,0))</formula>
    </cfRule>
    <cfRule type="expression" dxfId="1010" priority="66">
      <formula>AND(IF($Q6=3,1,IF($Q6=4,1,0)),IF($F6&lt;=85,1,0))</formula>
    </cfRule>
  </conditionalFormatting>
  <conditionalFormatting sqref="X6">
    <cfRule type="expression" dxfId="1009" priority="59">
      <formula>AND(IF(OR($Q6=1,$Q6=2),1,0),IF($X6&lt;=20,1,0))</formula>
    </cfRule>
    <cfRule type="expression" dxfId="1008" priority="60">
      <formula>AND(IF($Q6=2,1,0),IF($X6&lt;30,1,0))</formula>
    </cfRule>
    <cfRule type="expression" dxfId="1007" priority="61">
      <formula>AND(IF($Q6=3,1,0),IF($X6&lt;30,1,0))</formula>
    </cfRule>
    <cfRule type="expression" dxfId="1006" priority="62">
      <formula>AND(IF($Q6=3,1,IF($Q6=4,1,0)),IF($F6&lt;=85,1,0))</formula>
    </cfRule>
  </conditionalFormatting>
  <conditionalFormatting sqref="AI6">
    <cfRule type="expression" dxfId="1005" priority="55">
      <formula>AND(IF(OR($Q6=1,$Q6=2),1,0),IF($X6&lt;=20,1,0))</formula>
    </cfRule>
    <cfRule type="expression" dxfId="1004" priority="56">
      <formula>AND(IF($Q6=2,1,0),IF($X6&lt;30,1,0))</formula>
    </cfRule>
    <cfRule type="expression" dxfId="1003" priority="57">
      <formula>AND(IF($Q6=3,1,0),IF($X6&lt;30,1,0))</formula>
    </cfRule>
    <cfRule type="expression" dxfId="1002" priority="58">
      <formula>AND(IF($Q6=3,1,IF($Q6=4,1,0)),IF($F6&lt;=85,1,0))</formula>
    </cfRule>
  </conditionalFormatting>
  <conditionalFormatting sqref="AV7">
    <cfRule type="expression" dxfId="1001" priority="53">
      <formula>AV7="X"</formula>
    </cfRule>
    <cfRule type="expression" dxfId="1000" priority="54">
      <formula>AV7="후보"</formula>
    </cfRule>
  </conditionalFormatting>
  <conditionalFormatting sqref="AC7">
    <cfRule type="cellIs" dxfId="999" priority="51" operator="greaterThan">
      <formula>0.9</formula>
    </cfRule>
    <cfRule type="cellIs" dxfId="998" priority="52" operator="greaterThan">
      <formula>0.85</formula>
    </cfRule>
  </conditionalFormatting>
  <conditionalFormatting sqref="N7">
    <cfRule type="cellIs" dxfId="997" priority="49" operator="greaterThan">
      <formula>0.9</formula>
    </cfRule>
    <cfRule type="cellIs" dxfId="996" priority="50" operator="greaterThan">
      <formula>0.85</formula>
    </cfRule>
  </conditionalFormatting>
  <conditionalFormatting sqref="E7">
    <cfRule type="expression" dxfId="995" priority="45">
      <formula>AND(IF(OR($Q7=1,$Q7=2),1,0),IF($X7&lt;=20,1,0))</formula>
    </cfRule>
    <cfRule type="expression" dxfId="994" priority="46">
      <formula>AND(IF($Q7=2,1,0),IF($X7&lt;30,1,0))</formula>
    </cfRule>
    <cfRule type="expression" dxfId="993" priority="47">
      <formula>AND(IF($Q7=3,1,0),IF($X7&lt;30,1,0))</formula>
    </cfRule>
    <cfRule type="expression" dxfId="992" priority="48">
      <formula>AND(IF($Q7=3,1,IF($Q7=4,1,0)),IF($F7&lt;=85,1,0))</formula>
    </cfRule>
  </conditionalFormatting>
  <conditionalFormatting sqref="X7">
    <cfRule type="expression" dxfId="991" priority="41">
      <formula>AND(IF(OR($Q7=1,$Q7=2),1,0),IF($X7&lt;=20,1,0))</formula>
    </cfRule>
    <cfRule type="expression" dxfId="990" priority="42">
      <formula>AND(IF($Q7=2,1,0),IF($X7&lt;30,1,0))</formula>
    </cfRule>
    <cfRule type="expression" dxfId="989" priority="43">
      <formula>AND(IF($Q7=3,1,0),IF($X7&lt;30,1,0))</formula>
    </cfRule>
    <cfRule type="expression" dxfId="988" priority="44">
      <formula>AND(IF($Q7=3,1,IF($Q7=4,1,0)),IF($F7&lt;=85,1,0))</formula>
    </cfRule>
  </conditionalFormatting>
  <conditionalFormatting sqref="AI7">
    <cfRule type="expression" dxfId="987" priority="37">
      <formula>AND(IF(OR($Q7=1,$Q7=2),1,0),IF($X7&lt;=20,1,0))</formula>
    </cfRule>
    <cfRule type="expression" dxfId="986" priority="38">
      <formula>AND(IF($Q7=2,1,0),IF($X7&lt;30,1,0))</formula>
    </cfRule>
    <cfRule type="expression" dxfId="985" priority="39">
      <formula>AND(IF($Q7=3,1,0),IF($X7&lt;30,1,0))</formula>
    </cfRule>
    <cfRule type="expression" dxfId="984" priority="40">
      <formula>AND(IF($Q7=3,1,IF($Q7=4,1,0)),IF($F7&lt;=85,1,0))</formula>
    </cfRule>
  </conditionalFormatting>
  <conditionalFormatting sqref="AV8">
    <cfRule type="expression" dxfId="983" priority="35">
      <formula>AV8="X"</formula>
    </cfRule>
    <cfRule type="expression" dxfId="982" priority="36">
      <formula>AV8="후보"</formula>
    </cfRule>
  </conditionalFormatting>
  <conditionalFormatting sqref="AC8">
    <cfRule type="cellIs" dxfId="981" priority="33" operator="greaterThan">
      <formula>0.9</formula>
    </cfRule>
    <cfRule type="cellIs" dxfId="980" priority="34" operator="greaterThan">
      <formula>0.85</formula>
    </cfRule>
  </conditionalFormatting>
  <conditionalFormatting sqref="N8">
    <cfRule type="cellIs" dxfId="979" priority="31" operator="greaterThan">
      <formula>0.9</formula>
    </cfRule>
    <cfRule type="cellIs" dxfId="978" priority="32" operator="greaterThan">
      <formula>0.85</formula>
    </cfRule>
  </conditionalFormatting>
  <conditionalFormatting sqref="E8">
    <cfRule type="expression" dxfId="977" priority="27">
      <formula>AND(IF(OR($Q8=1,$Q8=2),1,0),IF($X8&lt;=20,1,0))</formula>
    </cfRule>
    <cfRule type="expression" dxfId="976" priority="28">
      <formula>AND(IF($Q8=2,1,0),IF($X8&lt;30,1,0))</formula>
    </cfRule>
    <cfRule type="expression" dxfId="975" priority="29">
      <formula>AND(IF($Q8=3,1,0),IF($X8&lt;30,1,0))</formula>
    </cfRule>
    <cfRule type="expression" dxfId="974" priority="30">
      <formula>AND(IF($Q8=3,1,IF($Q8=4,1,0)),IF($F8&lt;=85,1,0))</formula>
    </cfRule>
  </conditionalFormatting>
  <conditionalFormatting sqref="X8">
    <cfRule type="expression" dxfId="973" priority="23">
      <formula>AND(IF(OR($Q8=1,$Q8=2),1,0),IF($X8&lt;=20,1,0))</formula>
    </cfRule>
    <cfRule type="expression" dxfId="972" priority="24">
      <formula>AND(IF($Q8=2,1,0),IF($X8&lt;30,1,0))</formula>
    </cfRule>
    <cfRule type="expression" dxfId="971" priority="25">
      <formula>AND(IF($Q8=3,1,0),IF($X8&lt;30,1,0))</formula>
    </cfRule>
    <cfRule type="expression" dxfId="970" priority="26">
      <formula>AND(IF($Q8=3,1,IF($Q8=4,1,0)),IF($F8&lt;=85,1,0))</formula>
    </cfRule>
  </conditionalFormatting>
  <conditionalFormatting sqref="AI8">
    <cfRule type="expression" dxfId="969" priority="19">
      <formula>AND(IF(OR($Q8=1,$Q8=2),1,0),IF($X8&lt;=20,1,0))</formula>
    </cfRule>
    <cfRule type="expression" dxfId="968" priority="20">
      <formula>AND(IF($Q8=2,1,0),IF($X8&lt;30,1,0))</formula>
    </cfRule>
    <cfRule type="expression" dxfId="967" priority="21">
      <formula>AND(IF($Q8=3,1,0),IF($X8&lt;30,1,0))</formula>
    </cfRule>
    <cfRule type="expression" dxfId="966" priority="22">
      <formula>AND(IF($Q8=3,1,IF($Q8=4,1,0)),IF($F8&lt;=85,1,0))</formula>
    </cfRule>
  </conditionalFormatting>
  <conditionalFormatting sqref="AV9">
    <cfRule type="expression" dxfId="965" priority="17">
      <formula>AV9="X"</formula>
    </cfRule>
    <cfRule type="expression" dxfId="964" priority="18">
      <formula>AV9="후보"</formula>
    </cfRule>
  </conditionalFormatting>
  <conditionalFormatting sqref="AC9">
    <cfRule type="cellIs" dxfId="963" priority="15" operator="greaterThan">
      <formula>0.9</formula>
    </cfRule>
    <cfRule type="cellIs" dxfId="962" priority="16" operator="greaterThan">
      <formula>0.85</formula>
    </cfRule>
  </conditionalFormatting>
  <conditionalFormatting sqref="N9">
    <cfRule type="cellIs" dxfId="961" priority="13" operator="greaterThan">
      <formula>0.9</formula>
    </cfRule>
    <cfRule type="cellIs" dxfId="960" priority="14" operator="greaterThan">
      <formula>0.85</formula>
    </cfRule>
  </conditionalFormatting>
  <conditionalFormatting sqref="E9">
    <cfRule type="expression" dxfId="959" priority="9">
      <formula>AND(IF(OR($Q9=1,$Q9=2),1,0),IF($X9&lt;=20,1,0))</formula>
    </cfRule>
    <cfRule type="expression" dxfId="958" priority="10">
      <formula>AND(IF($Q9=2,1,0),IF($X9&lt;30,1,0))</formula>
    </cfRule>
    <cfRule type="expression" dxfId="957" priority="11">
      <formula>AND(IF($Q9=3,1,0),IF($X9&lt;30,1,0))</formula>
    </cfRule>
    <cfRule type="expression" dxfId="956" priority="12">
      <formula>AND(IF($Q9=3,1,IF($Q9=4,1,0)),IF($F9&lt;=85,1,0))</formula>
    </cfRule>
  </conditionalFormatting>
  <conditionalFormatting sqref="X9">
    <cfRule type="expression" dxfId="955" priority="5">
      <formula>AND(IF(OR($Q9=1,$Q9=2),1,0),IF($X9&lt;=20,1,0))</formula>
    </cfRule>
    <cfRule type="expression" dxfId="954" priority="6">
      <formula>AND(IF($Q9=2,1,0),IF($X9&lt;30,1,0))</formula>
    </cfRule>
    <cfRule type="expression" dxfId="953" priority="7">
      <formula>AND(IF($Q9=3,1,0),IF($X9&lt;30,1,0))</formula>
    </cfRule>
    <cfRule type="expression" dxfId="952" priority="8">
      <formula>AND(IF($Q9=3,1,IF($Q9=4,1,0)),IF($F9&lt;=85,1,0))</formula>
    </cfRule>
  </conditionalFormatting>
  <conditionalFormatting sqref="AI9">
    <cfRule type="expression" dxfId="951" priority="1">
      <formula>AND(IF(OR($Q9=1,$Q9=2),1,0),IF($X9&lt;=20,1,0))</formula>
    </cfRule>
    <cfRule type="expression" dxfId="950" priority="2">
      <formula>AND(IF($Q9=2,1,0),IF($X9&lt;30,1,0))</formula>
    </cfRule>
    <cfRule type="expression" dxfId="949" priority="3">
      <formula>AND(IF($Q9=3,1,0),IF($X9&lt;30,1,0))</formula>
    </cfRule>
    <cfRule type="expression" dxfId="948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조촌동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159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조촌동 군산디오션시티푸르지오('18.03.,1400^)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1164</v>
      </c>
      <c r="B6" s="10" t="s">
        <v>1354</v>
      </c>
      <c r="C6" s="89">
        <v>1400</v>
      </c>
      <c r="D6" s="87">
        <v>82</v>
      </c>
      <c r="E6" s="88">
        <v>25</v>
      </c>
      <c r="F6" s="87">
        <v>60</v>
      </c>
      <c r="G6" s="17">
        <v>18</v>
      </c>
      <c r="H6" s="89">
        <v>189</v>
      </c>
      <c r="I6" s="90">
        <v>33000</v>
      </c>
      <c r="J6" s="90" t="s">
        <v>120</v>
      </c>
      <c r="K6" s="90">
        <v>28000</v>
      </c>
      <c r="L6" s="90" t="s">
        <v>91</v>
      </c>
      <c r="M6" s="91">
        <f t="shared" ref="M6:M15" si="2">I6-K6</f>
        <v>5000</v>
      </c>
      <c r="N6" s="4">
        <f t="shared" ref="N6:N15" si="3">IF(ISERROR(K6/I6),"",K6/I6)</f>
        <v>0.84848484848484851</v>
      </c>
      <c r="O6" s="92">
        <f t="shared" ref="O6:O15" si="4">I6/E6</f>
        <v>1320</v>
      </c>
      <c r="P6" s="92">
        <f t="shared" ref="P6:P15" si="5">K6/E6</f>
        <v>1120</v>
      </c>
      <c r="Q6" s="80">
        <v>3</v>
      </c>
      <c r="R6" s="80">
        <v>2</v>
      </c>
      <c r="S6" s="80" t="s">
        <v>61</v>
      </c>
      <c r="T6" s="5" t="s">
        <v>121</v>
      </c>
      <c r="U6" s="9"/>
      <c r="W6" s="87">
        <f t="shared" ref="W6:W15" si="6">D6</f>
        <v>82</v>
      </c>
      <c r="X6" s="88">
        <f t="shared" ref="X6:X15" si="7">E6</f>
        <v>25</v>
      </c>
      <c r="Y6" s="93">
        <f t="shared" ref="Y6:Y15" si="8">H6</f>
        <v>189</v>
      </c>
      <c r="Z6" s="91">
        <f t="shared" ref="Z6:Z15" si="9">I6</f>
        <v>33000</v>
      </c>
      <c r="AA6" s="91">
        <f t="shared" ref="AA6:AA15" si="10">K6</f>
        <v>28000</v>
      </c>
      <c r="AB6" s="91">
        <f t="shared" ref="AB6:AB15" si="11">M6</f>
        <v>5000</v>
      </c>
      <c r="AC6" s="4">
        <f t="shared" ref="AC6:AC15" si="12">N6</f>
        <v>0.84848484848484851</v>
      </c>
      <c r="AD6" s="92">
        <f t="shared" ref="AD6:AD15" si="13">O6</f>
        <v>1320</v>
      </c>
      <c r="AE6" s="80" t="str">
        <f t="shared" ref="AE6:AE15" si="14">S6</f>
        <v>계</v>
      </c>
      <c r="AF6" s="80" t="str">
        <f t="shared" ref="AF6:AF15" si="15">Q6&amp;"/"&amp;R6</f>
        <v>3/2</v>
      </c>
      <c r="AH6" s="20" t="str">
        <f t="shared" si="1"/>
        <v>군산디오션시티푸르지오</v>
      </c>
      <c r="AI6" s="88">
        <f t="shared" si="0"/>
        <v>25</v>
      </c>
      <c r="AJ6" s="80" t="str">
        <f t="shared" ref="AJ6:AJ15" si="16">IF(AI6="","",$AJ$2)</f>
        <v>A-</v>
      </c>
      <c r="AK6" s="80" t="s">
        <v>14</v>
      </c>
      <c r="AL6" s="80" t="s">
        <v>63</v>
      </c>
      <c r="AM6" s="80" t="s">
        <v>64</v>
      </c>
      <c r="AN6" s="80" t="str">
        <f t="shared" ref="AN6:AN15" si="17">IF(AI6="","",$AN$2)</f>
        <v>C</v>
      </c>
      <c r="AO6" s="80" t="str">
        <f t="shared" ref="AO6:AO15" si="18">IF(N6="","",IF(N6&gt;=$AO$1/100,"O","X"))</f>
        <v>O</v>
      </c>
      <c r="AP6" s="80" t="str">
        <f t="shared" ref="AP6:AP15" si="19">IF(I6="","",IF(I6&lt;=$AP$1,"O","X"))</f>
        <v>O</v>
      </c>
      <c r="AQ6" s="80" t="str">
        <f t="shared" ref="AQ6:AQ15" si="20">IF(O6="","",IF(O6&lt;=$AQ$1,"O","X"))</f>
        <v>X</v>
      </c>
      <c r="AR6" s="80" t="str">
        <f t="shared" ref="AR6:AR15" si="21">IF(M6="","",IF(M6&lt;=$AR$1,"O","X"))</f>
        <v>O</v>
      </c>
      <c r="AS6" s="80" t="s">
        <v>2</v>
      </c>
      <c r="AT6" s="80" t="str">
        <f t="shared" ref="AT6:AT15" si="22">IF(OR(F6="",AI6=""),"",IF(AND((F6&lt;=85),(AI6&gt;=15)),"O","X"))</f>
        <v>O</v>
      </c>
      <c r="AU6" s="80" t="str">
        <f t="shared" ref="AU6:AU15" si="23">IF(C6="","",IF(C6&gt;=$AU$1,"O","X"))</f>
        <v>O</v>
      </c>
      <c r="AV6" s="80" t="str">
        <f t="shared" ref="AV6:AV15" si="24">IF(AO6="","",IF(AND(AO6="O",AP6="O",AR6="O",AT6="O",AU6="O"),"후보","X"))</f>
        <v>후보</v>
      </c>
    </row>
    <row r="7" spans="1:48" x14ac:dyDescent="0.3">
      <c r="A7" s="9" t="s">
        <v>1164</v>
      </c>
      <c r="B7" s="10" t="s">
        <v>1354</v>
      </c>
      <c r="C7" s="89">
        <v>1400</v>
      </c>
      <c r="D7" s="87">
        <v>82.4</v>
      </c>
      <c r="E7" s="88">
        <v>25</v>
      </c>
      <c r="F7" s="87">
        <v>59.2</v>
      </c>
      <c r="G7" s="17">
        <v>18</v>
      </c>
      <c r="H7" s="89">
        <v>55</v>
      </c>
      <c r="I7" s="90">
        <v>34000</v>
      </c>
      <c r="J7" s="90" t="s">
        <v>1355</v>
      </c>
      <c r="K7" s="90">
        <v>27000</v>
      </c>
      <c r="L7" s="90" t="s">
        <v>113</v>
      </c>
      <c r="M7" s="91">
        <f t="shared" si="2"/>
        <v>7000</v>
      </c>
      <c r="N7" s="4">
        <f t="shared" si="3"/>
        <v>0.79411764705882348</v>
      </c>
      <c r="O7" s="92">
        <f t="shared" si="4"/>
        <v>1360</v>
      </c>
      <c r="P7" s="92">
        <f t="shared" si="5"/>
        <v>1080</v>
      </c>
      <c r="Q7" s="80">
        <v>3</v>
      </c>
      <c r="R7" s="80">
        <v>2</v>
      </c>
      <c r="S7" s="80" t="s">
        <v>61</v>
      </c>
      <c r="T7" s="5" t="s">
        <v>90</v>
      </c>
      <c r="U7" s="9"/>
      <c r="W7" s="87">
        <f t="shared" si="6"/>
        <v>82.4</v>
      </c>
      <c r="X7" s="88">
        <f t="shared" si="7"/>
        <v>25</v>
      </c>
      <c r="Y7" s="93">
        <f t="shared" si="8"/>
        <v>55</v>
      </c>
      <c r="Z7" s="91">
        <f t="shared" si="9"/>
        <v>34000</v>
      </c>
      <c r="AA7" s="91">
        <f t="shared" si="10"/>
        <v>27000</v>
      </c>
      <c r="AB7" s="91">
        <f t="shared" si="11"/>
        <v>7000</v>
      </c>
      <c r="AC7" s="4">
        <f t="shared" si="12"/>
        <v>0.79411764705882348</v>
      </c>
      <c r="AD7" s="92">
        <f t="shared" si="13"/>
        <v>1360</v>
      </c>
      <c r="AE7" s="80" t="str">
        <f t="shared" si="14"/>
        <v>계</v>
      </c>
      <c r="AF7" s="80" t="str">
        <f t="shared" si="15"/>
        <v>3/2</v>
      </c>
      <c r="AH7" s="20" t="str">
        <f t="shared" si="1"/>
        <v>군산디오션시티푸르지오</v>
      </c>
      <c r="AI7" s="88">
        <f t="shared" si="0"/>
        <v>25</v>
      </c>
      <c r="AJ7" s="80" t="str">
        <f t="shared" si="16"/>
        <v>A-</v>
      </c>
      <c r="AK7" s="80" t="s">
        <v>14</v>
      </c>
      <c r="AL7" s="80" t="s">
        <v>63</v>
      </c>
      <c r="AM7" s="80" t="s">
        <v>64</v>
      </c>
      <c r="AN7" s="80" t="str">
        <f t="shared" si="17"/>
        <v>C</v>
      </c>
      <c r="AO7" s="80" t="str">
        <f t="shared" si="18"/>
        <v>X</v>
      </c>
      <c r="AP7" s="80" t="str">
        <f t="shared" si="19"/>
        <v>O</v>
      </c>
      <c r="AQ7" s="80" t="str">
        <f t="shared" si="20"/>
        <v>X</v>
      </c>
      <c r="AR7" s="80" t="str">
        <f t="shared" si="21"/>
        <v>X</v>
      </c>
      <c r="AS7" s="80" t="s">
        <v>2</v>
      </c>
      <c r="AT7" s="80" t="str">
        <f t="shared" si="22"/>
        <v>O</v>
      </c>
      <c r="AU7" s="80" t="str">
        <f t="shared" si="23"/>
        <v>O</v>
      </c>
      <c r="AV7" s="80" t="str">
        <f t="shared" si="24"/>
        <v>X</v>
      </c>
    </row>
    <row r="8" spans="1:48" x14ac:dyDescent="0.3">
      <c r="A8" s="9" t="s">
        <v>1164</v>
      </c>
      <c r="B8" s="10" t="s">
        <v>1354</v>
      </c>
      <c r="C8" s="89">
        <v>1400</v>
      </c>
      <c r="D8" s="87">
        <v>101.7</v>
      </c>
      <c r="E8" s="88">
        <v>31</v>
      </c>
      <c r="F8" s="87">
        <v>74.900000000000006</v>
      </c>
      <c r="G8" s="17">
        <v>23</v>
      </c>
      <c r="H8" s="89">
        <v>279</v>
      </c>
      <c r="I8" s="90">
        <v>44000</v>
      </c>
      <c r="J8" s="90" t="s">
        <v>154</v>
      </c>
      <c r="K8" s="90">
        <v>30000</v>
      </c>
      <c r="L8" s="90" t="s">
        <v>113</v>
      </c>
      <c r="M8" s="91">
        <f t="shared" si="2"/>
        <v>14000</v>
      </c>
      <c r="N8" s="4">
        <f t="shared" si="3"/>
        <v>0.68181818181818177</v>
      </c>
      <c r="O8" s="92">
        <f t="shared" si="4"/>
        <v>1419.3548387096773</v>
      </c>
      <c r="P8" s="92">
        <f t="shared" si="5"/>
        <v>967.74193548387098</v>
      </c>
      <c r="Q8" s="80">
        <v>3</v>
      </c>
      <c r="R8" s="80">
        <v>2</v>
      </c>
      <c r="S8" s="80" t="s">
        <v>61</v>
      </c>
      <c r="T8" s="5" t="s">
        <v>114</v>
      </c>
      <c r="U8" s="9"/>
      <c r="W8" s="87">
        <f t="shared" si="6"/>
        <v>101.7</v>
      </c>
      <c r="X8" s="88">
        <f t="shared" si="7"/>
        <v>31</v>
      </c>
      <c r="Y8" s="93">
        <f t="shared" si="8"/>
        <v>279</v>
      </c>
      <c r="Z8" s="91">
        <f t="shared" si="9"/>
        <v>44000</v>
      </c>
      <c r="AA8" s="91">
        <f t="shared" si="10"/>
        <v>30000</v>
      </c>
      <c r="AB8" s="91">
        <f t="shared" si="11"/>
        <v>14000</v>
      </c>
      <c r="AC8" s="4">
        <f t="shared" si="12"/>
        <v>0.68181818181818177</v>
      </c>
      <c r="AD8" s="92">
        <f t="shared" si="13"/>
        <v>1419.3548387096773</v>
      </c>
      <c r="AE8" s="80" t="str">
        <f t="shared" si="14"/>
        <v>계</v>
      </c>
      <c r="AF8" s="80" t="str">
        <f t="shared" si="15"/>
        <v>3/2</v>
      </c>
      <c r="AH8" s="20" t="str">
        <f t="shared" si="1"/>
        <v>군산디오션시티푸르지오</v>
      </c>
      <c r="AI8" s="88">
        <f t="shared" si="0"/>
        <v>31</v>
      </c>
      <c r="AJ8" s="80" t="str">
        <f t="shared" si="16"/>
        <v>A-</v>
      </c>
      <c r="AK8" s="80" t="s">
        <v>14</v>
      </c>
      <c r="AL8" s="80" t="s">
        <v>63</v>
      </c>
      <c r="AM8" s="80" t="s">
        <v>64</v>
      </c>
      <c r="AN8" s="80" t="str">
        <f t="shared" si="17"/>
        <v>C</v>
      </c>
      <c r="AO8" s="80" t="str">
        <f t="shared" si="18"/>
        <v>X</v>
      </c>
      <c r="AP8" s="80" t="str">
        <f t="shared" si="19"/>
        <v>O</v>
      </c>
      <c r="AQ8" s="80" t="str">
        <f t="shared" si="20"/>
        <v>X</v>
      </c>
      <c r="AR8" s="80" t="str">
        <f t="shared" si="21"/>
        <v>X</v>
      </c>
      <c r="AS8" s="80" t="s">
        <v>2</v>
      </c>
      <c r="AT8" s="80" t="str">
        <f t="shared" si="22"/>
        <v>O</v>
      </c>
      <c r="AU8" s="80" t="str">
        <f t="shared" si="23"/>
        <v>O</v>
      </c>
      <c r="AV8" s="80" t="str">
        <f t="shared" si="24"/>
        <v>X</v>
      </c>
    </row>
    <row r="9" spans="1:48" x14ac:dyDescent="0.3">
      <c r="A9" s="9" t="s">
        <v>1164</v>
      </c>
      <c r="B9" s="10" t="s">
        <v>1354</v>
      </c>
      <c r="C9" s="89">
        <v>1400</v>
      </c>
      <c r="D9" s="87">
        <v>102.3</v>
      </c>
      <c r="E9" s="88">
        <v>31</v>
      </c>
      <c r="F9" s="87">
        <v>74.8</v>
      </c>
      <c r="G9" s="17">
        <v>23</v>
      </c>
      <c r="H9" s="89">
        <v>113</v>
      </c>
      <c r="I9" s="90">
        <v>45000</v>
      </c>
      <c r="J9" s="90" t="s">
        <v>109</v>
      </c>
      <c r="K9" s="90">
        <v>31000</v>
      </c>
      <c r="L9" s="90" t="s">
        <v>120</v>
      </c>
      <c r="M9" s="91">
        <f t="shared" si="2"/>
        <v>14000</v>
      </c>
      <c r="N9" s="4">
        <f t="shared" si="3"/>
        <v>0.68888888888888888</v>
      </c>
      <c r="O9" s="92">
        <f t="shared" si="4"/>
        <v>1451.6129032258063</v>
      </c>
      <c r="P9" s="92">
        <f t="shared" si="5"/>
        <v>1000</v>
      </c>
      <c r="Q9" s="80">
        <v>3</v>
      </c>
      <c r="R9" s="80">
        <v>2</v>
      </c>
      <c r="S9" s="80" t="s">
        <v>61</v>
      </c>
      <c r="T9" s="5" t="s">
        <v>1169</v>
      </c>
      <c r="U9" s="9"/>
      <c r="W9" s="87">
        <f t="shared" si="6"/>
        <v>102.3</v>
      </c>
      <c r="X9" s="88">
        <f t="shared" si="7"/>
        <v>31</v>
      </c>
      <c r="Y9" s="93">
        <f t="shared" si="8"/>
        <v>113</v>
      </c>
      <c r="Z9" s="91">
        <f t="shared" si="9"/>
        <v>45000</v>
      </c>
      <c r="AA9" s="91">
        <f t="shared" si="10"/>
        <v>31000</v>
      </c>
      <c r="AB9" s="91">
        <f t="shared" si="11"/>
        <v>14000</v>
      </c>
      <c r="AC9" s="4">
        <f t="shared" si="12"/>
        <v>0.68888888888888888</v>
      </c>
      <c r="AD9" s="92">
        <f t="shared" si="13"/>
        <v>1451.6129032258063</v>
      </c>
      <c r="AE9" s="80" t="str">
        <f t="shared" si="14"/>
        <v>계</v>
      </c>
      <c r="AF9" s="80" t="str">
        <f t="shared" si="15"/>
        <v>3/2</v>
      </c>
      <c r="AH9" s="20" t="str">
        <f t="shared" si="1"/>
        <v>군산디오션시티푸르지오</v>
      </c>
      <c r="AI9" s="88">
        <f t="shared" si="0"/>
        <v>31</v>
      </c>
      <c r="AJ9" s="80" t="str">
        <f t="shared" si="16"/>
        <v>A-</v>
      </c>
      <c r="AK9" s="80" t="s">
        <v>14</v>
      </c>
      <c r="AL9" s="80" t="s">
        <v>63</v>
      </c>
      <c r="AM9" s="80" t="s">
        <v>64</v>
      </c>
      <c r="AN9" s="80" t="str">
        <f t="shared" si="17"/>
        <v>C</v>
      </c>
      <c r="AO9" s="80" t="str">
        <f t="shared" si="18"/>
        <v>X</v>
      </c>
      <c r="AP9" s="80" t="str">
        <f t="shared" si="19"/>
        <v>O</v>
      </c>
      <c r="AQ9" s="80" t="str">
        <f t="shared" si="20"/>
        <v>X</v>
      </c>
      <c r="AR9" s="80" t="str">
        <f t="shared" si="21"/>
        <v>X</v>
      </c>
      <c r="AS9" s="80" t="s">
        <v>2</v>
      </c>
      <c r="AT9" s="80" t="str">
        <f t="shared" si="22"/>
        <v>O</v>
      </c>
      <c r="AU9" s="80" t="str">
        <f t="shared" si="23"/>
        <v>O</v>
      </c>
      <c r="AV9" s="80" t="str">
        <f t="shared" si="24"/>
        <v>X</v>
      </c>
    </row>
    <row r="10" spans="1:48" x14ac:dyDescent="0.3">
      <c r="A10" s="9" t="s">
        <v>1164</v>
      </c>
      <c r="B10" s="10" t="s">
        <v>1354</v>
      </c>
      <c r="C10" s="89">
        <v>1400</v>
      </c>
      <c r="D10" s="87">
        <v>102.3</v>
      </c>
      <c r="E10" s="88">
        <v>31</v>
      </c>
      <c r="F10" s="87">
        <v>74.8</v>
      </c>
      <c r="G10" s="17">
        <v>23</v>
      </c>
      <c r="H10" s="89">
        <v>110</v>
      </c>
      <c r="I10" s="90">
        <v>45000</v>
      </c>
      <c r="J10" s="90" t="s">
        <v>109</v>
      </c>
      <c r="K10" s="90">
        <v>31000</v>
      </c>
      <c r="L10" s="90" t="s">
        <v>120</v>
      </c>
      <c r="M10" s="91">
        <f t="shared" si="2"/>
        <v>14000</v>
      </c>
      <c r="N10" s="4">
        <f t="shared" si="3"/>
        <v>0.68888888888888888</v>
      </c>
      <c r="O10" s="92">
        <f t="shared" si="4"/>
        <v>1451.6129032258063</v>
      </c>
      <c r="P10" s="92">
        <f t="shared" si="5"/>
        <v>1000</v>
      </c>
      <c r="Q10" s="80">
        <v>3</v>
      </c>
      <c r="R10" s="80">
        <v>2</v>
      </c>
      <c r="S10" s="80" t="s">
        <v>61</v>
      </c>
      <c r="T10" s="5" t="s">
        <v>1170</v>
      </c>
      <c r="U10" s="9"/>
      <c r="W10" s="87">
        <f t="shared" si="6"/>
        <v>102.3</v>
      </c>
      <c r="X10" s="88">
        <f t="shared" si="7"/>
        <v>31</v>
      </c>
      <c r="Y10" s="93">
        <f t="shared" si="8"/>
        <v>110</v>
      </c>
      <c r="Z10" s="91">
        <f t="shared" si="9"/>
        <v>45000</v>
      </c>
      <c r="AA10" s="91">
        <f t="shared" si="10"/>
        <v>31000</v>
      </c>
      <c r="AB10" s="91">
        <f t="shared" si="11"/>
        <v>14000</v>
      </c>
      <c r="AC10" s="4">
        <f t="shared" si="12"/>
        <v>0.68888888888888888</v>
      </c>
      <c r="AD10" s="92">
        <f t="shared" si="13"/>
        <v>1451.6129032258063</v>
      </c>
      <c r="AE10" s="80" t="str">
        <f t="shared" si="14"/>
        <v>계</v>
      </c>
      <c r="AF10" s="80" t="str">
        <f t="shared" si="15"/>
        <v>3/2</v>
      </c>
      <c r="AH10" s="20" t="str">
        <f t="shared" si="1"/>
        <v>군산디오션시티푸르지오</v>
      </c>
      <c r="AI10" s="88">
        <f t="shared" si="0"/>
        <v>31</v>
      </c>
      <c r="AJ10" s="80" t="str">
        <f t="shared" si="16"/>
        <v>A-</v>
      </c>
      <c r="AK10" s="80" t="s">
        <v>14</v>
      </c>
      <c r="AL10" s="80" t="s">
        <v>63</v>
      </c>
      <c r="AM10" s="80" t="s">
        <v>64</v>
      </c>
      <c r="AN10" s="80" t="str">
        <f t="shared" si="17"/>
        <v>C</v>
      </c>
      <c r="AO10" s="80" t="str">
        <f t="shared" si="18"/>
        <v>X</v>
      </c>
      <c r="AP10" s="80" t="str">
        <f t="shared" si="19"/>
        <v>O</v>
      </c>
      <c r="AQ10" s="80" t="str">
        <f t="shared" si="20"/>
        <v>X</v>
      </c>
      <c r="AR10" s="80" t="str">
        <f t="shared" si="21"/>
        <v>X</v>
      </c>
      <c r="AS10" s="80" t="s">
        <v>2</v>
      </c>
      <c r="AT10" s="80" t="str">
        <f t="shared" si="22"/>
        <v>O</v>
      </c>
      <c r="AU10" s="80" t="str">
        <f t="shared" si="23"/>
        <v>O</v>
      </c>
      <c r="AV10" s="80" t="str">
        <f t="shared" si="24"/>
        <v>X</v>
      </c>
    </row>
    <row r="11" spans="1:48" x14ac:dyDescent="0.3">
      <c r="A11" s="9" t="s">
        <v>1164</v>
      </c>
      <c r="B11" s="10" t="s">
        <v>1354</v>
      </c>
      <c r="C11" s="89">
        <v>1400</v>
      </c>
      <c r="D11" s="87">
        <v>114.5</v>
      </c>
      <c r="E11" s="88">
        <v>35</v>
      </c>
      <c r="F11" s="87">
        <v>84.7</v>
      </c>
      <c r="G11" s="17">
        <v>26</v>
      </c>
      <c r="H11" s="89">
        <v>215</v>
      </c>
      <c r="I11" s="90">
        <v>49500</v>
      </c>
      <c r="J11" s="90" t="s">
        <v>109</v>
      </c>
      <c r="K11" s="90">
        <v>35000</v>
      </c>
      <c r="L11" s="90" t="s">
        <v>67</v>
      </c>
      <c r="M11" s="91">
        <f t="shared" si="2"/>
        <v>14500</v>
      </c>
      <c r="N11" s="4">
        <f t="shared" si="3"/>
        <v>0.70707070707070707</v>
      </c>
      <c r="O11" s="92">
        <f t="shared" si="4"/>
        <v>1414.2857142857142</v>
      </c>
      <c r="P11" s="92">
        <f t="shared" si="5"/>
        <v>1000</v>
      </c>
      <c r="Q11" s="80">
        <v>3</v>
      </c>
      <c r="R11" s="80">
        <v>2</v>
      </c>
      <c r="S11" s="80" t="s">
        <v>61</v>
      </c>
      <c r="T11" s="5" t="s">
        <v>110</v>
      </c>
      <c r="U11" s="9"/>
      <c r="W11" s="87">
        <f t="shared" si="6"/>
        <v>114.5</v>
      </c>
      <c r="X11" s="88">
        <f t="shared" si="7"/>
        <v>35</v>
      </c>
      <c r="Y11" s="93">
        <f t="shared" si="8"/>
        <v>215</v>
      </c>
      <c r="Z11" s="91">
        <f t="shared" si="9"/>
        <v>49500</v>
      </c>
      <c r="AA11" s="91">
        <f t="shared" si="10"/>
        <v>35000</v>
      </c>
      <c r="AB11" s="91">
        <f t="shared" si="11"/>
        <v>14500</v>
      </c>
      <c r="AC11" s="4">
        <f t="shared" si="12"/>
        <v>0.70707070707070707</v>
      </c>
      <c r="AD11" s="92">
        <f t="shared" si="13"/>
        <v>1414.2857142857142</v>
      </c>
      <c r="AE11" s="80" t="str">
        <f t="shared" si="14"/>
        <v>계</v>
      </c>
      <c r="AF11" s="80" t="str">
        <f t="shared" si="15"/>
        <v>3/2</v>
      </c>
      <c r="AH11" s="20" t="str">
        <f t="shared" si="1"/>
        <v>군산디오션시티푸르지오</v>
      </c>
      <c r="AI11" s="88">
        <f t="shared" si="0"/>
        <v>35</v>
      </c>
      <c r="AJ11" s="80" t="str">
        <f t="shared" si="16"/>
        <v>A-</v>
      </c>
      <c r="AK11" s="80" t="s">
        <v>14</v>
      </c>
      <c r="AL11" s="80" t="s">
        <v>63</v>
      </c>
      <c r="AM11" s="80" t="s">
        <v>64</v>
      </c>
      <c r="AN11" s="80" t="str">
        <f t="shared" si="17"/>
        <v>C</v>
      </c>
      <c r="AO11" s="80" t="str">
        <f t="shared" si="18"/>
        <v>X</v>
      </c>
      <c r="AP11" s="80" t="str">
        <f t="shared" si="19"/>
        <v>X</v>
      </c>
      <c r="AQ11" s="80" t="str">
        <f t="shared" si="20"/>
        <v>X</v>
      </c>
      <c r="AR11" s="80" t="str">
        <f t="shared" si="21"/>
        <v>X</v>
      </c>
      <c r="AS11" s="80" t="s">
        <v>2</v>
      </c>
      <c r="AT11" s="80" t="str">
        <f t="shared" si="22"/>
        <v>O</v>
      </c>
      <c r="AU11" s="80" t="str">
        <f t="shared" si="23"/>
        <v>O</v>
      </c>
      <c r="AV11" s="80" t="str">
        <f t="shared" si="24"/>
        <v>X</v>
      </c>
    </row>
    <row r="12" spans="1:48" x14ac:dyDescent="0.3">
      <c r="A12" s="9" t="s">
        <v>1164</v>
      </c>
      <c r="B12" s="10" t="s">
        <v>1354</v>
      </c>
      <c r="C12" s="89">
        <v>1400</v>
      </c>
      <c r="D12" s="87">
        <v>114.3</v>
      </c>
      <c r="E12" s="88">
        <v>35</v>
      </c>
      <c r="F12" s="87">
        <v>84.6</v>
      </c>
      <c r="G12" s="17">
        <v>26</v>
      </c>
      <c r="H12" s="89">
        <v>128</v>
      </c>
      <c r="I12" s="90">
        <v>51000</v>
      </c>
      <c r="J12" s="90" t="s">
        <v>81</v>
      </c>
      <c r="K12" s="90">
        <v>34000</v>
      </c>
      <c r="L12" s="90" t="s">
        <v>60</v>
      </c>
      <c r="M12" s="91">
        <f t="shared" si="2"/>
        <v>17000</v>
      </c>
      <c r="N12" s="4">
        <f t="shared" si="3"/>
        <v>0.66666666666666663</v>
      </c>
      <c r="O12" s="92">
        <f t="shared" si="4"/>
        <v>1457.1428571428571</v>
      </c>
      <c r="P12" s="92">
        <f t="shared" si="5"/>
        <v>971.42857142857144</v>
      </c>
      <c r="Q12" s="80">
        <v>3</v>
      </c>
      <c r="R12" s="80">
        <v>2</v>
      </c>
      <c r="S12" s="80" t="s">
        <v>61</v>
      </c>
      <c r="T12" s="5">
        <v>114</v>
      </c>
      <c r="U12" s="9"/>
      <c r="W12" s="87">
        <f t="shared" si="6"/>
        <v>114.3</v>
      </c>
      <c r="X12" s="88">
        <f t="shared" si="7"/>
        <v>35</v>
      </c>
      <c r="Y12" s="93">
        <f t="shared" si="8"/>
        <v>128</v>
      </c>
      <c r="Z12" s="91">
        <f t="shared" si="9"/>
        <v>51000</v>
      </c>
      <c r="AA12" s="91">
        <f t="shared" si="10"/>
        <v>34000</v>
      </c>
      <c r="AB12" s="91">
        <f t="shared" si="11"/>
        <v>17000</v>
      </c>
      <c r="AC12" s="4">
        <f t="shared" si="12"/>
        <v>0.66666666666666663</v>
      </c>
      <c r="AD12" s="92">
        <f t="shared" si="13"/>
        <v>1457.1428571428571</v>
      </c>
      <c r="AE12" s="80" t="str">
        <f t="shared" si="14"/>
        <v>계</v>
      </c>
      <c r="AF12" s="80" t="str">
        <f t="shared" si="15"/>
        <v>3/2</v>
      </c>
      <c r="AH12" s="20" t="str">
        <f t="shared" si="1"/>
        <v>군산디오션시티푸르지오</v>
      </c>
      <c r="AI12" s="88">
        <f t="shared" si="0"/>
        <v>35</v>
      </c>
      <c r="AJ12" s="80" t="str">
        <f t="shared" si="16"/>
        <v>A-</v>
      </c>
      <c r="AK12" s="80" t="s">
        <v>14</v>
      </c>
      <c r="AL12" s="80" t="s">
        <v>63</v>
      </c>
      <c r="AM12" s="80" t="s">
        <v>64</v>
      </c>
      <c r="AN12" s="80" t="str">
        <f t="shared" si="17"/>
        <v>C</v>
      </c>
      <c r="AO12" s="80" t="str">
        <f t="shared" si="18"/>
        <v>X</v>
      </c>
      <c r="AP12" s="80" t="str">
        <f t="shared" si="19"/>
        <v>X</v>
      </c>
      <c r="AQ12" s="80" t="str">
        <f t="shared" si="20"/>
        <v>X</v>
      </c>
      <c r="AR12" s="80" t="str">
        <f t="shared" si="21"/>
        <v>X</v>
      </c>
      <c r="AS12" s="80" t="s">
        <v>2</v>
      </c>
      <c r="AT12" s="80" t="str">
        <f t="shared" si="22"/>
        <v>O</v>
      </c>
      <c r="AU12" s="80" t="str">
        <f t="shared" si="23"/>
        <v>O</v>
      </c>
      <c r="AV12" s="80" t="str">
        <f t="shared" si="24"/>
        <v>X</v>
      </c>
    </row>
    <row r="13" spans="1:48" x14ac:dyDescent="0.3">
      <c r="A13" s="9" t="s">
        <v>1164</v>
      </c>
      <c r="B13" s="10" t="s">
        <v>1354</v>
      </c>
      <c r="C13" s="89">
        <v>1400</v>
      </c>
      <c r="D13" s="87">
        <v>115.4</v>
      </c>
      <c r="E13" s="88">
        <v>35</v>
      </c>
      <c r="F13" s="87">
        <v>84.6</v>
      </c>
      <c r="G13" s="17">
        <v>26</v>
      </c>
      <c r="H13" s="89">
        <v>135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>
        <v>3</v>
      </c>
      <c r="R13" s="80">
        <v>2</v>
      </c>
      <c r="S13" s="80" t="s">
        <v>61</v>
      </c>
      <c r="T13" s="5" t="s">
        <v>94</v>
      </c>
      <c r="U13" s="9"/>
      <c r="W13" s="87">
        <f t="shared" si="6"/>
        <v>115.4</v>
      </c>
      <c r="X13" s="88">
        <f t="shared" si="7"/>
        <v>35</v>
      </c>
      <c r="Y13" s="93">
        <f t="shared" si="8"/>
        <v>135</v>
      </c>
      <c r="Z13" s="91">
        <f t="shared" si="9"/>
        <v>0</v>
      </c>
      <c r="AA13" s="91">
        <f t="shared" si="10"/>
        <v>0</v>
      </c>
      <c r="AB13" s="91">
        <f t="shared" si="11"/>
        <v>0</v>
      </c>
      <c r="AC13" s="4" t="str">
        <f t="shared" si="12"/>
        <v/>
      </c>
      <c r="AD13" s="92">
        <f t="shared" si="13"/>
        <v>0</v>
      </c>
      <c r="AE13" s="80" t="str">
        <f t="shared" si="14"/>
        <v>계</v>
      </c>
      <c r="AF13" s="80" t="str">
        <f t="shared" si="15"/>
        <v>3/2</v>
      </c>
      <c r="AH13" s="20" t="str">
        <f t="shared" si="1"/>
        <v>군산디오션시티푸르지오</v>
      </c>
      <c r="AI13" s="88">
        <f t="shared" si="0"/>
        <v>35</v>
      </c>
      <c r="AJ13" s="80" t="str">
        <f t="shared" si="16"/>
        <v>A-</v>
      </c>
      <c r="AK13" s="80" t="s">
        <v>14</v>
      </c>
      <c r="AL13" s="80" t="s">
        <v>63</v>
      </c>
      <c r="AM13" s="80" t="s">
        <v>64</v>
      </c>
      <c r="AN13" s="80" t="str">
        <f t="shared" si="17"/>
        <v>C</v>
      </c>
      <c r="AO13" s="80" t="str">
        <f t="shared" si="18"/>
        <v/>
      </c>
      <c r="AP13" s="80" t="str">
        <f t="shared" si="19"/>
        <v/>
      </c>
      <c r="AQ13" s="80" t="str">
        <f t="shared" si="20"/>
        <v>O</v>
      </c>
      <c r="AR13" s="80" t="str">
        <f t="shared" si="21"/>
        <v>O</v>
      </c>
      <c r="AS13" s="80" t="s">
        <v>2</v>
      </c>
      <c r="AT13" s="80" t="str">
        <f t="shared" si="22"/>
        <v>O</v>
      </c>
      <c r="AU13" s="80" t="str">
        <f t="shared" si="23"/>
        <v>O</v>
      </c>
      <c r="AV13" s="80" t="str">
        <f t="shared" si="24"/>
        <v/>
      </c>
    </row>
    <row r="14" spans="1:48" x14ac:dyDescent="0.3">
      <c r="A14" s="9" t="s">
        <v>1164</v>
      </c>
      <c r="B14" s="10" t="s">
        <v>1354</v>
      </c>
      <c r="C14" s="89">
        <v>1400</v>
      </c>
      <c r="D14" s="87">
        <v>115.6</v>
      </c>
      <c r="E14" s="88">
        <v>35</v>
      </c>
      <c r="F14" s="87">
        <v>84</v>
      </c>
      <c r="G14" s="17">
        <v>25</v>
      </c>
      <c r="H14" s="89">
        <v>127</v>
      </c>
      <c r="I14" s="90">
        <v>49800</v>
      </c>
      <c r="J14" s="90" t="s">
        <v>72</v>
      </c>
      <c r="K14" s="90">
        <v>32000</v>
      </c>
      <c r="L14" s="90" t="s">
        <v>70</v>
      </c>
      <c r="M14" s="91">
        <f t="shared" si="2"/>
        <v>17800</v>
      </c>
      <c r="N14" s="4">
        <f t="shared" si="3"/>
        <v>0.64257028112449799</v>
      </c>
      <c r="O14" s="92">
        <f t="shared" si="4"/>
        <v>1422.8571428571429</v>
      </c>
      <c r="P14" s="92">
        <f t="shared" si="5"/>
        <v>914.28571428571433</v>
      </c>
      <c r="Q14" s="80">
        <v>3</v>
      </c>
      <c r="R14" s="80">
        <v>2</v>
      </c>
      <c r="S14" s="80" t="s">
        <v>61</v>
      </c>
      <c r="T14" s="5" t="s">
        <v>141</v>
      </c>
      <c r="U14" s="9"/>
      <c r="W14" s="87">
        <f t="shared" si="6"/>
        <v>115.6</v>
      </c>
      <c r="X14" s="88">
        <f t="shared" si="7"/>
        <v>35</v>
      </c>
      <c r="Y14" s="93">
        <f t="shared" si="8"/>
        <v>127</v>
      </c>
      <c r="Z14" s="91">
        <f t="shared" si="9"/>
        <v>49800</v>
      </c>
      <c r="AA14" s="91">
        <f t="shared" si="10"/>
        <v>32000</v>
      </c>
      <c r="AB14" s="91">
        <f t="shared" si="11"/>
        <v>17800</v>
      </c>
      <c r="AC14" s="4">
        <f t="shared" si="12"/>
        <v>0.64257028112449799</v>
      </c>
      <c r="AD14" s="92">
        <f t="shared" si="13"/>
        <v>1422.8571428571429</v>
      </c>
      <c r="AE14" s="80" t="str">
        <f t="shared" si="14"/>
        <v>계</v>
      </c>
      <c r="AF14" s="80" t="str">
        <f t="shared" si="15"/>
        <v>3/2</v>
      </c>
      <c r="AH14" s="20" t="str">
        <f t="shared" si="1"/>
        <v>군산디오션시티푸르지오</v>
      </c>
      <c r="AI14" s="88">
        <f t="shared" si="0"/>
        <v>35</v>
      </c>
      <c r="AJ14" s="80" t="str">
        <f t="shared" si="16"/>
        <v>A-</v>
      </c>
      <c r="AK14" s="80" t="s">
        <v>14</v>
      </c>
      <c r="AL14" s="80" t="s">
        <v>63</v>
      </c>
      <c r="AM14" s="80" t="s">
        <v>64</v>
      </c>
      <c r="AN14" s="80" t="str">
        <f t="shared" si="17"/>
        <v>C</v>
      </c>
      <c r="AO14" s="80" t="str">
        <f t="shared" si="18"/>
        <v>X</v>
      </c>
      <c r="AP14" s="80" t="str">
        <f t="shared" si="19"/>
        <v>X</v>
      </c>
      <c r="AQ14" s="80" t="str">
        <f t="shared" si="20"/>
        <v>X</v>
      </c>
      <c r="AR14" s="80" t="str">
        <f t="shared" si="21"/>
        <v>X</v>
      </c>
      <c r="AS14" s="80" t="s">
        <v>2</v>
      </c>
      <c r="AT14" s="80" t="str">
        <f t="shared" si="22"/>
        <v>O</v>
      </c>
      <c r="AU14" s="80" t="str">
        <f t="shared" si="23"/>
        <v>O</v>
      </c>
      <c r="AV14" s="80" t="str">
        <f t="shared" si="24"/>
        <v>X</v>
      </c>
    </row>
    <row r="15" spans="1:48" x14ac:dyDescent="0.3">
      <c r="A15" s="9" t="s">
        <v>1164</v>
      </c>
      <c r="B15" s="10" t="s">
        <v>1354</v>
      </c>
      <c r="C15" s="89">
        <v>1400</v>
      </c>
      <c r="D15" s="87">
        <v>134.69999999999999</v>
      </c>
      <c r="E15" s="88">
        <v>41</v>
      </c>
      <c r="F15" s="87">
        <v>99.5</v>
      </c>
      <c r="G15" s="17">
        <v>30</v>
      </c>
      <c r="H15" s="89">
        <v>49</v>
      </c>
      <c r="I15" s="90">
        <v>69000</v>
      </c>
      <c r="J15" s="90" t="s">
        <v>84</v>
      </c>
      <c r="K15" s="90">
        <v>34000</v>
      </c>
      <c r="L15" s="90" t="s">
        <v>60</v>
      </c>
      <c r="M15" s="91">
        <f t="shared" si="2"/>
        <v>35000</v>
      </c>
      <c r="N15" s="4">
        <f t="shared" si="3"/>
        <v>0.49275362318840582</v>
      </c>
      <c r="O15" s="92">
        <f t="shared" si="4"/>
        <v>1682.9268292682927</v>
      </c>
      <c r="P15" s="92">
        <f t="shared" si="5"/>
        <v>829.26829268292681</v>
      </c>
      <c r="Q15" s="80">
        <v>4</v>
      </c>
      <c r="R15" s="80">
        <v>2</v>
      </c>
      <c r="S15" s="80" t="s">
        <v>61</v>
      </c>
      <c r="T15" s="5">
        <v>134</v>
      </c>
      <c r="U15" s="9"/>
      <c r="W15" s="87">
        <f t="shared" si="6"/>
        <v>134.69999999999999</v>
      </c>
      <c r="X15" s="88">
        <f t="shared" si="7"/>
        <v>41</v>
      </c>
      <c r="Y15" s="93">
        <f t="shared" si="8"/>
        <v>49</v>
      </c>
      <c r="Z15" s="91">
        <f t="shared" si="9"/>
        <v>69000</v>
      </c>
      <c r="AA15" s="91">
        <f t="shared" si="10"/>
        <v>34000</v>
      </c>
      <c r="AB15" s="91">
        <f t="shared" si="11"/>
        <v>35000</v>
      </c>
      <c r="AC15" s="4">
        <f t="shared" si="12"/>
        <v>0.49275362318840582</v>
      </c>
      <c r="AD15" s="92">
        <f t="shared" si="13"/>
        <v>1682.9268292682927</v>
      </c>
      <c r="AE15" s="80" t="str">
        <f t="shared" si="14"/>
        <v>계</v>
      </c>
      <c r="AF15" s="80" t="str">
        <f t="shared" si="15"/>
        <v>4/2</v>
      </c>
      <c r="AH15" s="20" t="str">
        <f t="shared" si="1"/>
        <v>군산디오션시티푸르지오</v>
      </c>
      <c r="AI15" s="88">
        <f t="shared" si="0"/>
        <v>41</v>
      </c>
      <c r="AJ15" s="80" t="str">
        <f t="shared" si="16"/>
        <v>A-</v>
      </c>
      <c r="AK15" s="80" t="s">
        <v>14</v>
      </c>
      <c r="AL15" s="80" t="s">
        <v>63</v>
      </c>
      <c r="AM15" s="80" t="s">
        <v>64</v>
      </c>
      <c r="AN15" s="80" t="str">
        <f t="shared" si="17"/>
        <v>C</v>
      </c>
      <c r="AO15" s="80" t="str">
        <f t="shared" si="18"/>
        <v>X</v>
      </c>
      <c r="AP15" s="80" t="str">
        <f t="shared" si="19"/>
        <v>X</v>
      </c>
      <c r="AQ15" s="80" t="str">
        <f t="shared" si="20"/>
        <v>X</v>
      </c>
      <c r="AR15" s="80" t="str">
        <f t="shared" si="21"/>
        <v>X</v>
      </c>
      <c r="AS15" s="80" t="s">
        <v>2</v>
      </c>
      <c r="AT15" s="80" t="str">
        <f t="shared" si="22"/>
        <v>X</v>
      </c>
      <c r="AU15" s="80" t="str">
        <f t="shared" si="23"/>
        <v>O</v>
      </c>
      <c r="AV15" s="80" t="str">
        <f t="shared" si="24"/>
        <v>X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7" t="str">
        <f>$A$4&amp;" "&amp;A17&amp;"("&amp;B17&amp;","&amp;C17&amp;"^)"</f>
        <v>조촌동 타워써미트('12.06.,770^)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1171</v>
      </c>
      <c r="B17" s="10" t="s">
        <v>1356</v>
      </c>
      <c r="C17" s="89">
        <v>770</v>
      </c>
      <c r="D17" s="87">
        <v>79.099999999999994</v>
      </c>
      <c r="E17" s="88">
        <v>24</v>
      </c>
      <c r="F17" s="87">
        <v>59.9</v>
      </c>
      <c r="G17" s="17">
        <v>18</v>
      </c>
      <c r="H17" s="89">
        <v>129</v>
      </c>
      <c r="I17" s="90">
        <v>20000</v>
      </c>
      <c r="J17" s="90" t="s">
        <v>95</v>
      </c>
      <c r="K17" s="90">
        <v>17000</v>
      </c>
      <c r="L17" s="90" t="s">
        <v>68</v>
      </c>
      <c r="M17" s="91">
        <f>I17-K17</f>
        <v>3000</v>
      </c>
      <c r="N17" s="4">
        <f>IF(ISERROR(K17/I17),"",K17/I17)</f>
        <v>0.85</v>
      </c>
      <c r="O17" s="92">
        <f>I17/E17</f>
        <v>833.33333333333337</v>
      </c>
      <c r="P17" s="92">
        <f>K17/E17</f>
        <v>708.33333333333337</v>
      </c>
      <c r="Q17" s="80">
        <v>3</v>
      </c>
      <c r="R17" s="80">
        <v>1</v>
      </c>
      <c r="S17" s="80" t="s">
        <v>61</v>
      </c>
      <c r="T17" s="5">
        <v>79</v>
      </c>
      <c r="U17" s="9"/>
      <c r="W17" s="87">
        <f t="shared" ref="W17:X20" si="25">D17</f>
        <v>79.099999999999994</v>
      </c>
      <c r="X17" s="88">
        <f t="shared" si="25"/>
        <v>24</v>
      </c>
      <c r="Y17" s="93">
        <f t="shared" ref="Y17:Z20" si="26">H17</f>
        <v>129</v>
      </c>
      <c r="Z17" s="91">
        <f t="shared" si="26"/>
        <v>20000</v>
      </c>
      <c r="AA17" s="91">
        <f>K17</f>
        <v>17000</v>
      </c>
      <c r="AB17" s="91">
        <f t="shared" ref="AB17:AD20" si="27">M17</f>
        <v>3000</v>
      </c>
      <c r="AC17" s="4">
        <f t="shared" si="27"/>
        <v>0.85</v>
      </c>
      <c r="AD17" s="92">
        <f t="shared" si="27"/>
        <v>833.33333333333337</v>
      </c>
      <c r="AE17" s="80" t="str">
        <f>S17</f>
        <v>계</v>
      </c>
      <c r="AF17" s="80" t="str">
        <f>Q17&amp;"/"&amp;R17</f>
        <v>3/1</v>
      </c>
      <c r="AH17" s="20" t="str">
        <f t="shared" si="1"/>
        <v>타워써미트</v>
      </c>
      <c r="AI17" s="88">
        <f t="shared" si="0"/>
        <v>24</v>
      </c>
      <c r="AJ17" s="80" t="str">
        <f>IF(AI17="","",$AJ$2)</f>
        <v>A-</v>
      </c>
      <c r="AK17" s="80" t="s">
        <v>14</v>
      </c>
      <c r="AL17" s="80" t="s">
        <v>63</v>
      </c>
      <c r="AM17" s="80" t="s">
        <v>64</v>
      </c>
      <c r="AN17" s="80" t="str">
        <f>IF(AI17="","",$AN$2)</f>
        <v>C</v>
      </c>
      <c r="AO17" s="80" t="str">
        <f>IF(N17="","",IF(N17&gt;=$AO$1/100,"O","X"))</f>
        <v>O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후보</v>
      </c>
    </row>
    <row r="18" spans="1:48" x14ac:dyDescent="0.3">
      <c r="A18" s="9" t="s">
        <v>1171</v>
      </c>
      <c r="B18" s="10" t="s">
        <v>1356</v>
      </c>
      <c r="C18" s="89">
        <v>770</v>
      </c>
      <c r="D18" s="87">
        <v>112.1</v>
      </c>
      <c r="E18" s="88">
        <v>34</v>
      </c>
      <c r="F18" s="87">
        <v>85</v>
      </c>
      <c r="G18" s="17">
        <v>26</v>
      </c>
      <c r="H18" s="89">
        <v>277</v>
      </c>
      <c r="I18" s="90">
        <v>28000</v>
      </c>
      <c r="J18" s="90" t="s">
        <v>71</v>
      </c>
      <c r="K18" s="90">
        <v>22000</v>
      </c>
      <c r="L18" s="90" t="s">
        <v>154</v>
      </c>
      <c r="M18" s="91">
        <f>I18-K18</f>
        <v>6000</v>
      </c>
      <c r="N18" s="4">
        <f>IF(ISERROR(K18/I18),"",K18/I18)</f>
        <v>0.7857142857142857</v>
      </c>
      <c r="O18" s="92">
        <f>I18/E18</f>
        <v>823.52941176470586</v>
      </c>
      <c r="P18" s="92">
        <f>K18/E18</f>
        <v>647.05882352941171</v>
      </c>
      <c r="Q18" s="80">
        <v>3</v>
      </c>
      <c r="R18" s="80">
        <v>2</v>
      </c>
      <c r="S18" s="80" t="s">
        <v>61</v>
      </c>
      <c r="T18" s="5" t="s">
        <v>126</v>
      </c>
      <c r="U18" s="9"/>
      <c r="W18" s="87">
        <f t="shared" si="25"/>
        <v>112.1</v>
      </c>
      <c r="X18" s="88">
        <f t="shared" si="25"/>
        <v>34</v>
      </c>
      <c r="Y18" s="93">
        <f t="shared" si="26"/>
        <v>277</v>
      </c>
      <c r="Z18" s="91">
        <f t="shared" si="26"/>
        <v>28000</v>
      </c>
      <c r="AA18" s="91">
        <f>K18</f>
        <v>22000</v>
      </c>
      <c r="AB18" s="91">
        <f t="shared" si="27"/>
        <v>6000</v>
      </c>
      <c r="AC18" s="4">
        <f t="shared" si="27"/>
        <v>0.7857142857142857</v>
      </c>
      <c r="AD18" s="92">
        <f t="shared" si="27"/>
        <v>823.52941176470586</v>
      </c>
      <c r="AE18" s="80" t="str">
        <f>S18</f>
        <v>계</v>
      </c>
      <c r="AF18" s="80" t="str">
        <f>Q18&amp;"/"&amp;R18</f>
        <v>3/2</v>
      </c>
      <c r="AH18" s="20" t="str">
        <f t="shared" si="1"/>
        <v>타워써미트</v>
      </c>
      <c r="AI18" s="88">
        <f t="shared" si="0"/>
        <v>34</v>
      </c>
      <c r="AJ18" s="80" t="str">
        <f>IF(AI18="","",$AJ$2)</f>
        <v>A-</v>
      </c>
      <c r="AK18" s="80" t="s">
        <v>14</v>
      </c>
      <c r="AL18" s="80" t="s">
        <v>63</v>
      </c>
      <c r="AM18" s="80" t="s">
        <v>64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1171</v>
      </c>
      <c r="B19" s="10" t="s">
        <v>1356</v>
      </c>
      <c r="C19" s="89">
        <v>770</v>
      </c>
      <c r="D19" s="87">
        <v>112</v>
      </c>
      <c r="E19" s="88">
        <v>34</v>
      </c>
      <c r="F19" s="87">
        <v>84.9</v>
      </c>
      <c r="G19" s="17">
        <v>26</v>
      </c>
      <c r="H19" s="89">
        <v>191</v>
      </c>
      <c r="I19" s="90">
        <v>27000</v>
      </c>
      <c r="J19" s="90" t="s">
        <v>80</v>
      </c>
      <c r="K19" s="90">
        <v>20000</v>
      </c>
      <c r="L19" s="90" t="s">
        <v>60</v>
      </c>
      <c r="M19" s="91">
        <f>I19-K19</f>
        <v>7000</v>
      </c>
      <c r="N19" s="4">
        <f>IF(ISERROR(K19/I19),"",K19/I19)</f>
        <v>0.7407407407407407</v>
      </c>
      <c r="O19" s="92">
        <f>I19/E19</f>
        <v>794.11764705882354</v>
      </c>
      <c r="P19" s="92">
        <f>K19/E19</f>
        <v>588.23529411764707</v>
      </c>
      <c r="Q19" s="80">
        <v>3</v>
      </c>
      <c r="R19" s="80">
        <v>2</v>
      </c>
      <c r="S19" s="80" t="s">
        <v>61</v>
      </c>
      <c r="T19" s="5" t="s">
        <v>140</v>
      </c>
      <c r="U19" s="9"/>
      <c r="W19" s="87">
        <f t="shared" si="25"/>
        <v>112</v>
      </c>
      <c r="X19" s="88">
        <f t="shared" si="25"/>
        <v>34</v>
      </c>
      <c r="Y19" s="93">
        <f t="shared" si="26"/>
        <v>191</v>
      </c>
      <c r="Z19" s="91">
        <f t="shared" si="26"/>
        <v>27000</v>
      </c>
      <c r="AA19" s="91">
        <f>K19</f>
        <v>20000</v>
      </c>
      <c r="AB19" s="91">
        <f t="shared" si="27"/>
        <v>7000</v>
      </c>
      <c r="AC19" s="4">
        <f t="shared" si="27"/>
        <v>0.7407407407407407</v>
      </c>
      <c r="AD19" s="92">
        <f t="shared" si="27"/>
        <v>794.11764705882354</v>
      </c>
      <c r="AE19" s="80" t="str">
        <f>S19</f>
        <v>계</v>
      </c>
      <c r="AF19" s="80" t="str">
        <f>Q19&amp;"/"&amp;R19</f>
        <v>3/2</v>
      </c>
      <c r="AH19" s="20" t="str">
        <f t="shared" si="1"/>
        <v>타워써미트</v>
      </c>
      <c r="AI19" s="88">
        <f t="shared" si="0"/>
        <v>34</v>
      </c>
      <c r="AJ19" s="80" t="str">
        <f>IF(AI19="","",$AJ$2)</f>
        <v>A-</v>
      </c>
      <c r="AK19" s="80" t="s">
        <v>14</v>
      </c>
      <c r="AL19" s="80" t="s">
        <v>63</v>
      </c>
      <c r="AM19" s="80" t="s">
        <v>64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1171</v>
      </c>
      <c r="B20" s="10" t="s">
        <v>1356</v>
      </c>
      <c r="C20" s="89">
        <v>770</v>
      </c>
      <c r="D20" s="87">
        <v>112.1</v>
      </c>
      <c r="E20" s="88">
        <v>34</v>
      </c>
      <c r="F20" s="87">
        <v>85</v>
      </c>
      <c r="G20" s="17">
        <v>26</v>
      </c>
      <c r="H20" s="89">
        <v>173</v>
      </c>
      <c r="I20" s="90">
        <v>28000</v>
      </c>
      <c r="J20" s="90" t="s">
        <v>71</v>
      </c>
      <c r="K20" s="90">
        <v>22000</v>
      </c>
      <c r="L20" s="90" t="s">
        <v>154</v>
      </c>
      <c r="M20" s="91">
        <f>I20-K20</f>
        <v>6000</v>
      </c>
      <c r="N20" s="4">
        <f>IF(ISERROR(K20/I20),"",K20/I20)</f>
        <v>0.7857142857142857</v>
      </c>
      <c r="O20" s="92">
        <f>I20/E20</f>
        <v>823.52941176470586</v>
      </c>
      <c r="P20" s="92">
        <f>K20/E20</f>
        <v>647.05882352941171</v>
      </c>
      <c r="Q20" s="80">
        <v>3</v>
      </c>
      <c r="R20" s="80">
        <v>2</v>
      </c>
      <c r="S20" s="80" t="s">
        <v>61</v>
      </c>
      <c r="T20" s="5" t="s">
        <v>768</v>
      </c>
      <c r="U20" s="9"/>
      <c r="W20" s="87">
        <f t="shared" si="25"/>
        <v>112.1</v>
      </c>
      <c r="X20" s="88">
        <f t="shared" si="25"/>
        <v>34</v>
      </c>
      <c r="Y20" s="93">
        <f t="shared" si="26"/>
        <v>173</v>
      </c>
      <c r="Z20" s="91">
        <f t="shared" si="26"/>
        <v>28000</v>
      </c>
      <c r="AA20" s="91">
        <f>K20</f>
        <v>22000</v>
      </c>
      <c r="AB20" s="91">
        <f t="shared" si="27"/>
        <v>6000</v>
      </c>
      <c r="AC20" s="4">
        <f t="shared" si="27"/>
        <v>0.7857142857142857</v>
      </c>
      <c r="AD20" s="92">
        <f t="shared" si="27"/>
        <v>823.52941176470586</v>
      </c>
      <c r="AE20" s="80" t="str">
        <f>S20</f>
        <v>계</v>
      </c>
      <c r="AF20" s="80" t="str">
        <f>Q20&amp;"/"&amp;R20</f>
        <v>3/2</v>
      </c>
      <c r="AH20" s="20" t="str">
        <f t="shared" si="1"/>
        <v>타워써미트</v>
      </c>
      <c r="AI20" s="88">
        <f t="shared" si="0"/>
        <v>34</v>
      </c>
      <c r="AJ20" s="80" t="str">
        <f>IF(AI20="","",$AJ$2)</f>
        <v>A-</v>
      </c>
      <c r="AK20" s="80" t="s">
        <v>14</v>
      </c>
      <c r="AL20" s="80" t="s">
        <v>63</v>
      </c>
      <c r="AM20" s="80" t="s">
        <v>64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7" t="str">
        <f>$A$4&amp;" "&amp;A22&amp;"("&amp;B22&amp;","&amp;C22&amp;"^)"</f>
        <v>조촌동 삼성('92.10.,306^)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242</v>
      </c>
      <c r="B22" s="10" t="s">
        <v>1357</v>
      </c>
      <c r="C22" s="89">
        <v>306</v>
      </c>
      <c r="D22" s="87">
        <v>92.3</v>
      </c>
      <c r="E22" s="88">
        <v>28</v>
      </c>
      <c r="F22" s="87">
        <v>73.8</v>
      </c>
      <c r="G22" s="17">
        <v>22</v>
      </c>
      <c r="H22" s="89">
        <v>72</v>
      </c>
      <c r="I22" s="90">
        <v>14500</v>
      </c>
      <c r="J22" s="90" t="s">
        <v>111</v>
      </c>
      <c r="K22" s="90">
        <v>13500</v>
      </c>
      <c r="L22" s="90" t="s">
        <v>111</v>
      </c>
      <c r="M22" s="91">
        <f>I22-K22</f>
        <v>1000</v>
      </c>
      <c r="N22" s="4">
        <f>IF(ISERROR(K22/I22),"",K22/I22)</f>
        <v>0.93103448275862066</v>
      </c>
      <c r="O22" s="92">
        <f>I22/E22</f>
        <v>517.85714285714289</v>
      </c>
      <c r="P22" s="92">
        <f>K22/E22</f>
        <v>482.14285714285717</v>
      </c>
      <c r="Q22" s="80">
        <v>3</v>
      </c>
      <c r="R22" s="80">
        <v>1</v>
      </c>
      <c r="S22" s="80" t="s">
        <v>61</v>
      </c>
      <c r="T22" s="5">
        <v>92</v>
      </c>
      <c r="U22" s="9"/>
      <c r="W22" s="87">
        <f t="shared" ref="W22:X25" si="28">D22</f>
        <v>92.3</v>
      </c>
      <c r="X22" s="88">
        <f t="shared" si="28"/>
        <v>28</v>
      </c>
      <c r="Y22" s="93">
        <f t="shared" ref="Y22:Z25" si="29">H22</f>
        <v>72</v>
      </c>
      <c r="Z22" s="91">
        <f t="shared" si="29"/>
        <v>14500</v>
      </c>
      <c r="AA22" s="91">
        <f>K22</f>
        <v>13500</v>
      </c>
      <c r="AB22" s="91">
        <f t="shared" ref="AB22:AD25" si="30">M22</f>
        <v>1000</v>
      </c>
      <c r="AC22" s="4">
        <f t="shared" si="30"/>
        <v>0.93103448275862066</v>
      </c>
      <c r="AD22" s="92">
        <f t="shared" si="30"/>
        <v>517.85714285714289</v>
      </c>
      <c r="AE22" s="80" t="str">
        <f>S22</f>
        <v>계</v>
      </c>
      <c r="AF22" s="80" t="str">
        <f>Q22&amp;"/"&amp;R22</f>
        <v>3/1</v>
      </c>
      <c r="AH22" s="20" t="str">
        <f t="shared" si="1"/>
        <v>삼성</v>
      </c>
      <c r="AI22" s="88">
        <f t="shared" si="0"/>
        <v>28</v>
      </c>
      <c r="AJ22" s="80" t="str">
        <f>IF(AI22="","",$AJ$2)</f>
        <v>A-</v>
      </c>
      <c r="AK22" s="80" t="s">
        <v>14</v>
      </c>
      <c r="AL22" s="80" t="s">
        <v>63</v>
      </c>
      <c r="AM22" s="80" t="s">
        <v>64</v>
      </c>
      <c r="AN22" s="80" t="str">
        <f>IF(AI22="","",$AN$2)</f>
        <v>C</v>
      </c>
      <c r="AO22" s="80" t="str">
        <f>IF(N22="","",IF(N22&gt;=$AO$1/100,"O","X"))</f>
        <v>O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후보</v>
      </c>
    </row>
    <row r="23" spans="1:48" x14ac:dyDescent="0.3">
      <c r="A23" s="9" t="s">
        <v>242</v>
      </c>
      <c r="B23" s="10" t="s">
        <v>1357</v>
      </c>
      <c r="C23" s="89">
        <v>306</v>
      </c>
      <c r="D23" s="87">
        <v>92.2</v>
      </c>
      <c r="E23" s="88">
        <v>28</v>
      </c>
      <c r="F23" s="87">
        <v>73.5</v>
      </c>
      <c r="G23" s="17">
        <v>22</v>
      </c>
      <c r="H23" s="89">
        <v>72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61</v>
      </c>
      <c r="T23" s="5" t="s">
        <v>153</v>
      </c>
      <c r="U23" s="9"/>
      <c r="W23" s="87">
        <f t="shared" si="28"/>
        <v>92.2</v>
      </c>
      <c r="X23" s="88">
        <f t="shared" si="28"/>
        <v>28</v>
      </c>
      <c r="Y23" s="93">
        <f t="shared" si="29"/>
        <v>72</v>
      </c>
      <c r="Z23" s="91">
        <f t="shared" si="29"/>
        <v>0</v>
      </c>
      <c r="AA23" s="91">
        <f>K23</f>
        <v>0</v>
      </c>
      <c r="AB23" s="91">
        <f t="shared" si="30"/>
        <v>0</v>
      </c>
      <c r="AC23" s="4" t="str">
        <f t="shared" si="30"/>
        <v/>
      </c>
      <c r="AD23" s="92">
        <f t="shared" si="30"/>
        <v>0</v>
      </c>
      <c r="AE23" s="80" t="str">
        <f>S23</f>
        <v>계</v>
      </c>
      <c r="AF23" s="80" t="str">
        <f>Q23&amp;"/"&amp;R23</f>
        <v>3/1</v>
      </c>
      <c r="AH23" s="20" t="str">
        <f t="shared" si="1"/>
        <v>삼성</v>
      </c>
      <c r="AI23" s="88">
        <f t="shared" si="0"/>
        <v>28</v>
      </c>
      <c r="AJ23" s="80" t="str">
        <f>IF(AI23="","",$AJ$2)</f>
        <v>A-</v>
      </c>
      <c r="AK23" s="80" t="s">
        <v>14</v>
      </c>
      <c r="AL23" s="80" t="s">
        <v>63</v>
      </c>
      <c r="AM23" s="80" t="s">
        <v>64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242</v>
      </c>
      <c r="B24" s="10" t="s">
        <v>1357</v>
      </c>
      <c r="C24" s="89">
        <v>306</v>
      </c>
      <c r="D24" s="87">
        <v>104.6</v>
      </c>
      <c r="E24" s="88">
        <v>32</v>
      </c>
      <c r="F24" s="87">
        <v>85</v>
      </c>
      <c r="G24" s="17">
        <v>26</v>
      </c>
      <c r="H24" s="89">
        <v>132</v>
      </c>
      <c r="I24" s="90">
        <v>16500</v>
      </c>
      <c r="J24" s="90" t="s">
        <v>72</v>
      </c>
      <c r="K24" s="90"/>
      <c r="L24" s="90"/>
      <c r="M24" s="91">
        <f>I24-K24</f>
        <v>16500</v>
      </c>
      <c r="N24" s="4">
        <f>IF(ISERROR(K24/I24),"",K24/I24)</f>
        <v>0</v>
      </c>
      <c r="O24" s="92">
        <f>I24/E24</f>
        <v>515.625</v>
      </c>
      <c r="P24" s="92">
        <f>K24/E24</f>
        <v>0</v>
      </c>
      <c r="Q24" s="80">
        <v>3</v>
      </c>
      <c r="R24" s="80">
        <v>2</v>
      </c>
      <c r="S24" s="80" t="s">
        <v>61</v>
      </c>
      <c r="T24" s="5">
        <v>104</v>
      </c>
      <c r="U24" s="9"/>
      <c r="W24" s="87">
        <f t="shared" si="28"/>
        <v>104.6</v>
      </c>
      <c r="X24" s="88">
        <f t="shared" si="28"/>
        <v>32</v>
      </c>
      <c r="Y24" s="93">
        <f t="shared" si="29"/>
        <v>132</v>
      </c>
      <c r="Z24" s="91">
        <f t="shared" si="29"/>
        <v>16500</v>
      </c>
      <c r="AA24" s="91">
        <f>K24</f>
        <v>0</v>
      </c>
      <c r="AB24" s="91">
        <f t="shared" si="30"/>
        <v>16500</v>
      </c>
      <c r="AC24" s="4">
        <f t="shared" si="30"/>
        <v>0</v>
      </c>
      <c r="AD24" s="92">
        <f t="shared" si="30"/>
        <v>515.625</v>
      </c>
      <c r="AE24" s="80" t="str">
        <f>S24</f>
        <v>계</v>
      </c>
      <c r="AF24" s="80" t="str">
        <f>Q24&amp;"/"&amp;R24</f>
        <v>3/2</v>
      </c>
      <c r="AH24" s="20" t="str">
        <f t="shared" si="1"/>
        <v>삼성</v>
      </c>
      <c r="AI24" s="88">
        <f t="shared" si="0"/>
        <v>32</v>
      </c>
      <c r="AJ24" s="80" t="str">
        <f>IF(AI24="","",$AJ$2)</f>
        <v>A-</v>
      </c>
      <c r="AK24" s="80" t="s">
        <v>14</v>
      </c>
      <c r="AL24" s="80" t="s">
        <v>63</v>
      </c>
      <c r="AM24" s="80" t="s">
        <v>64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 t="s">
        <v>242</v>
      </c>
      <c r="B25" s="10" t="s">
        <v>1357</v>
      </c>
      <c r="C25" s="89">
        <v>306</v>
      </c>
      <c r="D25" s="87">
        <v>104.5</v>
      </c>
      <c r="E25" s="88">
        <v>32</v>
      </c>
      <c r="F25" s="87">
        <v>84.9</v>
      </c>
      <c r="G25" s="17">
        <v>26</v>
      </c>
      <c r="H25" s="89">
        <v>30</v>
      </c>
      <c r="I25" s="90">
        <v>18500</v>
      </c>
      <c r="J25" s="90" t="s">
        <v>84</v>
      </c>
      <c r="K25" s="90"/>
      <c r="L25" s="90"/>
      <c r="M25" s="91">
        <f>I25-K25</f>
        <v>18500</v>
      </c>
      <c r="N25" s="4">
        <f>IF(ISERROR(K25/I25),"",K25/I25)</f>
        <v>0</v>
      </c>
      <c r="O25" s="92">
        <f>I25/E25</f>
        <v>578.125</v>
      </c>
      <c r="P25" s="92">
        <f>K25/E25</f>
        <v>0</v>
      </c>
      <c r="Q25" s="80">
        <v>3</v>
      </c>
      <c r="R25" s="80">
        <v>2</v>
      </c>
      <c r="S25" s="80" t="s">
        <v>61</v>
      </c>
      <c r="T25" s="5" t="s">
        <v>1184</v>
      </c>
      <c r="U25" s="9"/>
      <c r="W25" s="87">
        <f t="shared" si="28"/>
        <v>104.5</v>
      </c>
      <c r="X25" s="88">
        <f t="shared" si="28"/>
        <v>32</v>
      </c>
      <c r="Y25" s="93">
        <f t="shared" si="29"/>
        <v>30</v>
      </c>
      <c r="Z25" s="91">
        <f t="shared" si="29"/>
        <v>18500</v>
      </c>
      <c r="AA25" s="91">
        <f>K25</f>
        <v>0</v>
      </c>
      <c r="AB25" s="91">
        <f t="shared" si="30"/>
        <v>18500</v>
      </c>
      <c r="AC25" s="4">
        <f t="shared" si="30"/>
        <v>0</v>
      </c>
      <c r="AD25" s="92">
        <f t="shared" si="30"/>
        <v>578.125</v>
      </c>
      <c r="AE25" s="80" t="str">
        <f>S25</f>
        <v>계</v>
      </c>
      <c r="AF25" s="80" t="str">
        <f>Q25&amp;"/"&amp;R25</f>
        <v>3/2</v>
      </c>
      <c r="AH25" s="20" t="str">
        <f t="shared" si="1"/>
        <v>삼성</v>
      </c>
      <c r="AI25" s="88">
        <f t="shared" si="0"/>
        <v>32</v>
      </c>
      <c r="AJ25" s="80" t="str">
        <f>IF(AI25="","",$AJ$2)</f>
        <v>A-</v>
      </c>
      <c r="AK25" s="80" t="s">
        <v>14</v>
      </c>
      <c r="AL25" s="80" t="s">
        <v>63</v>
      </c>
      <c r="AM25" s="80" t="s">
        <v>64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7" t="str">
        <f>$A$4&amp;" "&amp;A27&amp;"("&amp;B27&amp;","&amp;C27&amp;"^)"</f>
        <v>조촌동 부향하나로('96.09.,402^)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1185</v>
      </c>
      <c r="B27" s="10" t="s">
        <v>1358</v>
      </c>
      <c r="C27" s="89">
        <v>402</v>
      </c>
      <c r="D27" s="87">
        <v>53.7</v>
      </c>
      <c r="E27" s="88">
        <v>16</v>
      </c>
      <c r="F27" s="87">
        <v>40</v>
      </c>
      <c r="G27" s="17">
        <v>12</v>
      </c>
      <c r="H27" s="89">
        <v>402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2</v>
      </c>
      <c r="R27" s="80">
        <v>1</v>
      </c>
      <c r="S27" s="80" t="s">
        <v>61</v>
      </c>
      <c r="T27" s="5">
        <v>53</v>
      </c>
      <c r="U27" s="9"/>
      <c r="W27" s="87">
        <f>D27</f>
        <v>53.7</v>
      </c>
      <c r="X27" s="88">
        <f>E27</f>
        <v>16</v>
      </c>
      <c r="Y27" s="93">
        <f>H27</f>
        <v>402</v>
      </c>
      <c r="Z27" s="91">
        <f>I27</f>
        <v>0</v>
      </c>
      <c r="AA27" s="91">
        <f>K27</f>
        <v>0</v>
      </c>
      <c r="AB27" s="91">
        <f>M27</f>
        <v>0</v>
      </c>
      <c r="AC27" s="4" t="str">
        <f>N27</f>
        <v/>
      </c>
      <c r="AD27" s="92">
        <f>O27</f>
        <v>0</v>
      </c>
      <c r="AE27" s="80" t="str">
        <f>S27</f>
        <v>계</v>
      </c>
      <c r="AF27" s="80" t="str">
        <f>Q27&amp;"/"&amp;R27</f>
        <v>2/1</v>
      </c>
      <c r="AH27" s="20" t="str">
        <f t="shared" si="1"/>
        <v>부향하나로</v>
      </c>
      <c r="AI27" s="88">
        <f t="shared" si="0"/>
        <v>16</v>
      </c>
      <c r="AJ27" s="80" t="str">
        <f>IF(AI27="","",$AJ$2)</f>
        <v>A-</v>
      </c>
      <c r="AK27" s="80" t="s">
        <v>14</v>
      </c>
      <c r="AL27" s="80" t="s">
        <v>63</v>
      </c>
      <c r="AM27" s="80" t="s">
        <v>64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x14ac:dyDescent="0.3">
      <c r="A28" s="9"/>
      <c r="B28" s="80"/>
      <c r="C28" s="6"/>
      <c r="D28" s="9"/>
      <c r="E28" s="14"/>
      <c r="F28" s="87"/>
      <c r="G28" s="9"/>
      <c r="H28" s="9"/>
      <c r="I28" s="9"/>
      <c r="J28" s="9"/>
      <c r="K28" s="9"/>
      <c r="L28" s="9"/>
      <c r="M28" s="9"/>
      <c r="N28" s="9"/>
      <c r="O28" s="92"/>
      <c r="P28" s="92"/>
      <c r="Q28" s="88"/>
      <c r="R28" s="88"/>
      <c r="S28" s="9"/>
      <c r="T28" s="47"/>
      <c r="U28" s="9"/>
      <c r="W28" s="67" t="str">
        <f>$A$4&amp;" "&amp;A29&amp;"("&amp;B29&amp;","&amp;C29&amp;"^)"</f>
        <v>조촌동 e편한세상군산디오션시티('18.11.,854^)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2" t="str">
        <f t="shared" si="0"/>
        <v/>
      </c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</row>
    <row r="29" spans="1:48" x14ac:dyDescent="0.3">
      <c r="A29" s="9" t="s">
        <v>1190</v>
      </c>
      <c r="B29" s="10" t="s">
        <v>1359</v>
      </c>
      <c r="C29" s="89">
        <v>854</v>
      </c>
      <c r="D29" s="87">
        <v>80.5</v>
      </c>
      <c r="E29" s="88">
        <v>24</v>
      </c>
      <c r="F29" s="87">
        <v>59.9</v>
      </c>
      <c r="G29" s="17">
        <v>18</v>
      </c>
      <c r="H29" s="89">
        <v>174</v>
      </c>
      <c r="I29" s="90">
        <v>32000</v>
      </c>
      <c r="J29" s="90" t="s">
        <v>70</v>
      </c>
      <c r="K29" s="90">
        <v>25000</v>
      </c>
      <c r="L29" s="90" t="s">
        <v>65</v>
      </c>
      <c r="M29" s="91">
        <f t="shared" ref="M29:M34" si="31">I29-K29</f>
        <v>7000</v>
      </c>
      <c r="N29" s="4">
        <f t="shared" ref="N29:N34" si="32">IF(ISERROR(K29/I29),"",K29/I29)</f>
        <v>0.78125</v>
      </c>
      <c r="O29" s="92">
        <f t="shared" ref="O29:O34" si="33">I29/E29</f>
        <v>1333.3333333333333</v>
      </c>
      <c r="P29" s="92">
        <f t="shared" ref="P29:P34" si="34">K29/E29</f>
        <v>1041.6666666666667</v>
      </c>
      <c r="Q29" s="80">
        <v>3</v>
      </c>
      <c r="R29" s="80">
        <v>2</v>
      </c>
      <c r="S29" s="80" t="s">
        <v>61</v>
      </c>
      <c r="T29" s="5">
        <v>80</v>
      </c>
      <c r="U29" s="9"/>
      <c r="W29" s="87">
        <f t="shared" ref="W29:X34" si="35">D29</f>
        <v>80.5</v>
      </c>
      <c r="X29" s="88">
        <f t="shared" si="35"/>
        <v>24</v>
      </c>
      <c r="Y29" s="93">
        <f t="shared" ref="Y29:Z34" si="36">H29</f>
        <v>174</v>
      </c>
      <c r="Z29" s="91">
        <f t="shared" si="36"/>
        <v>32000</v>
      </c>
      <c r="AA29" s="91">
        <f t="shared" ref="AA29:AA34" si="37">K29</f>
        <v>25000</v>
      </c>
      <c r="AB29" s="91">
        <f t="shared" ref="AB29:AD34" si="38">M29</f>
        <v>7000</v>
      </c>
      <c r="AC29" s="4">
        <f t="shared" si="38"/>
        <v>0.78125</v>
      </c>
      <c r="AD29" s="92">
        <f t="shared" si="38"/>
        <v>1333.3333333333333</v>
      </c>
      <c r="AE29" s="80" t="str">
        <f t="shared" ref="AE29:AE34" si="39">S29</f>
        <v>계</v>
      </c>
      <c r="AF29" s="80" t="str">
        <f t="shared" ref="AF29:AF34" si="40">Q29&amp;"/"&amp;R29</f>
        <v>3/2</v>
      </c>
      <c r="AH29" s="20" t="str">
        <f t="shared" si="1"/>
        <v>e편한세상군산디오션시티</v>
      </c>
      <c r="AI29" s="88">
        <f t="shared" si="0"/>
        <v>24</v>
      </c>
      <c r="AJ29" s="80" t="str">
        <f t="shared" ref="AJ29:AJ34" si="41">IF(AI29="","",$AJ$2)</f>
        <v>A-</v>
      </c>
      <c r="AK29" s="80" t="s">
        <v>14</v>
      </c>
      <c r="AL29" s="80" t="s">
        <v>63</v>
      </c>
      <c r="AM29" s="80" t="s">
        <v>64</v>
      </c>
      <c r="AN29" s="80" t="str">
        <f t="shared" ref="AN29:AN34" si="42">IF(AI29="","",$AN$2)</f>
        <v>C</v>
      </c>
      <c r="AO29" s="80" t="str">
        <f t="shared" ref="AO29:AO34" si="43">IF(N29="","",IF(N29&gt;=$AO$1/100,"O","X"))</f>
        <v>X</v>
      </c>
      <c r="AP29" s="80" t="str">
        <f t="shared" ref="AP29:AP34" si="44">IF(I29="","",IF(I29&lt;=$AP$1,"O","X"))</f>
        <v>O</v>
      </c>
      <c r="AQ29" s="80" t="str">
        <f t="shared" ref="AQ29:AQ34" si="45">IF(O29="","",IF(O29&lt;=$AQ$1,"O","X"))</f>
        <v>X</v>
      </c>
      <c r="AR29" s="80" t="str">
        <f t="shared" ref="AR29:AR34" si="46">IF(M29="","",IF(M29&lt;=$AR$1,"O","X"))</f>
        <v>X</v>
      </c>
      <c r="AS29" s="80" t="s">
        <v>2</v>
      </c>
      <c r="AT29" s="80" t="str">
        <f t="shared" ref="AT29:AT34" si="47">IF(OR(F29="",AI29=""),"",IF(AND((F29&lt;=85),(AI29&gt;=15)),"O","X"))</f>
        <v>O</v>
      </c>
      <c r="AU29" s="80" t="str">
        <f t="shared" ref="AU29:AU34" si="48">IF(C29="","",IF(C29&gt;=$AU$1,"O","X"))</f>
        <v>O</v>
      </c>
      <c r="AV29" s="80" t="str">
        <f t="shared" ref="AV29:AV34" si="49">IF(AO29="","",IF(AND(AO29="O",AP29="O",AR29="O",AT29="O",AU29="O"),"후보","X"))</f>
        <v>X</v>
      </c>
    </row>
    <row r="30" spans="1:48" x14ac:dyDescent="0.3">
      <c r="A30" s="9" t="s">
        <v>1190</v>
      </c>
      <c r="B30" s="10" t="s">
        <v>1359</v>
      </c>
      <c r="C30" s="89">
        <v>854</v>
      </c>
      <c r="D30" s="87">
        <v>100.4</v>
      </c>
      <c r="E30" s="88">
        <v>30</v>
      </c>
      <c r="F30" s="87">
        <v>75</v>
      </c>
      <c r="G30" s="17">
        <v>23</v>
      </c>
      <c r="H30" s="89">
        <v>174</v>
      </c>
      <c r="I30" s="90">
        <v>40000</v>
      </c>
      <c r="J30" s="90" t="s">
        <v>60</v>
      </c>
      <c r="K30" s="90">
        <v>29000</v>
      </c>
      <c r="L30" s="90" t="s">
        <v>60</v>
      </c>
      <c r="M30" s="91">
        <f t="shared" si="31"/>
        <v>11000</v>
      </c>
      <c r="N30" s="4">
        <f t="shared" si="32"/>
        <v>0.72499999999999998</v>
      </c>
      <c r="O30" s="92">
        <f t="shared" si="33"/>
        <v>1333.3333333333333</v>
      </c>
      <c r="P30" s="92">
        <f t="shared" si="34"/>
        <v>966.66666666666663</v>
      </c>
      <c r="Q30" s="80">
        <v>3</v>
      </c>
      <c r="R30" s="80">
        <v>2</v>
      </c>
      <c r="S30" s="80" t="s">
        <v>61</v>
      </c>
      <c r="T30" s="5" t="s">
        <v>116</v>
      </c>
      <c r="U30" s="9"/>
      <c r="W30" s="87">
        <f t="shared" si="35"/>
        <v>100.4</v>
      </c>
      <c r="X30" s="88">
        <f t="shared" si="35"/>
        <v>30</v>
      </c>
      <c r="Y30" s="93">
        <f t="shared" si="36"/>
        <v>174</v>
      </c>
      <c r="Z30" s="91">
        <f t="shared" si="36"/>
        <v>40000</v>
      </c>
      <c r="AA30" s="91">
        <f t="shared" si="37"/>
        <v>29000</v>
      </c>
      <c r="AB30" s="91">
        <f t="shared" si="38"/>
        <v>11000</v>
      </c>
      <c r="AC30" s="4">
        <f t="shared" si="38"/>
        <v>0.72499999999999998</v>
      </c>
      <c r="AD30" s="92">
        <f t="shared" si="38"/>
        <v>1333.3333333333333</v>
      </c>
      <c r="AE30" s="80" t="str">
        <f t="shared" si="39"/>
        <v>계</v>
      </c>
      <c r="AF30" s="80" t="str">
        <f t="shared" si="40"/>
        <v>3/2</v>
      </c>
      <c r="AH30" s="20" t="str">
        <f t="shared" si="1"/>
        <v>e편한세상군산디오션시티</v>
      </c>
      <c r="AI30" s="88">
        <f t="shared" si="0"/>
        <v>30</v>
      </c>
      <c r="AJ30" s="80" t="str">
        <f t="shared" si="41"/>
        <v>A-</v>
      </c>
      <c r="AK30" s="80" t="s">
        <v>14</v>
      </c>
      <c r="AL30" s="80" t="s">
        <v>63</v>
      </c>
      <c r="AM30" s="80" t="s">
        <v>64</v>
      </c>
      <c r="AN30" s="80" t="str">
        <f t="shared" si="42"/>
        <v>C</v>
      </c>
      <c r="AO30" s="80" t="str">
        <f t="shared" si="43"/>
        <v>X</v>
      </c>
      <c r="AP30" s="80" t="str">
        <f t="shared" si="44"/>
        <v>O</v>
      </c>
      <c r="AQ30" s="80" t="str">
        <f t="shared" si="45"/>
        <v>X</v>
      </c>
      <c r="AR30" s="80" t="str">
        <f t="shared" si="46"/>
        <v>X</v>
      </c>
      <c r="AS30" s="80" t="s">
        <v>2</v>
      </c>
      <c r="AT30" s="80" t="str">
        <f t="shared" si="47"/>
        <v>O</v>
      </c>
      <c r="AU30" s="80" t="str">
        <f t="shared" si="48"/>
        <v>O</v>
      </c>
      <c r="AV30" s="80" t="str">
        <f t="shared" si="49"/>
        <v>X</v>
      </c>
    </row>
    <row r="31" spans="1:48" x14ac:dyDescent="0.3">
      <c r="A31" s="9" t="s">
        <v>1190</v>
      </c>
      <c r="B31" s="10" t="s">
        <v>1359</v>
      </c>
      <c r="C31" s="89">
        <v>854</v>
      </c>
      <c r="D31" s="87">
        <v>100.1</v>
      </c>
      <c r="E31" s="88">
        <v>30</v>
      </c>
      <c r="F31" s="87">
        <v>75</v>
      </c>
      <c r="G31" s="17">
        <v>23</v>
      </c>
      <c r="H31" s="89">
        <v>84</v>
      </c>
      <c r="I31" s="90">
        <v>42500</v>
      </c>
      <c r="J31" s="90" t="s">
        <v>72</v>
      </c>
      <c r="K31" s="90"/>
      <c r="L31" s="90"/>
      <c r="M31" s="91">
        <f t="shared" si="31"/>
        <v>42500</v>
      </c>
      <c r="N31" s="4">
        <f t="shared" si="32"/>
        <v>0</v>
      </c>
      <c r="O31" s="92">
        <f t="shared" si="33"/>
        <v>1416.6666666666667</v>
      </c>
      <c r="P31" s="92">
        <f t="shared" si="34"/>
        <v>0</v>
      </c>
      <c r="Q31" s="80">
        <v>3</v>
      </c>
      <c r="R31" s="80">
        <v>2</v>
      </c>
      <c r="S31" s="80" t="s">
        <v>61</v>
      </c>
      <c r="T31" s="5" t="s">
        <v>115</v>
      </c>
      <c r="U31" s="9"/>
      <c r="W31" s="87">
        <f t="shared" si="35"/>
        <v>100.1</v>
      </c>
      <c r="X31" s="88">
        <f t="shared" si="35"/>
        <v>30</v>
      </c>
      <c r="Y31" s="93">
        <f t="shared" si="36"/>
        <v>84</v>
      </c>
      <c r="Z31" s="91">
        <f t="shared" si="36"/>
        <v>42500</v>
      </c>
      <c r="AA31" s="91">
        <f t="shared" si="37"/>
        <v>0</v>
      </c>
      <c r="AB31" s="91">
        <f t="shared" si="38"/>
        <v>42500</v>
      </c>
      <c r="AC31" s="4">
        <f t="shared" si="38"/>
        <v>0</v>
      </c>
      <c r="AD31" s="92">
        <f t="shared" si="38"/>
        <v>1416.6666666666667</v>
      </c>
      <c r="AE31" s="80" t="str">
        <f t="shared" si="39"/>
        <v>계</v>
      </c>
      <c r="AF31" s="80" t="str">
        <f t="shared" si="40"/>
        <v>3/2</v>
      </c>
      <c r="AH31" s="20" t="str">
        <f t="shared" si="1"/>
        <v>e편한세상군산디오션시티</v>
      </c>
      <c r="AI31" s="88">
        <f t="shared" si="0"/>
        <v>30</v>
      </c>
      <c r="AJ31" s="80" t="str">
        <f t="shared" si="41"/>
        <v>A-</v>
      </c>
      <c r="AK31" s="80" t="s">
        <v>14</v>
      </c>
      <c r="AL31" s="80" t="s">
        <v>63</v>
      </c>
      <c r="AM31" s="80" t="s">
        <v>64</v>
      </c>
      <c r="AN31" s="80" t="str">
        <f t="shared" si="42"/>
        <v>C</v>
      </c>
      <c r="AO31" s="80" t="str">
        <f t="shared" si="43"/>
        <v>X</v>
      </c>
      <c r="AP31" s="80" t="str">
        <f t="shared" si="44"/>
        <v>O</v>
      </c>
      <c r="AQ31" s="80" t="str">
        <f t="shared" si="45"/>
        <v>X</v>
      </c>
      <c r="AR31" s="80" t="str">
        <f t="shared" si="46"/>
        <v>X</v>
      </c>
      <c r="AS31" s="80" t="s">
        <v>2</v>
      </c>
      <c r="AT31" s="80" t="str">
        <f t="shared" si="47"/>
        <v>O</v>
      </c>
      <c r="AU31" s="80" t="str">
        <f t="shared" si="48"/>
        <v>O</v>
      </c>
      <c r="AV31" s="80" t="str">
        <f t="shared" si="49"/>
        <v>X</v>
      </c>
    </row>
    <row r="32" spans="1:48" x14ac:dyDescent="0.3">
      <c r="A32" s="9" t="s">
        <v>1190</v>
      </c>
      <c r="B32" s="10" t="s">
        <v>1359</v>
      </c>
      <c r="C32" s="89">
        <v>854</v>
      </c>
      <c r="D32" s="87">
        <v>113.2</v>
      </c>
      <c r="E32" s="88">
        <v>34</v>
      </c>
      <c r="F32" s="87">
        <v>85</v>
      </c>
      <c r="G32" s="17">
        <v>26</v>
      </c>
      <c r="H32" s="89">
        <v>253</v>
      </c>
      <c r="I32" s="90">
        <v>50000</v>
      </c>
      <c r="J32" s="90" t="s">
        <v>68</v>
      </c>
      <c r="K32" s="90">
        <v>35000</v>
      </c>
      <c r="L32" s="90" t="s">
        <v>80</v>
      </c>
      <c r="M32" s="91">
        <f t="shared" si="31"/>
        <v>15000</v>
      </c>
      <c r="N32" s="4">
        <f t="shared" si="32"/>
        <v>0.7</v>
      </c>
      <c r="O32" s="92">
        <f t="shared" si="33"/>
        <v>1470.5882352941176</v>
      </c>
      <c r="P32" s="92">
        <f t="shared" si="34"/>
        <v>1029.4117647058824</v>
      </c>
      <c r="Q32" s="80">
        <v>3</v>
      </c>
      <c r="R32" s="80">
        <v>2</v>
      </c>
      <c r="S32" s="80" t="s">
        <v>61</v>
      </c>
      <c r="T32" s="5" t="s">
        <v>108</v>
      </c>
      <c r="U32" s="9"/>
      <c r="W32" s="87">
        <f t="shared" si="35"/>
        <v>113.2</v>
      </c>
      <c r="X32" s="88">
        <f t="shared" si="35"/>
        <v>34</v>
      </c>
      <c r="Y32" s="93">
        <f t="shared" si="36"/>
        <v>253</v>
      </c>
      <c r="Z32" s="91">
        <f t="shared" si="36"/>
        <v>50000</v>
      </c>
      <c r="AA32" s="91">
        <f t="shared" si="37"/>
        <v>35000</v>
      </c>
      <c r="AB32" s="91">
        <f t="shared" si="38"/>
        <v>15000</v>
      </c>
      <c r="AC32" s="4">
        <f t="shared" si="38"/>
        <v>0.7</v>
      </c>
      <c r="AD32" s="92">
        <f t="shared" si="38"/>
        <v>1470.5882352941176</v>
      </c>
      <c r="AE32" s="80" t="str">
        <f t="shared" si="39"/>
        <v>계</v>
      </c>
      <c r="AF32" s="80" t="str">
        <f t="shared" si="40"/>
        <v>3/2</v>
      </c>
      <c r="AH32" s="20" t="str">
        <f t="shared" si="1"/>
        <v>e편한세상군산디오션시티</v>
      </c>
      <c r="AI32" s="88">
        <f t="shared" si="0"/>
        <v>34</v>
      </c>
      <c r="AJ32" s="80" t="str">
        <f t="shared" si="41"/>
        <v>A-</v>
      </c>
      <c r="AK32" s="80" t="s">
        <v>14</v>
      </c>
      <c r="AL32" s="80" t="s">
        <v>63</v>
      </c>
      <c r="AM32" s="80" t="s">
        <v>64</v>
      </c>
      <c r="AN32" s="80" t="str">
        <f t="shared" si="42"/>
        <v>C</v>
      </c>
      <c r="AO32" s="80" t="str">
        <f t="shared" si="43"/>
        <v>X</v>
      </c>
      <c r="AP32" s="80" t="str">
        <f t="shared" si="44"/>
        <v>X</v>
      </c>
      <c r="AQ32" s="80" t="str">
        <f t="shared" si="45"/>
        <v>X</v>
      </c>
      <c r="AR32" s="80" t="str">
        <f t="shared" si="46"/>
        <v>X</v>
      </c>
      <c r="AS32" s="80" t="s">
        <v>2</v>
      </c>
      <c r="AT32" s="80" t="str">
        <f t="shared" si="47"/>
        <v>O</v>
      </c>
      <c r="AU32" s="80" t="str">
        <f t="shared" si="48"/>
        <v>O</v>
      </c>
      <c r="AV32" s="80" t="str">
        <f t="shared" si="49"/>
        <v>X</v>
      </c>
    </row>
    <row r="33" spans="1:48" x14ac:dyDescent="0.3">
      <c r="A33" s="9" t="s">
        <v>1190</v>
      </c>
      <c r="B33" s="10" t="s">
        <v>1359</v>
      </c>
      <c r="C33" s="89">
        <v>854</v>
      </c>
      <c r="D33" s="87">
        <v>113.9</v>
      </c>
      <c r="E33" s="88">
        <v>34</v>
      </c>
      <c r="F33" s="87">
        <v>84.8</v>
      </c>
      <c r="G33" s="17">
        <v>26</v>
      </c>
      <c r="H33" s="89">
        <v>82</v>
      </c>
      <c r="I33" s="90">
        <v>45500</v>
      </c>
      <c r="J33" s="90" t="s">
        <v>60</v>
      </c>
      <c r="K33" s="90">
        <v>32000</v>
      </c>
      <c r="L33" s="90" t="s">
        <v>109</v>
      </c>
      <c r="M33" s="91">
        <f t="shared" si="31"/>
        <v>13500</v>
      </c>
      <c r="N33" s="4">
        <f t="shared" si="32"/>
        <v>0.70329670329670335</v>
      </c>
      <c r="O33" s="92">
        <f t="shared" si="33"/>
        <v>1338.2352941176471</v>
      </c>
      <c r="P33" s="92">
        <f t="shared" si="34"/>
        <v>941.17647058823525</v>
      </c>
      <c r="Q33" s="80">
        <v>3</v>
      </c>
      <c r="R33" s="80">
        <v>2</v>
      </c>
      <c r="S33" s="80" t="s">
        <v>61</v>
      </c>
      <c r="T33" s="5" t="s">
        <v>267</v>
      </c>
      <c r="U33" s="9"/>
      <c r="W33" s="87">
        <f t="shared" si="35"/>
        <v>113.9</v>
      </c>
      <c r="X33" s="88">
        <f t="shared" si="35"/>
        <v>34</v>
      </c>
      <c r="Y33" s="93">
        <f t="shared" si="36"/>
        <v>82</v>
      </c>
      <c r="Z33" s="91">
        <f t="shared" si="36"/>
        <v>45500</v>
      </c>
      <c r="AA33" s="91">
        <f t="shared" si="37"/>
        <v>32000</v>
      </c>
      <c r="AB33" s="91">
        <f t="shared" si="38"/>
        <v>13500</v>
      </c>
      <c r="AC33" s="4">
        <f t="shared" si="38"/>
        <v>0.70329670329670335</v>
      </c>
      <c r="AD33" s="92">
        <f t="shared" si="38"/>
        <v>1338.2352941176471</v>
      </c>
      <c r="AE33" s="80" t="str">
        <f t="shared" si="39"/>
        <v>계</v>
      </c>
      <c r="AF33" s="80" t="str">
        <f t="shared" si="40"/>
        <v>3/2</v>
      </c>
      <c r="AH33" s="20" t="str">
        <f t="shared" si="1"/>
        <v>e편한세상군산디오션시티</v>
      </c>
      <c r="AI33" s="88">
        <f t="shared" si="0"/>
        <v>34</v>
      </c>
      <c r="AJ33" s="80" t="str">
        <f t="shared" si="41"/>
        <v>A-</v>
      </c>
      <c r="AK33" s="80" t="s">
        <v>14</v>
      </c>
      <c r="AL33" s="80" t="s">
        <v>63</v>
      </c>
      <c r="AM33" s="80" t="s">
        <v>64</v>
      </c>
      <c r="AN33" s="80" t="str">
        <f t="shared" si="42"/>
        <v>C</v>
      </c>
      <c r="AO33" s="80" t="str">
        <f t="shared" si="43"/>
        <v>X</v>
      </c>
      <c r="AP33" s="80" t="str">
        <f t="shared" si="44"/>
        <v>X</v>
      </c>
      <c r="AQ33" s="80" t="str">
        <f t="shared" si="45"/>
        <v>X</v>
      </c>
      <c r="AR33" s="80" t="str">
        <f t="shared" si="46"/>
        <v>X</v>
      </c>
      <c r="AS33" s="80" t="s">
        <v>2</v>
      </c>
      <c r="AT33" s="80" t="str">
        <f t="shared" si="47"/>
        <v>O</v>
      </c>
      <c r="AU33" s="80" t="str">
        <f t="shared" si="48"/>
        <v>O</v>
      </c>
      <c r="AV33" s="80" t="str">
        <f t="shared" si="49"/>
        <v>X</v>
      </c>
    </row>
    <row r="34" spans="1:48" x14ac:dyDescent="0.3">
      <c r="A34" s="9" t="s">
        <v>1190</v>
      </c>
      <c r="B34" s="10" t="s">
        <v>1359</v>
      </c>
      <c r="C34" s="89">
        <v>854</v>
      </c>
      <c r="D34" s="87">
        <v>140.30000000000001</v>
      </c>
      <c r="E34" s="88">
        <v>42</v>
      </c>
      <c r="F34" s="87">
        <v>106.4</v>
      </c>
      <c r="G34" s="17">
        <v>32</v>
      </c>
      <c r="H34" s="89">
        <v>87</v>
      </c>
      <c r="I34" s="90"/>
      <c r="J34" s="90"/>
      <c r="K34" s="90"/>
      <c r="L34" s="90"/>
      <c r="M34" s="91">
        <f t="shared" si="31"/>
        <v>0</v>
      </c>
      <c r="N34" s="4" t="str">
        <f t="shared" si="32"/>
        <v/>
      </c>
      <c r="O34" s="92">
        <f t="shared" si="33"/>
        <v>0</v>
      </c>
      <c r="P34" s="92">
        <f t="shared" si="34"/>
        <v>0</v>
      </c>
      <c r="Q34" s="80">
        <v>4</v>
      </c>
      <c r="R34" s="80">
        <v>2</v>
      </c>
      <c r="S34" s="80" t="s">
        <v>61</v>
      </c>
      <c r="T34" s="5">
        <v>140</v>
      </c>
      <c r="U34" s="9"/>
      <c r="W34" s="87">
        <f t="shared" si="35"/>
        <v>140.30000000000001</v>
      </c>
      <c r="X34" s="88">
        <f t="shared" si="35"/>
        <v>42</v>
      </c>
      <c r="Y34" s="93">
        <f t="shared" si="36"/>
        <v>87</v>
      </c>
      <c r="Z34" s="91">
        <f t="shared" si="36"/>
        <v>0</v>
      </c>
      <c r="AA34" s="91">
        <f t="shared" si="37"/>
        <v>0</v>
      </c>
      <c r="AB34" s="91">
        <f t="shared" si="38"/>
        <v>0</v>
      </c>
      <c r="AC34" s="4" t="str">
        <f t="shared" si="38"/>
        <v/>
      </c>
      <c r="AD34" s="92">
        <f t="shared" si="38"/>
        <v>0</v>
      </c>
      <c r="AE34" s="80" t="str">
        <f t="shared" si="39"/>
        <v>계</v>
      </c>
      <c r="AF34" s="80" t="str">
        <f t="shared" si="40"/>
        <v>4/2</v>
      </c>
      <c r="AH34" s="20" t="str">
        <f t="shared" si="1"/>
        <v>e편한세상군산디오션시티</v>
      </c>
      <c r="AI34" s="88">
        <f t="shared" si="0"/>
        <v>42</v>
      </c>
      <c r="AJ34" s="80" t="str">
        <f t="shared" si="41"/>
        <v>A-</v>
      </c>
      <c r="AK34" s="80" t="s">
        <v>14</v>
      </c>
      <c r="AL34" s="80" t="s">
        <v>63</v>
      </c>
      <c r="AM34" s="80" t="s">
        <v>64</v>
      </c>
      <c r="AN34" s="80" t="str">
        <f t="shared" si="42"/>
        <v>C</v>
      </c>
      <c r="AO34" s="80" t="str">
        <f t="shared" si="43"/>
        <v/>
      </c>
      <c r="AP34" s="80" t="str">
        <f t="shared" si="44"/>
        <v/>
      </c>
      <c r="AQ34" s="80" t="str">
        <f t="shared" si="45"/>
        <v>O</v>
      </c>
      <c r="AR34" s="80" t="str">
        <f t="shared" si="46"/>
        <v>O</v>
      </c>
      <c r="AS34" s="80" t="s">
        <v>2</v>
      </c>
      <c r="AT34" s="80" t="str">
        <f t="shared" si="47"/>
        <v>X</v>
      </c>
      <c r="AU34" s="80" t="str">
        <f t="shared" si="48"/>
        <v>O</v>
      </c>
      <c r="AV34" s="80" t="str">
        <f t="shared" si="49"/>
        <v/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7" t="str">
        <f>$A$4&amp;" "&amp;A36&amp;"("&amp;B36&amp;","&amp;C36&amp;"^)"</f>
        <v>조촌동 시영('93.12.,270^)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2" t="str">
        <f t="shared" ref="AI35:AI65" si="50">IF(E35="","",E35)</f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x14ac:dyDescent="0.3">
      <c r="A36" s="9" t="s">
        <v>1195</v>
      </c>
      <c r="B36" s="10" t="s">
        <v>1302</v>
      </c>
      <c r="C36" s="89">
        <v>270</v>
      </c>
      <c r="D36" s="87">
        <v>66.599999999999994</v>
      </c>
      <c r="E36" s="88">
        <v>20</v>
      </c>
      <c r="F36" s="87">
        <v>49.1</v>
      </c>
      <c r="G36" s="17">
        <v>15</v>
      </c>
      <c r="H36" s="89">
        <v>150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2</v>
      </c>
      <c r="R36" s="80">
        <v>1</v>
      </c>
      <c r="S36" s="80" t="s">
        <v>76</v>
      </c>
      <c r="T36" s="5">
        <v>66</v>
      </c>
      <c r="U36" s="9"/>
      <c r="W36" s="87">
        <f>D36</f>
        <v>66.599999999999994</v>
      </c>
      <c r="X36" s="88">
        <f>E36</f>
        <v>20</v>
      </c>
      <c r="Y36" s="93">
        <f>H36</f>
        <v>150</v>
      </c>
      <c r="Z36" s="91">
        <f>I36</f>
        <v>0</v>
      </c>
      <c r="AA36" s="91">
        <f>K36</f>
        <v>0</v>
      </c>
      <c r="AB36" s="91">
        <f t="shared" ref="AB36:AD37" si="51">M36</f>
        <v>0</v>
      </c>
      <c r="AC36" s="4" t="str">
        <f t="shared" si="51"/>
        <v/>
      </c>
      <c r="AD36" s="92">
        <f t="shared" si="51"/>
        <v>0</v>
      </c>
      <c r="AE36" s="80" t="str">
        <f>S36</f>
        <v>복</v>
      </c>
      <c r="AF36" s="80" t="str">
        <f>Q36&amp;"/"&amp;R36</f>
        <v>2/1</v>
      </c>
      <c r="AH36" s="20" t="str">
        <f t="shared" si="1"/>
        <v>시영</v>
      </c>
      <c r="AI36" s="88">
        <f t="shared" si="50"/>
        <v>20</v>
      </c>
      <c r="AJ36" s="80" t="str">
        <f>IF(AI36="","",$AJ$2)</f>
        <v>A-</v>
      </c>
      <c r="AK36" s="80" t="s">
        <v>14</v>
      </c>
      <c r="AL36" s="80" t="s">
        <v>63</v>
      </c>
      <c r="AM36" s="80" t="s">
        <v>64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X</v>
      </c>
      <c r="AV36" s="80" t="str">
        <f>IF(AO36="","",IF(AND(AO36="O",AP36="O",AR36="O",AT36="O",AU36="O"),"후보","X"))</f>
        <v/>
      </c>
    </row>
    <row r="37" spans="1:48" x14ac:dyDescent="0.3">
      <c r="A37" s="9" t="s">
        <v>1195</v>
      </c>
      <c r="B37" s="10" t="s">
        <v>1302</v>
      </c>
      <c r="C37" s="89">
        <v>270</v>
      </c>
      <c r="D37" s="87">
        <v>79.400000000000006</v>
      </c>
      <c r="E37" s="88">
        <v>24</v>
      </c>
      <c r="F37" s="87">
        <v>59.4</v>
      </c>
      <c r="G37" s="17">
        <v>18</v>
      </c>
      <c r="H37" s="89">
        <v>120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3</v>
      </c>
      <c r="R37" s="80">
        <v>1</v>
      </c>
      <c r="S37" s="80" t="s">
        <v>76</v>
      </c>
      <c r="T37" s="5">
        <v>79</v>
      </c>
      <c r="U37" s="9"/>
      <c r="W37" s="87">
        <f>D37</f>
        <v>79.400000000000006</v>
      </c>
      <c r="X37" s="88">
        <f>E37</f>
        <v>24</v>
      </c>
      <c r="Y37" s="93">
        <f>H37</f>
        <v>120</v>
      </c>
      <c r="Z37" s="91">
        <f>I37</f>
        <v>0</v>
      </c>
      <c r="AA37" s="91">
        <f>K37</f>
        <v>0</v>
      </c>
      <c r="AB37" s="91">
        <f t="shared" si="51"/>
        <v>0</v>
      </c>
      <c r="AC37" s="4" t="str">
        <f t="shared" si="51"/>
        <v/>
      </c>
      <c r="AD37" s="92">
        <f t="shared" si="51"/>
        <v>0</v>
      </c>
      <c r="AE37" s="80" t="str">
        <f>S37</f>
        <v>복</v>
      </c>
      <c r="AF37" s="80" t="str">
        <f>Q37&amp;"/"&amp;R37</f>
        <v>3/1</v>
      </c>
      <c r="AH37" s="20" t="str">
        <f t="shared" ref="AH37:AH65" si="52">IF(A37="","",A37)</f>
        <v>시영</v>
      </c>
      <c r="AI37" s="88">
        <f t="shared" si="50"/>
        <v>24</v>
      </c>
      <c r="AJ37" s="80" t="str">
        <f>IF(AI37="","",$AJ$2)</f>
        <v>A-</v>
      </c>
      <c r="AK37" s="80" t="s">
        <v>14</v>
      </c>
      <c r="AL37" s="80" t="s">
        <v>63</v>
      </c>
      <c r="AM37" s="80" t="s">
        <v>64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X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7" t="str">
        <f>$A$4&amp;" "&amp;A39&amp;"("&amp;B39&amp;","&amp;C39&amp;"^)"</f>
        <v>조촌동 더샵디오션시티2차('23.07.,771^)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2"/>
        <v/>
      </c>
      <c r="AI38" s="112" t="str">
        <f t="shared" si="5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1199</v>
      </c>
      <c r="B39" s="10" t="s">
        <v>1360</v>
      </c>
      <c r="C39" s="89">
        <v>771</v>
      </c>
      <c r="D39" s="87">
        <v>109.6</v>
      </c>
      <c r="E39" s="88">
        <v>33</v>
      </c>
      <c r="F39" s="87">
        <v>85</v>
      </c>
      <c r="G39" s="17">
        <v>26</v>
      </c>
      <c r="H39" s="89">
        <v>442</v>
      </c>
      <c r="I39" s="90"/>
      <c r="J39" s="90"/>
      <c r="K39" s="90"/>
      <c r="L39" s="90"/>
      <c r="M39" s="91">
        <f t="shared" ref="M39:M45" si="53">I39-K39</f>
        <v>0</v>
      </c>
      <c r="N39" s="4" t="str">
        <f t="shared" ref="N39:N45" si="54">IF(ISERROR(K39/I39),"",K39/I39)</f>
        <v/>
      </c>
      <c r="O39" s="92">
        <f t="shared" ref="O39:O45" si="55">I39/E39</f>
        <v>0</v>
      </c>
      <c r="P39" s="92">
        <f t="shared" ref="P39:P45" si="56">K39/E39</f>
        <v>0</v>
      </c>
      <c r="Q39" s="80">
        <v>3</v>
      </c>
      <c r="R39" s="80">
        <v>2</v>
      </c>
      <c r="S39" s="80" t="s">
        <v>61</v>
      </c>
      <c r="T39" s="5" t="s">
        <v>123</v>
      </c>
      <c r="U39" s="9"/>
      <c r="W39" s="87">
        <f t="shared" ref="W39:X45" si="57">D39</f>
        <v>109.6</v>
      </c>
      <c r="X39" s="88">
        <f t="shared" si="57"/>
        <v>33</v>
      </c>
      <c r="Y39" s="93">
        <f t="shared" ref="Y39:Z45" si="58">H39</f>
        <v>442</v>
      </c>
      <c r="Z39" s="91">
        <f t="shared" si="58"/>
        <v>0</v>
      </c>
      <c r="AA39" s="91">
        <f t="shared" ref="AA39:AA45" si="59">K39</f>
        <v>0</v>
      </c>
      <c r="AB39" s="91">
        <f t="shared" ref="AB39:AD45" si="60">M39</f>
        <v>0</v>
      </c>
      <c r="AC39" s="4" t="str">
        <f t="shared" si="60"/>
        <v/>
      </c>
      <c r="AD39" s="92">
        <f t="shared" si="60"/>
        <v>0</v>
      </c>
      <c r="AE39" s="80" t="str">
        <f t="shared" ref="AE39:AE45" si="61">S39</f>
        <v>계</v>
      </c>
      <c r="AF39" s="80" t="str">
        <f t="shared" ref="AF39:AF45" si="62">Q39&amp;"/"&amp;R39</f>
        <v>3/2</v>
      </c>
      <c r="AH39" s="20" t="str">
        <f t="shared" si="52"/>
        <v>더샵디오션시티2차</v>
      </c>
      <c r="AI39" s="88">
        <f t="shared" si="50"/>
        <v>33</v>
      </c>
      <c r="AJ39" s="80" t="str">
        <f t="shared" ref="AJ39:AJ45" si="63">IF(AI39="","",$AJ$2)</f>
        <v>A-</v>
      </c>
      <c r="AK39" s="80" t="s">
        <v>14</v>
      </c>
      <c r="AL39" s="80" t="s">
        <v>63</v>
      </c>
      <c r="AM39" s="80" t="s">
        <v>64</v>
      </c>
      <c r="AN39" s="80" t="str">
        <f t="shared" ref="AN39:AN45" si="64">IF(AI39="","",$AN$2)</f>
        <v>C</v>
      </c>
      <c r="AO39" s="80" t="str">
        <f t="shared" ref="AO39:AO45" si="65">IF(N39="","",IF(N39&gt;=$AO$1/100,"O","X"))</f>
        <v/>
      </c>
      <c r="AP39" s="80" t="str">
        <f t="shared" ref="AP39:AP45" si="66">IF(I39="","",IF(I39&lt;=$AP$1,"O","X"))</f>
        <v/>
      </c>
      <c r="AQ39" s="80" t="str">
        <f t="shared" ref="AQ39:AQ45" si="67">IF(O39="","",IF(O39&lt;=$AQ$1,"O","X"))</f>
        <v>O</v>
      </c>
      <c r="AR39" s="80" t="str">
        <f t="shared" ref="AR39:AR45" si="68">IF(M39="","",IF(M39&lt;=$AR$1,"O","X"))</f>
        <v>O</v>
      </c>
      <c r="AS39" s="80" t="s">
        <v>2</v>
      </c>
      <c r="AT39" s="80" t="str">
        <f t="shared" ref="AT39:AT45" si="69">IF(OR(F39="",AI39=""),"",IF(AND((F39&lt;=85),(AI39&gt;=15)),"O","X"))</f>
        <v>O</v>
      </c>
      <c r="AU39" s="80" t="str">
        <f t="shared" ref="AU39:AU45" si="70">IF(C39="","",IF(C39&gt;=$AU$1,"O","X"))</f>
        <v>O</v>
      </c>
      <c r="AV39" s="80" t="str">
        <f t="shared" ref="AV39:AV45" si="71">IF(AO39="","",IF(AND(AO39="O",AP39="O",AR39="O",AT39="O",AU39="O"),"후보","X"))</f>
        <v/>
      </c>
    </row>
    <row r="40" spans="1:48" x14ac:dyDescent="0.3">
      <c r="A40" s="9" t="s">
        <v>1199</v>
      </c>
      <c r="B40" s="10" t="s">
        <v>1360</v>
      </c>
      <c r="C40" s="89">
        <v>771</v>
      </c>
      <c r="D40" s="87">
        <v>109.7</v>
      </c>
      <c r="E40" s="88">
        <v>33</v>
      </c>
      <c r="F40" s="87">
        <v>85</v>
      </c>
      <c r="G40" s="17">
        <v>26</v>
      </c>
      <c r="H40" s="89">
        <v>111</v>
      </c>
      <c r="I40" s="90"/>
      <c r="J40" s="90"/>
      <c r="K40" s="90"/>
      <c r="L40" s="90"/>
      <c r="M40" s="91">
        <f t="shared" si="53"/>
        <v>0</v>
      </c>
      <c r="N40" s="4" t="str">
        <f t="shared" si="54"/>
        <v/>
      </c>
      <c r="O40" s="92">
        <f t="shared" si="55"/>
        <v>0</v>
      </c>
      <c r="P40" s="92">
        <f t="shared" si="56"/>
        <v>0</v>
      </c>
      <c r="Q40" s="80">
        <v>3</v>
      </c>
      <c r="R40" s="80">
        <v>2</v>
      </c>
      <c r="S40" s="80" t="s">
        <v>61</v>
      </c>
      <c r="T40" s="5" t="s">
        <v>1203</v>
      </c>
      <c r="U40" s="9"/>
      <c r="W40" s="87">
        <f t="shared" si="57"/>
        <v>109.7</v>
      </c>
      <c r="X40" s="88">
        <f t="shared" si="57"/>
        <v>33</v>
      </c>
      <c r="Y40" s="93">
        <f t="shared" si="58"/>
        <v>111</v>
      </c>
      <c r="Z40" s="91">
        <f t="shared" si="58"/>
        <v>0</v>
      </c>
      <c r="AA40" s="91">
        <f t="shared" si="59"/>
        <v>0</v>
      </c>
      <c r="AB40" s="91">
        <f t="shared" si="60"/>
        <v>0</v>
      </c>
      <c r="AC40" s="4" t="str">
        <f t="shared" si="60"/>
        <v/>
      </c>
      <c r="AD40" s="92">
        <f t="shared" si="60"/>
        <v>0</v>
      </c>
      <c r="AE40" s="80" t="str">
        <f t="shared" si="61"/>
        <v>계</v>
      </c>
      <c r="AF40" s="80" t="str">
        <f t="shared" si="62"/>
        <v>3/2</v>
      </c>
      <c r="AH40" s="20" t="str">
        <f t="shared" si="52"/>
        <v>더샵디오션시티2차</v>
      </c>
      <c r="AI40" s="88">
        <f t="shared" si="50"/>
        <v>33</v>
      </c>
      <c r="AJ40" s="80" t="str">
        <f t="shared" si="63"/>
        <v>A-</v>
      </c>
      <c r="AK40" s="80" t="s">
        <v>14</v>
      </c>
      <c r="AL40" s="80" t="s">
        <v>63</v>
      </c>
      <c r="AM40" s="80" t="s">
        <v>64</v>
      </c>
      <c r="AN40" s="80" t="str">
        <f t="shared" si="64"/>
        <v>C</v>
      </c>
      <c r="AO40" s="80" t="str">
        <f t="shared" si="65"/>
        <v/>
      </c>
      <c r="AP40" s="80" t="str">
        <f t="shared" si="66"/>
        <v/>
      </c>
      <c r="AQ40" s="80" t="str">
        <f t="shared" si="67"/>
        <v>O</v>
      </c>
      <c r="AR40" s="80" t="str">
        <f t="shared" si="68"/>
        <v>O</v>
      </c>
      <c r="AS40" s="80" t="s">
        <v>2</v>
      </c>
      <c r="AT40" s="80" t="str">
        <f t="shared" si="69"/>
        <v>O</v>
      </c>
      <c r="AU40" s="80" t="str">
        <f t="shared" si="70"/>
        <v>O</v>
      </c>
      <c r="AV40" s="80" t="str">
        <f t="shared" si="71"/>
        <v/>
      </c>
    </row>
    <row r="41" spans="1:48" x14ac:dyDescent="0.3">
      <c r="A41" s="9" t="s">
        <v>1199</v>
      </c>
      <c r="B41" s="10" t="s">
        <v>1360</v>
      </c>
      <c r="C41" s="89">
        <v>771</v>
      </c>
      <c r="D41" s="87">
        <v>109.7</v>
      </c>
      <c r="E41" s="88">
        <v>33</v>
      </c>
      <c r="F41" s="87">
        <v>85</v>
      </c>
      <c r="G41" s="17">
        <v>26</v>
      </c>
      <c r="H41" s="89">
        <v>36</v>
      </c>
      <c r="I41" s="90"/>
      <c r="J41" s="90"/>
      <c r="K41" s="90"/>
      <c r="L41" s="90"/>
      <c r="M41" s="91">
        <f t="shared" si="53"/>
        <v>0</v>
      </c>
      <c r="N41" s="4" t="str">
        <f t="shared" si="54"/>
        <v/>
      </c>
      <c r="O41" s="92">
        <f t="shared" si="55"/>
        <v>0</v>
      </c>
      <c r="P41" s="92">
        <f t="shared" si="56"/>
        <v>0</v>
      </c>
      <c r="Q41" s="80">
        <v>3</v>
      </c>
      <c r="R41" s="80">
        <v>2</v>
      </c>
      <c r="S41" s="80" t="s">
        <v>61</v>
      </c>
      <c r="T41" s="5" t="s">
        <v>1204</v>
      </c>
      <c r="U41" s="9"/>
      <c r="W41" s="87">
        <f t="shared" si="57"/>
        <v>109.7</v>
      </c>
      <c r="X41" s="88">
        <f t="shared" si="57"/>
        <v>33</v>
      </c>
      <c r="Y41" s="93">
        <f t="shared" si="58"/>
        <v>36</v>
      </c>
      <c r="Z41" s="91">
        <f t="shared" si="58"/>
        <v>0</v>
      </c>
      <c r="AA41" s="91">
        <f t="shared" si="59"/>
        <v>0</v>
      </c>
      <c r="AB41" s="91">
        <f t="shared" si="60"/>
        <v>0</v>
      </c>
      <c r="AC41" s="4" t="str">
        <f t="shared" si="60"/>
        <v/>
      </c>
      <c r="AD41" s="92">
        <f t="shared" si="60"/>
        <v>0</v>
      </c>
      <c r="AE41" s="80" t="str">
        <f t="shared" si="61"/>
        <v>계</v>
      </c>
      <c r="AF41" s="80" t="str">
        <f t="shared" si="62"/>
        <v>3/2</v>
      </c>
      <c r="AH41" s="20" t="str">
        <f t="shared" si="52"/>
        <v>더샵디오션시티2차</v>
      </c>
      <c r="AI41" s="88">
        <f t="shared" si="50"/>
        <v>33</v>
      </c>
      <c r="AJ41" s="80" t="str">
        <f t="shared" si="63"/>
        <v>A-</v>
      </c>
      <c r="AK41" s="80" t="s">
        <v>14</v>
      </c>
      <c r="AL41" s="80" t="s">
        <v>63</v>
      </c>
      <c r="AM41" s="80" t="s">
        <v>64</v>
      </c>
      <c r="AN41" s="80" t="str">
        <f t="shared" si="64"/>
        <v>C</v>
      </c>
      <c r="AO41" s="80" t="str">
        <f t="shared" si="65"/>
        <v/>
      </c>
      <c r="AP41" s="80" t="str">
        <f t="shared" si="66"/>
        <v/>
      </c>
      <c r="AQ41" s="80" t="str">
        <f t="shared" si="67"/>
        <v>O</v>
      </c>
      <c r="AR41" s="80" t="str">
        <f t="shared" si="68"/>
        <v>O</v>
      </c>
      <c r="AS41" s="80" t="s">
        <v>2</v>
      </c>
      <c r="AT41" s="80" t="str">
        <f t="shared" si="69"/>
        <v>O</v>
      </c>
      <c r="AU41" s="80" t="str">
        <f t="shared" si="70"/>
        <v>O</v>
      </c>
      <c r="AV41" s="80" t="str">
        <f t="shared" si="71"/>
        <v/>
      </c>
    </row>
    <row r="42" spans="1:48" x14ac:dyDescent="0.3">
      <c r="A42" s="9" t="s">
        <v>1199</v>
      </c>
      <c r="B42" s="10" t="s">
        <v>1360</v>
      </c>
      <c r="C42" s="89">
        <v>771</v>
      </c>
      <c r="D42" s="87">
        <v>135.4</v>
      </c>
      <c r="E42" s="88">
        <v>41</v>
      </c>
      <c r="F42" s="87">
        <v>107</v>
      </c>
      <c r="G42" s="17">
        <v>32</v>
      </c>
      <c r="H42" s="89">
        <v>125</v>
      </c>
      <c r="I42" s="90"/>
      <c r="J42" s="90"/>
      <c r="K42" s="90"/>
      <c r="L42" s="90"/>
      <c r="M42" s="91">
        <f t="shared" si="53"/>
        <v>0</v>
      </c>
      <c r="N42" s="4" t="str">
        <f t="shared" si="54"/>
        <v/>
      </c>
      <c r="O42" s="92">
        <f t="shared" si="55"/>
        <v>0</v>
      </c>
      <c r="P42" s="92">
        <f t="shared" si="56"/>
        <v>0</v>
      </c>
      <c r="Q42" s="80">
        <v>4</v>
      </c>
      <c r="R42" s="80">
        <v>2</v>
      </c>
      <c r="S42" s="80" t="s">
        <v>61</v>
      </c>
      <c r="T42" s="5">
        <v>135</v>
      </c>
      <c r="U42" s="9"/>
      <c r="W42" s="87">
        <f t="shared" si="57"/>
        <v>135.4</v>
      </c>
      <c r="X42" s="88">
        <f t="shared" si="57"/>
        <v>41</v>
      </c>
      <c r="Y42" s="93">
        <f t="shared" si="58"/>
        <v>125</v>
      </c>
      <c r="Z42" s="91">
        <f t="shared" si="58"/>
        <v>0</v>
      </c>
      <c r="AA42" s="91">
        <f t="shared" si="59"/>
        <v>0</v>
      </c>
      <c r="AB42" s="91">
        <f t="shared" si="60"/>
        <v>0</v>
      </c>
      <c r="AC42" s="4" t="str">
        <f t="shared" si="60"/>
        <v/>
      </c>
      <c r="AD42" s="92">
        <f t="shared" si="60"/>
        <v>0</v>
      </c>
      <c r="AE42" s="80" t="str">
        <f t="shared" si="61"/>
        <v>계</v>
      </c>
      <c r="AF42" s="80" t="str">
        <f t="shared" si="62"/>
        <v>4/2</v>
      </c>
      <c r="AH42" s="20" t="str">
        <f t="shared" si="52"/>
        <v>더샵디오션시티2차</v>
      </c>
      <c r="AI42" s="88">
        <f t="shared" si="50"/>
        <v>41</v>
      </c>
      <c r="AJ42" s="80" t="str">
        <f t="shared" si="63"/>
        <v>A-</v>
      </c>
      <c r="AK42" s="80" t="s">
        <v>14</v>
      </c>
      <c r="AL42" s="80" t="s">
        <v>63</v>
      </c>
      <c r="AM42" s="80" t="s">
        <v>64</v>
      </c>
      <c r="AN42" s="80" t="str">
        <f t="shared" si="64"/>
        <v>C</v>
      </c>
      <c r="AO42" s="80" t="str">
        <f t="shared" si="65"/>
        <v/>
      </c>
      <c r="AP42" s="80" t="str">
        <f t="shared" si="66"/>
        <v/>
      </c>
      <c r="AQ42" s="80" t="str">
        <f t="shared" si="67"/>
        <v>O</v>
      </c>
      <c r="AR42" s="80" t="str">
        <f t="shared" si="68"/>
        <v>O</v>
      </c>
      <c r="AS42" s="80" t="s">
        <v>2</v>
      </c>
      <c r="AT42" s="80" t="str">
        <f t="shared" si="69"/>
        <v>X</v>
      </c>
      <c r="AU42" s="80" t="str">
        <f t="shared" si="70"/>
        <v>O</v>
      </c>
      <c r="AV42" s="80" t="str">
        <f t="shared" si="71"/>
        <v/>
      </c>
    </row>
    <row r="43" spans="1:48" x14ac:dyDescent="0.3">
      <c r="A43" s="9" t="s">
        <v>1199</v>
      </c>
      <c r="B43" s="10" t="s">
        <v>1360</v>
      </c>
      <c r="C43" s="89">
        <v>771</v>
      </c>
      <c r="D43" s="87">
        <v>158</v>
      </c>
      <c r="E43" s="88">
        <v>48</v>
      </c>
      <c r="F43" s="87">
        <v>124.9</v>
      </c>
      <c r="G43" s="17">
        <v>38</v>
      </c>
      <c r="H43" s="89">
        <v>54</v>
      </c>
      <c r="I43" s="90"/>
      <c r="J43" s="90"/>
      <c r="K43" s="90"/>
      <c r="L43" s="90"/>
      <c r="M43" s="91">
        <f t="shared" si="53"/>
        <v>0</v>
      </c>
      <c r="N43" s="4" t="str">
        <f t="shared" si="54"/>
        <v/>
      </c>
      <c r="O43" s="92">
        <f t="shared" si="55"/>
        <v>0</v>
      </c>
      <c r="P43" s="92">
        <f t="shared" si="56"/>
        <v>0</v>
      </c>
      <c r="Q43" s="80">
        <v>4</v>
      </c>
      <c r="R43" s="80">
        <v>2</v>
      </c>
      <c r="S43" s="80" t="s">
        <v>61</v>
      </c>
      <c r="T43" s="5">
        <v>158</v>
      </c>
      <c r="U43" s="9"/>
      <c r="W43" s="87">
        <f t="shared" si="57"/>
        <v>158</v>
      </c>
      <c r="X43" s="88">
        <f t="shared" si="57"/>
        <v>48</v>
      </c>
      <c r="Y43" s="93">
        <f t="shared" si="58"/>
        <v>54</v>
      </c>
      <c r="Z43" s="91">
        <f t="shared" si="58"/>
        <v>0</v>
      </c>
      <c r="AA43" s="91">
        <f t="shared" si="59"/>
        <v>0</v>
      </c>
      <c r="AB43" s="91">
        <f t="shared" si="60"/>
        <v>0</v>
      </c>
      <c r="AC43" s="4" t="str">
        <f t="shared" si="60"/>
        <v/>
      </c>
      <c r="AD43" s="92">
        <f t="shared" si="60"/>
        <v>0</v>
      </c>
      <c r="AE43" s="80" t="str">
        <f t="shared" si="61"/>
        <v>계</v>
      </c>
      <c r="AF43" s="80" t="str">
        <f t="shared" si="62"/>
        <v>4/2</v>
      </c>
      <c r="AH43" s="20" t="str">
        <f t="shared" si="52"/>
        <v>더샵디오션시티2차</v>
      </c>
      <c r="AI43" s="88">
        <f t="shared" si="50"/>
        <v>48</v>
      </c>
      <c r="AJ43" s="80" t="str">
        <f t="shared" si="63"/>
        <v>A-</v>
      </c>
      <c r="AK43" s="80" t="s">
        <v>14</v>
      </c>
      <c r="AL43" s="80" t="s">
        <v>63</v>
      </c>
      <c r="AM43" s="80" t="s">
        <v>64</v>
      </c>
      <c r="AN43" s="80" t="str">
        <f t="shared" si="64"/>
        <v>C</v>
      </c>
      <c r="AO43" s="80" t="str">
        <f t="shared" si="65"/>
        <v/>
      </c>
      <c r="AP43" s="80" t="str">
        <f t="shared" si="66"/>
        <v/>
      </c>
      <c r="AQ43" s="80" t="str">
        <f t="shared" si="67"/>
        <v>O</v>
      </c>
      <c r="AR43" s="80" t="str">
        <f t="shared" si="68"/>
        <v>O</v>
      </c>
      <c r="AS43" s="80" t="s">
        <v>2</v>
      </c>
      <c r="AT43" s="80" t="str">
        <f t="shared" si="69"/>
        <v>X</v>
      </c>
      <c r="AU43" s="80" t="str">
        <f t="shared" si="70"/>
        <v>O</v>
      </c>
      <c r="AV43" s="80" t="str">
        <f t="shared" si="71"/>
        <v/>
      </c>
    </row>
    <row r="44" spans="1:48" x14ac:dyDescent="0.3">
      <c r="A44" s="9" t="s">
        <v>1199</v>
      </c>
      <c r="B44" s="10" t="s">
        <v>1360</v>
      </c>
      <c r="C44" s="89">
        <v>771</v>
      </c>
      <c r="D44" s="87">
        <v>184.4</v>
      </c>
      <c r="E44" s="88">
        <v>56</v>
      </c>
      <c r="F44" s="87">
        <v>143.1</v>
      </c>
      <c r="G44" s="17">
        <v>43</v>
      </c>
      <c r="H44" s="89">
        <v>1</v>
      </c>
      <c r="I44" s="90"/>
      <c r="J44" s="90"/>
      <c r="K44" s="90"/>
      <c r="L44" s="90"/>
      <c r="M44" s="91">
        <f t="shared" si="53"/>
        <v>0</v>
      </c>
      <c r="N44" s="4" t="str">
        <f t="shared" si="54"/>
        <v/>
      </c>
      <c r="O44" s="92">
        <f t="shared" si="55"/>
        <v>0</v>
      </c>
      <c r="P44" s="92">
        <f t="shared" si="56"/>
        <v>0</v>
      </c>
      <c r="Q44" s="80">
        <v>4</v>
      </c>
      <c r="R44" s="80">
        <v>3</v>
      </c>
      <c r="S44" s="80" t="s">
        <v>61</v>
      </c>
      <c r="T44" s="5">
        <v>184</v>
      </c>
      <c r="U44" s="9"/>
      <c r="W44" s="87">
        <f t="shared" si="57"/>
        <v>184.4</v>
      </c>
      <c r="X44" s="88">
        <f t="shared" si="57"/>
        <v>56</v>
      </c>
      <c r="Y44" s="93">
        <f t="shared" si="58"/>
        <v>1</v>
      </c>
      <c r="Z44" s="91">
        <f t="shared" si="58"/>
        <v>0</v>
      </c>
      <c r="AA44" s="91">
        <f t="shared" si="59"/>
        <v>0</v>
      </c>
      <c r="AB44" s="91">
        <f t="shared" si="60"/>
        <v>0</v>
      </c>
      <c r="AC44" s="4" t="str">
        <f t="shared" si="60"/>
        <v/>
      </c>
      <c r="AD44" s="92">
        <f t="shared" si="60"/>
        <v>0</v>
      </c>
      <c r="AE44" s="80" t="str">
        <f t="shared" si="61"/>
        <v>계</v>
      </c>
      <c r="AF44" s="80" t="str">
        <f t="shared" si="62"/>
        <v>4/3</v>
      </c>
      <c r="AH44" s="20" t="str">
        <f t="shared" si="52"/>
        <v>더샵디오션시티2차</v>
      </c>
      <c r="AI44" s="88">
        <f t="shared" si="50"/>
        <v>56</v>
      </c>
      <c r="AJ44" s="80" t="str">
        <f t="shared" si="63"/>
        <v>A-</v>
      </c>
      <c r="AK44" s="80" t="s">
        <v>14</v>
      </c>
      <c r="AL44" s="80" t="s">
        <v>63</v>
      </c>
      <c r="AM44" s="80" t="s">
        <v>64</v>
      </c>
      <c r="AN44" s="80" t="str">
        <f t="shared" si="64"/>
        <v>C</v>
      </c>
      <c r="AO44" s="80" t="str">
        <f t="shared" si="65"/>
        <v/>
      </c>
      <c r="AP44" s="80" t="str">
        <f t="shared" si="66"/>
        <v/>
      </c>
      <c r="AQ44" s="80" t="str">
        <f t="shared" si="67"/>
        <v>O</v>
      </c>
      <c r="AR44" s="80" t="str">
        <f t="shared" si="68"/>
        <v>O</v>
      </c>
      <c r="AS44" s="80" t="s">
        <v>2</v>
      </c>
      <c r="AT44" s="80" t="str">
        <f t="shared" si="69"/>
        <v>X</v>
      </c>
      <c r="AU44" s="80" t="str">
        <f t="shared" si="70"/>
        <v>O</v>
      </c>
      <c r="AV44" s="80" t="str">
        <f t="shared" si="71"/>
        <v/>
      </c>
    </row>
    <row r="45" spans="1:48" x14ac:dyDescent="0.3">
      <c r="A45" s="9" t="s">
        <v>1199</v>
      </c>
      <c r="B45" s="10" t="s">
        <v>1360</v>
      </c>
      <c r="C45" s="89">
        <v>771</v>
      </c>
      <c r="D45" s="87">
        <v>197.5</v>
      </c>
      <c r="E45" s="88">
        <v>60</v>
      </c>
      <c r="F45" s="87">
        <v>155</v>
      </c>
      <c r="G45" s="17">
        <v>47</v>
      </c>
      <c r="H45" s="89">
        <v>2</v>
      </c>
      <c r="I45" s="90"/>
      <c r="J45" s="90"/>
      <c r="K45" s="90"/>
      <c r="L45" s="90"/>
      <c r="M45" s="91">
        <f t="shared" si="53"/>
        <v>0</v>
      </c>
      <c r="N45" s="4" t="str">
        <f t="shared" si="54"/>
        <v/>
      </c>
      <c r="O45" s="92">
        <f t="shared" si="55"/>
        <v>0</v>
      </c>
      <c r="P45" s="92">
        <f t="shared" si="56"/>
        <v>0</v>
      </c>
      <c r="Q45" s="80">
        <v>5</v>
      </c>
      <c r="R45" s="80">
        <v>3</v>
      </c>
      <c r="S45" s="80" t="s">
        <v>61</v>
      </c>
      <c r="T45" s="5">
        <v>197</v>
      </c>
      <c r="U45" s="9"/>
      <c r="W45" s="87">
        <f t="shared" si="57"/>
        <v>197.5</v>
      </c>
      <c r="X45" s="88">
        <f t="shared" si="57"/>
        <v>60</v>
      </c>
      <c r="Y45" s="93">
        <f t="shared" si="58"/>
        <v>2</v>
      </c>
      <c r="Z45" s="91">
        <f t="shared" si="58"/>
        <v>0</v>
      </c>
      <c r="AA45" s="91">
        <f t="shared" si="59"/>
        <v>0</v>
      </c>
      <c r="AB45" s="91">
        <f t="shared" si="60"/>
        <v>0</v>
      </c>
      <c r="AC45" s="4" t="str">
        <f t="shared" si="60"/>
        <v/>
      </c>
      <c r="AD45" s="92">
        <f t="shared" si="60"/>
        <v>0</v>
      </c>
      <c r="AE45" s="80" t="str">
        <f t="shared" si="61"/>
        <v>계</v>
      </c>
      <c r="AF45" s="80" t="str">
        <f t="shared" si="62"/>
        <v>5/3</v>
      </c>
      <c r="AH45" s="20" t="str">
        <f t="shared" si="52"/>
        <v>더샵디오션시티2차</v>
      </c>
      <c r="AI45" s="88">
        <f t="shared" si="50"/>
        <v>60</v>
      </c>
      <c r="AJ45" s="80" t="str">
        <f t="shared" si="63"/>
        <v>A-</v>
      </c>
      <c r="AK45" s="80" t="s">
        <v>14</v>
      </c>
      <c r="AL45" s="80" t="s">
        <v>63</v>
      </c>
      <c r="AM45" s="80" t="s">
        <v>64</v>
      </c>
      <c r="AN45" s="80" t="str">
        <f t="shared" si="64"/>
        <v>C</v>
      </c>
      <c r="AO45" s="80" t="str">
        <f t="shared" si="65"/>
        <v/>
      </c>
      <c r="AP45" s="80" t="str">
        <f t="shared" si="66"/>
        <v/>
      </c>
      <c r="AQ45" s="80" t="str">
        <f t="shared" si="67"/>
        <v>O</v>
      </c>
      <c r="AR45" s="80" t="str">
        <f t="shared" si="68"/>
        <v>O</v>
      </c>
      <c r="AS45" s="80" t="s">
        <v>2</v>
      </c>
      <c r="AT45" s="80" t="str">
        <f t="shared" si="69"/>
        <v>X</v>
      </c>
      <c r="AU45" s="80" t="str">
        <f t="shared" si="70"/>
        <v>O</v>
      </c>
      <c r="AV45" s="80" t="str">
        <f t="shared" si="71"/>
        <v/>
      </c>
    </row>
    <row r="46" spans="1:48" x14ac:dyDescent="0.3">
      <c r="A46" s="9"/>
      <c r="B46" s="80"/>
      <c r="C46" s="6"/>
      <c r="D46" s="9"/>
      <c r="E46" s="14"/>
      <c r="F46" s="87"/>
      <c r="G46" s="9"/>
      <c r="H46" s="9"/>
      <c r="I46" s="9"/>
      <c r="J46" s="9"/>
      <c r="K46" s="9"/>
      <c r="L46" s="9"/>
      <c r="M46" s="9"/>
      <c r="N46" s="9"/>
      <c r="O46" s="92"/>
      <c r="P46" s="92"/>
      <c r="Q46" s="88"/>
      <c r="R46" s="88"/>
      <c r="S46" s="9"/>
      <c r="T46" s="47"/>
      <c r="U46" s="9"/>
      <c r="W46" s="67" t="str">
        <f>$A$4&amp;" "&amp;A47&amp;"("&amp;B47&amp;","&amp;C47&amp;"^)"</f>
        <v>조촌동 동신개나리('95.12.,383^)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52"/>
        <v/>
      </c>
      <c r="AI46" s="112" t="str">
        <f t="shared" si="50"/>
        <v/>
      </c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</row>
    <row r="47" spans="1:48" x14ac:dyDescent="0.3">
      <c r="A47" s="9" t="s">
        <v>1205</v>
      </c>
      <c r="B47" s="10" t="s">
        <v>1291</v>
      </c>
      <c r="C47" s="89">
        <v>383</v>
      </c>
      <c r="D47" s="87">
        <v>60.5</v>
      </c>
      <c r="E47" s="88">
        <v>18</v>
      </c>
      <c r="F47" s="87">
        <v>47.6</v>
      </c>
      <c r="G47" s="17">
        <v>14</v>
      </c>
      <c r="H47" s="89">
        <v>120</v>
      </c>
      <c r="I47" s="90">
        <v>6400</v>
      </c>
      <c r="J47" s="90" t="s">
        <v>65</v>
      </c>
      <c r="K47" s="90"/>
      <c r="L47" s="90"/>
      <c r="M47" s="91">
        <f>I47-K47</f>
        <v>6400</v>
      </c>
      <c r="N47" s="4">
        <f>IF(ISERROR(K47/I47),"",K47/I47)</f>
        <v>0</v>
      </c>
      <c r="O47" s="92">
        <f>I47/E47</f>
        <v>355.55555555555554</v>
      </c>
      <c r="P47" s="92">
        <f>K47/E47</f>
        <v>0</v>
      </c>
      <c r="Q47" s="80">
        <v>3</v>
      </c>
      <c r="R47" s="80">
        <v>1</v>
      </c>
      <c r="S47" s="80" t="s">
        <v>61</v>
      </c>
      <c r="T47" s="5">
        <v>60</v>
      </c>
      <c r="U47" s="9"/>
      <c r="W47" s="87">
        <f>D47</f>
        <v>60.5</v>
      </c>
      <c r="X47" s="88">
        <f>E47</f>
        <v>18</v>
      </c>
      <c r="Y47" s="93">
        <f>H47</f>
        <v>120</v>
      </c>
      <c r="Z47" s="91">
        <f>I47</f>
        <v>6400</v>
      </c>
      <c r="AA47" s="91">
        <f>K47</f>
        <v>0</v>
      </c>
      <c r="AB47" s="91">
        <f t="shared" ref="AB47:AD48" si="72">M47</f>
        <v>6400</v>
      </c>
      <c r="AC47" s="4">
        <f t="shared" si="72"/>
        <v>0</v>
      </c>
      <c r="AD47" s="92">
        <f t="shared" si="72"/>
        <v>355.55555555555554</v>
      </c>
      <c r="AE47" s="80" t="str">
        <f>S47</f>
        <v>계</v>
      </c>
      <c r="AF47" s="80" t="str">
        <f>Q47&amp;"/"&amp;R47</f>
        <v>3/1</v>
      </c>
      <c r="AH47" s="20" t="str">
        <f t="shared" si="52"/>
        <v>동신개나리</v>
      </c>
      <c r="AI47" s="88">
        <f t="shared" si="50"/>
        <v>18</v>
      </c>
      <c r="AJ47" s="80" t="str">
        <f>IF(AI47="","",$AJ$2)</f>
        <v>A-</v>
      </c>
      <c r="AK47" s="80" t="s">
        <v>14</v>
      </c>
      <c r="AL47" s="80" t="s">
        <v>63</v>
      </c>
      <c r="AM47" s="80" t="s">
        <v>64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O</v>
      </c>
      <c r="AQ47" s="80" t="str">
        <f>IF(O47="","",IF(O47&lt;=$AQ$1,"O","X"))</f>
        <v>O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x14ac:dyDescent="0.3">
      <c r="A48" s="9" t="s">
        <v>1205</v>
      </c>
      <c r="B48" s="10" t="s">
        <v>1291</v>
      </c>
      <c r="C48" s="89">
        <v>383</v>
      </c>
      <c r="D48" s="87">
        <v>76</v>
      </c>
      <c r="E48" s="88">
        <v>23</v>
      </c>
      <c r="F48" s="87">
        <v>59.8</v>
      </c>
      <c r="G48" s="17">
        <v>18</v>
      </c>
      <c r="H48" s="89">
        <v>263</v>
      </c>
      <c r="I48" s="90">
        <v>8500</v>
      </c>
      <c r="J48" s="90" t="s">
        <v>74</v>
      </c>
      <c r="K48" s="90"/>
      <c r="L48" s="90"/>
      <c r="M48" s="91">
        <f>I48-K48</f>
        <v>8500</v>
      </c>
      <c r="N48" s="4">
        <f>IF(ISERROR(K48/I48),"",K48/I48)</f>
        <v>0</v>
      </c>
      <c r="O48" s="92">
        <f>I48/E48</f>
        <v>369.56521739130437</v>
      </c>
      <c r="P48" s="92">
        <f>K48/E48</f>
        <v>0</v>
      </c>
      <c r="Q48" s="80">
        <v>3</v>
      </c>
      <c r="R48" s="80">
        <v>1</v>
      </c>
      <c r="S48" s="80" t="s">
        <v>61</v>
      </c>
      <c r="T48" s="5">
        <v>76</v>
      </c>
      <c r="U48" s="9"/>
      <c r="W48" s="87">
        <f>D48</f>
        <v>76</v>
      </c>
      <c r="X48" s="88">
        <f>E48</f>
        <v>23</v>
      </c>
      <c r="Y48" s="93">
        <f>H48</f>
        <v>263</v>
      </c>
      <c r="Z48" s="91">
        <f>I48</f>
        <v>8500</v>
      </c>
      <c r="AA48" s="91">
        <f>K48</f>
        <v>0</v>
      </c>
      <c r="AB48" s="91">
        <f t="shared" si="72"/>
        <v>8500</v>
      </c>
      <c r="AC48" s="4">
        <f t="shared" si="72"/>
        <v>0</v>
      </c>
      <c r="AD48" s="92">
        <f t="shared" si="72"/>
        <v>369.56521739130437</v>
      </c>
      <c r="AE48" s="80" t="str">
        <f>S48</f>
        <v>계</v>
      </c>
      <c r="AF48" s="80" t="str">
        <f>Q48&amp;"/"&amp;R48</f>
        <v>3/1</v>
      </c>
      <c r="AH48" s="20" t="str">
        <f t="shared" si="52"/>
        <v>동신개나리</v>
      </c>
      <c r="AI48" s="88">
        <f t="shared" si="50"/>
        <v>23</v>
      </c>
      <c r="AJ48" s="80" t="str">
        <f>IF(AI48="","",$AJ$2)</f>
        <v>A-</v>
      </c>
      <c r="AK48" s="80" t="s">
        <v>14</v>
      </c>
      <c r="AL48" s="80" t="s">
        <v>63</v>
      </c>
      <c r="AM48" s="80" t="s">
        <v>64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O</v>
      </c>
      <c r="AQ48" s="80" t="str">
        <f>IF(O48="","",IF(O48&lt;=$AQ$1,"O","X"))</f>
        <v>O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x14ac:dyDescent="0.3">
      <c r="A49" s="9"/>
      <c r="B49" s="80"/>
      <c r="C49" s="6"/>
      <c r="D49" s="9"/>
      <c r="E49" s="14"/>
      <c r="F49" s="87"/>
      <c r="G49" s="9"/>
      <c r="H49" s="9"/>
      <c r="I49" s="9"/>
      <c r="J49" s="9"/>
      <c r="K49" s="9"/>
      <c r="L49" s="9"/>
      <c r="M49" s="9"/>
      <c r="N49" s="9"/>
      <c r="O49" s="92"/>
      <c r="P49" s="92"/>
      <c r="Q49" s="88"/>
      <c r="R49" s="88"/>
      <c r="S49" s="9"/>
      <c r="T49" s="47"/>
      <c r="U49" s="9"/>
      <c r="W49" s="67" t="str">
        <f>$A$4&amp;" "&amp;A50&amp;"("&amp;B50&amp;","&amp;C50&amp;"^)"</f>
        <v>조촌동 센트럴파크('17.10.,480^)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2"/>
        <v/>
      </c>
      <c r="AI49" s="112" t="str">
        <f t="shared" si="50"/>
        <v/>
      </c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</row>
    <row r="50" spans="1:48" x14ac:dyDescent="0.3">
      <c r="A50" s="9" t="s">
        <v>1209</v>
      </c>
      <c r="B50" s="10" t="s">
        <v>1361</v>
      </c>
      <c r="C50" s="89">
        <v>480</v>
      </c>
      <c r="D50" s="87">
        <v>110.7</v>
      </c>
      <c r="E50" s="88">
        <v>33</v>
      </c>
      <c r="F50" s="87">
        <v>84.9</v>
      </c>
      <c r="G50" s="17">
        <v>26</v>
      </c>
      <c r="H50" s="89">
        <v>251</v>
      </c>
      <c r="I50" s="90">
        <v>27500</v>
      </c>
      <c r="J50" s="90" t="s">
        <v>84</v>
      </c>
      <c r="K50" s="90">
        <v>24000</v>
      </c>
      <c r="L50" s="90" t="s">
        <v>96</v>
      </c>
      <c r="M50" s="91">
        <f>I50-K50</f>
        <v>3500</v>
      </c>
      <c r="N50" s="4">
        <f>IF(ISERROR(K50/I50),"",K50/I50)</f>
        <v>0.87272727272727268</v>
      </c>
      <c r="O50" s="92">
        <f>I50/E50</f>
        <v>833.33333333333337</v>
      </c>
      <c r="P50" s="92">
        <f>K50/E50</f>
        <v>727.27272727272725</v>
      </c>
      <c r="Q50" s="80">
        <v>3</v>
      </c>
      <c r="R50" s="80">
        <v>2</v>
      </c>
      <c r="S50" s="80" t="s">
        <v>61</v>
      </c>
      <c r="T50" s="5" t="s">
        <v>62</v>
      </c>
      <c r="U50" s="9"/>
      <c r="W50" s="87">
        <f>D50</f>
        <v>110.7</v>
      </c>
      <c r="X50" s="88">
        <f>E50</f>
        <v>33</v>
      </c>
      <c r="Y50" s="93">
        <f>H50</f>
        <v>251</v>
      </c>
      <c r="Z50" s="91">
        <f>I50</f>
        <v>27500</v>
      </c>
      <c r="AA50" s="91">
        <f>K50</f>
        <v>24000</v>
      </c>
      <c r="AB50" s="91">
        <f t="shared" ref="AB50:AD51" si="73">M50</f>
        <v>3500</v>
      </c>
      <c r="AC50" s="4">
        <f t="shared" si="73"/>
        <v>0.87272727272727268</v>
      </c>
      <c r="AD50" s="92">
        <f t="shared" si="73"/>
        <v>833.33333333333337</v>
      </c>
      <c r="AE50" s="80" t="str">
        <f>S50</f>
        <v>계</v>
      </c>
      <c r="AF50" s="80" t="str">
        <f>Q50&amp;"/"&amp;R50</f>
        <v>3/2</v>
      </c>
      <c r="AH50" s="20" t="str">
        <f t="shared" si="52"/>
        <v>센트럴파크</v>
      </c>
      <c r="AI50" s="88">
        <f t="shared" si="50"/>
        <v>33</v>
      </c>
      <c r="AJ50" s="80" t="str">
        <f>IF(AI50="","",$AJ$2)</f>
        <v>A-</v>
      </c>
      <c r="AK50" s="80" t="s">
        <v>14</v>
      </c>
      <c r="AL50" s="80" t="s">
        <v>63</v>
      </c>
      <c r="AM50" s="80" t="s">
        <v>64</v>
      </c>
      <c r="AN50" s="80" t="str">
        <f>IF(AI50="","",$AN$2)</f>
        <v>C</v>
      </c>
      <c r="AO50" s="80" t="str">
        <f>IF(N50="","",IF(N50&gt;=$AO$1/100,"O","X"))</f>
        <v>O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후보</v>
      </c>
    </row>
    <row r="51" spans="1:48" x14ac:dyDescent="0.3">
      <c r="A51" s="9" t="s">
        <v>1209</v>
      </c>
      <c r="B51" s="10" t="s">
        <v>1361</v>
      </c>
      <c r="C51" s="89">
        <v>480</v>
      </c>
      <c r="D51" s="87">
        <v>110.2</v>
      </c>
      <c r="E51" s="88">
        <v>33</v>
      </c>
      <c r="F51" s="87">
        <v>85</v>
      </c>
      <c r="G51" s="17">
        <v>26</v>
      </c>
      <c r="H51" s="89">
        <v>229</v>
      </c>
      <c r="I51" s="90">
        <v>27000</v>
      </c>
      <c r="J51" s="90" t="s">
        <v>80</v>
      </c>
      <c r="K51" s="90">
        <v>25000</v>
      </c>
      <c r="L51" s="90" t="s">
        <v>81</v>
      </c>
      <c r="M51" s="91">
        <f>I51-K51</f>
        <v>2000</v>
      </c>
      <c r="N51" s="4">
        <f>IF(ISERROR(K51/I51),"",K51/I51)</f>
        <v>0.92592592592592593</v>
      </c>
      <c r="O51" s="92">
        <f>I51/E51</f>
        <v>818.18181818181813</v>
      </c>
      <c r="P51" s="92">
        <f>K51/E51</f>
        <v>757.57575757575762</v>
      </c>
      <c r="Q51" s="80">
        <v>3</v>
      </c>
      <c r="R51" s="80">
        <v>2</v>
      </c>
      <c r="S51" s="80" t="s">
        <v>61</v>
      </c>
      <c r="T51" s="5" t="s">
        <v>97</v>
      </c>
      <c r="U51" s="9"/>
      <c r="W51" s="87">
        <f>D51</f>
        <v>110.2</v>
      </c>
      <c r="X51" s="88">
        <f>E51</f>
        <v>33</v>
      </c>
      <c r="Y51" s="93">
        <f>H51</f>
        <v>229</v>
      </c>
      <c r="Z51" s="91">
        <f>I51</f>
        <v>27000</v>
      </c>
      <c r="AA51" s="91">
        <f>K51</f>
        <v>25000</v>
      </c>
      <c r="AB51" s="91">
        <f t="shared" si="73"/>
        <v>2000</v>
      </c>
      <c r="AC51" s="4">
        <f t="shared" si="73"/>
        <v>0.92592592592592593</v>
      </c>
      <c r="AD51" s="92">
        <f t="shared" si="73"/>
        <v>818.18181818181813</v>
      </c>
      <c r="AE51" s="80" t="str">
        <f>S51</f>
        <v>계</v>
      </c>
      <c r="AF51" s="80" t="str">
        <f>Q51&amp;"/"&amp;R51</f>
        <v>3/2</v>
      </c>
      <c r="AH51" s="20" t="str">
        <f t="shared" si="52"/>
        <v>센트럴파크</v>
      </c>
      <c r="AI51" s="88">
        <f t="shared" si="50"/>
        <v>33</v>
      </c>
      <c r="AJ51" s="80" t="str">
        <f>IF(AI51="","",$AJ$2)</f>
        <v>A-</v>
      </c>
      <c r="AK51" s="80" t="s">
        <v>14</v>
      </c>
      <c r="AL51" s="80" t="s">
        <v>63</v>
      </c>
      <c r="AM51" s="80" t="s">
        <v>64</v>
      </c>
      <c r="AN51" s="80" t="str">
        <f>IF(AI51="","",$AN$2)</f>
        <v>C</v>
      </c>
      <c r="AO51" s="80" t="str">
        <f>IF(N51="","",IF(N51&gt;=$AO$1/100,"O","X"))</f>
        <v>O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O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후보</v>
      </c>
    </row>
    <row r="52" spans="1:48" x14ac:dyDescent="0.3">
      <c r="A52" s="9"/>
      <c r="B52" s="80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7" t="str">
        <f>$A$4&amp;" "&amp;A53&amp;"("&amp;B53&amp;","&amp;C53&amp;"^)"</f>
        <v>조촌동 현대('95.09.,560^)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52"/>
        <v/>
      </c>
      <c r="AI52" s="112" t="str">
        <f t="shared" si="50"/>
        <v/>
      </c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</row>
    <row r="53" spans="1:48" x14ac:dyDescent="0.3">
      <c r="A53" s="9" t="s">
        <v>217</v>
      </c>
      <c r="B53" s="10" t="s">
        <v>1362</v>
      </c>
      <c r="C53" s="89">
        <v>560</v>
      </c>
      <c r="D53" s="87">
        <v>91.9</v>
      </c>
      <c r="E53" s="88">
        <v>28</v>
      </c>
      <c r="F53" s="87">
        <v>75.099999999999994</v>
      </c>
      <c r="G53" s="17">
        <v>23</v>
      </c>
      <c r="H53" s="89">
        <v>112</v>
      </c>
      <c r="I53" s="90">
        <v>14000</v>
      </c>
      <c r="J53" s="90" t="s">
        <v>68</v>
      </c>
      <c r="K53" s="90"/>
      <c r="L53" s="90"/>
      <c r="M53" s="91">
        <f>I53-K53</f>
        <v>14000</v>
      </c>
      <c r="N53" s="4">
        <f>IF(ISERROR(K53/I53),"",K53/I53)</f>
        <v>0</v>
      </c>
      <c r="O53" s="92">
        <f>I53/E53</f>
        <v>500</v>
      </c>
      <c r="P53" s="92">
        <f>K53/E53</f>
        <v>0</v>
      </c>
      <c r="Q53" s="80">
        <v>3</v>
      </c>
      <c r="R53" s="80">
        <v>1</v>
      </c>
      <c r="S53" s="80" t="s">
        <v>61</v>
      </c>
      <c r="T53" s="5">
        <v>91</v>
      </c>
      <c r="U53" s="9"/>
      <c r="W53" s="87">
        <f t="shared" ref="W53:X55" si="74">D53</f>
        <v>91.9</v>
      </c>
      <c r="X53" s="88">
        <f t="shared" si="74"/>
        <v>28</v>
      </c>
      <c r="Y53" s="93">
        <f t="shared" ref="Y53:Z55" si="75">H53</f>
        <v>112</v>
      </c>
      <c r="Z53" s="91">
        <f t="shared" si="75"/>
        <v>14000</v>
      </c>
      <c r="AA53" s="91">
        <f>K53</f>
        <v>0</v>
      </c>
      <c r="AB53" s="91">
        <f t="shared" ref="AB53:AD55" si="76">M53</f>
        <v>14000</v>
      </c>
      <c r="AC53" s="4">
        <f t="shared" si="76"/>
        <v>0</v>
      </c>
      <c r="AD53" s="92">
        <f t="shared" si="76"/>
        <v>500</v>
      </c>
      <c r="AE53" s="80" t="str">
        <f>S53</f>
        <v>계</v>
      </c>
      <c r="AF53" s="80" t="str">
        <f>Q53&amp;"/"&amp;R53</f>
        <v>3/1</v>
      </c>
      <c r="AH53" s="20" t="str">
        <f t="shared" si="52"/>
        <v>현대</v>
      </c>
      <c r="AI53" s="88">
        <f t="shared" si="50"/>
        <v>28</v>
      </c>
      <c r="AJ53" s="80" t="str">
        <f>IF(AI53="","",$AJ$2)</f>
        <v>A-</v>
      </c>
      <c r="AK53" s="80" t="s">
        <v>14</v>
      </c>
      <c r="AL53" s="80" t="s">
        <v>63</v>
      </c>
      <c r="AM53" s="80" t="s">
        <v>64</v>
      </c>
      <c r="AN53" s="80" t="str">
        <f>IF(AI53="","",$AN$2)</f>
        <v>C</v>
      </c>
      <c r="AO53" s="80" t="str">
        <f>IF(N53="","",IF(N53&gt;=$AO$1/100,"O","X"))</f>
        <v>X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X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X</v>
      </c>
    </row>
    <row r="54" spans="1:48" x14ac:dyDescent="0.3">
      <c r="A54" s="9" t="s">
        <v>217</v>
      </c>
      <c r="B54" s="10" t="s">
        <v>1362</v>
      </c>
      <c r="C54" s="89">
        <v>560</v>
      </c>
      <c r="D54" s="87">
        <v>91.8</v>
      </c>
      <c r="E54" s="88">
        <v>28</v>
      </c>
      <c r="F54" s="87">
        <v>75</v>
      </c>
      <c r="G54" s="17">
        <v>23</v>
      </c>
      <c r="H54" s="89">
        <v>28</v>
      </c>
      <c r="I54" s="90"/>
      <c r="J54" s="90"/>
      <c r="K54" s="90"/>
      <c r="L54" s="90"/>
      <c r="M54" s="91">
        <f>I54-K54</f>
        <v>0</v>
      </c>
      <c r="N54" s="4" t="str">
        <f>IF(ISERROR(K54/I54),"",K54/I54)</f>
        <v/>
      </c>
      <c r="O54" s="92">
        <f>I54/E54</f>
        <v>0</v>
      </c>
      <c r="P54" s="92">
        <f>K54/E54</f>
        <v>0</v>
      </c>
      <c r="Q54" s="80">
        <v>3</v>
      </c>
      <c r="R54" s="80">
        <v>1</v>
      </c>
      <c r="S54" s="80" t="s">
        <v>61</v>
      </c>
      <c r="T54" s="5">
        <v>91</v>
      </c>
      <c r="U54" s="9"/>
      <c r="W54" s="87">
        <f t="shared" si="74"/>
        <v>91.8</v>
      </c>
      <c r="X54" s="88">
        <f t="shared" si="74"/>
        <v>28</v>
      </c>
      <c r="Y54" s="93">
        <f t="shared" si="75"/>
        <v>28</v>
      </c>
      <c r="Z54" s="91">
        <f t="shared" si="75"/>
        <v>0</v>
      </c>
      <c r="AA54" s="91">
        <f>K54</f>
        <v>0</v>
      </c>
      <c r="AB54" s="91">
        <f t="shared" si="76"/>
        <v>0</v>
      </c>
      <c r="AC54" s="4" t="str">
        <f t="shared" si="76"/>
        <v/>
      </c>
      <c r="AD54" s="92">
        <f t="shared" si="76"/>
        <v>0</v>
      </c>
      <c r="AE54" s="80" t="str">
        <f>S54</f>
        <v>계</v>
      </c>
      <c r="AF54" s="80" t="str">
        <f>Q54&amp;"/"&amp;R54</f>
        <v>3/1</v>
      </c>
      <c r="AH54" s="20" t="str">
        <f t="shared" si="52"/>
        <v>현대</v>
      </c>
      <c r="AI54" s="88">
        <f t="shared" si="50"/>
        <v>28</v>
      </c>
      <c r="AJ54" s="80" t="str">
        <f>IF(AI54="","",$AJ$2)</f>
        <v>A-</v>
      </c>
      <c r="AK54" s="80" t="s">
        <v>14</v>
      </c>
      <c r="AL54" s="80" t="s">
        <v>63</v>
      </c>
      <c r="AM54" s="80" t="s">
        <v>64</v>
      </c>
      <c r="AN54" s="80" t="str">
        <f>IF(AI54="","",$AN$2)</f>
        <v>C</v>
      </c>
      <c r="AO54" s="80" t="str">
        <f>IF(N54="","",IF(N54&gt;=$AO$1/100,"O","X"))</f>
        <v/>
      </c>
      <c r="AP54" s="80" t="str">
        <f>IF(I54="","",IF(I54&lt;=$AP$1,"O","X"))</f>
        <v/>
      </c>
      <c r="AQ54" s="80" t="str">
        <f>IF(O54="","",IF(O54&lt;=$AQ$1,"O","X"))</f>
        <v>O</v>
      </c>
      <c r="AR54" s="80" t="str">
        <f>IF(M54="","",IF(M54&lt;=$AR$1,"O","X"))</f>
        <v>O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/>
      </c>
    </row>
    <row r="55" spans="1:48" x14ac:dyDescent="0.3">
      <c r="A55" s="9" t="s">
        <v>217</v>
      </c>
      <c r="B55" s="10" t="s">
        <v>1362</v>
      </c>
      <c r="C55" s="89">
        <v>560</v>
      </c>
      <c r="D55" s="87">
        <v>103.9</v>
      </c>
      <c r="E55" s="88">
        <v>31</v>
      </c>
      <c r="F55" s="87">
        <v>85</v>
      </c>
      <c r="G55" s="17">
        <v>26</v>
      </c>
      <c r="H55" s="89">
        <v>420</v>
      </c>
      <c r="I55" s="90">
        <v>17000</v>
      </c>
      <c r="J55" s="90" t="s">
        <v>65</v>
      </c>
      <c r="K55" s="90"/>
      <c r="L55" s="90"/>
      <c r="M55" s="91">
        <f>I55-K55</f>
        <v>17000</v>
      </c>
      <c r="N55" s="4">
        <f>IF(ISERROR(K55/I55),"",K55/I55)</f>
        <v>0</v>
      </c>
      <c r="O55" s="92">
        <f>I55/E55</f>
        <v>548.38709677419354</v>
      </c>
      <c r="P55" s="92">
        <f>K55/E55</f>
        <v>0</v>
      </c>
      <c r="Q55" s="80">
        <v>3</v>
      </c>
      <c r="R55" s="80">
        <v>2</v>
      </c>
      <c r="S55" s="80" t="s">
        <v>61</v>
      </c>
      <c r="T55" s="5">
        <v>103</v>
      </c>
      <c r="U55" s="9"/>
      <c r="W55" s="87">
        <f t="shared" si="74"/>
        <v>103.9</v>
      </c>
      <c r="X55" s="88">
        <f t="shared" si="74"/>
        <v>31</v>
      </c>
      <c r="Y55" s="93">
        <f t="shared" si="75"/>
        <v>420</v>
      </c>
      <c r="Z55" s="91">
        <f t="shared" si="75"/>
        <v>17000</v>
      </c>
      <c r="AA55" s="91">
        <f>K55</f>
        <v>0</v>
      </c>
      <c r="AB55" s="91">
        <f t="shared" si="76"/>
        <v>17000</v>
      </c>
      <c r="AC55" s="4">
        <f t="shared" si="76"/>
        <v>0</v>
      </c>
      <c r="AD55" s="92">
        <f t="shared" si="76"/>
        <v>548.38709677419354</v>
      </c>
      <c r="AE55" s="80" t="str">
        <f>S55</f>
        <v>계</v>
      </c>
      <c r="AF55" s="80" t="str">
        <f>Q55&amp;"/"&amp;R55</f>
        <v>3/2</v>
      </c>
      <c r="AH55" s="20" t="str">
        <f t="shared" si="52"/>
        <v>현대</v>
      </c>
      <c r="AI55" s="88">
        <f t="shared" si="50"/>
        <v>31</v>
      </c>
      <c r="AJ55" s="80" t="str">
        <f>IF(AI55="","",$AJ$2)</f>
        <v>A-</v>
      </c>
      <c r="AK55" s="80" t="s">
        <v>14</v>
      </c>
      <c r="AL55" s="80" t="s">
        <v>63</v>
      </c>
      <c r="AM55" s="80" t="s">
        <v>64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X</v>
      </c>
      <c r="AS55" s="80" t="s">
        <v>2</v>
      </c>
      <c r="AT55" s="80" t="str">
        <f>IF(OR(F55="",AI55=""),"",IF(AND((F55&lt;=85),(AI55&gt;=15)),"O","X"))</f>
        <v>O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x14ac:dyDescent="0.3">
      <c r="A56" s="9"/>
      <c r="B56" s="80"/>
      <c r="C56" s="6"/>
      <c r="D56" s="9"/>
      <c r="E56" s="14"/>
      <c r="F56" s="87"/>
      <c r="G56" s="9"/>
      <c r="H56" s="9"/>
      <c r="I56" s="9"/>
      <c r="J56" s="9"/>
      <c r="K56" s="9"/>
      <c r="L56" s="9"/>
      <c r="M56" s="9"/>
      <c r="N56" s="9"/>
      <c r="O56" s="92"/>
      <c r="P56" s="92"/>
      <c r="Q56" s="88"/>
      <c r="R56" s="88"/>
      <c r="S56" s="9"/>
      <c r="T56" s="47"/>
      <c r="U56" s="9"/>
      <c r="W56" s="67" t="str">
        <f>$A$4&amp;" "&amp;A57&amp;"("&amp;B57&amp;","&amp;C57&amp;"^)"</f>
        <v>조촌동 더샵디오션시티('21.10.,973^)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52"/>
        <v/>
      </c>
      <c r="AI56" s="112" t="str">
        <f t="shared" si="50"/>
        <v/>
      </c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</row>
    <row r="57" spans="1:48" x14ac:dyDescent="0.3">
      <c r="A57" s="9" t="s">
        <v>1226</v>
      </c>
      <c r="B57" s="10" t="s">
        <v>1363</v>
      </c>
      <c r="C57" s="89">
        <v>973</v>
      </c>
      <c r="D57" s="87">
        <v>79.5</v>
      </c>
      <c r="E57" s="88">
        <v>24</v>
      </c>
      <c r="F57" s="87">
        <v>60</v>
      </c>
      <c r="G57" s="17">
        <v>18</v>
      </c>
      <c r="H57" s="89">
        <v>171</v>
      </c>
      <c r="I57" s="90"/>
      <c r="J57" s="90"/>
      <c r="K57" s="90">
        <v>27000</v>
      </c>
      <c r="L57" s="90" t="s">
        <v>65</v>
      </c>
      <c r="M57" s="91">
        <f t="shared" ref="M57:M63" si="77">I57-K57</f>
        <v>-27000</v>
      </c>
      <c r="N57" s="4" t="str">
        <f t="shared" ref="N57:N63" si="78">IF(ISERROR(K57/I57),"",K57/I57)</f>
        <v/>
      </c>
      <c r="O57" s="92">
        <f t="shared" ref="O57:O63" si="79">I57/E57</f>
        <v>0</v>
      </c>
      <c r="P57" s="92">
        <f t="shared" ref="P57:P63" si="80">K57/E57</f>
        <v>1125</v>
      </c>
      <c r="Q57" s="80">
        <v>3</v>
      </c>
      <c r="R57" s="80">
        <v>2</v>
      </c>
      <c r="S57" s="80" t="s">
        <v>61</v>
      </c>
      <c r="T57" s="5" t="s">
        <v>136</v>
      </c>
      <c r="U57" s="9"/>
      <c r="W57" s="87">
        <f t="shared" ref="W57:X63" si="81">D57</f>
        <v>79.5</v>
      </c>
      <c r="X57" s="88">
        <f t="shared" si="81"/>
        <v>24</v>
      </c>
      <c r="Y57" s="93">
        <f t="shared" ref="Y57:Z63" si="82">H57</f>
        <v>171</v>
      </c>
      <c r="Z57" s="91">
        <f t="shared" si="82"/>
        <v>0</v>
      </c>
      <c r="AA57" s="91">
        <f t="shared" ref="AA57:AA63" si="83">K57</f>
        <v>27000</v>
      </c>
      <c r="AB57" s="91">
        <f t="shared" ref="AB57:AD63" si="84">M57</f>
        <v>-27000</v>
      </c>
      <c r="AC57" s="4" t="str">
        <f t="shared" si="84"/>
        <v/>
      </c>
      <c r="AD57" s="92">
        <f t="shared" si="84"/>
        <v>0</v>
      </c>
      <c r="AE57" s="80" t="str">
        <f t="shared" ref="AE57:AE63" si="85">S57</f>
        <v>계</v>
      </c>
      <c r="AF57" s="80" t="str">
        <f t="shared" ref="AF57:AF63" si="86">Q57&amp;"/"&amp;R57</f>
        <v>3/2</v>
      </c>
      <c r="AH57" s="20" t="str">
        <f t="shared" si="52"/>
        <v>더샵디오션시티</v>
      </c>
      <c r="AI57" s="88">
        <f t="shared" si="50"/>
        <v>24</v>
      </c>
      <c r="AJ57" s="80" t="str">
        <f t="shared" ref="AJ57:AJ63" si="87">IF(AI57="","",$AJ$2)</f>
        <v>A-</v>
      </c>
      <c r="AK57" s="80" t="s">
        <v>14</v>
      </c>
      <c r="AL57" s="80" t="s">
        <v>63</v>
      </c>
      <c r="AM57" s="80" t="s">
        <v>64</v>
      </c>
      <c r="AN57" s="80" t="str">
        <f t="shared" ref="AN57:AN63" si="88">IF(AI57="","",$AN$2)</f>
        <v>C</v>
      </c>
      <c r="AO57" s="80" t="str">
        <f t="shared" ref="AO57:AO63" si="89">IF(N57="","",IF(N57&gt;=$AO$1/100,"O","X"))</f>
        <v/>
      </c>
      <c r="AP57" s="80" t="str">
        <f t="shared" ref="AP57:AP63" si="90">IF(I57="","",IF(I57&lt;=$AP$1,"O","X"))</f>
        <v/>
      </c>
      <c r="AQ57" s="80" t="str">
        <f t="shared" ref="AQ57:AQ63" si="91">IF(O57="","",IF(O57&lt;=$AQ$1,"O","X"))</f>
        <v>O</v>
      </c>
      <c r="AR57" s="80" t="str">
        <f t="shared" ref="AR57:AR63" si="92">IF(M57="","",IF(M57&lt;=$AR$1,"O","X"))</f>
        <v>O</v>
      </c>
      <c r="AS57" s="80" t="s">
        <v>2</v>
      </c>
      <c r="AT57" s="80" t="str">
        <f t="shared" ref="AT57:AT63" si="93">IF(OR(F57="",AI57=""),"",IF(AND((F57&lt;=85),(AI57&gt;=15)),"O","X"))</f>
        <v>O</v>
      </c>
      <c r="AU57" s="80" t="str">
        <f t="shared" ref="AU57:AU63" si="94">IF(C57="","",IF(C57&gt;=$AU$1,"O","X"))</f>
        <v>O</v>
      </c>
      <c r="AV57" s="80" t="str">
        <f t="shared" ref="AV57:AV63" si="95">IF(AO57="","",IF(AND(AO57="O",AP57="O",AR57="O",AT57="O",AU57="O"),"후보","X"))</f>
        <v/>
      </c>
    </row>
    <row r="58" spans="1:48" x14ac:dyDescent="0.3">
      <c r="A58" s="9" t="s">
        <v>1226</v>
      </c>
      <c r="B58" s="10" t="s">
        <v>1363</v>
      </c>
      <c r="C58" s="89">
        <v>973</v>
      </c>
      <c r="D58" s="87">
        <v>79.5</v>
      </c>
      <c r="E58" s="88">
        <v>24</v>
      </c>
      <c r="F58" s="87">
        <v>60</v>
      </c>
      <c r="G58" s="17">
        <v>18</v>
      </c>
      <c r="H58" s="89">
        <v>58</v>
      </c>
      <c r="I58" s="90"/>
      <c r="J58" s="90"/>
      <c r="K58" s="90">
        <v>27000</v>
      </c>
      <c r="L58" s="90" t="s">
        <v>65</v>
      </c>
      <c r="M58" s="91">
        <f t="shared" si="77"/>
        <v>-27000</v>
      </c>
      <c r="N58" s="4" t="str">
        <f t="shared" si="78"/>
        <v/>
      </c>
      <c r="O58" s="92">
        <f t="shared" si="79"/>
        <v>0</v>
      </c>
      <c r="P58" s="92">
        <f t="shared" si="80"/>
        <v>1125</v>
      </c>
      <c r="Q58" s="80">
        <v>3</v>
      </c>
      <c r="R58" s="80">
        <v>2</v>
      </c>
      <c r="S58" s="80" t="s">
        <v>61</v>
      </c>
      <c r="T58" s="5" t="s">
        <v>963</v>
      </c>
      <c r="U58" s="9"/>
      <c r="W58" s="87">
        <f t="shared" si="81"/>
        <v>79.5</v>
      </c>
      <c r="X58" s="88">
        <f t="shared" si="81"/>
        <v>24</v>
      </c>
      <c r="Y58" s="93">
        <f t="shared" si="82"/>
        <v>58</v>
      </c>
      <c r="Z58" s="91">
        <f t="shared" si="82"/>
        <v>0</v>
      </c>
      <c r="AA58" s="91">
        <f t="shared" si="83"/>
        <v>27000</v>
      </c>
      <c r="AB58" s="91">
        <f t="shared" si="84"/>
        <v>-27000</v>
      </c>
      <c r="AC58" s="4" t="str">
        <f t="shared" si="84"/>
        <v/>
      </c>
      <c r="AD58" s="92">
        <f t="shared" si="84"/>
        <v>0</v>
      </c>
      <c r="AE58" s="80" t="str">
        <f t="shared" si="85"/>
        <v>계</v>
      </c>
      <c r="AF58" s="80" t="str">
        <f t="shared" si="86"/>
        <v>3/2</v>
      </c>
      <c r="AH58" s="20" t="str">
        <f t="shared" si="52"/>
        <v>더샵디오션시티</v>
      </c>
      <c r="AI58" s="88">
        <f t="shared" si="50"/>
        <v>24</v>
      </c>
      <c r="AJ58" s="80" t="str">
        <f t="shared" si="87"/>
        <v>A-</v>
      </c>
      <c r="AK58" s="80" t="s">
        <v>14</v>
      </c>
      <c r="AL58" s="80" t="s">
        <v>63</v>
      </c>
      <c r="AM58" s="80" t="s">
        <v>64</v>
      </c>
      <c r="AN58" s="80" t="str">
        <f t="shared" si="88"/>
        <v>C</v>
      </c>
      <c r="AO58" s="80" t="str">
        <f t="shared" si="89"/>
        <v/>
      </c>
      <c r="AP58" s="80" t="str">
        <f t="shared" si="90"/>
        <v/>
      </c>
      <c r="AQ58" s="80" t="str">
        <f t="shared" si="91"/>
        <v>O</v>
      </c>
      <c r="AR58" s="80" t="str">
        <f t="shared" si="92"/>
        <v>O</v>
      </c>
      <c r="AS58" s="80" t="s">
        <v>2</v>
      </c>
      <c r="AT58" s="80" t="str">
        <f t="shared" si="93"/>
        <v>O</v>
      </c>
      <c r="AU58" s="80" t="str">
        <f t="shared" si="94"/>
        <v>O</v>
      </c>
      <c r="AV58" s="80" t="str">
        <f t="shared" si="95"/>
        <v/>
      </c>
    </row>
    <row r="59" spans="1:48" x14ac:dyDescent="0.3">
      <c r="A59" s="9" t="s">
        <v>1226</v>
      </c>
      <c r="B59" s="10" t="s">
        <v>1363</v>
      </c>
      <c r="C59" s="89">
        <v>973</v>
      </c>
      <c r="D59" s="87">
        <v>110.7</v>
      </c>
      <c r="E59" s="88">
        <v>33</v>
      </c>
      <c r="F59" s="87">
        <v>85</v>
      </c>
      <c r="G59" s="17">
        <v>26</v>
      </c>
      <c r="H59" s="89">
        <v>492</v>
      </c>
      <c r="I59" s="90"/>
      <c r="J59" s="90"/>
      <c r="K59" s="90">
        <v>37000</v>
      </c>
      <c r="L59" s="90" t="s">
        <v>88</v>
      </c>
      <c r="M59" s="91">
        <f t="shared" si="77"/>
        <v>-37000</v>
      </c>
      <c r="N59" s="4" t="str">
        <f t="shared" si="78"/>
        <v/>
      </c>
      <c r="O59" s="92">
        <f t="shared" si="79"/>
        <v>0</v>
      </c>
      <c r="P59" s="92">
        <f t="shared" si="80"/>
        <v>1121.2121212121212</v>
      </c>
      <c r="Q59" s="80">
        <v>3</v>
      </c>
      <c r="R59" s="80">
        <v>2</v>
      </c>
      <c r="S59" s="80" t="s">
        <v>61</v>
      </c>
      <c r="T59" s="5" t="s">
        <v>62</v>
      </c>
      <c r="U59" s="9"/>
      <c r="W59" s="87">
        <f t="shared" si="81"/>
        <v>110.7</v>
      </c>
      <c r="X59" s="88">
        <f t="shared" si="81"/>
        <v>33</v>
      </c>
      <c r="Y59" s="93">
        <f t="shared" si="82"/>
        <v>492</v>
      </c>
      <c r="Z59" s="91">
        <f t="shared" si="82"/>
        <v>0</v>
      </c>
      <c r="AA59" s="91">
        <f t="shared" si="83"/>
        <v>37000</v>
      </c>
      <c r="AB59" s="91">
        <f t="shared" si="84"/>
        <v>-37000</v>
      </c>
      <c r="AC59" s="4" t="str">
        <f t="shared" si="84"/>
        <v/>
      </c>
      <c r="AD59" s="92">
        <f t="shared" si="84"/>
        <v>0</v>
      </c>
      <c r="AE59" s="80" t="str">
        <f t="shared" si="85"/>
        <v>계</v>
      </c>
      <c r="AF59" s="80" t="str">
        <f t="shared" si="86"/>
        <v>3/2</v>
      </c>
      <c r="AH59" s="20" t="str">
        <f t="shared" si="52"/>
        <v>더샵디오션시티</v>
      </c>
      <c r="AI59" s="88">
        <f t="shared" si="50"/>
        <v>33</v>
      </c>
      <c r="AJ59" s="80" t="str">
        <f t="shared" si="87"/>
        <v>A-</v>
      </c>
      <c r="AK59" s="80" t="s">
        <v>14</v>
      </c>
      <c r="AL59" s="80" t="s">
        <v>63</v>
      </c>
      <c r="AM59" s="80" t="s">
        <v>64</v>
      </c>
      <c r="AN59" s="80" t="str">
        <f t="shared" si="88"/>
        <v>C</v>
      </c>
      <c r="AO59" s="80" t="str">
        <f t="shared" si="89"/>
        <v/>
      </c>
      <c r="AP59" s="80" t="str">
        <f t="shared" si="90"/>
        <v/>
      </c>
      <c r="AQ59" s="80" t="str">
        <f t="shared" si="91"/>
        <v>O</v>
      </c>
      <c r="AR59" s="80" t="str">
        <f t="shared" si="92"/>
        <v>O</v>
      </c>
      <c r="AS59" s="80" t="s">
        <v>2</v>
      </c>
      <c r="AT59" s="80" t="str">
        <f t="shared" si="93"/>
        <v>O</v>
      </c>
      <c r="AU59" s="80" t="str">
        <f t="shared" si="94"/>
        <v>O</v>
      </c>
      <c r="AV59" s="80" t="str">
        <f t="shared" si="95"/>
        <v/>
      </c>
    </row>
    <row r="60" spans="1:48" x14ac:dyDescent="0.3">
      <c r="A60" s="9" t="s">
        <v>1226</v>
      </c>
      <c r="B60" s="10" t="s">
        <v>1363</v>
      </c>
      <c r="C60" s="89">
        <v>973</v>
      </c>
      <c r="D60" s="87">
        <v>111</v>
      </c>
      <c r="E60" s="88">
        <v>34</v>
      </c>
      <c r="F60" s="87">
        <v>85</v>
      </c>
      <c r="G60" s="17">
        <v>26</v>
      </c>
      <c r="H60" s="89">
        <v>81</v>
      </c>
      <c r="I60" s="90"/>
      <c r="J60" s="90"/>
      <c r="K60" s="90">
        <v>33000</v>
      </c>
      <c r="L60" s="90" t="s">
        <v>84</v>
      </c>
      <c r="M60" s="91">
        <f t="shared" si="77"/>
        <v>-33000</v>
      </c>
      <c r="N60" s="4" t="str">
        <f t="shared" si="78"/>
        <v/>
      </c>
      <c r="O60" s="92">
        <f t="shared" si="79"/>
        <v>0</v>
      </c>
      <c r="P60" s="92">
        <f t="shared" si="80"/>
        <v>970.58823529411768</v>
      </c>
      <c r="Q60" s="80">
        <v>3</v>
      </c>
      <c r="R60" s="80">
        <v>2</v>
      </c>
      <c r="S60" s="80" t="s">
        <v>61</v>
      </c>
      <c r="T60" s="5" t="s">
        <v>97</v>
      </c>
      <c r="U60" s="9"/>
      <c r="W60" s="87">
        <f t="shared" si="81"/>
        <v>111</v>
      </c>
      <c r="X60" s="88">
        <f t="shared" si="81"/>
        <v>34</v>
      </c>
      <c r="Y60" s="93">
        <f t="shared" si="82"/>
        <v>81</v>
      </c>
      <c r="Z60" s="91">
        <f t="shared" si="82"/>
        <v>0</v>
      </c>
      <c r="AA60" s="91">
        <f t="shared" si="83"/>
        <v>33000</v>
      </c>
      <c r="AB60" s="91">
        <f t="shared" si="84"/>
        <v>-33000</v>
      </c>
      <c r="AC60" s="4" t="str">
        <f t="shared" si="84"/>
        <v/>
      </c>
      <c r="AD60" s="92">
        <f t="shared" si="84"/>
        <v>0</v>
      </c>
      <c r="AE60" s="80" t="str">
        <f t="shared" si="85"/>
        <v>계</v>
      </c>
      <c r="AF60" s="80" t="str">
        <f t="shared" si="86"/>
        <v>3/2</v>
      </c>
      <c r="AH60" s="20" t="str">
        <f t="shared" si="52"/>
        <v>더샵디오션시티</v>
      </c>
      <c r="AI60" s="88">
        <f t="shared" si="50"/>
        <v>34</v>
      </c>
      <c r="AJ60" s="80" t="str">
        <f t="shared" si="87"/>
        <v>A-</v>
      </c>
      <c r="AK60" s="80" t="s">
        <v>14</v>
      </c>
      <c r="AL60" s="80" t="s">
        <v>63</v>
      </c>
      <c r="AM60" s="80" t="s">
        <v>64</v>
      </c>
      <c r="AN60" s="80" t="str">
        <f t="shared" si="88"/>
        <v>C</v>
      </c>
      <c r="AO60" s="80" t="str">
        <f t="shared" si="89"/>
        <v/>
      </c>
      <c r="AP60" s="80" t="str">
        <f t="shared" si="90"/>
        <v/>
      </c>
      <c r="AQ60" s="80" t="str">
        <f t="shared" si="91"/>
        <v>O</v>
      </c>
      <c r="AR60" s="80" t="str">
        <f t="shared" si="92"/>
        <v>O</v>
      </c>
      <c r="AS60" s="80" t="s">
        <v>2</v>
      </c>
      <c r="AT60" s="80" t="str">
        <f t="shared" si="93"/>
        <v>O</v>
      </c>
      <c r="AU60" s="80" t="str">
        <f t="shared" si="94"/>
        <v>O</v>
      </c>
      <c r="AV60" s="80" t="str">
        <f t="shared" si="95"/>
        <v/>
      </c>
    </row>
    <row r="61" spans="1:48" x14ac:dyDescent="0.3">
      <c r="A61" s="9" t="s">
        <v>1226</v>
      </c>
      <c r="B61" s="10" t="s">
        <v>1363</v>
      </c>
      <c r="C61" s="89">
        <v>973</v>
      </c>
      <c r="D61" s="87">
        <v>134.19999999999999</v>
      </c>
      <c r="E61" s="88">
        <v>41</v>
      </c>
      <c r="F61" s="87">
        <v>104</v>
      </c>
      <c r="G61" s="17">
        <v>31</v>
      </c>
      <c r="H61" s="89">
        <v>112</v>
      </c>
      <c r="I61" s="90"/>
      <c r="J61" s="90"/>
      <c r="K61" s="90">
        <v>43000</v>
      </c>
      <c r="L61" s="90" t="s">
        <v>67</v>
      </c>
      <c r="M61" s="91">
        <f t="shared" si="77"/>
        <v>-43000</v>
      </c>
      <c r="N61" s="4" t="str">
        <f t="shared" si="78"/>
        <v/>
      </c>
      <c r="O61" s="92">
        <f t="shared" si="79"/>
        <v>0</v>
      </c>
      <c r="P61" s="92">
        <f t="shared" si="80"/>
        <v>1048.780487804878</v>
      </c>
      <c r="Q61" s="80">
        <v>4</v>
      </c>
      <c r="R61" s="80">
        <v>2</v>
      </c>
      <c r="S61" s="80" t="s">
        <v>61</v>
      </c>
      <c r="T61" s="5">
        <v>134</v>
      </c>
      <c r="U61" s="9"/>
      <c r="W61" s="87">
        <f t="shared" si="81"/>
        <v>134.19999999999999</v>
      </c>
      <c r="X61" s="88">
        <f t="shared" si="81"/>
        <v>41</v>
      </c>
      <c r="Y61" s="93">
        <f t="shared" si="82"/>
        <v>112</v>
      </c>
      <c r="Z61" s="91">
        <f t="shared" si="82"/>
        <v>0</v>
      </c>
      <c r="AA61" s="91">
        <f t="shared" si="83"/>
        <v>43000</v>
      </c>
      <c r="AB61" s="91">
        <f t="shared" si="84"/>
        <v>-43000</v>
      </c>
      <c r="AC61" s="4" t="str">
        <f t="shared" si="84"/>
        <v/>
      </c>
      <c r="AD61" s="92">
        <f t="shared" si="84"/>
        <v>0</v>
      </c>
      <c r="AE61" s="80" t="str">
        <f t="shared" si="85"/>
        <v>계</v>
      </c>
      <c r="AF61" s="80" t="str">
        <f t="shared" si="86"/>
        <v>4/2</v>
      </c>
      <c r="AH61" s="20" t="str">
        <f t="shared" si="52"/>
        <v>더샵디오션시티</v>
      </c>
      <c r="AI61" s="88">
        <f t="shared" si="50"/>
        <v>41</v>
      </c>
      <c r="AJ61" s="80" t="str">
        <f t="shared" si="87"/>
        <v>A-</v>
      </c>
      <c r="AK61" s="80" t="s">
        <v>14</v>
      </c>
      <c r="AL61" s="80" t="s">
        <v>63</v>
      </c>
      <c r="AM61" s="80" t="s">
        <v>64</v>
      </c>
      <c r="AN61" s="80" t="str">
        <f t="shared" si="88"/>
        <v>C</v>
      </c>
      <c r="AO61" s="80" t="str">
        <f t="shared" si="89"/>
        <v/>
      </c>
      <c r="AP61" s="80" t="str">
        <f t="shared" si="90"/>
        <v/>
      </c>
      <c r="AQ61" s="80" t="str">
        <f t="shared" si="91"/>
        <v>O</v>
      </c>
      <c r="AR61" s="80" t="str">
        <f t="shared" si="92"/>
        <v>O</v>
      </c>
      <c r="AS61" s="80" t="s">
        <v>2</v>
      </c>
      <c r="AT61" s="80" t="str">
        <f t="shared" si="93"/>
        <v>X</v>
      </c>
      <c r="AU61" s="80" t="str">
        <f t="shared" si="94"/>
        <v>O</v>
      </c>
      <c r="AV61" s="80" t="str">
        <f t="shared" si="95"/>
        <v/>
      </c>
    </row>
    <row r="62" spans="1:48" x14ac:dyDescent="0.3">
      <c r="A62" s="9" t="s">
        <v>1226</v>
      </c>
      <c r="B62" s="10" t="s">
        <v>1363</v>
      </c>
      <c r="C62" s="89">
        <v>973</v>
      </c>
      <c r="D62" s="87">
        <v>153.19999999999999</v>
      </c>
      <c r="E62" s="88">
        <v>46</v>
      </c>
      <c r="F62" s="87">
        <v>119</v>
      </c>
      <c r="G62" s="17">
        <v>36</v>
      </c>
      <c r="H62" s="89">
        <v>56</v>
      </c>
      <c r="I62" s="90"/>
      <c r="J62" s="90"/>
      <c r="K62" s="90">
        <v>50000</v>
      </c>
      <c r="L62" s="90" t="s">
        <v>68</v>
      </c>
      <c r="M62" s="91">
        <f t="shared" si="77"/>
        <v>-50000</v>
      </c>
      <c r="N62" s="4" t="str">
        <f t="shared" si="78"/>
        <v/>
      </c>
      <c r="O62" s="92">
        <f t="shared" si="79"/>
        <v>0</v>
      </c>
      <c r="P62" s="92">
        <f t="shared" si="80"/>
        <v>1086.9565217391305</v>
      </c>
      <c r="Q62" s="80">
        <v>4</v>
      </c>
      <c r="R62" s="80">
        <v>2</v>
      </c>
      <c r="S62" s="80" t="s">
        <v>61</v>
      </c>
      <c r="T62" s="5">
        <v>153</v>
      </c>
      <c r="U62" s="9"/>
      <c r="W62" s="87">
        <f t="shared" si="81"/>
        <v>153.19999999999999</v>
      </c>
      <c r="X62" s="88">
        <f t="shared" si="81"/>
        <v>46</v>
      </c>
      <c r="Y62" s="93">
        <f t="shared" si="82"/>
        <v>56</v>
      </c>
      <c r="Z62" s="91">
        <f t="shared" si="82"/>
        <v>0</v>
      </c>
      <c r="AA62" s="91">
        <f t="shared" si="83"/>
        <v>50000</v>
      </c>
      <c r="AB62" s="91">
        <f t="shared" si="84"/>
        <v>-50000</v>
      </c>
      <c r="AC62" s="4" t="str">
        <f t="shared" si="84"/>
        <v/>
      </c>
      <c r="AD62" s="92">
        <f t="shared" si="84"/>
        <v>0</v>
      </c>
      <c r="AE62" s="80" t="str">
        <f t="shared" si="85"/>
        <v>계</v>
      </c>
      <c r="AF62" s="80" t="str">
        <f t="shared" si="86"/>
        <v>4/2</v>
      </c>
      <c r="AH62" s="20" t="str">
        <f t="shared" si="52"/>
        <v>더샵디오션시티</v>
      </c>
      <c r="AI62" s="88">
        <f t="shared" si="50"/>
        <v>46</v>
      </c>
      <c r="AJ62" s="80" t="str">
        <f t="shared" si="87"/>
        <v>A-</v>
      </c>
      <c r="AK62" s="80" t="s">
        <v>14</v>
      </c>
      <c r="AL62" s="80" t="s">
        <v>63</v>
      </c>
      <c r="AM62" s="80" t="s">
        <v>64</v>
      </c>
      <c r="AN62" s="80" t="str">
        <f t="shared" si="88"/>
        <v>C</v>
      </c>
      <c r="AO62" s="80" t="str">
        <f t="shared" si="89"/>
        <v/>
      </c>
      <c r="AP62" s="80" t="str">
        <f t="shared" si="90"/>
        <v/>
      </c>
      <c r="AQ62" s="80" t="str">
        <f t="shared" si="91"/>
        <v>O</v>
      </c>
      <c r="AR62" s="80" t="str">
        <f t="shared" si="92"/>
        <v>O</v>
      </c>
      <c r="AS62" s="80" t="s">
        <v>2</v>
      </c>
      <c r="AT62" s="80" t="str">
        <f t="shared" si="93"/>
        <v>X</v>
      </c>
      <c r="AU62" s="80" t="str">
        <f t="shared" si="94"/>
        <v>O</v>
      </c>
      <c r="AV62" s="80" t="str">
        <f t="shared" si="95"/>
        <v/>
      </c>
    </row>
    <row r="63" spans="1:48" x14ac:dyDescent="0.3">
      <c r="A63" s="9" t="s">
        <v>1226</v>
      </c>
      <c r="B63" s="10" t="s">
        <v>1363</v>
      </c>
      <c r="C63" s="89">
        <v>973</v>
      </c>
      <c r="D63" s="87">
        <v>192.2</v>
      </c>
      <c r="E63" s="88">
        <v>58</v>
      </c>
      <c r="F63" s="87">
        <v>146</v>
      </c>
      <c r="G63" s="17">
        <v>44</v>
      </c>
      <c r="H63" s="89">
        <v>3</v>
      </c>
      <c r="I63" s="90"/>
      <c r="J63" s="90"/>
      <c r="K63" s="90"/>
      <c r="L63" s="90"/>
      <c r="M63" s="91">
        <f t="shared" si="77"/>
        <v>0</v>
      </c>
      <c r="N63" s="4" t="str">
        <f t="shared" si="78"/>
        <v/>
      </c>
      <c r="O63" s="92">
        <f t="shared" si="79"/>
        <v>0</v>
      </c>
      <c r="P63" s="92">
        <f t="shared" si="80"/>
        <v>0</v>
      </c>
      <c r="Q63" s="80">
        <v>4</v>
      </c>
      <c r="R63" s="80">
        <v>3</v>
      </c>
      <c r="S63" s="80" t="s">
        <v>61</v>
      </c>
      <c r="T63" s="5">
        <v>192</v>
      </c>
      <c r="U63" s="9"/>
      <c r="W63" s="87">
        <f t="shared" si="81"/>
        <v>192.2</v>
      </c>
      <c r="X63" s="88">
        <f t="shared" si="81"/>
        <v>58</v>
      </c>
      <c r="Y63" s="93">
        <f t="shared" si="82"/>
        <v>3</v>
      </c>
      <c r="Z63" s="91">
        <f t="shared" si="82"/>
        <v>0</v>
      </c>
      <c r="AA63" s="91">
        <f t="shared" si="83"/>
        <v>0</v>
      </c>
      <c r="AB63" s="91">
        <f t="shared" si="84"/>
        <v>0</v>
      </c>
      <c r="AC63" s="4" t="str">
        <f t="shared" si="84"/>
        <v/>
      </c>
      <c r="AD63" s="92">
        <f t="shared" si="84"/>
        <v>0</v>
      </c>
      <c r="AE63" s="80" t="str">
        <f t="shared" si="85"/>
        <v>계</v>
      </c>
      <c r="AF63" s="80" t="str">
        <f t="shared" si="86"/>
        <v>4/3</v>
      </c>
      <c r="AH63" s="20" t="str">
        <f t="shared" si="52"/>
        <v>더샵디오션시티</v>
      </c>
      <c r="AI63" s="88">
        <f t="shared" si="50"/>
        <v>58</v>
      </c>
      <c r="AJ63" s="80" t="str">
        <f t="shared" si="87"/>
        <v>A-</v>
      </c>
      <c r="AK63" s="80" t="s">
        <v>14</v>
      </c>
      <c r="AL63" s="80" t="s">
        <v>63</v>
      </c>
      <c r="AM63" s="80" t="s">
        <v>64</v>
      </c>
      <c r="AN63" s="80" t="str">
        <f t="shared" si="88"/>
        <v>C</v>
      </c>
      <c r="AO63" s="80" t="str">
        <f t="shared" si="89"/>
        <v/>
      </c>
      <c r="AP63" s="80" t="str">
        <f t="shared" si="90"/>
        <v/>
      </c>
      <c r="AQ63" s="80" t="str">
        <f t="shared" si="91"/>
        <v>O</v>
      </c>
      <c r="AR63" s="80" t="str">
        <f t="shared" si="92"/>
        <v>O</v>
      </c>
      <c r="AS63" s="80" t="s">
        <v>2</v>
      </c>
      <c r="AT63" s="80" t="str">
        <f t="shared" si="93"/>
        <v>X</v>
      </c>
      <c r="AU63" s="80" t="str">
        <f t="shared" si="94"/>
        <v>O</v>
      </c>
      <c r="AV63" s="80" t="str">
        <f t="shared" si="95"/>
        <v/>
      </c>
    </row>
    <row r="64" spans="1:48" x14ac:dyDescent="0.3">
      <c r="A64" s="9"/>
      <c r="B64" s="80"/>
      <c r="C64" s="6"/>
      <c r="D64" s="9"/>
      <c r="E64" s="14"/>
      <c r="F64" s="87"/>
      <c r="G64" s="9"/>
      <c r="H64" s="9"/>
      <c r="I64" s="9"/>
      <c r="J64" s="9"/>
      <c r="K64" s="9"/>
      <c r="L64" s="9"/>
      <c r="M64" s="9"/>
      <c r="N64" s="9"/>
      <c r="O64" s="92"/>
      <c r="P64" s="92"/>
      <c r="Q64" s="88"/>
      <c r="R64" s="88"/>
      <c r="S64" s="9"/>
      <c r="T64" s="47"/>
      <c r="U64" s="9"/>
      <c r="W64" s="67" t="str">
        <f>$A$4&amp;" "&amp;A65&amp;"("&amp;B65&amp;","&amp;C65&amp;"^)"</f>
        <v>조촌동 세경('18.03.,1400^)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2"/>
        <v/>
      </c>
      <c r="AI64" s="112" t="str">
        <f t="shared" si="50"/>
        <v/>
      </c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</row>
    <row r="65" spans="1:48" x14ac:dyDescent="0.3">
      <c r="A65" s="9" t="s">
        <v>298</v>
      </c>
      <c r="B65" s="10" t="s">
        <v>1354</v>
      </c>
      <c r="C65" s="89">
        <v>1400</v>
      </c>
      <c r="D65" s="87">
        <v>82</v>
      </c>
      <c r="E65" s="88">
        <v>25</v>
      </c>
      <c r="F65" s="87">
        <v>60</v>
      </c>
      <c r="G65" s="17">
        <v>18</v>
      </c>
      <c r="H65" s="89">
        <v>189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2</v>
      </c>
      <c r="S65" s="80" t="s">
        <v>61</v>
      </c>
      <c r="T65" s="5" t="s">
        <v>121</v>
      </c>
      <c r="U65" s="9"/>
      <c r="W65" s="87">
        <f>D65</f>
        <v>82</v>
      </c>
      <c r="X65" s="88">
        <f>E65</f>
        <v>25</v>
      </c>
      <c r="Y65" s="93">
        <f>H65</f>
        <v>189</v>
      </c>
      <c r="Z65" s="91">
        <f>I65</f>
        <v>0</v>
      </c>
      <c r="AA65" s="91">
        <f>K65</f>
        <v>0</v>
      </c>
      <c r="AB65" s="91">
        <f>M65</f>
        <v>0</v>
      </c>
      <c r="AC65" s="4" t="str">
        <f>N65</f>
        <v/>
      </c>
      <c r="AD65" s="92">
        <f>O65</f>
        <v>0</v>
      </c>
      <c r="AE65" s="80" t="str">
        <f>S65</f>
        <v>계</v>
      </c>
      <c r="AF65" s="80" t="str">
        <f>Q65&amp;"/"&amp;R65</f>
        <v>3/2</v>
      </c>
      <c r="AH65" s="20" t="str">
        <f t="shared" si="52"/>
        <v>세경</v>
      </c>
      <c r="AI65" s="88">
        <f t="shared" si="50"/>
        <v>25</v>
      </c>
      <c r="AJ65" s="80" t="str">
        <f>IF(AI65="","",$AJ$2)</f>
        <v>A-</v>
      </c>
      <c r="AK65" s="80" t="s">
        <v>14</v>
      </c>
      <c r="AL65" s="80" t="s">
        <v>63</v>
      </c>
      <c r="AM65" s="80" t="s">
        <v>64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</sheetData>
  <mergeCells count="1">
    <mergeCell ref="AJ1:AN1"/>
  </mergeCells>
  <phoneticPr fontId="2" type="noConversion"/>
  <conditionalFormatting sqref="AV4:AV6">
    <cfRule type="expression" dxfId="947" priority="927">
      <formula>AV4="X"</formula>
    </cfRule>
    <cfRule type="expression" dxfId="946" priority="928">
      <formula>AV4="후보"</formula>
    </cfRule>
  </conditionalFormatting>
  <conditionalFormatting sqref="AC1:AC2 AC4:AC6 N4:N5">
    <cfRule type="cellIs" dxfId="945" priority="925" operator="greaterThan">
      <formula>0.9</formula>
    </cfRule>
    <cfRule type="cellIs" dxfId="944" priority="926" operator="greaterThan">
      <formula>0.85</formula>
    </cfRule>
  </conditionalFormatting>
  <conditionalFormatting sqref="N1:N2">
    <cfRule type="cellIs" dxfId="943" priority="923" operator="greaterThan">
      <formula>0.9</formula>
    </cfRule>
    <cfRule type="cellIs" dxfId="942" priority="924" operator="greaterThan">
      <formula>0.85</formula>
    </cfRule>
  </conditionalFormatting>
  <conditionalFormatting sqref="N6">
    <cfRule type="cellIs" dxfId="941" priority="921" operator="greaterThan">
      <formula>0.9</formula>
    </cfRule>
    <cfRule type="cellIs" dxfId="940" priority="922" operator="greaterThan">
      <formula>0.85</formula>
    </cfRule>
  </conditionalFormatting>
  <conditionalFormatting sqref="E6">
    <cfRule type="expression" dxfId="939" priority="917">
      <formula>AND(IF(OR($Q6=1,$Q6=2),1,0),IF($X6&lt;=20,1,0))</formula>
    </cfRule>
    <cfRule type="expression" dxfId="938" priority="918">
      <formula>AND(IF($Q6=2,1,0),IF($X6&lt;30,1,0))</formula>
    </cfRule>
    <cfRule type="expression" dxfId="937" priority="919">
      <formula>AND(IF($Q6=3,1,0),IF($X6&lt;30,1,0))</formula>
    </cfRule>
    <cfRule type="expression" dxfId="936" priority="920">
      <formula>AND(IF($Q6=3,1,IF($Q6=4,1,0)),IF($F6&lt;=85,1,0))</formula>
    </cfRule>
  </conditionalFormatting>
  <conditionalFormatting sqref="X6">
    <cfRule type="expression" dxfId="935" priority="913">
      <formula>AND(IF(OR($Q6=1,$Q6=2),1,0),IF($X6&lt;=20,1,0))</formula>
    </cfRule>
    <cfRule type="expression" dxfId="934" priority="914">
      <formula>AND(IF($Q6=2,1,0),IF($X6&lt;30,1,0))</formula>
    </cfRule>
    <cfRule type="expression" dxfId="933" priority="915">
      <formula>AND(IF($Q6=3,1,0),IF($X6&lt;30,1,0))</formula>
    </cfRule>
    <cfRule type="expression" dxfId="932" priority="916">
      <formula>AND(IF($Q6=3,1,IF($Q6=4,1,0)),IF($F6&lt;=85,1,0))</formula>
    </cfRule>
  </conditionalFormatting>
  <conditionalFormatting sqref="AI6">
    <cfRule type="expression" dxfId="931" priority="909">
      <formula>AND(IF(OR($Q6=1,$Q6=2),1,0),IF($X6&lt;=20,1,0))</formula>
    </cfRule>
    <cfRule type="expression" dxfId="930" priority="910">
      <formula>AND(IF($Q6=2,1,0),IF($X6&lt;30,1,0))</formula>
    </cfRule>
    <cfRule type="expression" dxfId="929" priority="911">
      <formula>AND(IF($Q6=3,1,0),IF($X6&lt;30,1,0))</formula>
    </cfRule>
    <cfRule type="expression" dxfId="928" priority="912">
      <formula>AND(IF($Q6=3,1,IF($Q6=4,1,0)),IF($F6&lt;=85,1,0))</formula>
    </cfRule>
  </conditionalFormatting>
  <conditionalFormatting sqref="AV7">
    <cfRule type="expression" dxfId="927" priority="907">
      <formula>AV7="X"</formula>
    </cfRule>
    <cfRule type="expression" dxfId="926" priority="908">
      <formula>AV7="후보"</formula>
    </cfRule>
  </conditionalFormatting>
  <conditionalFormatting sqref="AC7">
    <cfRule type="cellIs" dxfId="925" priority="905" operator="greaterThan">
      <formula>0.9</formula>
    </cfRule>
    <cfRule type="cellIs" dxfId="924" priority="906" operator="greaterThan">
      <formula>0.85</formula>
    </cfRule>
  </conditionalFormatting>
  <conditionalFormatting sqref="N7">
    <cfRule type="cellIs" dxfId="923" priority="903" operator="greaterThan">
      <formula>0.9</formula>
    </cfRule>
    <cfRule type="cellIs" dxfId="922" priority="904" operator="greaterThan">
      <formula>0.85</formula>
    </cfRule>
  </conditionalFormatting>
  <conditionalFormatting sqref="E7">
    <cfRule type="expression" dxfId="921" priority="899">
      <formula>AND(IF(OR($Q7=1,$Q7=2),1,0),IF($X7&lt;=20,1,0))</formula>
    </cfRule>
    <cfRule type="expression" dxfId="920" priority="900">
      <formula>AND(IF($Q7=2,1,0),IF($X7&lt;30,1,0))</formula>
    </cfRule>
    <cfRule type="expression" dxfId="919" priority="901">
      <formula>AND(IF($Q7=3,1,0),IF($X7&lt;30,1,0))</formula>
    </cfRule>
    <cfRule type="expression" dxfId="918" priority="902">
      <formula>AND(IF($Q7=3,1,IF($Q7=4,1,0)),IF($F7&lt;=85,1,0))</formula>
    </cfRule>
  </conditionalFormatting>
  <conditionalFormatting sqref="X7">
    <cfRule type="expression" dxfId="917" priority="895">
      <formula>AND(IF(OR($Q7=1,$Q7=2),1,0),IF($X7&lt;=20,1,0))</formula>
    </cfRule>
    <cfRule type="expression" dxfId="916" priority="896">
      <formula>AND(IF($Q7=2,1,0),IF($X7&lt;30,1,0))</formula>
    </cfRule>
    <cfRule type="expression" dxfId="915" priority="897">
      <formula>AND(IF($Q7=3,1,0),IF($X7&lt;30,1,0))</formula>
    </cfRule>
    <cfRule type="expression" dxfId="914" priority="898">
      <formula>AND(IF($Q7=3,1,IF($Q7=4,1,0)),IF($F7&lt;=85,1,0))</formula>
    </cfRule>
  </conditionalFormatting>
  <conditionalFormatting sqref="AI7">
    <cfRule type="expression" dxfId="913" priority="891">
      <formula>AND(IF(OR($Q7=1,$Q7=2),1,0),IF($X7&lt;=20,1,0))</formula>
    </cfRule>
    <cfRule type="expression" dxfId="912" priority="892">
      <formula>AND(IF($Q7=2,1,0),IF($X7&lt;30,1,0))</formula>
    </cfRule>
    <cfRule type="expression" dxfId="911" priority="893">
      <formula>AND(IF($Q7=3,1,0),IF($X7&lt;30,1,0))</formula>
    </cfRule>
    <cfRule type="expression" dxfId="910" priority="894">
      <formula>AND(IF($Q7=3,1,IF($Q7=4,1,0)),IF($F7&lt;=85,1,0))</formula>
    </cfRule>
  </conditionalFormatting>
  <conditionalFormatting sqref="AV8">
    <cfRule type="expression" dxfId="909" priority="889">
      <formula>AV8="X"</formula>
    </cfRule>
    <cfRule type="expression" dxfId="908" priority="890">
      <formula>AV8="후보"</formula>
    </cfRule>
  </conditionalFormatting>
  <conditionalFormatting sqref="AC8">
    <cfRule type="cellIs" dxfId="907" priority="887" operator="greaterThan">
      <formula>0.9</formula>
    </cfRule>
    <cfRule type="cellIs" dxfId="906" priority="888" operator="greaterThan">
      <formula>0.85</formula>
    </cfRule>
  </conditionalFormatting>
  <conditionalFormatting sqref="N8">
    <cfRule type="cellIs" dxfId="905" priority="885" operator="greaterThan">
      <formula>0.9</formula>
    </cfRule>
    <cfRule type="cellIs" dxfId="904" priority="886" operator="greaterThan">
      <formula>0.85</formula>
    </cfRule>
  </conditionalFormatting>
  <conditionalFormatting sqref="E8">
    <cfRule type="expression" dxfId="903" priority="881">
      <formula>AND(IF(OR($Q8=1,$Q8=2),1,0),IF($X8&lt;=20,1,0))</formula>
    </cfRule>
    <cfRule type="expression" dxfId="902" priority="882">
      <formula>AND(IF($Q8=2,1,0),IF($X8&lt;30,1,0))</formula>
    </cfRule>
    <cfRule type="expression" dxfId="901" priority="883">
      <formula>AND(IF($Q8=3,1,0),IF($X8&lt;30,1,0))</formula>
    </cfRule>
    <cfRule type="expression" dxfId="900" priority="884">
      <formula>AND(IF($Q8=3,1,IF($Q8=4,1,0)),IF($F8&lt;=85,1,0))</formula>
    </cfRule>
  </conditionalFormatting>
  <conditionalFormatting sqref="X8">
    <cfRule type="expression" dxfId="899" priority="877">
      <formula>AND(IF(OR($Q8=1,$Q8=2),1,0),IF($X8&lt;=20,1,0))</formula>
    </cfRule>
    <cfRule type="expression" dxfId="898" priority="878">
      <formula>AND(IF($Q8=2,1,0),IF($X8&lt;30,1,0))</formula>
    </cfRule>
    <cfRule type="expression" dxfId="897" priority="879">
      <formula>AND(IF($Q8=3,1,0),IF($X8&lt;30,1,0))</formula>
    </cfRule>
    <cfRule type="expression" dxfId="896" priority="880">
      <formula>AND(IF($Q8=3,1,IF($Q8=4,1,0)),IF($F8&lt;=85,1,0))</formula>
    </cfRule>
  </conditionalFormatting>
  <conditionalFormatting sqref="AI8">
    <cfRule type="expression" dxfId="895" priority="873">
      <formula>AND(IF(OR($Q8=1,$Q8=2),1,0),IF($X8&lt;=20,1,0))</formula>
    </cfRule>
    <cfRule type="expression" dxfId="894" priority="874">
      <formula>AND(IF($Q8=2,1,0),IF($X8&lt;30,1,0))</formula>
    </cfRule>
    <cfRule type="expression" dxfId="893" priority="875">
      <formula>AND(IF($Q8=3,1,0),IF($X8&lt;30,1,0))</formula>
    </cfRule>
    <cfRule type="expression" dxfId="892" priority="876">
      <formula>AND(IF($Q8=3,1,IF($Q8=4,1,0)),IF($F8&lt;=85,1,0))</formula>
    </cfRule>
  </conditionalFormatting>
  <conditionalFormatting sqref="AV9">
    <cfRule type="expression" dxfId="891" priority="871">
      <formula>AV9="X"</formula>
    </cfRule>
    <cfRule type="expression" dxfId="890" priority="872">
      <formula>AV9="후보"</formula>
    </cfRule>
  </conditionalFormatting>
  <conditionalFormatting sqref="AC9">
    <cfRule type="cellIs" dxfId="889" priority="869" operator="greaterThan">
      <formula>0.9</formula>
    </cfRule>
    <cfRule type="cellIs" dxfId="888" priority="870" operator="greaterThan">
      <formula>0.85</formula>
    </cfRule>
  </conditionalFormatting>
  <conditionalFormatting sqref="N9">
    <cfRule type="cellIs" dxfId="887" priority="867" operator="greaterThan">
      <formula>0.9</formula>
    </cfRule>
    <cfRule type="cellIs" dxfId="886" priority="868" operator="greaterThan">
      <formula>0.85</formula>
    </cfRule>
  </conditionalFormatting>
  <conditionalFormatting sqref="E9">
    <cfRule type="expression" dxfId="885" priority="863">
      <formula>AND(IF(OR($Q9=1,$Q9=2),1,0),IF($X9&lt;=20,1,0))</formula>
    </cfRule>
    <cfRule type="expression" dxfId="884" priority="864">
      <formula>AND(IF($Q9=2,1,0),IF($X9&lt;30,1,0))</formula>
    </cfRule>
    <cfRule type="expression" dxfId="883" priority="865">
      <formula>AND(IF($Q9=3,1,0),IF($X9&lt;30,1,0))</formula>
    </cfRule>
    <cfRule type="expression" dxfId="882" priority="866">
      <formula>AND(IF($Q9=3,1,IF($Q9=4,1,0)),IF($F9&lt;=85,1,0))</formula>
    </cfRule>
  </conditionalFormatting>
  <conditionalFormatting sqref="X9">
    <cfRule type="expression" dxfId="881" priority="859">
      <formula>AND(IF(OR($Q9=1,$Q9=2),1,0),IF($X9&lt;=20,1,0))</formula>
    </cfRule>
    <cfRule type="expression" dxfId="880" priority="860">
      <formula>AND(IF($Q9=2,1,0),IF($X9&lt;30,1,0))</formula>
    </cfRule>
    <cfRule type="expression" dxfId="879" priority="861">
      <formula>AND(IF($Q9=3,1,0),IF($X9&lt;30,1,0))</formula>
    </cfRule>
    <cfRule type="expression" dxfId="878" priority="862">
      <formula>AND(IF($Q9=3,1,IF($Q9=4,1,0)),IF($F9&lt;=85,1,0))</formula>
    </cfRule>
  </conditionalFormatting>
  <conditionalFormatting sqref="AI9">
    <cfRule type="expression" dxfId="877" priority="855">
      <formula>AND(IF(OR($Q9=1,$Q9=2),1,0),IF($X9&lt;=20,1,0))</formula>
    </cfRule>
    <cfRule type="expression" dxfId="876" priority="856">
      <formula>AND(IF($Q9=2,1,0),IF($X9&lt;30,1,0))</formula>
    </cfRule>
    <cfRule type="expression" dxfId="875" priority="857">
      <formula>AND(IF($Q9=3,1,0),IF($X9&lt;30,1,0))</formula>
    </cfRule>
    <cfRule type="expression" dxfId="874" priority="858">
      <formula>AND(IF($Q9=3,1,IF($Q9=4,1,0)),IF($F9&lt;=85,1,0))</formula>
    </cfRule>
  </conditionalFormatting>
  <conditionalFormatting sqref="AV10">
    <cfRule type="expression" dxfId="873" priority="853">
      <formula>AV10="X"</formula>
    </cfRule>
    <cfRule type="expression" dxfId="872" priority="854">
      <formula>AV10="후보"</formula>
    </cfRule>
  </conditionalFormatting>
  <conditionalFormatting sqref="AC10">
    <cfRule type="cellIs" dxfId="871" priority="851" operator="greaterThan">
      <formula>0.9</formula>
    </cfRule>
    <cfRule type="cellIs" dxfId="870" priority="852" operator="greaterThan">
      <formula>0.85</formula>
    </cfRule>
  </conditionalFormatting>
  <conditionalFormatting sqref="N10">
    <cfRule type="cellIs" dxfId="869" priority="849" operator="greaterThan">
      <formula>0.9</formula>
    </cfRule>
    <cfRule type="cellIs" dxfId="868" priority="850" operator="greaterThan">
      <formula>0.85</formula>
    </cfRule>
  </conditionalFormatting>
  <conditionalFormatting sqref="E10">
    <cfRule type="expression" dxfId="867" priority="845">
      <formula>AND(IF(OR($Q10=1,$Q10=2),1,0),IF($X10&lt;=20,1,0))</formula>
    </cfRule>
    <cfRule type="expression" dxfId="866" priority="846">
      <formula>AND(IF($Q10=2,1,0),IF($X10&lt;30,1,0))</formula>
    </cfRule>
    <cfRule type="expression" dxfId="865" priority="847">
      <formula>AND(IF($Q10=3,1,0),IF($X10&lt;30,1,0))</formula>
    </cfRule>
    <cfRule type="expression" dxfId="864" priority="848">
      <formula>AND(IF($Q10=3,1,IF($Q10=4,1,0)),IF($F10&lt;=85,1,0))</formula>
    </cfRule>
  </conditionalFormatting>
  <conditionalFormatting sqref="X10">
    <cfRule type="expression" dxfId="863" priority="841">
      <formula>AND(IF(OR($Q10=1,$Q10=2),1,0),IF($X10&lt;=20,1,0))</formula>
    </cfRule>
    <cfRule type="expression" dxfId="862" priority="842">
      <formula>AND(IF($Q10=2,1,0),IF($X10&lt;30,1,0))</formula>
    </cfRule>
    <cfRule type="expression" dxfId="861" priority="843">
      <formula>AND(IF($Q10=3,1,0),IF($X10&lt;30,1,0))</formula>
    </cfRule>
    <cfRule type="expression" dxfId="860" priority="844">
      <formula>AND(IF($Q10=3,1,IF($Q10=4,1,0)),IF($F10&lt;=85,1,0))</formula>
    </cfRule>
  </conditionalFormatting>
  <conditionalFormatting sqref="AI10">
    <cfRule type="expression" dxfId="859" priority="837">
      <formula>AND(IF(OR($Q10=1,$Q10=2),1,0),IF($X10&lt;=20,1,0))</formula>
    </cfRule>
    <cfRule type="expression" dxfId="858" priority="838">
      <formula>AND(IF($Q10=2,1,0),IF($X10&lt;30,1,0))</formula>
    </cfRule>
    <cfRule type="expression" dxfId="857" priority="839">
      <formula>AND(IF($Q10=3,1,0),IF($X10&lt;30,1,0))</formula>
    </cfRule>
    <cfRule type="expression" dxfId="856" priority="840">
      <formula>AND(IF($Q10=3,1,IF($Q10=4,1,0)),IF($F10&lt;=85,1,0))</formula>
    </cfRule>
  </conditionalFormatting>
  <conditionalFormatting sqref="AV11">
    <cfRule type="expression" dxfId="855" priority="835">
      <formula>AV11="X"</formula>
    </cfRule>
    <cfRule type="expression" dxfId="854" priority="836">
      <formula>AV11="후보"</formula>
    </cfRule>
  </conditionalFormatting>
  <conditionalFormatting sqref="AC11">
    <cfRule type="cellIs" dxfId="853" priority="833" operator="greaterThan">
      <formula>0.9</formula>
    </cfRule>
    <cfRule type="cellIs" dxfId="852" priority="834" operator="greaterThan">
      <formula>0.85</formula>
    </cfRule>
  </conditionalFormatting>
  <conditionalFormatting sqref="N11">
    <cfRule type="cellIs" dxfId="851" priority="831" operator="greaterThan">
      <formula>0.9</formula>
    </cfRule>
    <cfRule type="cellIs" dxfId="850" priority="832" operator="greaterThan">
      <formula>0.85</formula>
    </cfRule>
  </conditionalFormatting>
  <conditionalFormatting sqref="E11">
    <cfRule type="expression" dxfId="849" priority="827">
      <formula>AND(IF(OR($Q11=1,$Q11=2),1,0),IF($X11&lt;=20,1,0))</formula>
    </cfRule>
    <cfRule type="expression" dxfId="848" priority="828">
      <formula>AND(IF($Q11=2,1,0),IF($X11&lt;30,1,0))</formula>
    </cfRule>
    <cfRule type="expression" dxfId="847" priority="829">
      <formula>AND(IF($Q11=3,1,0),IF($X11&lt;30,1,0))</formula>
    </cfRule>
    <cfRule type="expression" dxfId="846" priority="830">
      <formula>AND(IF($Q11=3,1,IF($Q11=4,1,0)),IF($F11&lt;=85,1,0))</formula>
    </cfRule>
  </conditionalFormatting>
  <conditionalFormatting sqref="X11">
    <cfRule type="expression" dxfId="845" priority="823">
      <formula>AND(IF(OR($Q11=1,$Q11=2),1,0),IF($X11&lt;=20,1,0))</formula>
    </cfRule>
    <cfRule type="expression" dxfId="844" priority="824">
      <formula>AND(IF($Q11=2,1,0),IF($X11&lt;30,1,0))</formula>
    </cfRule>
    <cfRule type="expression" dxfId="843" priority="825">
      <formula>AND(IF($Q11=3,1,0),IF($X11&lt;30,1,0))</formula>
    </cfRule>
    <cfRule type="expression" dxfId="842" priority="826">
      <formula>AND(IF($Q11=3,1,IF($Q11=4,1,0)),IF($F11&lt;=85,1,0))</formula>
    </cfRule>
  </conditionalFormatting>
  <conditionalFormatting sqref="AI11">
    <cfRule type="expression" dxfId="841" priority="819">
      <formula>AND(IF(OR($Q11=1,$Q11=2),1,0),IF($X11&lt;=20,1,0))</formula>
    </cfRule>
    <cfRule type="expression" dxfId="840" priority="820">
      <formula>AND(IF($Q11=2,1,0),IF($X11&lt;30,1,0))</formula>
    </cfRule>
    <cfRule type="expression" dxfId="839" priority="821">
      <formula>AND(IF($Q11=3,1,0),IF($X11&lt;30,1,0))</formula>
    </cfRule>
    <cfRule type="expression" dxfId="838" priority="822">
      <formula>AND(IF($Q11=3,1,IF($Q11=4,1,0)),IF($F11&lt;=85,1,0))</formula>
    </cfRule>
  </conditionalFormatting>
  <conditionalFormatting sqref="AV12">
    <cfRule type="expression" dxfId="837" priority="817">
      <formula>AV12="X"</formula>
    </cfRule>
    <cfRule type="expression" dxfId="836" priority="818">
      <formula>AV12="후보"</formula>
    </cfRule>
  </conditionalFormatting>
  <conditionalFormatting sqref="AC12">
    <cfRule type="cellIs" dxfId="835" priority="815" operator="greaterThan">
      <formula>0.9</formula>
    </cfRule>
    <cfRule type="cellIs" dxfId="834" priority="816" operator="greaterThan">
      <formula>0.85</formula>
    </cfRule>
  </conditionalFormatting>
  <conditionalFormatting sqref="N12">
    <cfRule type="cellIs" dxfId="833" priority="813" operator="greaterThan">
      <formula>0.9</formula>
    </cfRule>
    <cfRule type="cellIs" dxfId="832" priority="814" operator="greaterThan">
      <formula>0.85</formula>
    </cfRule>
  </conditionalFormatting>
  <conditionalFormatting sqref="E12">
    <cfRule type="expression" dxfId="831" priority="809">
      <formula>AND(IF(OR($Q12=1,$Q12=2),1,0),IF($X12&lt;=20,1,0))</formula>
    </cfRule>
    <cfRule type="expression" dxfId="830" priority="810">
      <formula>AND(IF($Q12=2,1,0),IF($X12&lt;30,1,0))</formula>
    </cfRule>
    <cfRule type="expression" dxfId="829" priority="811">
      <formula>AND(IF($Q12=3,1,0),IF($X12&lt;30,1,0))</formula>
    </cfRule>
    <cfRule type="expression" dxfId="828" priority="812">
      <formula>AND(IF($Q12=3,1,IF($Q12=4,1,0)),IF($F12&lt;=85,1,0))</formula>
    </cfRule>
  </conditionalFormatting>
  <conditionalFormatting sqref="X12">
    <cfRule type="expression" dxfId="827" priority="805">
      <formula>AND(IF(OR($Q12=1,$Q12=2),1,0),IF($X12&lt;=20,1,0))</formula>
    </cfRule>
    <cfRule type="expression" dxfId="826" priority="806">
      <formula>AND(IF($Q12=2,1,0),IF($X12&lt;30,1,0))</formula>
    </cfRule>
    <cfRule type="expression" dxfId="825" priority="807">
      <formula>AND(IF($Q12=3,1,0),IF($X12&lt;30,1,0))</formula>
    </cfRule>
    <cfRule type="expression" dxfId="824" priority="808">
      <formula>AND(IF($Q12=3,1,IF($Q12=4,1,0)),IF($F12&lt;=85,1,0))</formula>
    </cfRule>
  </conditionalFormatting>
  <conditionalFormatting sqref="AI12">
    <cfRule type="expression" dxfId="823" priority="801">
      <formula>AND(IF(OR($Q12=1,$Q12=2),1,0),IF($X12&lt;=20,1,0))</formula>
    </cfRule>
    <cfRule type="expression" dxfId="822" priority="802">
      <formula>AND(IF($Q12=2,1,0),IF($X12&lt;30,1,0))</formula>
    </cfRule>
    <cfRule type="expression" dxfId="821" priority="803">
      <formula>AND(IF($Q12=3,1,0),IF($X12&lt;30,1,0))</formula>
    </cfRule>
    <cfRule type="expression" dxfId="820" priority="804">
      <formula>AND(IF($Q12=3,1,IF($Q12=4,1,0)),IF($F12&lt;=85,1,0))</formula>
    </cfRule>
  </conditionalFormatting>
  <conditionalFormatting sqref="AV13">
    <cfRule type="expression" dxfId="819" priority="799">
      <formula>AV13="X"</formula>
    </cfRule>
    <cfRule type="expression" dxfId="818" priority="800">
      <formula>AV13="후보"</formula>
    </cfRule>
  </conditionalFormatting>
  <conditionalFormatting sqref="AC13">
    <cfRule type="cellIs" dxfId="817" priority="797" operator="greaterThan">
      <formula>0.9</formula>
    </cfRule>
    <cfRule type="cellIs" dxfId="816" priority="798" operator="greaterThan">
      <formula>0.85</formula>
    </cfRule>
  </conditionalFormatting>
  <conditionalFormatting sqref="N13">
    <cfRule type="cellIs" dxfId="815" priority="795" operator="greaterThan">
      <formula>0.9</formula>
    </cfRule>
    <cfRule type="cellIs" dxfId="814" priority="796" operator="greaterThan">
      <formula>0.85</formula>
    </cfRule>
  </conditionalFormatting>
  <conditionalFormatting sqref="E13">
    <cfRule type="expression" dxfId="813" priority="791">
      <formula>AND(IF(OR($Q13=1,$Q13=2),1,0),IF($X13&lt;=20,1,0))</formula>
    </cfRule>
    <cfRule type="expression" dxfId="812" priority="792">
      <formula>AND(IF($Q13=2,1,0),IF($X13&lt;30,1,0))</formula>
    </cfRule>
    <cfRule type="expression" dxfId="811" priority="793">
      <formula>AND(IF($Q13=3,1,0),IF($X13&lt;30,1,0))</formula>
    </cfRule>
    <cfRule type="expression" dxfId="810" priority="794">
      <formula>AND(IF($Q13=3,1,IF($Q13=4,1,0)),IF($F13&lt;=85,1,0))</formula>
    </cfRule>
  </conditionalFormatting>
  <conditionalFormatting sqref="X13">
    <cfRule type="expression" dxfId="809" priority="787">
      <formula>AND(IF(OR($Q13=1,$Q13=2),1,0),IF($X13&lt;=20,1,0))</formula>
    </cfRule>
    <cfRule type="expression" dxfId="808" priority="788">
      <formula>AND(IF($Q13=2,1,0),IF($X13&lt;30,1,0))</formula>
    </cfRule>
    <cfRule type="expression" dxfId="807" priority="789">
      <formula>AND(IF($Q13=3,1,0),IF($X13&lt;30,1,0))</formula>
    </cfRule>
    <cfRule type="expression" dxfId="806" priority="790">
      <formula>AND(IF($Q13=3,1,IF($Q13=4,1,0)),IF($F13&lt;=85,1,0))</formula>
    </cfRule>
  </conditionalFormatting>
  <conditionalFormatting sqref="AI13">
    <cfRule type="expression" dxfId="805" priority="783">
      <formula>AND(IF(OR($Q13=1,$Q13=2),1,0),IF($X13&lt;=20,1,0))</formula>
    </cfRule>
    <cfRule type="expression" dxfId="804" priority="784">
      <formula>AND(IF($Q13=2,1,0),IF($X13&lt;30,1,0))</formula>
    </cfRule>
    <cfRule type="expression" dxfId="803" priority="785">
      <formula>AND(IF($Q13=3,1,0),IF($X13&lt;30,1,0))</formula>
    </cfRule>
    <cfRule type="expression" dxfId="802" priority="786">
      <formula>AND(IF($Q13=3,1,IF($Q13=4,1,0)),IF($F13&lt;=85,1,0))</formula>
    </cfRule>
  </conditionalFormatting>
  <conditionalFormatting sqref="AV14">
    <cfRule type="expression" dxfId="801" priority="781">
      <formula>AV14="X"</formula>
    </cfRule>
    <cfRule type="expression" dxfId="800" priority="782">
      <formula>AV14="후보"</formula>
    </cfRule>
  </conditionalFormatting>
  <conditionalFormatting sqref="AC14">
    <cfRule type="cellIs" dxfId="799" priority="779" operator="greaterThan">
      <formula>0.9</formula>
    </cfRule>
    <cfRule type="cellIs" dxfId="798" priority="780" operator="greaterThan">
      <formula>0.85</formula>
    </cfRule>
  </conditionalFormatting>
  <conditionalFormatting sqref="N14">
    <cfRule type="cellIs" dxfId="797" priority="777" operator="greaterThan">
      <formula>0.9</formula>
    </cfRule>
    <cfRule type="cellIs" dxfId="796" priority="778" operator="greaterThan">
      <formula>0.85</formula>
    </cfRule>
  </conditionalFormatting>
  <conditionalFormatting sqref="E14">
    <cfRule type="expression" dxfId="795" priority="773">
      <formula>AND(IF(OR($Q14=1,$Q14=2),1,0),IF($X14&lt;=20,1,0))</formula>
    </cfRule>
    <cfRule type="expression" dxfId="794" priority="774">
      <formula>AND(IF($Q14=2,1,0),IF($X14&lt;30,1,0))</formula>
    </cfRule>
    <cfRule type="expression" dxfId="793" priority="775">
      <formula>AND(IF($Q14=3,1,0),IF($X14&lt;30,1,0))</formula>
    </cfRule>
    <cfRule type="expression" dxfId="792" priority="776">
      <formula>AND(IF($Q14=3,1,IF($Q14=4,1,0)),IF($F14&lt;=85,1,0))</formula>
    </cfRule>
  </conditionalFormatting>
  <conditionalFormatting sqref="X14">
    <cfRule type="expression" dxfId="791" priority="769">
      <formula>AND(IF(OR($Q14=1,$Q14=2),1,0),IF($X14&lt;=20,1,0))</formula>
    </cfRule>
    <cfRule type="expression" dxfId="790" priority="770">
      <formula>AND(IF($Q14=2,1,0),IF($X14&lt;30,1,0))</formula>
    </cfRule>
    <cfRule type="expression" dxfId="789" priority="771">
      <formula>AND(IF($Q14=3,1,0),IF($X14&lt;30,1,0))</formula>
    </cfRule>
    <cfRule type="expression" dxfId="788" priority="772">
      <formula>AND(IF($Q14=3,1,IF($Q14=4,1,0)),IF($F14&lt;=85,1,0))</formula>
    </cfRule>
  </conditionalFormatting>
  <conditionalFormatting sqref="AI14">
    <cfRule type="expression" dxfId="787" priority="765">
      <formula>AND(IF(OR($Q14=1,$Q14=2),1,0),IF($X14&lt;=20,1,0))</formula>
    </cfRule>
    <cfRule type="expression" dxfId="786" priority="766">
      <formula>AND(IF($Q14=2,1,0),IF($X14&lt;30,1,0))</formula>
    </cfRule>
    <cfRule type="expression" dxfId="785" priority="767">
      <formula>AND(IF($Q14=3,1,0),IF($X14&lt;30,1,0))</formula>
    </cfRule>
    <cfRule type="expression" dxfId="784" priority="768">
      <formula>AND(IF($Q14=3,1,IF($Q14=4,1,0)),IF($F14&lt;=85,1,0))</formula>
    </cfRule>
  </conditionalFormatting>
  <conditionalFormatting sqref="AV15">
    <cfRule type="expression" dxfId="783" priority="763">
      <formula>AV15="X"</formula>
    </cfRule>
    <cfRule type="expression" dxfId="782" priority="764">
      <formula>AV15="후보"</formula>
    </cfRule>
  </conditionalFormatting>
  <conditionalFormatting sqref="AC15">
    <cfRule type="cellIs" dxfId="781" priority="761" operator="greaterThan">
      <formula>0.9</formula>
    </cfRule>
    <cfRule type="cellIs" dxfId="780" priority="762" operator="greaterThan">
      <formula>0.85</formula>
    </cfRule>
  </conditionalFormatting>
  <conditionalFormatting sqref="N15">
    <cfRule type="cellIs" dxfId="779" priority="759" operator="greaterThan">
      <formula>0.9</formula>
    </cfRule>
    <cfRule type="cellIs" dxfId="778" priority="760" operator="greaterThan">
      <formula>0.85</formula>
    </cfRule>
  </conditionalFormatting>
  <conditionalFormatting sqref="E15">
    <cfRule type="expression" dxfId="777" priority="755">
      <formula>AND(IF(OR($Q15=1,$Q15=2),1,0),IF($X15&lt;=20,1,0))</formula>
    </cfRule>
    <cfRule type="expression" dxfId="776" priority="756">
      <formula>AND(IF($Q15=2,1,0),IF($X15&lt;30,1,0))</formula>
    </cfRule>
    <cfRule type="expression" dxfId="775" priority="757">
      <formula>AND(IF($Q15=3,1,0),IF($X15&lt;30,1,0))</formula>
    </cfRule>
    <cfRule type="expression" dxfId="774" priority="758">
      <formula>AND(IF($Q15=3,1,IF($Q15=4,1,0)),IF($F15&lt;=85,1,0))</formula>
    </cfRule>
  </conditionalFormatting>
  <conditionalFormatting sqref="X15">
    <cfRule type="expression" dxfId="773" priority="751">
      <formula>AND(IF(OR($Q15=1,$Q15=2),1,0),IF($X15&lt;=20,1,0))</formula>
    </cfRule>
    <cfRule type="expression" dxfId="772" priority="752">
      <formula>AND(IF($Q15=2,1,0),IF($X15&lt;30,1,0))</formula>
    </cfRule>
    <cfRule type="expression" dxfId="771" priority="753">
      <formula>AND(IF($Q15=3,1,0),IF($X15&lt;30,1,0))</formula>
    </cfRule>
    <cfRule type="expression" dxfId="770" priority="754">
      <formula>AND(IF($Q15=3,1,IF($Q15=4,1,0)),IF($F15&lt;=85,1,0))</formula>
    </cfRule>
  </conditionalFormatting>
  <conditionalFormatting sqref="AI15">
    <cfRule type="expression" dxfId="769" priority="747">
      <formula>AND(IF(OR($Q15=1,$Q15=2),1,0),IF($X15&lt;=20,1,0))</formula>
    </cfRule>
    <cfRule type="expression" dxfId="768" priority="748">
      <formula>AND(IF($Q15=2,1,0),IF($X15&lt;30,1,0))</formula>
    </cfRule>
    <cfRule type="expression" dxfId="767" priority="749">
      <formula>AND(IF($Q15=3,1,0),IF($X15&lt;30,1,0))</formula>
    </cfRule>
    <cfRule type="expression" dxfId="766" priority="750">
      <formula>AND(IF($Q15=3,1,IF($Q15=4,1,0)),IF($F15&lt;=85,1,0))</formula>
    </cfRule>
  </conditionalFormatting>
  <conditionalFormatting sqref="AV16">
    <cfRule type="expression" dxfId="765" priority="745">
      <formula>AV16="X"</formula>
    </cfRule>
    <cfRule type="expression" dxfId="764" priority="746">
      <formula>AV16="후보"</formula>
    </cfRule>
  </conditionalFormatting>
  <conditionalFormatting sqref="AC16 N16">
    <cfRule type="cellIs" dxfId="763" priority="743" operator="greaterThan">
      <formula>0.9</formula>
    </cfRule>
    <cfRule type="cellIs" dxfId="762" priority="744" operator="greaterThan">
      <formula>0.85</formula>
    </cfRule>
  </conditionalFormatting>
  <conditionalFormatting sqref="AV17">
    <cfRule type="expression" dxfId="761" priority="741">
      <formula>AV17="X"</formula>
    </cfRule>
    <cfRule type="expression" dxfId="760" priority="742">
      <formula>AV17="후보"</formula>
    </cfRule>
  </conditionalFormatting>
  <conditionalFormatting sqref="AC17">
    <cfRule type="cellIs" dxfId="759" priority="739" operator="greaterThan">
      <formula>0.9</formula>
    </cfRule>
    <cfRule type="cellIs" dxfId="758" priority="740" operator="greaterThan">
      <formula>0.85</formula>
    </cfRule>
  </conditionalFormatting>
  <conditionalFormatting sqref="N17">
    <cfRule type="cellIs" dxfId="757" priority="737" operator="greaterThan">
      <formula>0.9</formula>
    </cfRule>
    <cfRule type="cellIs" dxfId="756" priority="738" operator="greaterThan">
      <formula>0.85</formula>
    </cfRule>
  </conditionalFormatting>
  <conditionalFormatting sqref="E17">
    <cfRule type="expression" dxfId="755" priority="733">
      <formula>AND(IF(OR($Q17=1,$Q17=2),1,0),IF($X17&lt;=20,1,0))</formula>
    </cfRule>
    <cfRule type="expression" dxfId="754" priority="734">
      <formula>AND(IF($Q17=2,1,0),IF($X17&lt;30,1,0))</formula>
    </cfRule>
    <cfRule type="expression" dxfId="753" priority="735">
      <formula>AND(IF($Q17=3,1,0),IF($X17&lt;30,1,0))</formula>
    </cfRule>
    <cfRule type="expression" dxfId="752" priority="736">
      <formula>AND(IF($Q17=3,1,IF($Q17=4,1,0)),IF($F17&lt;=85,1,0))</formula>
    </cfRule>
  </conditionalFormatting>
  <conditionalFormatting sqref="X17">
    <cfRule type="expression" dxfId="751" priority="729">
      <formula>AND(IF(OR($Q17=1,$Q17=2),1,0),IF($X17&lt;=20,1,0))</formula>
    </cfRule>
    <cfRule type="expression" dxfId="750" priority="730">
      <formula>AND(IF($Q17=2,1,0),IF($X17&lt;30,1,0))</formula>
    </cfRule>
    <cfRule type="expression" dxfId="749" priority="731">
      <formula>AND(IF($Q17=3,1,0),IF($X17&lt;30,1,0))</formula>
    </cfRule>
    <cfRule type="expression" dxfId="748" priority="732">
      <formula>AND(IF($Q17=3,1,IF($Q17=4,1,0)),IF($F17&lt;=85,1,0))</formula>
    </cfRule>
  </conditionalFormatting>
  <conditionalFormatting sqref="AI17">
    <cfRule type="expression" dxfId="747" priority="725">
      <formula>AND(IF(OR($Q17=1,$Q17=2),1,0),IF($X17&lt;=20,1,0))</formula>
    </cfRule>
    <cfRule type="expression" dxfId="746" priority="726">
      <formula>AND(IF($Q17=2,1,0),IF($X17&lt;30,1,0))</formula>
    </cfRule>
    <cfRule type="expression" dxfId="745" priority="727">
      <formula>AND(IF($Q17=3,1,0),IF($X17&lt;30,1,0))</formula>
    </cfRule>
    <cfRule type="expression" dxfId="744" priority="728">
      <formula>AND(IF($Q17=3,1,IF($Q17=4,1,0)),IF($F17&lt;=85,1,0))</formula>
    </cfRule>
  </conditionalFormatting>
  <conditionalFormatting sqref="AV18">
    <cfRule type="expression" dxfId="743" priority="723">
      <formula>AV18="X"</formula>
    </cfRule>
    <cfRule type="expression" dxfId="742" priority="724">
      <formula>AV18="후보"</formula>
    </cfRule>
  </conditionalFormatting>
  <conditionalFormatting sqref="AC18">
    <cfRule type="cellIs" dxfId="741" priority="721" operator="greaterThan">
      <formula>0.9</formula>
    </cfRule>
    <cfRule type="cellIs" dxfId="740" priority="722" operator="greaterThan">
      <formula>0.85</formula>
    </cfRule>
  </conditionalFormatting>
  <conditionalFormatting sqref="N18">
    <cfRule type="cellIs" dxfId="739" priority="719" operator="greaterThan">
      <formula>0.9</formula>
    </cfRule>
    <cfRule type="cellIs" dxfId="738" priority="720" operator="greaterThan">
      <formula>0.85</formula>
    </cfRule>
  </conditionalFormatting>
  <conditionalFormatting sqref="E18">
    <cfRule type="expression" dxfId="737" priority="715">
      <formula>AND(IF(OR($Q18=1,$Q18=2),1,0),IF($X18&lt;=20,1,0))</formula>
    </cfRule>
    <cfRule type="expression" dxfId="736" priority="716">
      <formula>AND(IF($Q18=2,1,0),IF($X18&lt;30,1,0))</formula>
    </cfRule>
    <cfRule type="expression" dxfId="735" priority="717">
      <formula>AND(IF($Q18=3,1,0),IF($X18&lt;30,1,0))</formula>
    </cfRule>
    <cfRule type="expression" dxfId="734" priority="718">
      <formula>AND(IF($Q18=3,1,IF($Q18=4,1,0)),IF($F18&lt;=85,1,0))</formula>
    </cfRule>
  </conditionalFormatting>
  <conditionalFormatting sqref="X18">
    <cfRule type="expression" dxfId="733" priority="711">
      <formula>AND(IF(OR($Q18=1,$Q18=2),1,0),IF($X18&lt;=20,1,0))</formula>
    </cfRule>
    <cfRule type="expression" dxfId="732" priority="712">
      <formula>AND(IF($Q18=2,1,0),IF($X18&lt;30,1,0))</formula>
    </cfRule>
    <cfRule type="expression" dxfId="731" priority="713">
      <formula>AND(IF($Q18=3,1,0),IF($X18&lt;30,1,0))</formula>
    </cfRule>
    <cfRule type="expression" dxfId="730" priority="714">
      <formula>AND(IF($Q18=3,1,IF($Q18=4,1,0)),IF($F18&lt;=85,1,0))</formula>
    </cfRule>
  </conditionalFormatting>
  <conditionalFormatting sqref="AI18">
    <cfRule type="expression" dxfId="729" priority="707">
      <formula>AND(IF(OR($Q18=1,$Q18=2),1,0),IF($X18&lt;=20,1,0))</formula>
    </cfRule>
    <cfRule type="expression" dxfId="728" priority="708">
      <formula>AND(IF($Q18=2,1,0),IF($X18&lt;30,1,0))</formula>
    </cfRule>
    <cfRule type="expression" dxfId="727" priority="709">
      <formula>AND(IF($Q18=3,1,0),IF($X18&lt;30,1,0))</formula>
    </cfRule>
    <cfRule type="expression" dxfId="726" priority="710">
      <formula>AND(IF($Q18=3,1,IF($Q18=4,1,0)),IF($F18&lt;=85,1,0))</formula>
    </cfRule>
  </conditionalFormatting>
  <conditionalFormatting sqref="AV19">
    <cfRule type="expression" dxfId="725" priority="705">
      <formula>AV19="X"</formula>
    </cfRule>
    <cfRule type="expression" dxfId="724" priority="706">
      <formula>AV19="후보"</formula>
    </cfRule>
  </conditionalFormatting>
  <conditionalFormatting sqref="AC19">
    <cfRule type="cellIs" dxfId="723" priority="703" operator="greaterThan">
      <formula>0.9</formula>
    </cfRule>
    <cfRule type="cellIs" dxfId="722" priority="704" operator="greaterThan">
      <formula>0.85</formula>
    </cfRule>
  </conditionalFormatting>
  <conditionalFormatting sqref="N19">
    <cfRule type="cellIs" dxfId="721" priority="701" operator="greaterThan">
      <formula>0.9</formula>
    </cfRule>
    <cfRule type="cellIs" dxfId="720" priority="702" operator="greaterThan">
      <formula>0.85</formula>
    </cfRule>
  </conditionalFormatting>
  <conditionalFormatting sqref="E19">
    <cfRule type="expression" dxfId="719" priority="697">
      <formula>AND(IF(OR($Q19=1,$Q19=2),1,0),IF($X19&lt;=20,1,0))</formula>
    </cfRule>
    <cfRule type="expression" dxfId="718" priority="698">
      <formula>AND(IF($Q19=2,1,0),IF($X19&lt;30,1,0))</formula>
    </cfRule>
    <cfRule type="expression" dxfId="717" priority="699">
      <formula>AND(IF($Q19=3,1,0),IF($X19&lt;30,1,0))</formula>
    </cfRule>
    <cfRule type="expression" dxfId="716" priority="700">
      <formula>AND(IF($Q19=3,1,IF($Q19=4,1,0)),IF($F19&lt;=85,1,0))</formula>
    </cfRule>
  </conditionalFormatting>
  <conditionalFormatting sqref="X19">
    <cfRule type="expression" dxfId="715" priority="693">
      <formula>AND(IF(OR($Q19=1,$Q19=2),1,0),IF($X19&lt;=20,1,0))</formula>
    </cfRule>
    <cfRule type="expression" dxfId="714" priority="694">
      <formula>AND(IF($Q19=2,1,0),IF($X19&lt;30,1,0))</formula>
    </cfRule>
    <cfRule type="expression" dxfId="713" priority="695">
      <formula>AND(IF($Q19=3,1,0),IF($X19&lt;30,1,0))</formula>
    </cfRule>
    <cfRule type="expression" dxfId="712" priority="696">
      <formula>AND(IF($Q19=3,1,IF($Q19=4,1,0)),IF($F19&lt;=85,1,0))</formula>
    </cfRule>
  </conditionalFormatting>
  <conditionalFormatting sqref="AI19">
    <cfRule type="expression" dxfId="711" priority="689">
      <formula>AND(IF(OR($Q19=1,$Q19=2),1,0),IF($X19&lt;=20,1,0))</formula>
    </cfRule>
    <cfRule type="expression" dxfId="710" priority="690">
      <formula>AND(IF($Q19=2,1,0),IF($X19&lt;30,1,0))</formula>
    </cfRule>
    <cfRule type="expression" dxfId="709" priority="691">
      <formula>AND(IF($Q19=3,1,0),IF($X19&lt;30,1,0))</formula>
    </cfRule>
    <cfRule type="expression" dxfId="708" priority="692">
      <formula>AND(IF($Q19=3,1,IF($Q19=4,1,0)),IF($F19&lt;=85,1,0))</formula>
    </cfRule>
  </conditionalFormatting>
  <conditionalFormatting sqref="AV20">
    <cfRule type="expression" dxfId="707" priority="687">
      <formula>AV20="X"</formula>
    </cfRule>
    <cfRule type="expression" dxfId="706" priority="688">
      <formula>AV20="후보"</formula>
    </cfRule>
  </conditionalFormatting>
  <conditionalFormatting sqref="AC20">
    <cfRule type="cellIs" dxfId="705" priority="685" operator="greaterThan">
      <formula>0.9</formula>
    </cfRule>
    <cfRule type="cellIs" dxfId="704" priority="686" operator="greaterThan">
      <formula>0.85</formula>
    </cfRule>
  </conditionalFormatting>
  <conditionalFormatting sqref="N20">
    <cfRule type="cellIs" dxfId="703" priority="683" operator="greaterThan">
      <formula>0.9</formula>
    </cfRule>
    <cfRule type="cellIs" dxfId="702" priority="684" operator="greaterThan">
      <formula>0.85</formula>
    </cfRule>
  </conditionalFormatting>
  <conditionalFormatting sqref="E20">
    <cfRule type="expression" dxfId="701" priority="679">
      <formula>AND(IF(OR($Q20=1,$Q20=2),1,0),IF($X20&lt;=20,1,0))</formula>
    </cfRule>
    <cfRule type="expression" dxfId="700" priority="680">
      <formula>AND(IF($Q20=2,1,0),IF($X20&lt;30,1,0))</formula>
    </cfRule>
    <cfRule type="expression" dxfId="699" priority="681">
      <formula>AND(IF($Q20=3,1,0),IF($X20&lt;30,1,0))</formula>
    </cfRule>
    <cfRule type="expression" dxfId="698" priority="682">
      <formula>AND(IF($Q20=3,1,IF($Q20=4,1,0)),IF($F20&lt;=85,1,0))</formula>
    </cfRule>
  </conditionalFormatting>
  <conditionalFormatting sqref="X20">
    <cfRule type="expression" dxfId="697" priority="675">
      <formula>AND(IF(OR($Q20=1,$Q20=2),1,0),IF($X20&lt;=20,1,0))</formula>
    </cfRule>
    <cfRule type="expression" dxfId="696" priority="676">
      <formula>AND(IF($Q20=2,1,0),IF($X20&lt;30,1,0))</formula>
    </cfRule>
    <cfRule type="expression" dxfId="695" priority="677">
      <formula>AND(IF($Q20=3,1,0),IF($X20&lt;30,1,0))</formula>
    </cfRule>
    <cfRule type="expression" dxfId="694" priority="678">
      <formula>AND(IF($Q20=3,1,IF($Q20=4,1,0)),IF($F20&lt;=85,1,0))</formula>
    </cfRule>
  </conditionalFormatting>
  <conditionalFormatting sqref="AI20">
    <cfRule type="expression" dxfId="693" priority="671">
      <formula>AND(IF(OR($Q20=1,$Q20=2),1,0),IF($X20&lt;=20,1,0))</formula>
    </cfRule>
    <cfRule type="expression" dxfId="692" priority="672">
      <formula>AND(IF($Q20=2,1,0),IF($X20&lt;30,1,0))</formula>
    </cfRule>
    <cfRule type="expression" dxfId="691" priority="673">
      <formula>AND(IF($Q20=3,1,0),IF($X20&lt;30,1,0))</formula>
    </cfRule>
    <cfRule type="expression" dxfId="690" priority="674">
      <formula>AND(IF($Q20=3,1,IF($Q20=4,1,0)),IF($F20&lt;=85,1,0))</formula>
    </cfRule>
  </conditionalFormatting>
  <conditionalFormatting sqref="AV21">
    <cfRule type="expression" dxfId="689" priority="669">
      <formula>AV21="X"</formula>
    </cfRule>
    <cfRule type="expression" dxfId="688" priority="670">
      <formula>AV21="후보"</formula>
    </cfRule>
  </conditionalFormatting>
  <conditionalFormatting sqref="AC21 N21">
    <cfRule type="cellIs" dxfId="687" priority="667" operator="greaterThan">
      <formula>0.9</formula>
    </cfRule>
    <cfRule type="cellIs" dxfId="686" priority="668" operator="greaterThan">
      <formula>0.85</formula>
    </cfRule>
  </conditionalFormatting>
  <conditionalFormatting sqref="AV22">
    <cfRule type="expression" dxfId="685" priority="665">
      <formula>AV22="X"</formula>
    </cfRule>
    <cfRule type="expression" dxfId="684" priority="666">
      <formula>AV22="후보"</formula>
    </cfRule>
  </conditionalFormatting>
  <conditionalFormatting sqref="AC22">
    <cfRule type="cellIs" dxfId="683" priority="663" operator="greaterThan">
      <formula>0.9</formula>
    </cfRule>
    <cfRule type="cellIs" dxfId="682" priority="664" operator="greaterThan">
      <formula>0.85</formula>
    </cfRule>
  </conditionalFormatting>
  <conditionalFormatting sqref="N22">
    <cfRule type="cellIs" dxfId="681" priority="661" operator="greaterThan">
      <formula>0.9</formula>
    </cfRule>
    <cfRule type="cellIs" dxfId="680" priority="662" operator="greaterThan">
      <formula>0.85</formula>
    </cfRule>
  </conditionalFormatting>
  <conditionalFormatting sqref="E22">
    <cfRule type="expression" dxfId="679" priority="657">
      <formula>AND(IF(OR($Q22=1,$Q22=2),1,0),IF($X22&lt;=20,1,0))</formula>
    </cfRule>
    <cfRule type="expression" dxfId="678" priority="658">
      <formula>AND(IF($Q22=2,1,0),IF($X22&lt;30,1,0))</formula>
    </cfRule>
    <cfRule type="expression" dxfId="677" priority="659">
      <formula>AND(IF($Q22=3,1,0),IF($X22&lt;30,1,0))</formula>
    </cfRule>
    <cfRule type="expression" dxfId="676" priority="660">
      <formula>AND(IF($Q22=3,1,IF($Q22=4,1,0)),IF($F22&lt;=85,1,0))</formula>
    </cfRule>
  </conditionalFormatting>
  <conditionalFormatting sqref="X22">
    <cfRule type="expression" dxfId="675" priority="653">
      <formula>AND(IF(OR($Q22=1,$Q22=2),1,0),IF($X22&lt;=20,1,0))</formula>
    </cfRule>
    <cfRule type="expression" dxfId="674" priority="654">
      <formula>AND(IF($Q22=2,1,0),IF($X22&lt;30,1,0))</formula>
    </cfRule>
    <cfRule type="expression" dxfId="673" priority="655">
      <formula>AND(IF($Q22=3,1,0),IF($X22&lt;30,1,0))</formula>
    </cfRule>
    <cfRule type="expression" dxfId="672" priority="656">
      <formula>AND(IF($Q22=3,1,IF($Q22=4,1,0)),IF($F22&lt;=85,1,0))</formula>
    </cfRule>
  </conditionalFormatting>
  <conditionalFormatting sqref="AI22">
    <cfRule type="expression" dxfId="671" priority="649">
      <formula>AND(IF(OR($Q22=1,$Q22=2),1,0),IF($X22&lt;=20,1,0))</formula>
    </cfRule>
    <cfRule type="expression" dxfId="670" priority="650">
      <formula>AND(IF($Q22=2,1,0),IF($X22&lt;30,1,0))</formula>
    </cfRule>
    <cfRule type="expression" dxfId="669" priority="651">
      <formula>AND(IF($Q22=3,1,0),IF($X22&lt;30,1,0))</formula>
    </cfRule>
    <cfRule type="expression" dxfId="668" priority="652">
      <formula>AND(IF($Q22=3,1,IF($Q22=4,1,0)),IF($F22&lt;=85,1,0))</formula>
    </cfRule>
  </conditionalFormatting>
  <conditionalFormatting sqref="AV23">
    <cfRule type="expression" dxfId="667" priority="647">
      <formula>AV23="X"</formula>
    </cfRule>
    <cfRule type="expression" dxfId="666" priority="648">
      <formula>AV23="후보"</formula>
    </cfRule>
  </conditionalFormatting>
  <conditionalFormatting sqref="AC23">
    <cfRule type="cellIs" dxfId="665" priority="645" operator="greaterThan">
      <formula>0.9</formula>
    </cfRule>
    <cfRule type="cellIs" dxfId="664" priority="646" operator="greaterThan">
      <formula>0.85</formula>
    </cfRule>
  </conditionalFormatting>
  <conditionalFormatting sqref="N23">
    <cfRule type="cellIs" dxfId="663" priority="643" operator="greaterThan">
      <formula>0.9</formula>
    </cfRule>
    <cfRule type="cellIs" dxfId="662" priority="644" operator="greaterThan">
      <formula>0.85</formula>
    </cfRule>
  </conditionalFormatting>
  <conditionalFormatting sqref="E23">
    <cfRule type="expression" dxfId="661" priority="639">
      <formula>AND(IF(OR($Q23=1,$Q23=2),1,0),IF($X23&lt;=20,1,0))</formula>
    </cfRule>
    <cfRule type="expression" dxfId="660" priority="640">
      <formula>AND(IF($Q23=2,1,0),IF($X23&lt;30,1,0))</formula>
    </cfRule>
    <cfRule type="expression" dxfId="659" priority="641">
      <formula>AND(IF($Q23=3,1,0),IF($X23&lt;30,1,0))</formula>
    </cfRule>
    <cfRule type="expression" dxfId="658" priority="642">
      <formula>AND(IF($Q23=3,1,IF($Q23=4,1,0)),IF($F23&lt;=85,1,0))</formula>
    </cfRule>
  </conditionalFormatting>
  <conditionalFormatting sqref="X23">
    <cfRule type="expression" dxfId="657" priority="635">
      <formula>AND(IF(OR($Q23=1,$Q23=2),1,0),IF($X23&lt;=20,1,0))</formula>
    </cfRule>
    <cfRule type="expression" dxfId="656" priority="636">
      <formula>AND(IF($Q23=2,1,0),IF($X23&lt;30,1,0))</formula>
    </cfRule>
    <cfRule type="expression" dxfId="655" priority="637">
      <formula>AND(IF($Q23=3,1,0),IF($X23&lt;30,1,0))</formula>
    </cfRule>
    <cfRule type="expression" dxfId="654" priority="638">
      <formula>AND(IF($Q23=3,1,IF($Q23=4,1,0)),IF($F23&lt;=85,1,0))</formula>
    </cfRule>
  </conditionalFormatting>
  <conditionalFormatting sqref="AI23">
    <cfRule type="expression" dxfId="653" priority="631">
      <formula>AND(IF(OR($Q23=1,$Q23=2),1,0),IF($X23&lt;=20,1,0))</formula>
    </cfRule>
    <cfRule type="expression" dxfId="652" priority="632">
      <formula>AND(IF($Q23=2,1,0),IF($X23&lt;30,1,0))</formula>
    </cfRule>
    <cfRule type="expression" dxfId="651" priority="633">
      <formula>AND(IF($Q23=3,1,0),IF($X23&lt;30,1,0))</formula>
    </cfRule>
    <cfRule type="expression" dxfId="650" priority="634">
      <formula>AND(IF($Q23=3,1,IF($Q23=4,1,0)),IF($F23&lt;=85,1,0))</formula>
    </cfRule>
  </conditionalFormatting>
  <conditionalFormatting sqref="AV24">
    <cfRule type="expression" dxfId="649" priority="629">
      <formula>AV24="X"</formula>
    </cfRule>
    <cfRule type="expression" dxfId="648" priority="630">
      <formula>AV24="후보"</formula>
    </cfRule>
  </conditionalFormatting>
  <conditionalFormatting sqref="AC24">
    <cfRule type="cellIs" dxfId="647" priority="627" operator="greaterThan">
      <formula>0.9</formula>
    </cfRule>
    <cfRule type="cellIs" dxfId="646" priority="628" operator="greaterThan">
      <formula>0.85</formula>
    </cfRule>
  </conditionalFormatting>
  <conditionalFormatting sqref="N24">
    <cfRule type="cellIs" dxfId="645" priority="625" operator="greaterThan">
      <formula>0.9</formula>
    </cfRule>
    <cfRule type="cellIs" dxfId="644" priority="626" operator="greaterThan">
      <formula>0.85</formula>
    </cfRule>
  </conditionalFormatting>
  <conditionalFormatting sqref="E24">
    <cfRule type="expression" dxfId="643" priority="621">
      <formula>AND(IF(OR($Q24=1,$Q24=2),1,0),IF($X24&lt;=20,1,0))</formula>
    </cfRule>
    <cfRule type="expression" dxfId="642" priority="622">
      <formula>AND(IF($Q24=2,1,0),IF($X24&lt;30,1,0))</formula>
    </cfRule>
    <cfRule type="expression" dxfId="641" priority="623">
      <formula>AND(IF($Q24=3,1,0),IF($X24&lt;30,1,0))</formula>
    </cfRule>
    <cfRule type="expression" dxfId="640" priority="624">
      <formula>AND(IF($Q24=3,1,IF($Q24=4,1,0)),IF($F24&lt;=85,1,0))</formula>
    </cfRule>
  </conditionalFormatting>
  <conditionalFormatting sqref="X24">
    <cfRule type="expression" dxfId="639" priority="617">
      <formula>AND(IF(OR($Q24=1,$Q24=2),1,0),IF($X24&lt;=20,1,0))</formula>
    </cfRule>
    <cfRule type="expression" dxfId="638" priority="618">
      <formula>AND(IF($Q24=2,1,0),IF($X24&lt;30,1,0))</formula>
    </cfRule>
    <cfRule type="expression" dxfId="637" priority="619">
      <formula>AND(IF($Q24=3,1,0),IF($X24&lt;30,1,0))</formula>
    </cfRule>
    <cfRule type="expression" dxfId="636" priority="620">
      <formula>AND(IF($Q24=3,1,IF($Q24=4,1,0)),IF($F24&lt;=85,1,0))</formula>
    </cfRule>
  </conditionalFormatting>
  <conditionalFormatting sqref="AI24">
    <cfRule type="expression" dxfId="635" priority="613">
      <formula>AND(IF(OR($Q24=1,$Q24=2),1,0),IF($X24&lt;=20,1,0))</formula>
    </cfRule>
    <cfRule type="expression" dxfId="634" priority="614">
      <formula>AND(IF($Q24=2,1,0),IF($X24&lt;30,1,0))</formula>
    </cfRule>
    <cfRule type="expression" dxfId="633" priority="615">
      <formula>AND(IF($Q24=3,1,0),IF($X24&lt;30,1,0))</formula>
    </cfRule>
    <cfRule type="expression" dxfId="632" priority="616">
      <formula>AND(IF($Q24=3,1,IF($Q24=4,1,0)),IF($F24&lt;=85,1,0))</formula>
    </cfRule>
  </conditionalFormatting>
  <conditionalFormatting sqref="AV25">
    <cfRule type="expression" dxfId="631" priority="611">
      <formula>AV25="X"</formula>
    </cfRule>
    <cfRule type="expression" dxfId="630" priority="612">
      <formula>AV25="후보"</formula>
    </cfRule>
  </conditionalFormatting>
  <conditionalFormatting sqref="AC25">
    <cfRule type="cellIs" dxfId="629" priority="609" operator="greaterThan">
      <formula>0.9</formula>
    </cfRule>
    <cfRule type="cellIs" dxfId="628" priority="610" operator="greaterThan">
      <formula>0.85</formula>
    </cfRule>
  </conditionalFormatting>
  <conditionalFormatting sqref="N25">
    <cfRule type="cellIs" dxfId="627" priority="607" operator="greaterThan">
      <formula>0.9</formula>
    </cfRule>
    <cfRule type="cellIs" dxfId="626" priority="608" operator="greaterThan">
      <formula>0.85</formula>
    </cfRule>
  </conditionalFormatting>
  <conditionalFormatting sqref="E25">
    <cfRule type="expression" dxfId="625" priority="603">
      <formula>AND(IF(OR($Q25=1,$Q25=2),1,0),IF($X25&lt;=20,1,0))</formula>
    </cfRule>
    <cfRule type="expression" dxfId="624" priority="604">
      <formula>AND(IF($Q25=2,1,0),IF($X25&lt;30,1,0))</formula>
    </cfRule>
    <cfRule type="expression" dxfId="623" priority="605">
      <formula>AND(IF($Q25=3,1,0),IF($X25&lt;30,1,0))</formula>
    </cfRule>
    <cfRule type="expression" dxfId="622" priority="606">
      <formula>AND(IF($Q25=3,1,IF($Q25=4,1,0)),IF($F25&lt;=85,1,0))</formula>
    </cfRule>
  </conditionalFormatting>
  <conditionalFormatting sqref="X25">
    <cfRule type="expression" dxfId="621" priority="599">
      <formula>AND(IF(OR($Q25=1,$Q25=2),1,0),IF($X25&lt;=20,1,0))</formula>
    </cfRule>
    <cfRule type="expression" dxfId="620" priority="600">
      <formula>AND(IF($Q25=2,1,0),IF($X25&lt;30,1,0))</formula>
    </cfRule>
    <cfRule type="expression" dxfId="619" priority="601">
      <formula>AND(IF($Q25=3,1,0),IF($X25&lt;30,1,0))</formula>
    </cfRule>
    <cfRule type="expression" dxfId="618" priority="602">
      <formula>AND(IF($Q25=3,1,IF($Q25=4,1,0)),IF($F25&lt;=85,1,0))</formula>
    </cfRule>
  </conditionalFormatting>
  <conditionalFormatting sqref="AI25">
    <cfRule type="expression" dxfId="617" priority="595">
      <formula>AND(IF(OR($Q25=1,$Q25=2),1,0),IF($X25&lt;=20,1,0))</formula>
    </cfRule>
    <cfRule type="expression" dxfId="616" priority="596">
      <formula>AND(IF($Q25=2,1,0),IF($X25&lt;30,1,0))</formula>
    </cfRule>
    <cfRule type="expression" dxfId="615" priority="597">
      <formula>AND(IF($Q25=3,1,0),IF($X25&lt;30,1,0))</formula>
    </cfRule>
    <cfRule type="expression" dxfId="614" priority="598">
      <formula>AND(IF($Q25=3,1,IF($Q25=4,1,0)),IF($F25&lt;=85,1,0))</formula>
    </cfRule>
  </conditionalFormatting>
  <conditionalFormatting sqref="AV26">
    <cfRule type="expression" dxfId="613" priority="593">
      <formula>AV26="X"</formula>
    </cfRule>
    <cfRule type="expression" dxfId="612" priority="594">
      <formula>AV26="후보"</formula>
    </cfRule>
  </conditionalFormatting>
  <conditionalFormatting sqref="AC26 N26">
    <cfRule type="cellIs" dxfId="611" priority="591" operator="greaterThan">
      <formula>0.9</formula>
    </cfRule>
    <cfRule type="cellIs" dxfId="610" priority="592" operator="greaterThan">
      <formula>0.85</formula>
    </cfRule>
  </conditionalFormatting>
  <conditionalFormatting sqref="AV27">
    <cfRule type="expression" dxfId="609" priority="589">
      <formula>AV27="X"</formula>
    </cfRule>
    <cfRule type="expression" dxfId="608" priority="590">
      <formula>AV27="후보"</formula>
    </cfRule>
  </conditionalFormatting>
  <conditionalFormatting sqref="AC27">
    <cfRule type="cellIs" dxfId="607" priority="587" operator="greaterThan">
      <formula>0.9</formula>
    </cfRule>
    <cfRule type="cellIs" dxfId="606" priority="588" operator="greaterThan">
      <formula>0.85</formula>
    </cfRule>
  </conditionalFormatting>
  <conditionalFormatting sqref="N27">
    <cfRule type="cellIs" dxfId="605" priority="585" operator="greaterThan">
      <formula>0.9</formula>
    </cfRule>
    <cfRule type="cellIs" dxfId="604" priority="586" operator="greaterThan">
      <formula>0.85</formula>
    </cfRule>
  </conditionalFormatting>
  <conditionalFormatting sqref="E27">
    <cfRule type="expression" dxfId="603" priority="581">
      <formula>AND(IF(OR($Q27=1,$Q27=2),1,0),IF($X27&lt;=20,1,0))</formula>
    </cfRule>
    <cfRule type="expression" dxfId="602" priority="582">
      <formula>AND(IF($Q27=2,1,0),IF($X27&lt;30,1,0))</formula>
    </cfRule>
    <cfRule type="expression" dxfId="601" priority="583">
      <formula>AND(IF($Q27=3,1,0),IF($X27&lt;30,1,0))</formula>
    </cfRule>
    <cfRule type="expression" dxfId="600" priority="584">
      <formula>AND(IF($Q27=3,1,IF($Q27=4,1,0)),IF($F27&lt;=85,1,0))</formula>
    </cfRule>
  </conditionalFormatting>
  <conditionalFormatting sqref="X27">
    <cfRule type="expression" dxfId="599" priority="577">
      <formula>AND(IF(OR($Q27=1,$Q27=2),1,0),IF($X27&lt;=20,1,0))</formula>
    </cfRule>
    <cfRule type="expression" dxfId="598" priority="578">
      <formula>AND(IF($Q27=2,1,0),IF($X27&lt;30,1,0))</formula>
    </cfRule>
    <cfRule type="expression" dxfId="597" priority="579">
      <formula>AND(IF($Q27=3,1,0),IF($X27&lt;30,1,0))</formula>
    </cfRule>
    <cfRule type="expression" dxfId="596" priority="580">
      <formula>AND(IF($Q27=3,1,IF($Q27=4,1,0)),IF($F27&lt;=85,1,0))</formula>
    </cfRule>
  </conditionalFormatting>
  <conditionalFormatting sqref="AI27">
    <cfRule type="expression" dxfId="595" priority="573">
      <formula>AND(IF(OR($Q27=1,$Q27=2),1,0),IF($X27&lt;=20,1,0))</formula>
    </cfRule>
    <cfRule type="expression" dxfId="594" priority="574">
      <formula>AND(IF($Q27=2,1,0),IF($X27&lt;30,1,0))</formula>
    </cfRule>
    <cfRule type="expression" dxfId="593" priority="575">
      <formula>AND(IF($Q27=3,1,0),IF($X27&lt;30,1,0))</formula>
    </cfRule>
    <cfRule type="expression" dxfId="592" priority="576">
      <formula>AND(IF($Q27=3,1,IF($Q27=4,1,0)),IF($F27&lt;=85,1,0))</formula>
    </cfRule>
  </conditionalFormatting>
  <conditionalFormatting sqref="AV28">
    <cfRule type="expression" dxfId="591" priority="571">
      <formula>AV28="X"</formula>
    </cfRule>
    <cfRule type="expression" dxfId="590" priority="572">
      <formula>AV28="후보"</formula>
    </cfRule>
  </conditionalFormatting>
  <conditionalFormatting sqref="AC28 N28">
    <cfRule type="cellIs" dxfId="589" priority="569" operator="greaterThan">
      <formula>0.9</formula>
    </cfRule>
    <cfRule type="cellIs" dxfId="588" priority="570" operator="greaterThan">
      <formula>0.85</formula>
    </cfRule>
  </conditionalFormatting>
  <conditionalFormatting sqref="AV29">
    <cfRule type="expression" dxfId="587" priority="567">
      <formula>AV29="X"</formula>
    </cfRule>
    <cfRule type="expression" dxfId="586" priority="568">
      <formula>AV29="후보"</formula>
    </cfRule>
  </conditionalFormatting>
  <conditionalFormatting sqref="AC29">
    <cfRule type="cellIs" dxfId="585" priority="565" operator="greaterThan">
      <formula>0.9</formula>
    </cfRule>
    <cfRule type="cellIs" dxfId="584" priority="566" operator="greaterThan">
      <formula>0.85</formula>
    </cfRule>
  </conditionalFormatting>
  <conditionalFormatting sqref="N29">
    <cfRule type="cellIs" dxfId="583" priority="563" operator="greaterThan">
      <formula>0.9</formula>
    </cfRule>
    <cfRule type="cellIs" dxfId="582" priority="564" operator="greaterThan">
      <formula>0.85</formula>
    </cfRule>
  </conditionalFormatting>
  <conditionalFormatting sqref="E29">
    <cfRule type="expression" dxfId="581" priority="559">
      <formula>AND(IF(OR($Q29=1,$Q29=2),1,0),IF($X29&lt;=20,1,0))</formula>
    </cfRule>
    <cfRule type="expression" dxfId="580" priority="560">
      <formula>AND(IF($Q29=2,1,0),IF($X29&lt;30,1,0))</formula>
    </cfRule>
    <cfRule type="expression" dxfId="579" priority="561">
      <formula>AND(IF($Q29=3,1,0),IF($X29&lt;30,1,0))</formula>
    </cfRule>
    <cfRule type="expression" dxfId="578" priority="562">
      <formula>AND(IF($Q29=3,1,IF($Q29=4,1,0)),IF($F29&lt;=85,1,0))</formula>
    </cfRule>
  </conditionalFormatting>
  <conditionalFormatting sqref="X29">
    <cfRule type="expression" dxfId="577" priority="555">
      <formula>AND(IF(OR($Q29=1,$Q29=2),1,0),IF($X29&lt;=20,1,0))</formula>
    </cfRule>
    <cfRule type="expression" dxfId="576" priority="556">
      <formula>AND(IF($Q29=2,1,0),IF($X29&lt;30,1,0))</formula>
    </cfRule>
    <cfRule type="expression" dxfId="575" priority="557">
      <formula>AND(IF($Q29=3,1,0),IF($X29&lt;30,1,0))</formula>
    </cfRule>
    <cfRule type="expression" dxfId="574" priority="558">
      <formula>AND(IF($Q29=3,1,IF($Q29=4,1,0)),IF($F29&lt;=85,1,0))</formula>
    </cfRule>
  </conditionalFormatting>
  <conditionalFormatting sqref="AI29">
    <cfRule type="expression" dxfId="573" priority="551">
      <formula>AND(IF(OR($Q29=1,$Q29=2),1,0),IF($X29&lt;=20,1,0))</formula>
    </cfRule>
    <cfRule type="expression" dxfId="572" priority="552">
      <formula>AND(IF($Q29=2,1,0),IF($X29&lt;30,1,0))</formula>
    </cfRule>
    <cfRule type="expression" dxfId="571" priority="553">
      <formula>AND(IF($Q29=3,1,0),IF($X29&lt;30,1,0))</formula>
    </cfRule>
    <cfRule type="expression" dxfId="570" priority="554">
      <formula>AND(IF($Q29=3,1,IF($Q29=4,1,0)),IF($F29&lt;=85,1,0))</formula>
    </cfRule>
  </conditionalFormatting>
  <conditionalFormatting sqref="AV30">
    <cfRule type="expression" dxfId="569" priority="549">
      <formula>AV30="X"</formula>
    </cfRule>
    <cfRule type="expression" dxfId="568" priority="550">
      <formula>AV30="후보"</formula>
    </cfRule>
  </conditionalFormatting>
  <conditionalFormatting sqref="AC30">
    <cfRule type="cellIs" dxfId="567" priority="547" operator="greaterThan">
      <formula>0.9</formula>
    </cfRule>
    <cfRule type="cellIs" dxfId="566" priority="548" operator="greaterThan">
      <formula>0.85</formula>
    </cfRule>
  </conditionalFormatting>
  <conditionalFormatting sqref="N30">
    <cfRule type="cellIs" dxfId="565" priority="545" operator="greaterThan">
      <formula>0.9</formula>
    </cfRule>
    <cfRule type="cellIs" dxfId="564" priority="546" operator="greaterThan">
      <formula>0.85</formula>
    </cfRule>
  </conditionalFormatting>
  <conditionalFormatting sqref="E30">
    <cfRule type="expression" dxfId="563" priority="541">
      <formula>AND(IF(OR($Q30=1,$Q30=2),1,0),IF($X30&lt;=20,1,0))</formula>
    </cfRule>
    <cfRule type="expression" dxfId="562" priority="542">
      <formula>AND(IF($Q30=2,1,0),IF($X30&lt;30,1,0))</formula>
    </cfRule>
    <cfRule type="expression" dxfId="561" priority="543">
      <formula>AND(IF($Q30=3,1,0),IF($X30&lt;30,1,0))</formula>
    </cfRule>
    <cfRule type="expression" dxfId="560" priority="544">
      <formula>AND(IF($Q30=3,1,IF($Q30=4,1,0)),IF($F30&lt;=85,1,0))</formula>
    </cfRule>
  </conditionalFormatting>
  <conditionalFormatting sqref="X30">
    <cfRule type="expression" dxfId="559" priority="537">
      <formula>AND(IF(OR($Q30=1,$Q30=2),1,0),IF($X30&lt;=20,1,0))</formula>
    </cfRule>
    <cfRule type="expression" dxfId="558" priority="538">
      <formula>AND(IF($Q30=2,1,0),IF($X30&lt;30,1,0))</formula>
    </cfRule>
    <cfRule type="expression" dxfId="557" priority="539">
      <formula>AND(IF($Q30=3,1,0),IF($X30&lt;30,1,0))</formula>
    </cfRule>
    <cfRule type="expression" dxfId="556" priority="540">
      <formula>AND(IF($Q30=3,1,IF($Q30=4,1,0)),IF($F30&lt;=85,1,0))</formula>
    </cfRule>
  </conditionalFormatting>
  <conditionalFormatting sqref="AI30">
    <cfRule type="expression" dxfId="555" priority="533">
      <formula>AND(IF(OR($Q30=1,$Q30=2),1,0),IF($X30&lt;=20,1,0))</formula>
    </cfRule>
    <cfRule type="expression" dxfId="554" priority="534">
      <formula>AND(IF($Q30=2,1,0),IF($X30&lt;30,1,0))</formula>
    </cfRule>
    <cfRule type="expression" dxfId="553" priority="535">
      <formula>AND(IF($Q30=3,1,0),IF($X30&lt;30,1,0))</formula>
    </cfRule>
    <cfRule type="expression" dxfId="552" priority="536">
      <formula>AND(IF($Q30=3,1,IF($Q30=4,1,0)),IF($F30&lt;=85,1,0))</formula>
    </cfRule>
  </conditionalFormatting>
  <conditionalFormatting sqref="AV31">
    <cfRule type="expression" dxfId="551" priority="531">
      <formula>AV31="X"</formula>
    </cfRule>
    <cfRule type="expression" dxfId="550" priority="532">
      <formula>AV31="후보"</formula>
    </cfRule>
  </conditionalFormatting>
  <conditionalFormatting sqref="AC31">
    <cfRule type="cellIs" dxfId="549" priority="529" operator="greaterThan">
      <formula>0.9</formula>
    </cfRule>
    <cfRule type="cellIs" dxfId="548" priority="530" operator="greaterThan">
      <formula>0.85</formula>
    </cfRule>
  </conditionalFormatting>
  <conditionalFormatting sqref="N31">
    <cfRule type="cellIs" dxfId="547" priority="527" operator="greaterThan">
      <formula>0.9</formula>
    </cfRule>
    <cfRule type="cellIs" dxfId="546" priority="528" operator="greaterThan">
      <formula>0.85</formula>
    </cfRule>
  </conditionalFormatting>
  <conditionalFormatting sqref="E31">
    <cfRule type="expression" dxfId="545" priority="523">
      <formula>AND(IF(OR($Q31=1,$Q31=2),1,0),IF($X31&lt;=20,1,0))</formula>
    </cfRule>
    <cfRule type="expression" dxfId="544" priority="524">
      <formula>AND(IF($Q31=2,1,0),IF($X31&lt;30,1,0))</formula>
    </cfRule>
    <cfRule type="expression" dxfId="543" priority="525">
      <formula>AND(IF($Q31=3,1,0),IF($X31&lt;30,1,0))</formula>
    </cfRule>
    <cfRule type="expression" dxfId="542" priority="526">
      <formula>AND(IF($Q31=3,1,IF($Q31=4,1,0)),IF($F31&lt;=85,1,0))</formula>
    </cfRule>
  </conditionalFormatting>
  <conditionalFormatting sqref="X31">
    <cfRule type="expression" dxfId="541" priority="519">
      <formula>AND(IF(OR($Q31=1,$Q31=2),1,0),IF($X31&lt;=20,1,0))</formula>
    </cfRule>
    <cfRule type="expression" dxfId="540" priority="520">
      <formula>AND(IF($Q31=2,1,0),IF($X31&lt;30,1,0))</formula>
    </cfRule>
    <cfRule type="expression" dxfId="539" priority="521">
      <formula>AND(IF($Q31=3,1,0),IF($X31&lt;30,1,0))</formula>
    </cfRule>
    <cfRule type="expression" dxfId="538" priority="522">
      <formula>AND(IF($Q31=3,1,IF($Q31=4,1,0)),IF($F31&lt;=85,1,0))</formula>
    </cfRule>
  </conditionalFormatting>
  <conditionalFormatting sqref="AI31">
    <cfRule type="expression" dxfId="537" priority="515">
      <formula>AND(IF(OR($Q31=1,$Q31=2),1,0),IF($X31&lt;=20,1,0))</formula>
    </cfRule>
    <cfRule type="expression" dxfId="536" priority="516">
      <formula>AND(IF($Q31=2,1,0),IF($X31&lt;30,1,0))</formula>
    </cfRule>
    <cfRule type="expression" dxfId="535" priority="517">
      <formula>AND(IF($Q31=3,1,0),IF($X31&lt;30,1,0))</formula>
    </cfRule>
    <cfRule type="expression" dxfId="534" priority="518">
      <formula>AND(IF($Q31=3,1,IF($Q31=4,1,0)),IF($F31&lt;=85,1,0))</formula>
    </cfRule>
  </conditionalFormatting>
  <conditionalFormatting sqref="AV32">
    <cfRule type="expression" dxfId="533" priority="513">
      <formula>AV32="X"</formula>
    </cfRule>
    <cfRule type="expression" dxfId="532" priority="514">
      <formula>AV32="후보"</formula>
    </cfRule>
  </conditionalFormatting>
  <conditionalFormatting sqref="AC32">
    <cfRule type="cellIs" dxfId="531" priority="511" operator="greaterThan">
      <formula>0.9</formula>
    </cfRule>
    <cfRule type="cellIs" dxfId="530" priority="512" operator="greaterThan">
      <formula>0.85</formula>
    </cfRule>
  </conditionalFormatting>
  <conditionalFormatting sqref="N32">
    <cfRule type="cellIs" dxfId="529" priority="509" operator="greaterThan">
      <formula>0.9</formula>
    </cfRule>
    <cfRule type="cellIs" dxfId="528" priority="510" operator="greaterThan">
      <formula>0.85</formula>
    </cfRule>
  </conditionalFormatting>
  <conditionalFormatting sqref="E32">
    <cfRule type="expression" dxfId="527" priority="505">
      <formula>AND(IF(OR($Q32=1,$Q32=2),1,0),IF($X32&lt;=20,1,0))</formula>
    </cfRule>
    <cfRule type="expression" dxfId="526" priority="506">
      <formula>AND(IF($Q32=2,1,0),IF($X32&lt;30,1,0))</formula>
    </cfRule>
    <cfRule type="expression" dxfId="525" priority="507">
      <formula>AND(IF($Q32=3,1,0),IF($X32&lt;30,1,0))</formula>
    </cfRule>
    <cfRule type="expression" dxfId="524" priority="508">
      <formula>AND(IF($Q32=3,1,IF($Q32=4,1,0)),IF($F32&lt;=85,1,0))</formula>
    </cfRule>
  </conditionalFormatting>
  <conditionalFormatting sqref="X32">
    <cfRule type="expression" dxfId="523" priority="501">
      <formula>AND(IF(OR($Q32=1,$Q32=2),1,0),IF($X32&lt;=20,1,0))</formula>
    </cfRule>
    <cfRule type="expression" dxfId="522" priority="502">
      <formula>AND(IF($Q32=2,1,0),IF($X32&lt;30,1,0))</formula>
    </cfRule>
    <cfRule type="expression" dxfId="521" priority="503">
      <formula>AND(IF($Q32=3,1,0),IF($X32&lt;30,1,0))</formula>
    </cfRule>
    <cfRule type="expression" dxfId="520" priority="504">
      <formula>AND(IF($Q32=3,1,IF($Q32=4,1,0)),IF($F32&lt;=85,1,0))</formula>
    </cfRule>
  </conditionalFormatting>
  <conditionalFormatting sqref="AI32">
    <cfRule type="expression" dxfId="519" priority="497">
      <formula>AND(IF(OR($Q32=1,$Q32=2),1,0),IF($X32&lt;=20,1,0))</formula>
    </cfRule>
    <cfRule type="expression" dxfId="518" priority="498">
      <formula>AND(IF($Q32=2,1,0),IF($X32&lt;30,1,0))</formula>
    </cfRule>
    <cfRule type="expression" dxfId="517" priority="499">
      <formula>AND(IF($Q32=3,1,0),IF($X32&lt;30,1,0))</formula>
    </cfRule>
    <cfRule type="expression" dxfId="516" priority="500">
      <formula>AND(IF($Q32=3,1,IF($Q32=4,1,0)),IF($F32&lt;=85,1,0))</formula>
    </cfRule>
  </conditionalFormatting>
  <conditionalFormatting sqref="AV33">
    <cfRule type="expression" dxfId="515" priority="495">
      <formula>AV33="X"</formula>
    </cfRule>
    <cfRule type="expression" dxfId="514" priority="496">
      <formula>AV33="후보"</formula>
    </cfRule>
  </conditionalFormatting>
  <conditionalFormatting sqref="AC33">
    <cfRule type="cellIs" dxfId="513" priority="493" operator="greaterThan">
      <formula>0.9</formula>
    </cfRule>
    <cfRule type="cellIs" dxfId="512" priority="494" operator="greaterThan">
      <formula>0.85</formula>
    </cfRule>
  </conditionalFormatting>
  <conditionalFormatting sqref="N33">
    <cfRule type="cellIs" dxfId="511" priority="491" operator="greaterThan">
      <formula>0.9</formula>
    </cfRule>
    <cfRule type="cellIs" dxfId="510" priority="492" operator="greaterThan">
      <formula>0.85</formula>
    </cfRule>
  </conditionalFormatting>
  <conditionalFormatting sqref="E33">
    <cfRule type="expression" dxfId="509" priority="487">
      <formula>AND(IF(OR($Q33=1,$Q33=2),1,0),IF($X33&lt;=20,1,0))</formula>
    </cfRule>
    <cfRule type="expression" dxfId="508" priority="488">
      <formula>AND(IF($Q33=2,1,0),IF($X33&lt;30,1,0))</formula>
    </cfRule>
    <cfRule type="expression" dxfId="507" priority="489">
      <formula>AND(IF($Q33=3,1,0),IF($X33&lt;30,1,0))</formula>
    </cfRule>
    <cfRule type="expression" dxfId="506" priority="490">
      <formula>AND(IF($Q33=3,1,IF($Q33=4,1,0)),IF($F33&lt;=85,1,0))</formula>
    </cfRule>
  </conditionalFormatting>
  <conditionalFormatting sqref="X33">
    <cfRule type="expression" dxfId="505" priority="483">
      <formula>AND(IF(OR($Q33=1,$Q33=2),1,0),IF($X33&lt;=20,1,0))</formula>
    </cfRule>
    <cfRule type="expression" dxfId="504" priority="484">
      <formula>AND(IF($Q33=2,1,0),IF($X33&lt;30,1,0))</formula>
    </cfRule>
    <cfRule type="expression" dxfId="503" priority="485">
      <formula>AND(IF($Q33=3,1,0),IF($X33&lt;30,1,0))</formula>
    </cfRule>
    <cfRule type="expression" dxfId="502" priority="486">
      <formula>AND(IF($Q33=3,1,IF($Q33=4,1,0)),IF($F33&lt;=85,1,0))</formula>
    </cfRule>
  </conditionalFormatting>
  <conditionalFormatting sqref="AI33">
    <cfRule type="expression" dxfId="501" priority="479">
      <formula>AND(IF(OR($Q33=1,$Q33=2),1,0),IF($X33&lt;=20,1,0))</formula>
    </cfRule>
    <cfRule type="expression" dxfId="500" priority="480">
      <formula>AND(IF($Q33=2,1,0),IF($X33&lt;30,1,0))</formula>
    </cfRule>
    <cfRule type="expression" dxfId="499" priority="481">
      <formula>AND(IF($Q33=3,1,0),IF($X33&lt;30,1,0))</formula>
    </cfRule>
    <cfRule type="expression" dxfId="498" priority="482">
      <formula>AND(IF($Q33=3,1,IF($Q33=4,1,0)),IF($F33&lt;=85,1,0))</formula>
    </cfRule>
  </conditionalFormatting>
  <conditionalFormatting sqref="AV34">
    <cfRule type="expression" dxfId="497" priority="477">
      <formula>AV34="X"</formula>
    </cfRule>
    <cfRule type="expression" dxfId="496" priority="478">
      <formula>AV34="후보"</formula>
    </cfRule>
  </conditionalFormatting>
  <conditionalFormatting sqref="AC34">
    <cfRule type="cellIs" dxfId="495" priority="475" operator="greaterThan">
      <formula>0.9</formula>
    </cfRule>
    <cfRule type="cellIs" dxfId="494" priority="476" operator="greaterThan">
      <formula>0.85</formula>
    </cfRule>
  </conditionalFormatting>
  <conditionalFormatting sqref="N34">
    <cfRule type="cellIs" dxfId="493" priority="473" operator="greaterThan">
      <formula>0.9</formula>
    </cfRule>
    <cfRule type="cellIs" dxfId="492" priority="474" operator="greaterThan">
      <formula>0.85</formula>
    </cfRule>
  </conditionalFormatting>
  <conditionalFormatting sqref="E34">
    <cfRule type="expression" dxfId="491" priority="469">
      <formula>AND(IF(OR($Q34=1,$Q34=2),1,0),IF($X34&lt;=20,1,0))</formula>
    </cfRule>
    <cfRule type="expression" dxfId="490" priority="470">
      <formula>AND(IF($Q34=2,1,0),IF($X34&lt;30,1,0))</formula>
    </cfRule>
    <cfRule type="expression" dxfId="489" priority="471">
      <formula>AND(IF($Q34=3,1,0),IF($X34&lt;30,1,0))</formula>
    </cfRule>
    <cfRule type="expression" dxfId="488" priority="472">
      <formula>AND(IF($Q34=3,1,IF($Q34=4,1,0)),IF($F34&lt;=85,1,0))</formula>
    </cfRule>
  </conditionalFormatting>
  <conditionalFormatting sqref="X34">
    <cfRule type="expression" dxfId="487" priority="465">
      <formula>AND(IF(OR($Q34=1,$Q34=2),1,0),IF($X34&lt;=20,1,0))</formula>
    </cfRule>
    <cfRule type="expression" dxfId="486" priority="466">
      <formula>AND(IF($Q34=2,1,0),IF($X34&lt;30,1,0))</formula>
    </cfRule>
    <cfRule type="expression" dxfId="485" priority="467">
      <formula>AND(IF($Q34=3,1,0),IF($X34&lt;30,1,0))</formula>
    </cfRule>
    <cfRule type="expression" dxfId="484" priority="468">
      <formula>AND(IF($Q34=3,1,IF($Q34=4,1,0)),IF($F34&lt;=85,1,0))</formula>
    </cfRule>
  </conditionalFormatting>
  <conditionalFormatting sqref="AI34">
    <cfRule type="expression" dxfId="483" priority="461">
      <formula>AND(IF(OR($Q34=1,$Q34=2),1,0),IF($X34&lt;=20,1,0))</formula>
    </cfRule>
    <cfRule type="expression" dxfId="482" priority="462">
      <formula>AND(IF($Q34=2,1,0),IF($X34&lt;30,1,0))</formula>
    </cfRule>
    <cfRule type="expression" dxfId="481" priority="463">
      <formula>AND(IF($Q34=3,1,0),IF($X34&lt;30,1,0))</formula>
    </cfRule>
    <cfRule type="expression" dxfId="480" priority="464">
      <formula>AND(IF($Q34=3,1,IF($Q34=4,1,0)),IF($F34&lt;=85,1,0))</formula>
    </cfRule>
  </conditionalFormatting>
  <conditionalFormatting sqref="AV35">
    <cfRule type="expression" dxfId="479" priority="459">
      <formula>AV35="X"</formula>
    </cfRule>
    <cfRule type="expression" dxfId="478" priority="460">
      <formula>AV35="후보"</formula>
    </cfRule>
  </conditionalFormatting>
  <conditionalFormatting sqref="AC35 N35">
    <cfRule type="cellIs" dxfId="477" priority="457" operator="greaterThan">
      <formula>0.9</formula>
    </cfRule>
    <cfRule type="cellIs" dxfId="476" priority="458" operator="greaterThan">
      <formula>0.85</formula>
    </cfRule>
  </conditionalFormatting>
  <conditionalFormatting sqref="AV36">
    <cfRule type="expression" dxfId="475" priority="455">
      <formula>AV36="X"</formula>
    </cfRule>
    <cfRule type="expression" dxfId="474" priority="456">
      <formula>AV36="후보"</formula>
    </cfRule>
  </conditionalFormatting>
  <conditionalFormatting sqref="AC36">
    <cfRule type="cellIs" dxfId="473" priority="453" operator="greaterThan">
      <formula>0.9</formula>
    </cfRule>
    <cfRule type="cellIs" dxfId="472" priority="454" operator="greaterThan">
      <formula>0.85</formula>
    </cfRule>
  </conditionalFormatting>
  <conditionalFormatting sqref="N36">
    <cfRule type="cellIs" dxfId="471" priority="451" operator="greaterThan">
      <formula>0.9</formula>
    </cfRule>
    <cfRule type="cellIs" dxfId="470" priority="452" operator="greaterThan">
      <formula>0.85</formula>
    </cfRule>
  </conditionalFormatting>
  <conditionalFormatting sqref="E36">
    <cfRule type="expression" dxfId="469" priority="447">
      <formula>AND(IF(OR($Q36=1,$Q36=2),1,0),IF($X36&lt;=20,1,0))</formula>
    </cfRule>
    <cfRule type="expression" dxfId="468" priority="448">
      <formula>AND(IF($Q36=2,1,0),IF($X36&lt;30,1,0))</formula>
    </cfRule>
    <cfRule type="expression" dxfId="467" priority="449">
      <formula>AND(IF($Q36=3,1,0),IF($X36&lt;30,1,0))</formula>
    </cfRule>
    <cfRule type="expression" dxfId="466" priority="450">
      <formula>AND(IF($Q36=3,1,IF($Q36=4,1,0)),IF($F36&lt;=85,1,0))</formula>
    </cfRule>
  </conditionalFormatting>
  <conditionalFormatting sqref="X36">
    <cfRule type="expression" dxfId="465" priority="443">
      <formula>AND(IF(OR($Q36=1,$Q36=2),1,0),IF($X36&lt;=20,1,0))</formula>
    </cfRule>
    <cfRule type="expression" dxfId="464" priority="444">
      <formula>AND(IF($Q36=2,1,0),IF($X36&lt;30,1,0))</formula>
    </cfRule>
    <cfRule type="expression" dxfId="463" priority="445">
      <formula>AND(IF($Q36=3,1,0),IF($X36&lt;30,1,0))</formula>
    </cfRule>
    <cfRule type="expression" dxfId="462" priority="446">
      <formula>AND(IF($Q36=3,1,IF($Q36=4,1,0)),IF($F36&lt;=85,1,0))</formula>
    </cfRule>
  </conditionalFormatting>
  <conditionalFormatting sqref="AI36">
    <cfRule type="expression" dxfId="461" priority="439">
      <formula>AND(IF(OR($Q36=1,$Q36=2),1,0),IF($X36&lt;=20,1,0))</formula>
    </cfRule>
    <cfRule type="expression" dxfId="460" priority="440">
      <formula>AND(IF($Q36=2,1,0),IF($X36&lt;30,1,0))</formula>
    </cfRule>
    <cfRule type="expression" dxfId="459" priority="441">
      <formula>AND(IF($Q36=3,1,0),IF($X36&lt;30,1,0))</formula>
    </cfRule>
    <cfRule type="expression" dxfId="458" priority="442">
      <formula>AND(IF($Q36=3,1,IF($Q36=4,1,0)),IF($F36&lt;=85,1,0))</formula>
    </cfRule>
  </conditionalFormatting>
  <conditionalFormatting sqref="AV37">
    <cfRule type="expression" dxfId="457" priority="437">
      <formula>AV37="X"</formula>
    </cfRule>
    <cfRule type="expression" dxfId="456" priority="438">
      <formula>AV37="후보"</formula>
    </cfRule>
  </conditionalFormatting>
  <conditionalFormatting sqref="AC37">
    <cfRule type="cellIs" dxfId="455" priority="435" operator="greaterThan">
      <formula>0.9</formula>
    </cfRule>
    <cfRule type="cellIs" dxfId="454" priority="436" operator="greaterThan">
      <formula>0.85</formula>
    </cfRule>
  </conditionalFormatting>
  <conditionalFormatting sqref="N37">
    <cfRule type="cellIs" dxfId="453" priority="433" operator="greaterThan">
      <formula>0.9</formula>
    </cfRule>
    <cfRule type="cellIs" dxfId="452" priority="434" operator="greaterThan">
      <formula>0.85</formula>
    </cfRule>
  </conditionalFormatting>
  <conditionalFormatting sqref="E37">
    <cfRule type="expression" dxfId="451" priority="429">
      <formula>AND(IF(OR($Q37=1,$Q37=2),1,0),IF($X37&lt;=20,1,0))</formula>
    </cfRule>
    <cfRule type="expression" dxfId="450" priority="430">
      <formula>AND(IF($Q37=2,1,0),IF($X37&lt;30,1,0))</formula>
    </cfRule>
    <cfRule type="expression" dxfId="449" priority="431">
      <formula>AND(IF($Q37=3,1,0),IF($X37&lt;30,1,0))</formula>
    </cfRule>
    <cfRule type="expression" dxfId="448" priority="432">
      <formula>AND(IF($Q37=3,1,IF($Q37=4,1,0)),IF($F37&lt;=85,1,0))</formula>
    </cfRule>
  </conditionalFormatting>
  <conditionalFormatting sqref="X37">
    <cfRule type="expression" dxfId="447" priority="425">
      <formula>AND(IF(OR($Q37=1,$Q37=2),1,0),IF($X37&lt;=20,1,0))</formula>
    </cfRule>
    <cfRule type="expression" dxfId="446" priority="426">
      <formula>AND(IF($Q37=2,1,0),IF($X37&lt;30,1,0))</formula>
    </cfRule>
    <cfRule type="expression" dxfId="445" priority="427">
      <formula>AND(IF($Q37=3,1,0),IF($X37&lt;30,1,0))</formula>
    </cfRule>
    <cfRule type="expression" dxfId="444" priority="428">
      <formula>AND(IF($Q37=3,1,IF($Q37=4,1,0)),IF($F37&lt;=85,1,0))</formula>
    </cfRule>
  </conditionalFormatting>
  <conditionalFormatting sqref="AI37">
    <cfRule type="expression" dxfId="443" priority="421">
      <formula>AND(IF(OR($Q37=1,$Q37=2),1,0),IF($X37&lt;=20,1,0))</formula>
    </cfRule>
    <cfRule type="expression" dxfId="442" priority="422">
      <formula>AND(IF($Q37=2,1,0),IF($X37&lt;30,1,0))</formula>
    </cfRule>
    <cfRule type="expression" dxfId="441" priority="423">
      <formula>AND(IF($Q37=3,1,0),IF($X37&lt;30,1,0))</formula>
    </cfRule>
    <cfRule type="expression" dxfId="440" priority="424">
      <formula>AND(IF($Q37=3,1,IF($Q37=4,1,0)),IF($F37&lt;=85,1,0))</formula>
    </cfRule>
  </conditionalFormatting>
  <conditionalFormatting sqref="AV38">
    <cfRule type="expression" dxfId="439" priority="419">
      <formula>AV38="X"</formula>
    </cfRule>
    <cfRule type="expression" dxfId="438" priority="420">
      <formula>AV38="후보"</formula>
    </cfRule>
  </conditionalFormatting>
  <conditionalFormatting sqref="AC38 N38">
    <cfRule type="cellIs" dxfId="437" priority="417" operator="greaterThan">
      <formula>0.9</formula>
    </cfRule>
    <cfRule type="cellIs" dxfId="436" priority="418" operator="greaterThan">
      <formula>0.85</formula>
    </cfRule>
  </conditionalFormatting>
  <conditionalFormatting sqref="AV39">
    <cfRule type="expression" dxfId="435" priority="415">
      <formula>AV39="X"</formula>
    </cfRule>
    <cfRule type="expression" dxfId="434" priority="416">
      <formula>AV39="후보"</formula>
    </cfRule>
  </conditionalFormatting>
  <conditionalFormatting sqref="AC39">
    <cfRule type="cellIs" dxfId="433" priority="413" operator="greaterThan">
      <formula>0.9</formula>
    </cfRule>
    <cfRule type="cellIs" dxfId="432" priority="414" operator="greaterThan">
      <formula>0.85</formula>
    </cfRule>
  </conditionalFormatting>
  <conditionalFormatting sqref="N39">
    <cfRule type="cellIs" dxfId="431" priority="411" operator="greaterThan">
      <formula>0.9</formula>
    </cfRule>
    <cfRule type="cellIs" dxfId="430" priority="412" operator="greaterThan">
      <formula>0.85</formula>
    </cfRule>
  </conditionalFormatting>
  <conditionalFormatting sqref="E39">
    <cfRule type="expression" dxfId="429" priority="407">
      <formula>AND(IF(OR($Q39=1,$Q39=2),1,0),IF($X39&lt;=20,1,0))</formula>
    </cfRule>
    <cfRule type="expression" dxfId="428" priority="408">
      <formula>AND(IF($Q39=2,1,0),IF($X39&lt;30,1,0))</formula>
    </cfRule>
    <cfRule type="expression" dxfId="427" priority="409">
      <formula>AND(IF($Q39=3,1,0),IF($X39&lt;30,1,0))</formula>
    </cfRule>
    <cfRule type="expression" dxfId="426" priority="410">
      <formula>AND(IF($Q39=3,1,IF($Q39=4,1,0)),IF($F39&lt;=85,1,0))</formula>
    </cfRule>
  </conditionalFormatting>
  <conditionalFormatting sqref="X39">
    <cfRule type="expression" dxfId="425" priority="403">
      <formula>AND(IF(OR($Q39=1,$Q39=2),1,0),IF($X39&lt;=20,1,0))</formula>
    </cfRule>
    <cfRule type="expression" dxfId="424" priority="404">
      <formula>AND(IF($Q39=2,1,0),IF($X39&lt;30,1,0))</formula>
    </cfRule>
    <cfRule type="expression" dxfId="423" priority="405">
      <formula>AND(IF($Q39=3,1,0),IF($X39&lt;30,1,0))</formula>
    </cfRule>
    <cfRule type="expression" dxfId="422" priority="406">
      <formula>AND(IF($Q39=3,1,IF($Q39=4,1,0)),IF($F39&lt;=85,1,0))</formula>
    </cfRule>
  </conditionalFormatting>
  <conditionalFormatting sqref="AI39">
    <cfRule type="expression" dxfId="421" priority="399">
      <formula>AND(IF(OR($Q39=1,$Q39=2),1,0),IF($X39&lt;=20,1,0))</formula>
    </cfRule>
    <cfRule type="expression" dxfId="420" priority="400">
      <formula>AND(IF($Q39=2,1,0),IF($X39&lt;30,1,0))</formula>
    </cfRule>
    <cfRule type="expression" dxfId="419" priority="401">
      <formula>AND(IF($Q39=3,1,0),IF($X39&lt;30,1,0))</formula>
    </cfRule>
    <cfRule type="expression" dxfId="418" priority="402">
      <formula>AND(IF($Q39=3,1,IF($Q39=4,1,0)),IF($F39&lt;=85,1,0))</formula>
    </cfRule>
  </conditionalFormatting>
  <conditionalFormatting sqref="AV40">
    <cfRule type="expression" dxfId="417" priority="397">
      <formula>AV40="X"</formula>
    </cfRule>
    <cfRule type="expression" dxfId="416" priority="398">
      <formula>AV40="후보"</formula>
    </cfRule>
  </conditionalFormatting>
  <conditionalFormatting sqref="AC40">
    <cfRule type="cellIs" dxfId="415" priority="395" operator="greaterThan">
      <formula>0.9</formula>
    </cfRule>
    <cfRule type="cellIs" dxfId="414" priority="396" operator="greaterThan">
      <formula>0.85</formula>
    </cfRule>
  </conditionalFormatting>
  <conditionalFormatting sqref="N40">
    <cfRule type="cellIs" dxfId="413" priority="393" operator="greaterThan">
      <formula>0.9</formula>
    </cfRule>
    <cfRule type="cellIs" dxfId="412" priority="394" operator="greaterThan">
      <formula>0.85</formula>
    </cfRule>
  </conditionalFormatting>
  <conditionalFormatting sqref="E40">
    <cfRule type="expression" dxfId="411" priority="389">
      <formula>AND(IF(OR($Q40=1,$Q40=2),1,0),IF($X40&lt;=20,1,0))</formula>
    </cfRule>
    <cfRule type="expression" dxfId="410" priority="390">
      <formula>AND(IF($Q40=2,1,0),IF($X40&lt;30,1,0))</formula>
    </cfRule>
    <cfRule type="expression" dxfId="409" priority="391">
      <formula>AND(IF($Q40=3,1,0),IF($X40&lt;30,1,0))</formula>
    </cfRule>
    <cfRule type="expression" dxfId="408" priority="392">
      <formula>AND(IF($Q40=3,1,IF($Q40=4,1,0)),IF($F40&lt;=85,1,0))</formula>
    </cfRule>
  </conditionalFormatting>
  <conditionalFormatting sqref="X40">
    <cfRule type="expression" dxfId="407" priority="385">
      <formula>AND(IF(OR($Q40=1,$Q40=2),1,0),IF($X40&lt;=20,1,0))</formula>
    </cfRule>
    <cfRule type="expression" dxfId="406" priority="386">
      <formula>AND(IF($Q40=2,1,0),IF($X40&lt;30,1,0))</formula>
    </cfRule>
    <cfRule type="expression" dxfId="405" priority="387">
      <formula>AND(IF($Q40=3,1,0),IF($X40&lt;30,1,0))</formula>
    </cfRule>
    <cfRule type="expression" dxfId="404" priority="388">
      <formula>AND(IF($Q40=3,1,IF($Q40=4,1,0)),IF($F40&lt;=85,1,0))</formula>
    </cfRule>
  </conditionalFormatting>
  <conditionalFormatting sqref="AI40">
    <cfRule type="expression" dxfId="403" priority="381">
      <formula>AND(IF(OR($Q40=1,$Q40=2),1,0),IF($X40&lt;=20,1,0))</formula>
    </cfRule>
    <cfRule type="expression" dxfId="402" priority="382">
      <formula>AND(IF($Q40=2,1,0),IF($X40&lt;30,1,0))</formula>
    </cfRule>
    <cfRule type="expression" dxfId="401" priority="383">
      <formula>AND(IF($Q40=3,1,0),IF($X40&lt;30,1,0))</formula>
    </cfRule>
    <cfRule type="expression" dxfId="400" priority="384">
      <formula>AND(IF($Q40=3,1,IF($Q40=4,1,0)),IF($F40&lt;=85,1,0))</formula>
    </cfRule>
  </conditionalFormatting>
  <conditionalFormatting sqref="AV41">
    <cfRule type="expression" dxfId="399" priority="379">
      <formula>AV41="X"</formula>
    </cfRule>
    <cfRule type="expression" dxfId="398" priority="380">
      <formula>AV41="후보"</formula>
    </cfRule>
  </conditionalFormatting>
  <conditionalFormatting sqref="AC41">
    <cfRule type="cellIs" dxfId="397" priority="377" operator="greaterThan">
      <formula>0.9</formula>
    </cfRule>
    <cfRule type="cellIs" dxfId="396" priority="378" operator="greaterThan">
      <formula>0.85</formula>
    </cfRule>
  </conditionalFormatting>
  <conditionalFormatting sqref="N41">
    <cfRule type="cellIs" dxfId="395" priority="375" operator="greaterThan">
      <formula>0.9</formula>
    </cfRule>
    <cfRule type="cellIs" dxfId="394" priority="376" operator="greaterThan">
      <formula>0.85</formula>
    </cfRule>
  </conditionalFormatting>
  <conditionalFormatting sqref="E41">
    <cfRule type="expression" dxfId="393" priority="371">
      <formula>AND(IF(OR($Q41=1,$Q41=2),1,0),IF($X41&lt;=20,1,0))</formula>
    </cfRule>
    <cfRule type="expression" dxfId="392" priority="372">
      <formula>AND(IF($Q41=2,1,0),IF($X41&lt;30,1,0))</formula>
    </cfRule>
    <cfRule type="expression" dxfId="391" priority="373">
      <formula>AND(IF($Q41=3,1,0),IF($X41&lt;30,1,0))</formula>
    </cfRule>
    <cfRule type="expression" dxfId="390" priority="374">
      <formula>AND(IF($Q41=3,1,IF($Q41=4,1,0)),IF($F41&lt;=85,1,0))</formula>
    </cfRule>
  </conditionalFormatting>
  <conditionalFormatting sqref="X41">
    <cfRule type="expression" dxfId="389" priority="367">
      <formula>AND(IF(OR($Q41=1,$Q41=2),1,0),IF($X41&lt;=20,1,0))</formula>
    </cfRule>
    <cfRule type="expression" dxfId="388" priority="368">
      <formula>AND(IF($Q41=2,1,0),IF($X41&lt;30,1,0))</formula>
    </cfRule>
    <cfRule type="expression" dxfId="387" priority="369">
      <formula>AND(IF($Q41=3,1,0),IF($X41&lt;30,1,0))</formula>
    </cfRule>
    <cfRule type="expression" dxfId="386" priority="370">
      <formula>AND(IF($Q41=3,1,IF($Q41=4,1,0)),IF($F41&lt;=85,1,0))</formula>
    </cfRule>
  </conditionalFormatting>
  <conditionalFormatting sqref="AI41">
    <cfRule type="expression" dxfId="385" priority="363">
      <formula>AND(IF(OR($Q41=1,$Q41=2),1,0),IF($X41&lt;=20,1,0))</formula>
    </cfRule>
    <cfRule type="expression" dxfId="384" priority="364">
      <formula>AND(IF($Q41=2,1,0),IF($X41&lt;30,1,0))</formula>
    </cfRule>
    <cfRule type="expression" dxfId="383" priority="365">
      <formula>AND(IF($Q41=3,1,0),IF($X41&lt;30,1,0))</formula>
    </cfRule>
    <cfRule type="expression" dxfId="382" priority="366">
      <formula>AND(IF($Q41=3,1,IF($Q41=4,1,0)),IF($F41&lt;=85,1,0))</formula>
    </cfRule>
  </conditionalFormatting>
  <conditionalFormatting sqref="AV42">
    <cfRule type="expression" dxfId="381" priority="361">
      <formula>AV42="X"</formula>
    </cfRule>
    <cfRule type="expression" dxfId="380" priority="362">
      <formula>AV42="후보"</formula>
    </cfRule>
  </conditionalFormatting>
  <conditionalFormatting sqref="AC42">
    <cfRule type="cellIs" dxfId="379" priority="359" operator="greaterThan">
      <formula>0.9</formula>
    </cfRule>
    <cfRule type="cellIs" dxfId="378" priority="360" operator="greaterThan">
      <formula>0.85</formula>
    </cfRule>
  </conditionalFormatting>
  <conditionalFormatting sqref="N42">
    <cfRule type="cellIs" dxfId="377" priority="357" operator="greaterThan">
      <formula>0.9</formula>
    </cfRule>
    <cfRule type="cellIs" dxfId="376" priority="358" operator="greaterThan">
      <formula>0.85</formula>
    </cfRule>
  </conditionalFormatting>
  <conditionalFormatting sqref="E42">
    <cfRule type="expression" dxfId="375" priority="353">
      <formula>AND(IF(OR($Q42=1,$Q42=2),1,0),IF($X42&lt;=20,1,0))</formula>
    </cfRule>
    <cfRule type="expression" dxfId="374" priority="354">
      <formula>AND(IF($Q42=2,1,0),IF($X42&lt;30,1,0))</formula>
    </cfRule>
    <cfRule type="expression" dxfId="373" priority="355">
      <formula>AND(IF($Q42=3,1,0),IF($X42&lt;30,1,0))</formula>
    </cfRule>
    <cfRule type="expression" dxfId="372" priority="356">
      <formula>AND(IF($Q42=3,1,IF($Q42=4,1,0)),IF($F42&lt;=85,1,0))</formula>
    </cfRule>
  </conditionalFormatting>
  <conditionalFormatting sqref="X42">
    <cfRule type="expression" dxfId="371" priority="349">
      <formula>AND(IF(OR($Q42=1,$Q42=2),1,0),IF($X42&lt;=20,1,0))</formula>
    </cfRule>
    <cfRule type="expression" dxfId="370" priority="350">
      <formula>AND(IF($Q42=2,1,0),IF($X42&lt;30,1,0))</formula>
    </cfRule>
    <cfRule type="expression" dxfId="369" priority="351">
      <formula>AND(IF($Q42=3,1,0),IF($X42&lt;30,1,0))</formula>
    </cfRule>
    <cfRule type="expression" dxfId="368" priority="352">
      <formula>AND(IF($Q42=3,1,IF($Q42=4,1,0)),IF($F42&lt;=85,1,0))</formula>
    </cfRule>
  </conditionalFormatting>
  <conditionalFormatting sqref="AI42">
    <cfRule type="expression" dxfId="367" priority="345">
      <formula>AND(IF(OR($Q42=1,$Q42=2),1,0),IF($X42&lt;=20,1,0))</formula>
    </cfRule>
    <cfRule type="expression" dxfId="366" priority="346">
      <formula>AND(IF($Q42=2,1,0),IF($X42&lt;30,1,0))</formula>
    </cfRule>
    <cfRule type="expression" dxfId="365" priority="347">
      <formula>AND(IF($Q42=3,1,0),IF($X42&lt;30,1,0))</formula>
    </cfRule>
    <cfRule type="expression" dxfId="364" priority="348">
      <formula>AND(IF($Q42=3,1,IF($Q42=4,1,0)),IF($F42&lt;=85,1,0))</formula>
    </cfRule>
  </conditionalFormatting>
  <conditionalFormatting sqref="AV43">
    <cfRule type="expression" dxfId="363" priority="343">
      <formula>AV43="X"</formula>
    </cfRule>
    <cfRule type="expression" dxfId="362" priority="344">
      <formula>AV43="후보"</formula>
    </cfRule>
  </conditionalFormatting>
  <conditionalFormatting sqref="AC43">
    <cfRule type="cellIs" dxfId="361" priority="341" operator="greaterThan">
      <formula>0.9</formula>
    </cfRule>
    <cfRule type="cellIs" dxfId="360" priority="342" operator="greaterThan">
      <formula>0.85</formula>
    </cfRule>
  </conditionalFormatting>
  <conditionalFormatting sqref="N43">
    <cfRule type="cellIs" dxfId="359" priority="339" operator="greaterThan">
      <formula>0.9</formula>
    </cfRule>
    <cfRule type="cellIs" dxfId="358" priority="340" operator="greaterThan">
      <formula>0.85</formula>
    </cfRule>
  </conditionalFormatting>
  <conditionalFormatting sqref="E43">
    <cfRule type="expression" dxfId="357" priority="335">
      <formula>AND(IF(OR($Q43=1,$Q43=2),1,0),IF($X43&lt;=20,1,0))</formula>
    </cfRule>
    <cfRule type="expression" dxfId="356" priority="336">
      <formula>AND(IF($Q43=2,1,0),IF($X43&lt;30,1,0))</formula>
    </cfRule>
    <cfRule type="expression" dxfId="355" priority="337">
      <formula>AND(IF($Q43=3,1,0),IF($X43&lt;30,1,0))</formula>
    </cfRule>
    <cfRule type="expression" dxfId="354" priority="338">
      <formula>AND(IF($Q43=3,1,IF($Q43=4,1,0)),IF($F43&lt;=85,1,0))</formula>
    </cfRule>
  </conditionalFormatting>
  <conditionalFormatting sqref="X43">
    <cfRule type="expression" dxfId="353" priority="331">
      <formula>AND(IF(OR($Q43=1,$Q43=2),1,0),IF($X43&lt;=20,1,0))</formula>
    </cfRule>
    <cfRule type="expression" dxfId="352" priority="332">
      <formula>AND(IF($Q43=2,1,0),IF($X43&lt;30,1,0))</formula>
    </cfRule>
    <cfRule type="expression" dxfId="351" priority="333">
      <formula>AND(IF($Q43=3,1,0),IF($X43&lt;30,1,0))</formula>
    </cfRule>
    <cfRule type="expression" dxfId="350" priority="334">
      <formula>AND(IF($Q43=3,1,IF($Q43=4,1,0)),IF($F43&lt;=85,1,0))</formula>
    </cfRule>
  </conditionalFormatting>
  <conditionalFormatting sqref="AI43">
    <cfRule type="expression" dxfId="349" priority="327">
      <formula>AND(IF(OR($Q43=1,$Q43=2),1,0),IF($X43&lt;=20,1,0))</formula>
    </cfRule>
    <cfRule type="expression" dxfId="348" priority="328">
      <formula>AND(IF($Q43=2,1,0),IF($X43&lt;30,1,0))</formula>
    </cfRule>
    <cfRule type="expression" dxfId="347" priority="329">
      <formula>AND(IF($Q43=3,1,0),IF($X43&lt;30,1,0))</formula>
    </cfRule>
    <cfRule type="expression" dxfId="346" priority="330">
      <formula>AND(IF($Q43=3,1,IF($Q43=4,1,0)),IF($F43&lt;=85,1,0))</formula>
    </cfRule>
  </conditionalFormatting>
  <conditionalFormatting sqref="AV44">
    <cfRule type="expression" dxfId="345" priority="325">
      <formula>AV44="X"</formula>
    </cfRule>
    <cfRule type="expression" dxfId="344" priority="326">
      <formula>AV44="후보"</formula>
    </cfRule>
  </conditionalFormatting>
  <conditionalFormatting sqref="AC44">
    <cfRule type="cellIs" dxfId="343" priority="323" operator="greaterThan">
      <formula>0.9</formula>
    </cfRule>
    <cfRule type="cellIs" dxfId="342" priority="324" operator="greaterThan">
      <formula>0.85</formula>
    </cfRule>
  </conditionalFormatting>
  <conditionalFormatting sqref="N44">
    <cfRule type="cellIs" dxfId="341" priority="321" operator="greaterThan">
      <formula>0.9</formula>
    </cfRule>
    <cfRule type="cellIs" dxfId="340" priority="322" operator="greaterThan">
      <formula>0.85</formula>
    </cfRule>
  </conditionalFormatting>
  <conditionalFormatting sqref="E44">
    <cfRule type="expression" dxfId="339" priority="317">
      <formula>AND(IF(OR($Q44=1,$Q44=2),1,0),IF($X44&lt;=20,1,0))</formula>
    </cfRule>
    <cfRule type="expression" dxfId="338" priority="318">
      <formula>AND(IF($Q44=2,1,0),IF($X44&lt;30,1,0))</formula>
    </cfRule>
    <cfRule type="expression" dxfId="337" priority="319">
      <formula>AND(IF($Q44=3,1,0),IF($X44&lt;30,1,0))</formula>
    </cfRule>
    <cfRule type="expression" dxfId="336" priority="320">
      <formula>AND(IF($Q44=3,1,IF($Q44=4,1,0)),IF($F44&lt;=85,1,0))</formula>
    </cfRule>
  </conditionalFormatting>
  <conditionalFormatting sqref="X44">
    <cfRule type="expression" dxfId="335" priority="313">
      <formula>AND(IF(OR($Q44=1,$Q44=2),1,0),IF($X44&lt;=20,1,0))</formula>
    </cfRule>
    <cfRule type="expression" dxfId="334" priority="314">
      <formula>AND(IF($Q44=2,1,0),IF($X44&lt;30,1,0))</formula>
    </cfRule>
    <cfRule type="expression" dxfId="333" priority="315">
      <formula>AND(IF($Q44=3,1,0),IF($X44&lt;30,1,0))</formula>
    </cfRule>
    <cfRule type="expression" dxfId="332" priority="316">
      <formula>AND(IF($Q44=3,1,IF($Q44=4,1,0)),IF($F44&lt;=85,1,0))</formula>
    </cfRule>
  </conditionalFormatting>
  <conditionalFormatting sqref="AI44">
    <cfRule type="expression" dxfId="331" priority="309">
      <formula>AND(IF(OR($Q44=1,$Q44=2),1,0),IF($X44&lt;=20,1,0))</formula>
    </cfRule>
    <cfRule type="expression" dxfId="330" priority="310">
      <formula>AND(IF($Q44=2,1,0),IF($X44&lt;30,1,0))</formula>
    </cfRule>
    <cfRule type="expression" dxfId="329" priority="311">
      <formula>AND(IF($Q44=3,1,0),IF($X44&lt;30,1,0))</formula>
    </cfRule>
    <cfRule type="expression" dxfId="328" priority="312">
      <formula>AND(IF($Q44=3,1,IF($Q44=4,1,0)),IF($F44&lt;=85,1,0))</formula>
    </cfRule>
  </conditionalFormatting>
  <conditionalFormatting sqref="AV45">
    <cfRule type="expression" dxfId="327" priority="307">
      <formula>AV45="X"</formula>
    </cfRule>
    <cfRule type="expression" dxfId="326" priority="308">
      <formula>AV45="후보"</formula>
    </cfRule>
  </conditionalFormatting>
  <conditionalFormatting sqref="AC45">
    <cfRule type="cellIs" dxfId="325" priority="305" operator="greaterThan">
      <formula>0.9</formula>
    </cfRule>
    <cfRule type="cellIs" dxfId="324" priority="306" operator="greaterThan">
      <formula>0.85</formula>
    </cfRule>
  </conditionalFormatting>
  <conditionalFormatting sqref="N45">
    <cfRule type="cellIs" dxfId="323" priority="303" operator="greaterThan">
      <formula>0.9</formula>
    </cfRule>
    <cfRule type="cellIs" dxfId="322" priority="304" operator="greaterThan">
      <formula>0.85</formula>
    </cfRule>
  </conditionalFormatting>
  <conditionalFormatting sqref="E45">
    <cfRule type="expression" dxfId="321" priority="299">
      <formula>AND(IF(OR($Q45=1,$Q45=2),1,0),IF($X45&lt;=20,1,0))</formula>
    </cfRule>
    <cfRule type="expression" dxfId="320" priority="300">
      <formula>AND(IF($Q45=2,1,0),IF($X45&lt;30,1,0))</formula>
    </cfRule>
    <cfRule type="expression" dxfId="319" priority="301">
      <formula>AND(IF($Q45=3,1,0),IF($X45&lt;30,1,0))</formula>
    </cfRule>
    <cfRule type="expression" dxfId="318" priority="302">
      <formula>AND(IF($Q45=3,1,IF($Q45=4,1,0)),IF($F45&lt;=85,1,0))</formula>
    </cfRule>
  </conditionalFormatting>
  <conditionalFormatting sqref="X45">
    <cfRule type="expression" dxfId="317" priority="295">
      <formula>AND(IF(OR($Q45=1,$Q45=2),1,0),IF($X45&lt;=20,1,0))</formula>
    </cfRule>
    <cfRule type="expression" dxfId="316" priority="296">
      <formula>AND(IF($Q45=2,1,0),IF($X45&lt;30,1,0))</formula>
    </cfRule>
    <cfRule type="expression" dxfId="315" priority="297">
      <formula>AND(IF($Q45=3,1,0),IF($X45&lt;30,1,0))</formula>
    </cfRule>
    <cfRule type="expression" dxfId="314" priority="298">
      <formula>AND(IF($Q45=3,1,IF($Q45=4,1,0)),IF($F45&lt;=85,1,0))</formula>
    </cfRule>
  </conditionalFormatting>
  <conditionalFormatting sqref="AI45">
    <cfRule type="expression" dxfId="313" priority="291">
      <formula>AND(IF(OR($Q45=1,$Q45=2),1,0),IF($X45&lt;=20,1,0))</formula>
    </cfRule>
    <cfRule type="expression" dxfId="312" priority="292">
      <formula>AND(IF($Q45=2,1,0),IF($X45&lt;30,1,0))</formula>
    </cfRule>
    <cfRule type="expression" dxfId="311" priority="293">
      <formula>AND(IF($Q45=3,1,0),IF($X45&lt;30,1,0))</formula>
    </cfRule>
    <cfRule type="expression" dxfId="310" priority="294">
      <formula>AND(IF($Q45=3,1,IF($Q45=4,1,0)),IF($F45&lt;=85,1,0))</formula>
    </cfRule>
  </conditionalFormatting>
  <conditionalFormatting sqref="AV46">
    <cfRule type="expression" dxfId="309" priority="289">
      <formula>AV46="X"</formula>
    </cfRule>
    <cfRule type="expression" dxfId="308" priority="290">
      <formula>AV46="후보"</formula>
    </cfRule>
  </conditionalFormatting>
  <conditionalFormatting sqref="AC46 N46">
    <cfRule type="cellIs" dxfId="307" priority="287" operator="greaterThan">
      <formula>0.9</formula>
    </cfRule>
    <cfRule type="cellIs" dxfId="306" priority="288" operator="greaterThan">
      <formula>0.85</formula>
    </cfRule>
  </conditionalFormatting>
  <conditionalFormatting sqref="AV47">
    <cfRule type="expression" dxfId="305" priority="285">
      <formula>AV47="X"</formula>
    </cfRule>
    <cfRule type="expression" dxfId="304" priority="286">
      <formula>AV47="후보"</formula>
    </cfRule>
  </conditionalFormatting>
  <conditionalFormatting sqref="AC47">
    <cfRule type="cellIs" dxfId="303" priority="283" operator="greaterThan">
      <formula>0.9</formula>
    </cfRule>
    <cfRule type="cellIs" dxfId="302" priority="284" operator="greaterThan">
      <formula>0.85</formula>
    </cfRule>
  </conditionalFormatting>
  <conditionalFormatting sqref="N47">
    <cfRule type="cellIs" dxfId="301" priority="281" operator="greaterThan">
      <formula>0.9</formula>
    </cfRule>
    <cfRule type="cellIs" dxfId="300" priority="282" operator="greaterThan">
      <formula>0.85</formula>
    </cfRule>
  </conditionalFormatting>
  <conditionalFormatting sqref="E47">
    <cfRule type="expression" dxfId="299" priority="277">
      <formula>AND(IF(OR($Q47=1,$Q47=2),1,0),IF($X47&lt;=20,1,0))</formula>
    </cfRule>
    <cfRule type="expression" dxfId="298" priority="278">
      <formula>AND(IF($Q47=2,1,0),IF($X47&lt;30,1,0))</formula>
    </cfRule>
    <cfRule type="expression" dxfId="297" priority="279">
      <formula>AND(IF($Q47=3,1,0),IF($X47&lt;30,1,0))</formula>
    </cfRule>
    <cfRule type="expression" dxfId="296" priority="280">
      <formula>AND(IF($Q47=3,1,IF($Q47=4,1,0)),IF($F47&lt;=85,1,0))</formula>
    </cfRule>
  </conditionalFormatting>
  <conditionalFormatting sqref="X47">
    <cfRule type="expression" dxfId="295" priority="273">
      <formula>AND(IF(OR($Q47=1,$Q47=2),1,0),IF($X47&lt;=20,1,0))</formula>
    </cfRule>
    <cfRule type="expression" dxfId="294" priority="274">
      <formula>AND(IF($Q47=2,1,0),IF($X47&lt;30,1,0))</formula>
    </cfRule>
    <cfRule type="expression" dxfId="293" priority="275">
      <formula>AND(IF($Q47=3,1,0),IF($X47&lt;30,1,0))</formula>
    </cfRule>
    <cfRule type="expression" dxfId="292" priority="276">
      <formula>AND(IF($Q47=3,1,IF($Q47=4,1,0)),IF($F47&lt;=85,1,0))</formula>
    </cfRule>
  </conditionalFormatting>
  <conditionalFormatting sqref="AI47">
    <cfRule type="expression" dxfId="291" priority="269">
      <formula>AND(IF(OR($Q47=1,$Q47=2),1,0),IF($X47&lt;=20,1,0))</formula>
    </cfRule>
    <cfRule type="expression" dxfId="290" priority="270">
      <formula>AND(IF($Q47=2,1,0),IF($X47&lt;30,1,0))</formula>
    </cfRule>
    <cfRule type="expression" dxfId="289" priority="271">
      <formula>AND(IF($Q47=3,1,0),IF($X47&lt;30,1,0))</formula>
    </cfRule>
    <cfRule type="expression" dxfId="288" priority="272">
      <formula>AND(IF($Q47=3,1,IF($Q47=4,1,0)),IF($F47&lt;=85,1,0))</formula>
    </cfRule>
  </conditionalFormatting>
  <conditionalFormatting sqref="AV48">
    <cfRule type="expression" dxfId="287" priority="267">
      <formula>AV48="X"</formula>
    </cfRule>
    <cfRule type="expression" dxfId="286" priority="268">
      <formula>AV48="후보"</formula>
    </cfRule>
  </conditionalFormatting>
  <conditionalFormatting sqref="AC48">
    <cfRule type="cellIs" dxfId="285" priority="265" operator="greaterThan">
      <formula>0.9</formula>
    </cfRule>
    <cfRule type="cellIs" dxfId="284" priority="266" operator="greaterThan">
      <formula>0.85</formula>
    </cfRule>
  </conditionalFormatting>
  <conditionalFormatting sqref="N48">
    <cfRule type="cellIs" dxfId="283" priority="263" operator="greaterThan">
      <formula>0.9</formula>
    </cfRule>
    <cfRule type="cellIs" dxfId="282" priority="264" operator="greaterThan">
      <formula>0.85</formula>
    </cfRule>
  </conditionalFormatting>
  <conditionalFormatting sqref="E48">
    <cfRule type="expression" dxfId="281" priority="259">
      <formula>AND(IF(OR($Q48=1,$Q48=2),1,0),IF($X48&lt;=20,1,0))</formula>
    </cfRule>
    <cfRule type="expression" dxfId="280" priority="260">
      <formula>AND(IF($Q48=2,1,0),IF($X48&lt;30,1,0))</formula>
    </cfRule>
    <cfRule type="expression" dxfId="279" priority="261">
      <formula>AND(IF($Q48=3,1,0),IF($X48&lt;30,1,0))</formula>
    </cfRule>
    <cfRule type="expression" dxfId="278" priority="262">
      <formula>AND(IF($Q48=3,1,IF($Q48=4,1,0)),IF($F48&lt;=85,1,0))</formula>
    </cfRule>
  </conditionalFormatting>
  <conditionalFormatting sqref="X48">
    <cfRule type="expression" dxfId="277" priority="255">
      <formula>AND(IF(OR($Q48=1,$Q48=2),1,0),IF($X48&lt;=20,1,0))</formula>
    </cfRule>
    <cfRule type="expression" dxfId="276" priority="256">
      <formula>AND(IF($Q48=2,1,0),IF($X48&lt;30,1,0))</formula>
    </cfRule>
    <cfRule type="expression" dxfId="275" priority="257">
      <formula>AND(IF($Q48=3,1,0),IF($X48&lt;30,1,0))</formula>
    </cfRule>
    <cfRule type="expression" dxfId="274" priority="258">
      <formula>AND(IF($Q48=3,1,IF($Q48=4,1,0)),IF($F48&lt;=85,1,0))</formula>
    </cfRule>
  </conditionalFormatting>
  <conditionalFormatting sqref="AI48">
    <cfRule type="expression" dxfId="273" priority="251">
      <formula>AND(IF(OR($Q48=1,$Q48=2),1,0),IF($X48&lt;=20,1,0))</formula>
    </cfRule>
    <cfRule type="expression" dxfId="272" priority="252">
      <formula>AND(IF($Q48=2,1,0),IF($X48&lt;30,1,0))</formula>
    </cfRule>
    <cfRule type="expression" dxfId="271" priority="253">
      <formula>AND(IF($Q48=3,1,0),IF($X48&lt;30,1,0))</formula>
    </cfRule>
    <cfRule type="expression" dxfId="270" priority="254">
      <formula>AND(IF($Q48=3,1,IF($Q48=4,1,0)),IF($F48&lt;=85,1,0))</formula>
    </cfRule>
  </conditionalFormatting>
  <conditionalFormatting sqref="AV49">
    <cfRule type="expression" dxfId="269" priority="249">
      <formula>AV49="X"</formula>
    </cfRule>
    <cfRule type="expression" dxfId="268" priority="250">
      <formula>AV49="후보"</formula>
    </cfRule>
  </conditionalFormatting>
  <conditionalFormatting sqref="AC49 N49">
    <cfRule type="cellIs" dxfId="267" priority="247" operator="greaterThan">
      <formula>0.9</formula>
    </cfRule>
    <cfRule type="cellIs" dxfId="266" priority="248" operator="greaterThan">
      <formula>0.85</formula>
    </cfRule>
  </conditionalFormatting>
  <conditionalFormatting sqref="AV50">
    <cfRule type="expression" dxfId="265" priority="245">
      <formula>AV50="X"</formula>
    </cfRule>
    <cfRule type="expression" dxfId="264" priority="246">
      <formula>AV50="후보"</formula>
    </cfRule>
  </conditionalFormatting>
  <conditionalFormatting sqref="AC50">
    <cfRule type="cellIs" dxfId="263" priority="243" operator="greaterThan">
      <formula>0.9</formula>
    </cfRule>
    <cfRule type="cellIs" dxfId="262" priority="244" operator="greaterThan">
      <formula>0.85</formula>
    </cfRule>
  </conditionalFormatting>
  <conditionalFormatting sqref="N50">
    <cfRule type="cellIs" dxfId="261" priority="241" operator="greaterThan">
      <formula>0.9</formula>
    </cfRule>
    <cfRule type="cellIs" dxfId="260" priority="242" operator="greaterThan">
      <formula>0.85</formula>
    </cfRule>
  </conditionalFormatting>
  <conditionalFormatting sqref="E50">
    <cfRule type="expression" dxfId="259" priority="237">
      <formula>AND(IF(OR($Q50=1,$Q50=2),1,0),IF($X50&lt;=20,1,0))</formula>
    </cfRule>
    <cfRule type="expression" dxfId="258" priority="238">
      <formula>AND(IF($Q50=2,1,0),IF($X50&lt;30,1,0))</formula>
    </cfRule>
    <cfRule type="expression" dxfId="257" priority="239">
      <formula>AND(IF($Q50=3,1,0),IF($X50&lt;30,1,0))</formula>
    </cfRule>
    <cfRule type="expression" dxfId="256" priority="240">
      <formula>AND(IF($Q50=3,1,IF($Q50=4,1,0)),IF($F50&lt;=85,1,0))</formula>
    </cfRule>
  </conditionalFormatting>
  <conditionalFormatting sqref="X50">
    <cfRule type="expression" dxfId="255" priority="233">
      <formula>AND(IF(OR($Q50=1,$Q50=2),1,0),IF($X50&lt;=20,1,0))</formula>
    </cfRule>
    <cfRule type="expression" dxfId="254" priority="234">
      <formula>AND(IF($Q50=2,1,0),IF($X50&lt;30,1,0))</formula>
    </cfRule>
    <cfRule type="expression" dxfId="253" priority="235">
      <formula>AND(IF($Q50=3,1,0),IF($X50&lt;30,1,0))</formula>
    </cfRule>
    <cfRule type="expression" dxfId="252" priority="236">
      <formula>AND(IF($Q50=3,1,IF($Q50=4,1,0)),IF($F50&lt;=85,1,0))</formula>
    </cfRule>
  </conditionalFormatting>
  <conditionalFormatting sqref="AI50">
    <cfRule type="expression" dxfId="251" priority="229">
      <formula>AND(IF(OR($Q50=1,$Q50=2),1,0),IF($X50&lt;=20,1,0))</formula>
    </cfRule>
    <cfRule type="expression" dxfId="250" priority="230">
      <formula>AND(IF($Q50=2,1,0),IF($X50&lt;30,1,0))</formula>
    </cfRule>
    <cfRule type="expression" dxfId="249" priority="231">
      <formula>AND(IF($Q50=3,1,0),IF($X50&lt;30,1,0))</formula>
    </cfRule>
    <cfRule type="expression" dxfId="248" priority="232">
      <formula>AND(IF($Q50=3,1,IF($Q50=4,1,0)),IF($F50&lt;=85,1,0))</formula>
    </cfRule>
  </conditionalFormatting>
  <conditionalFormatting sqref="AV51">
    <cfRule type="expression" dxfId="247" priority="227">
      <formula>AV51="X"</formula>
    </cfRule>
    <cfRule type="expression" dxfId="246" priority="228">
      <formula>AV51="후보"</formula>
    </cfRule>
  </conditionalFormatting>
  <conditionalFormatting sqref="AC51">
    <cfRule type="cellIs" dxfId="245" priority="225" operator="greaterThan">
      <formula>0.9</formula>
    </cfRule>
    <cfRule type="cellIs" dxfId="244" priority="226" operator="greaterThan">
      <formula>0.85</formula>
    </cfRule>
  </conditionalFormatting>
  <conditionalFormatting sqref="N51">
    <cfRule type="cellIs" dxfId="243" priority="223" operator="greaterThan">
      <formula>0.9</formula>
    </cfRule>
    <cfRule type="cellIs" dxfId="242" priority="224" operator="greaterThan">
      <formula>0.85</formula>
    </cfRule>
  </conditionalFormatting>
  <conditionalFormatting sqref="E51">
    <cfRule type="expression" dxfId="241" priority="219">
      <formula>AND(IF(OR($Q51=1,$Q51=2),1,0),IF($X51&lt;=20,1,0))</formula>
    </cfRule>
    <cfRule type="expression" dxfId="240" priority="220">
      <formula>AND(IF($Q51=2,1,0),IF($X51&lt;30,1,0))</formula>
    </cfRule>
    <cfRule type="expression" dxfId="239" priority="221">
      <formula>AND(IF($Q51=3,1,0),IF($X51&lt;30,1,0))</formula>
    </cfRule>
    <cfRule type="expression" dxfId="238" priority="222">
      <formula>AND(IF($Q51=3,1,IF($Q51=4,1,0)),IF($F51&lt;=85,1,0))</formula>
    </cfRule>
  </conditionalFormatting>
  <conditionalFormatting sqref="X51">
    <cfRule type="expression" dxfId="237" priority="215">
      <formula>AND(IF(OR($Q51=1,$Q51=2),1,0),IF($X51&lt;=20,1,0))</formula>
    </cfRule>
    <cfRule type="expression" dxfId="236" priority="216">
      <formula>AND(IF($Q51=2,1,0),IF($X51&lt;30,1,0))</formula>
    </cfRule>
    <cfRule type="expression" dxfId="235" priority="217">
      <formula>AND(IF($Q51=3,1,0),IF($X51&lt;30,1,0))</formula>
    </cfRule>
    <cfRule type="expression" dxfId="234" priority="218">
      <formula>AND(IF($Q51=3,1,IF($Q51=4,1,0)),IF($F51&lt;=85,1,0))</formula>
    </cfRule>
  </conditionalFormatting>
  <conditionalFormatting sqref="AI51">
    <cfRule type="expression" dxfId="233" priority="211">
      <formula>AND(IF(OR($Q51=1,$Q51=2),1,0),IF($X51&lt;=20,1,0))</formula>
    </cfRule>
    <cfRule type="expression" dxfId="232" priority="212">
      <formula>AND(IF($Q51=2,1,0),IF($X51&lt;30,1,0))</formula>
    </cfRule>
    <cfRule type="expression" dxfId="231" priority="213">
      <formula>AND(IF($Q51=3,1,0),IF($X51&lt;30,1,0))</formula>
    </cfRule>
    <cfRule type="expression" dxfId="230" priority="214">
      <formula>AND(IF($Q51=3,1,IF($Q51=4,1,0)),IF($F51&lt;=85,1,0))</formula>
    </cfRule>
  </conditionalFormatting>
  <conditionalFormatting sqref="AV52">
    <cfRule type="expression" dxfId="229" priority="209">
      <formula>AV52="X"</formula>
    </cfRule>
    <cfRule type="expression" dxfId="228" priority="210">
      <formula>AV52="후보"</formula>
    </cfRule>
  </conditionalFormatting>
  <conditionalFormatting sqref="AC52 N52">
    <cfRule type="cellIs" dxfId="227" priority="207" operator="greaterThan">
      <formula>0.9</formula>
    </cfRule>
    <cfRule type="cellIs" dxfId="226" priority="208" operator="greaterThan">
      <formula>0.85</formula>
    </cfRule>
  </conditionalFormatting>
  <conditionalFormatting sqref="AV53">
    <cfRule type="expression" dxfId="225" priority="205">
      <formula>AV53="X"</formula>
    </cfRule>
    <cfRule type="expression" dxfId="224" priority="206">
      <formula>AV53="후보"</formula>
    </cfRule>
  </conditionalFormatting>
  <conditionalFormatting sqref="AC53">
    <cfRule type="cellIs" dxfId="223" priority="203" operator="greaterThan">
      <formula>0.9</formula>
    </cfRule>
    <cfRule type="cellIs" dxfId="222" priority="204" operator="greaterThan">
      <formula>0.85</formula>
    </cfRule>
  </conditionalFormatting>
  <conditionalFormatting sqref="N53">
    <cfRule type="cellIs" dxfId="221" priority="201" operator="greaterThan">
      <formula>0.9</formula>
    </cfRule>
    <cfRule type="cellIs" dxfId="220" priority="202" operator="greaterThan">
      <formula>0.85</formula>
    </cfRule>
  </conditionalFormatting>
  <conditionalFormatting sqref="E53">
    <cfRule type="expression" dxfId="219" priority="197">
      <formula>AND(IF(OR($Q53=1,$Q53=2),1,0),IF($X53&lt;=20,1,0))</formula>
    </cfRule>
    <cfRule type="expression" dxfId="218" priority="198">
      <formula>AND(IF($Q53=2,1,0),IF($X53&lt;30,1,0))</formula>
    </cfRule>
    <cfRule type="expression" dxfId="217" priority="199">
      <formula>AND(IF($Q53=3,1,0),IF($X53&lt;30,1,0))</formula>
    </cfRule>
    <cfRule type="expression" dxfId="216" priority="200">
      <formula>AND(IF($Q53=3,1,IF($Q53=4,1,0)),IF($F53&lt;=85,1,0))</formula>
    </cfRule>
  </conditionalFormatting>
  <conditionalFormatting sqref="X53">
    <cfRule type="expression" dxfId="215" priority="193">
      <formula>AND(IF(OR($Q53=1,$Q53=2),1,0),IF($X53&lt;=20,1,0))</formula>
    </cfRule>
    <cfRule type="expression" dxfId="214" priority="194">
      <formula>AND(IF($Q53=2,1,0),IF($X53&lt;30,1,0))</formula>
    </cfRule>
    <cfRule type="expression" dxfId="213" priority="195">
      <formula>AND(IF($Q53=3,1,0),IF($X53&lt;30,1,0))</formula>
    </cfRule>
    <cfRule type="expression" dxfId="212" priority="196">
      <formula>AND(IF($Q53=3,1,IF($Q53=4,1,0)),IF($F53&lt;=85,1,0))</formula>
    </cfRule>
  </conditionalFormatting>
  <conditionalFormatting sqref="AI53">
    <cfRule type="expression" dxfId="211" priority="189">
      <formula>AND(IF(OR($Q53=1,$Q53=2),1,0),IF($X53&lt;=20,1,0))</formula>
    </cfRule>
    <cfRule type="expression" dxfId="210" priority="190">
      <formula>AND(IF($Q53=2,1,0),IF($X53&lt;30,1,0))</formula>
    </cfRule>
    <cfRule type="expression" dxfId="209" priority="191">
      <formula>AND(IF($Q53=3,1,0),IF($X53&lt;30,1,0))</formula>
    </cfRule>
    <cfRule type="expression" dxfId="208" priority="192">
      <formula>AND(IF($Q53=3,1,IF($Q53=4,1,0)),IF($F53&lt;=85,1,0))</formula>
    </cfRule>
  </conditionalFormatting>
  <conditionalFormatting sqref="AV54">
    <cfRule type="expression" dxfId="207" priority="187">
      <formula>AV54="X"</formula>
    </cfRule>
    <cfRule type="expression" dxfId="206" priority="188">
      <formula>AV54="후보"</formula>
    </cfRule>
  </conditionalFormatting>
  <conditionalFormatting sqref="AC54">
    <cfRule type="cellIs" dxfId="205" priority="185" operator="greaterThan">
      <formula>0.9</formula>
    </cfRule>
    <cfRule type="cellIs" dxfId="204" priority="186" operator="greaterThan">
      <formula>0.85</formula>
    </cfRule>
  </conditionalFormatting>
  <conditionalFormatting sqref="N54">
    <cfRule type="cellIs" dxfId="203" priority="183" operator="greaterThan">
      <formula>0.9</formula>
    </cfRule>
    <cfRule type="cellIs" dxfId="202" priority="184" operator="greaterThan">
      <formula>0.85</formula>
    </cfRule>
  </conditionalFormatting>
  <conditionalFormatting sqref="E54">
    <cfRule type="expression" dxfId="201" priority="179">
      <formula>AND(IF(OR($Q54=1,$Q54=2),1,0),IF($X54&lt;=20,1,0))</formula>
    </cfRule>
    <cfRule type="expression" dxfId="200" priority="180">
      <formula>AND(IF($Q54=2,1,0),IF($X54&lt;30,1,0))</formula>
    </cfRule>
    <cfRule type="expression" dxfId="199" priority="181">
      <formula>AND(IF($Q54=3,1,0),IF($X54&lt;30,1,0))</formula>
    </cfRule>
    <cfRule type="expression" dxfId="198" priority="182">
      <formula>AND(IF($Q54=3,1,IF($Q54=4,1,0)),IF($F54&lt;=85,1,0))</formula>
    </cfRule>
  </conditionalFormatting>
  <conditionalFormatting sqref="X54">
    <cfRule type="expression" dxfId="197" priority="175">
      <formula>AND(IF(OR($Q54=1,$Q54=2),1,0),IF($X54&lt;=20,1,0))</formula>
    </cfRule>
    <cfRule type="expression" dxfId="196" priority="176">
      <formula>AND(IF($Q54=2,1,0),IF($X54&lt;30,1,0))</formula>
    </cfRule>
    <cfRule type="expression" dxfId="195" priority="177">
      <formula>AND(IF($Q54=3,1,0),IF($X54&lt;30,1,0))</formula>
    </cfRule>
    <cfRule type="expression" dxfId="194" priority="178">
      <formula>AND(IF($Q54=3,1,IF($Q54=4,1,0)),IF($F54&lt;=85,1,0))</formula>
    </cfRule>
  </conditionalFormatting>
  <conditionalFormatting sqref="AI54">
    <cfRule type="expression" dxfId="193" priority="171">
      <formula>AND(IF(OR($Q54=1,$Q54=2),1,0),IF($X54&lt;=20,1,0))</formula>
    </cfRule>
    <cfRule type="expression" dxfId="192" priority="172">
      <formula>AND(IF($Q54=2,1,0),IF($X54&lt;30,1,0))</formula>
    </cfRule>
    <cfRule type="expression" dxfId="191" priority="173">
      <formula>AND(IF($Q54=3,1,0),IF($X54&lt;30,1,0))</formula>
    </cfRule>
    <cfRule type="expression" dxfId="190" priority="174">
      <formula>AND(IF($Q54=3,1,IF($Q54=4,1,0)),IF($F54&lt;=85,1,0))</formula>
    </cfRule>
  </conditionalFormatting>
  <conditionalFormatting sqref="AV55">
    <cfRule type="expression" dxfId="189" priority="169">
      <formula>AV55="X"</formula>
    </cfRule>
    <cfRule type="expression" dxfId="188" priority="170">
      <formula>AV55="후보"</formula>
    </cfRule>
  </conditionalFormatting>
  <conditionalFormatting sqref="AC55">
    <cfRule type="cellIs" dxfId="187" priority="167" operator="greaterThan">
      <formula>0.9</formula>
    </cfRule>
    <cfRule type="cellIs" dxfId="186" priority="168" operator="greaterThan">
      <formula>0.85</formula>
    </cfRule>
  </conditionalFormatting>
  <conditionalFormatting sqref="N55">
    <cfRule type="cellIs" dxfId="185" priority="165" operator="greaterThan">
      <formula>0.9</formula>
    </cfRule>
    <cfRule type="cellIs" dxfId="184" priority="166" operator="greaterThan">
      <formula>0.85</formula>
    </cfRule>
  </conditionalFormatting>
  <conditionalFormatting sqref="E55">
    <cfRule type="expression" dxfId="183" priority="161">
      <formula>AND(IF(OR($Q55=1,$Q55=2),1,0),IF($X55&lt;=20,1,0))</formula>
    </cfRule>
    <cfRule type="expression" dxfId="182" priority="162">
      <formula>AND(IF($Q55=2,1,0),IF($X55&lt;30,1,0))</formula>
    </cfRule>
    <cfRule type="expression" dxfId="181" priority="163">
      <formula>AND(IF($Q55=3,1,0),IF($X55&lt;30,1,0))</formula>
    </cfRule>
    <cfRule type="expression" dxfId="180" priority="164">
      <formula>AND(IF($Q55=3,1,IF($Q55=4,1,0)),IF($F55&lt;=85,1,0))</formula>
    </cfRule>
  </conditionalFormatting>
  <conditionalFormatting sqref="X55">
    <cfRule type="expression" dxfId="179" priority="157">
      <formula>AND(IF(OR($Q55=1,$Q55=2),1,0),IF($X55&lt;=20,1,0))</formula>
    </cfRule>
    <cfRule type="expression" dxfId="178" priority="158">
      <formula>AND(IF($Q55=2,1,0),IF($X55&lt;30,1,0))</formula>
    </cfRule>
    <cfRule type="expression" dxfId="177" priority="159">
      <formula>AND(IF($Q55=3,1,0),IF($X55&lt;30,1,0))</formula>
    </cfRule>
    <cfRule type="expression" dxfId="176" priority="160">
      <formula>AND(IF($Q55=3,1,IF($Q55=4,1,0)),IF($F55&lt;=85,1,0))</formula>
    </cfRule>
  </conditionalFormatting>
  <conditionalFormatting sqref="AI55">
    <cfRule type="expression" dxfId="175" priority="153">
      <formula>AND(IF(OR($Q55=1,$Q55=2),1,0),IF($X55&lt;=20,1,0))</formula>
    </cfRule>
    <cfRule type="expression" dxfId="174" priority="154">
      <formula>AND(IF($Q55=2,1,0),IF($X55&lt;30,1,0))</formula>
    </cfRule>
    <cfRule type="expression" dxfId="173" priority="155">
      <formula>AND(IF($Q55=3,1,0),IF($X55&lt;30,1,0))</formula>
    </cfRule>
    <cfRule type="expression" dxfId="172" priority="156">
      <formula>AND(IF($Q55=3,1,IF($Q55=4,1,0)),IF($F55&lt;=85,1,0))</formula>
    </cfRule>
  </conditionalFormatting>
  <conditionalFormatting sqref="AV56">
    <cfRule type="expression" dxfId="171" priority="151">
      <formula>AV56="X"</formula>
    </cfRule>
    <cfRule type="expression" dxfId="170" priority="152">
      <formula>AV56="후보"</formula>
    </cfRule>
  </conditionalFormatting>
  <conditionalFormatting sqref="AC56 N56">
    <cfRule type="cellIs" dxfId="169" priority="149" operator="greaterThan">
      <formula>0.9</formula>
    </cfRule>
    <cfRule type="cellIs" dxfId="168" priority="150" operator="greaterThan">
      <formula>0.85</formula>
    </cfRule>
  </conditionalFormatting>
  <conditionalFormatting sqref="AV57">
    <cfRule type="expression" dxfId="167" priority="147">
      <formula>AV57="X"</formula>
    </cfRule>
    <cfRule type="expression" dxfId="166" priority="148">
      <formula>AV57="후보"</formula>
    </cfRule>
  </conditionalFormatting>
  <conditionalFormatting sqref="AC57">
    <cfRule type="cellIs" dxfId="165" priority="145" operator="greaterThan">
      <formula>0.9</formula>
    </cfRule>
    <cfRule type="cellIs" dxfId="164" priority="146" operator="greaterThan">
      <formula>0.85</formula>
    </cfRule>
  </conditionalFormatting>
  <conditionalFormatting sqref="N57">
    <cfRule type="cellIs" dxfId="163" priority="143" operator="greaterThan">
      <formula>0.9</formula>
    </cfRule>
    <cfRule type="cellIs" dxfId="162" priority="144" operator="greaterThan">
      <formula>0.85</formula>
    </cfRule>
  </conditionalFormatting>
  <conditionalFormatting sqref="E57">
    <cfRule type="expression" dxfId="161" priority="139">
      <formula>AND(IF(OR($Q57=1,$Q57=2),1,0),IF($X57&lt;=20,1,0))</formula>
    </cfRule>
    <cfRule type="expression" dxfId="160" priority="140">
      <formula>AND(IF($Q57=2,1,0),IF($X57&lt;30,1,0))</formula>
    </cfRule>
    <cfRule type="expression" dxfId="159" priority="141">
      <formula>AND(IF($Q57=3,1,0),IF($X57&lt;30,1,0))</formula>
    </cfRule>
    <cfRule type="expression" dxfId="158" priority="142">
      <formula>AND(IF($Q57=3,1,IF($Q57=4,1,0)),IF($F57&lt;=85,1,0))</formula>
    </cfRule>
  </conditionalFormatting>
  <conditionalFormatting sqref="X57">
    <cfRule type="expression" dxfId="157" priority="135">
      <formula>AND(IF(OR($Q57=1,$Q57=2),1,0),IF($X57&lt;=20,1,0))</formula>
    </cfRule>
    <cfRule type="expression" dxfId="156" priority="136">
      <formula>AND(IF($Q57=2,1,0),IF($X57&lt;30,1,0))</formula>
    </cfRule>
    <cfRule type="expression" dxfId="155" priority="137">
      <formula>AND(IF($Q57=3,1,0),IF($X57&lt;30,1,0))</formula>
    </cfRule>
    <cfRule type="expression" dxfId="154" priority="138">
      <formula>AND(IF($Q57=3,1,IF($Q57=4,1,0)),IF($F57&lt;=85,1,0))</formula>
    </cfRule>
  </conditionalFormatting>
  <conditionalFormatting sqref="AI57">
    <cfRule type="expression" dxfId="153" priority="131">
      <formula>AND(IF(OR($Q57=1,$Q57=2),1,0),IF($X57&lt;=20,1,0))</formula>
    </cfRule>
    <cfRule type="expression" dxfId="152" priority="132">
      <formula>AND(IF($Q57=2,1,0),IF($X57&lt;30,1,0))</formula>
    </cfRule>
    <cfRule type="expression" dxfId="151" priority="133">
      <formula>AND(IF($Q57=3,1,0),IF($X57&lt;30,1,0))</formula>
    </cfRule>
    <cfRule type="expression" dxfId="150" priority="134">
      <formula>AND(IF($Q57=3,1,IF($Q57=4,1,0)),IF($F57&lt;=85,1,0))</formula>
    </cfRule>
  </conditionalFormatting>
  <conditionalFormatting sqref="AV58">
    <cfRule type="expression" dxfId="149" priority="129">
      <formula>AV58="X"</formula>
    </cfRule>
    <cfRule type="expression" dxfId="148" priority="130">
      <formula>AV58="후보"</formula>
    </cfRule>
  </conditionalFormatting>
  <conditionalFormatting sqref="AC58">
    <cfRule type="cellIs" dxfId="147" priority="127" operator="greaterThan">
      <formula>0.9</formula>
    </cfRule>
    <cfRule type="cellIs" dxfId="146" priority="128" operator="greaterThan">
      <formula>0.85</formula>
    </cfRule>
  </conditionalFormatting>
  <conditionalFormatting sqref="N58">
    <cfRule type="cellIs" dxfId="145" priority="125" operator="greaterThan">
      <formula>0.9</formula>
    </cfRule>
    <cfRule type="cellIs" dxfId="144" priority="126" operator="greaterThan">
      <formula>0.85</formula>
    </cfRule>
  </conditionalFormatting>
  <conditionalFormatting sqref="E58">
    <cfRule type="expression" dxfId="143" priority="121">
      <formula>AND(IF(OR($Q58=1,$Q58=2),1,0),IF($X58&lt;=20,1,0))</formula>
    </cfRule>
    <cfRule type="expression" dxfId="142" priority="122">
      <formula>AND(IF($Q58=2,1,0),IF($X58&lt;30,1,0))</formula>
    </cfRule>
    <cfRule type="expression" dxfId="141" priority="123">
      <formula>AND(IF($Q58=3,1,0),IF($X58&lt;30,1,0))</formula>
    </cfRule>
    <cfRule type="expression" dxfId="140" priority="124">
      <formula>AND(IF($Q58=3,1,IF($Q58=4,1,0)),IF($F58&lt;=85,1,0))</formula>
    </cfRule>
  </conditionalFormatting>
  <conditionalFormatting sqref="X58">
    <cfRule type="expression" dxfId="139" priority="117">
      <formula>AND(IF(OR($Q58=1,$Q58=2),1,0),IF($X58&lt;=20,1,0))</formula>
    </cfRule>
    <cfRule type="expression" dxfId="138" priority="118">
      <formula>AND(IF($Q58=2,1,0),IF($X58&lt;30,1,0))</formula>
    </cfRule>
    <cfRule type="expression" dxfId="137" priority="119">
      <formula>AND(IF($Q58=3,1,0),IF($X58&lt;30,1,0))</formula>
    </cfRule>
    <cfRule type="expression" dxfId="136" priority="120">
      <formula>AND(IF($Q58=3,1,IF($Q58=4,1,0)),IF($F58&lt;=85,1,0))</formula>
    </cfRule>
  </conditionalFormatting>
  <conditionalFormatting sqref="AI58">
    <cfRule type="expression" dxfId="135" priority="113">
      <formula>AND(IF(OR($Q58=1,$Q58=2),1,0),IF($X58&lt;=20,1,0))</formula>
    </cfRule>
    <cfRule type="expression" dxfId="134" priority="114">
      <formula>AND(IF($Q58=2,1,0),IF($X58&lt;30,1,0))</formula>
    </cfRule>
    <cfRule type="expression" dxfId="133" priority="115">
      <formula>AND(IF($Q58=3,1,0),IF($X58&lt;30,1,0))</formula>
    </cfRule>
    <cfRule type="expression" dxfId="132" priority="116">
      <formula>AND(IF($Q58=3,1,IF($Q58=4,1,0)),IF($F58&lt;=85,1,0))</formula>
    </cfRule>
  </conditionalFormatting>
  <conditionalFormatting sqref="AV59">
    <cfRule type="expression" dxfId="131" priority="111">
      <formula>AV59="X"</formula>
    </cfRule>
    <cfRule type="expression" dxfId="130" priority="112">
      <formula>AV59="후보"</formula>
    </cfRule>
  </conditionalFormatting>
  <conditionalFormatting sqref="AC59">
    <cfRule type="cellIs" dxfId="129" priority="109" operator="greaterThan">
      <formula>0.9</formula>
    </cfRule>
    <cfRule type="cellIs" dxfId="128" priority="110" operator="greaterThan">
      <formula>0.85</formula>
    </cfRule>
  </conditionalFormatting>
  <conditionalFormatting sqref="N59">
    <cfRule type="cellIs" dxfId="127" priority="107" operator="greaterThan">
      <formula>0.9</formula>
    </cfRule>
    <cfRule type="cellIs" dxfId="126" priority="108" operator="greaterThan">
      <formula>0.85</formula>
    </cfRule>
  </conditionalFormatting>
  <conditionalFormatting sqref="E59">
    <cfRule type="expression" dxfId="125" priority="103">
      <formula>AND(IF(OR($Q59=1,$Q59=2),1,0),IF($X59&lt;=20,1,0))</formula>
    </cfRule>
    <cfRule type="expression" dxfId="124" priority="104">
      <formula>AND(IF($Q59=2,1,0),IF($X59&lt;30,1,0))</formula>
    </cfRule>
    <cfRule type="expression" dxfId="123" priority="105">
      <formula>AND(IF($Q59=3,1,0),IF($X59&lt;30,1,0))</formula>
    </cfRule>
    <cfRule type="expression" dxfId="122" priority="106">
      <formula>AND(IF($Q59=3,1,IF($Q59=4,1,0)),IF($F59&lt;=85,1,0))</formula>
    </cfRule>
  </conditionalFormatting>
  <conditionalFormatting sqref="X59">
    <cfRule type="expression" dxfId="121" priority="99">
      <formula>AND(IF(OR($Q59=1,$Q59=2),1,0),IF($X59&lt;=20,1,0))</formula>
    </cfRule>
    <cfRule type="expression" dxfId="120" priority="100">
      <formula>AND(IF($Q59=2,1,0),IF($X59&lt;30,1,0))</formula>
    </cfRule>
    <cfRule type="expression" dxfId="119" priority="101">
      <formula>AND(IF($Q59=3,1,0),IF($X59&lt;30,1,0))</formula>
    </cfRule>
    <cfRule type="expression" dxfId="118" priority="102">
      <formula>AND(IF($Q59=3,1,IF($Q59=4,1,0)),IF($F59&lt;=85,1,0))</formula>
    </cfRule>
  </conditionalFormatting>
  <conditionalFormatting sqref="AI59">
    <cfRule type="expression" dxfId="117" priority="95">
      <formula>AND(IF(OR($Q59=1,$Q59=2),1,0),IF($X59&lt;=20,1,0))</formula>
    </cfRule>
    <cfRule type="expression" dxfId="116" priority="96">
      <formula>AND(IF($Q59=2,1,0),IF($X59&lt;30,1,0))</formula>
    </cfRule>
    <cfRule type="expression" dxfId="115" priority="97">
      <formula>AND(IF($Q59=3,1,0),IF($X59&lt;30,1,0))</formula>
    </cfRule>
    <cfRule type="expression" dxfId="114" priority="98">
      <formula>AND(IF($Q59=3,1,IF($Q59=4,1,0)),IF($F59&lt;=85,1,0))</formula>
    </cfRule>
  </conditionalFormatting>
  <conditionalFormatting sqref="AV60">
    <cfRule type="expression" dxfId="113" priority="93">
      <formula>AV60="X"</formula>
    </cfRule>
    <cfRule type="expression" dxfId="112" priority="94">
      <formula>AV60="후보"</formula>
    </cfRule>
  </conditionalFormatting>
  <conditionalFormatting sqref="AC6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6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60">
    <cfRule type="expression" dxfId="107" priority="85">
      <formula>AND(IF(OR($Q60=1,$Q60=2),1,0),IF($X60&lt;=20,1,0))</formula>
    </cfRule>
    <cfRule type="expression" dxfId="106" priority="86">
      <formula>AND(IF($Q60=2,1,0),IF($X60&lt;30,1,0))</formula>
    </cfRule>
    <cfRule type="expression" dxfId="105" priority="87">
      <formula>AND(IF($Q60=3,1,0),IF($X60&lt;30,1,0))</formula>
    </cfRule>
    <cfRule type="expression" dxfId="104" priority="88">
      <formula>AND(IF($Q60=3,1,IF($Q60=4,1,0)),IF($F60&lt;=85,1,0))</formula>
    </cfRule>
  </conditionalFormatting>
  <conditionalFormatting sqref="X60">
    <cfRule type="expression" dxfId="103" priority="81">
      <formula>AND(IF(OR($Q60=1,$Q60=2),1,0),IF($X60&lt;=20,1,0))</formula>
    </cfRule>
    <cfRule type="expression" dxfId="102" priority="82">
      <formula>AND(IF($Q60=2,1,0),IF($X60&lt;30,1,0))</formula>
    </cfRule>
    <cfRule type="expression" dxfId="101" priority="83">
      <formula>AND(IF($Q60=3,1,0),IF($X60&lt;30,1,0))</formula>
    </cfRule>
    <cfRule type="expression" dxfId="100" priority="84">
      <formula>AND(IF($Q60=3,1,IF($Q60=4,1,0)),IF($F60&lt;=85,1,0))</formula>
    </cfRule>
  </conditionalFormatting>
  <conditionalFormatting sqref="AI60">
    <cfRule type="expression" dxfId="99" priority="77">
      <formula>AND(IF(OR($Q60=1,$Q60=2),1,0),IF($X60&lt;=20,1,0))</formula>
    </cfRule>
    <cfRule type="expression" dxfId="98" priority="78">
      <formula>AND(IF($Q60=2,1,0),IF($X60&lt;30,1,0))</formula>
    </cfRule>
    <cfRule type="expression" dxfId="97" priority="79">
      <formula>AND(IF($Q60=3,1,0),IF($X60&lt;30,1,0))</formula>
    </cfRule>
    <cfRule type="expression" dxfId="96" priority="80">
      <formula>AND(IF($Q60=3,1,IF($Q60=4,1,0)),IF($F60&lt;=85,1,0))</formula>
    </cfRule>
  </conditionalFormatting>
  <conditionalFormatting sqref="AV61">
    <cfRule type="expression" dxfId="95" priority="75">
      <formula>AV61="X"</formula>
    </cfRule>
    <cfRule type="expression" dxfId="94" priority="76">
      <formula>AV61="후보"</formula>
    </cfRule>
  </conditionalFormatting>
  <conditionalFormatting sqref="AC61">
    <cfRule type="cellIs" dxfId="93" priority="73" operator="greaterThan">
      <formula>0.9</formula>
    </cfRule>
    <cfRule type="cellIs" dxfId="92" priority="74" operator="greaterThan">
      <formula>0.85</formula>
    </cfRule>
  </conditionalFormatting>
  <conditionalFormatting sqref="N61">
    <cfRule type="cellIs" dxfId="91" priority="71" operator="greaterThan">
      <formula>0.9</formula>
    </cfRule>
    <cfRule type="cellIs" dxfId="90" priority="72" operator="greaterThan">
      <formula>0.85</formula>
    </cfRule>
  </conditionalFormatting>
  <conditionalFormatting sqref="E61">
    <cfRule type="expression" dxfId="89" priority="67">
      <formula>AND(IF(OR($Q61=1,$Q61=2),1,0),IF($X61&lt;=20,1,0))</formula>
    </cfRule>
    <cfRule type="expression" dxfId="88" priority="68">
      <formula>AND(IF($Q61=2,1,0),IF($X61&lt;30,1,0))</formula>
    </cfRule>
    <cfRule type="expression" dxfId="87" priority="69">
      <formula>AND(IF($Q61=3,1,0),IF($X61&lt;30,1,0))</formula>
    </cfRule>
    <cfRule type="expression" dxfId="86" priority="70">
      <formula>AND(IF($Q61=3,1,IF($Q61=4,1,0)),IF($F61&lt;=85,1,0))</formula>
    </cfRule>
  </conditionalFormatting>
  <conditionalFormatting sqref="X61">
    <cfRule type="expression" dxfId="85" priority="63">
      <formula>AND(IF(OR($Q61=1,$Q61=2),1,0),IF($X61&lt;=20,1,0))</formula>
    </cfRule>
    <cfRule type="expression" dxfId="84" priority="64">
      <formula>AND(IF($Q61=2,1,0),IF($X61&lt;30,1,0))</formula>
    </cfRule>
    <cfRule type="expression" dxfId="83" priority="65">
      <formula>AND(IF($Q61=3,1,0),IF($X61&lt;30,1,0))</formula>
    </cfRule>
    <cfRule type="expression" dxfId="82" priority="66">
      <formula>AND(IF($Q61=3,1,IF($Q61=4,1,0)),IF($F61&lt;=85,1,0))</formula>
    </cfRule>
  </conditionalFormatting>
  <conditionalFormatting sqref="AI61">
    <cfRule type="expression" dxfId="81" priority="59">
      <formula>AND(IF(OR($Q61=1,$Q61=2),1,0),IF($X61&lt;=20,1,0))</formula>
    </cfRule>
    <cfRule type="expression" dxfId="80" priority="60">
      <formula>AND(IF($Q61=2,1,0),IF($X61&lt;30,1,0))</formula>
    </cfRule>
    <cfRule type="expression" dxfId="79" priority="61">
      <formula>AND(IF($Q61=3,1,0),IF($X61&lt;30,1,0))</formula>
    </cfRule>
    <cfRule type="expression" dxfId="78" priority="62">
      <formula>AND(IF($Q61=3,1,IF($Q61=4,1,0)),IF($F61&lt;=85,1,0))</formula>
    </cfRule>
  </conditionalFormatting>
  <conditionalFormatting sqref="AV62">
    <cfRule type="expression" dxfId="77" priority="57">
      <formula>AV62="X"</formula>
    </cfRule>
    <cfRule type="expression" dxfId="76" priority="58">
      <formula>AV62="후보"</formula>
    </cfRule>
  </conditionalFormatting>
  <conditionalFormatting sqref="AC62">
    <cfRule type="cellIs" dxfId="75" priority="55" operator="greaterThan">
      <formula>0.9</formula>
    </cfRule>
    <cfRule type="cellIs" dxfId="74" priority="56" operator="greaterThan">
      <formula>0.85</formula>
    </cfRule>
  </conditionalFormatting>
  <conditionalFormatting sqref="N62">
    <cfRule type="cellIs" dxfId="73" priority="53" operator="greaterThan">
      <formula>0.9</formula>
    </cfRule>
    <cfRule type="cellIs" dxfId="72" priority="54" operator="greaterThan">
      <formula>0.85</formula>
    </cfRule>
  </conditionalFormatting>
  <conditionalFormatting sqref="E62">
    <cfRule type="expression" dxfId="71" priority="49">
      <formula>AND(IF(OR($Q62=1,$Q62=2),1,0),IF($X62&lt;=20,1,0))</formula>
    </cfRule>
    <cfRule type="expression" dxfId="70" priority="50">
      <formula>AND(IF($Q62=2,1,0),IF($X62&lt;30,1,0))</formula>
    </cfRule>
    <cfRule type="expression" dxfId="69" priority="51">
      <formula>AND(IF($Q62=3,1,0),IF($X62&lt;30,1,0))</formula>
    </cfRule>
    <cfRule type="expression" dxfId="68" priority="52">
      <formula>AND(IF($Q62=3,1,IF($Q62=4,1,0)),IF($F62&lt;=85,1,0))</formula>
    </cfRule>
  </conditionalFormatting>
  <conditionalFormatting sqref="X62">
    <cfRule type="expression" dxfId="67" priority="45">
      <formula>AND(IF(OR($Q62=1,$Q62=2),1,0),IF($X62&lt;=20,1,0))</formula>
    </cfRule>
    <cfRule type="expression" dxfId="66" priority="46">
      <formula>AND(IF($Q62=2,1,0),IF($X62&lt;30,1,0))</formula>
    </cfRule>
    <cfRule type="expression" dxfId="65" priority="47">
      <formula>AND(IF($Q62=3,1,0),IF($X62&lt;30,1,0))</formula>
    </cfRule>
    <cfRule type="expression" dxfId="64" priority="48">
      <formula>AND(IF($Q62=3,1,IF($Q62=4,1,0)),IF($F62&lt;=85,1,0))</formula>
    </cfRule>
  </conditionalFormatting>
  <conditionalFormatting sqref="AI62">
    <cfRule type="expression" dxfId="63" priority="41">
      <formula>AND(IF(OR($Q62=1,$Q62=2),1,0),IF($X62&lt;=20,1,0))</formula>
    </cfRule>
    <cfRule type="expression" dxfId="62" priority="42">
      <formula>AND(IF($Q62=2,1,0),IF($X62&lt;30,1,0))</formula>
    </cfRule>
    <cfRule type="expression" dxfId="61" priority="43">
      <formula>AND(IF($Q62=3,1,0),IF($X62&lt;30,1,0))</formula>
    </cfRule>
    <cfRule type="expression" dxfId="60" priority="44">
      <formula>AND(IF($Q62=3,1,IF($Q62=4,1,0)),IF($F62&lt;=85,1,0))</formula>
    </cfRule>
  </conditionalFormatting>
  <conditionalFormatting sqref="AV63">
    <cfRule type="expression" dxfId="59" priority="39">
      <formula>AV63="X"</formula>
    </cfRule>
    <cfRule type="expression" dxfId="58" priority="40">
      <formula>AV63="후보"</formula>
    </cfRule>
  </conditionalFormatting>
  <conditionalFormatting sqref="AC63">
    <cfRule type="cellIs" dxfId="57" priority="37" operator="greaterThan">
      <formula>0.9</formula>
    </cfRule>
    <cfRule type="cellIs" dxfId="56" priority="38" operator="greaterThan">
      <formula>0.85</formula>
    </cfRule>
  </conditionalFormatting>
  <conditionalFormatting sqref="N63">
    <cfRule type="cellIs" dxfId="55" priority="35" operator="greaterThan">
      <formula>0.9</formula>
    </cfRule>
    <cfRule type="cellIs" dxfId="54" priority="36" operator="greaterThan">
      <formula>0.85</formula>
    </cfRule>
  </conditionalFormatting>
  <conditionalFormatting sqref="E63">
    <cfRule type="expression" dxfId="53" priority="31">
      <formula>AND(IF(OR($Q63=1,$Q63=2),1,0),IF($X63&lt;=20,1,0))</formula>
    </cfRule>
    <cfRule type="expression" dxfId="52" priority="32">
      <formula>AND(IF($Q63=2,1,0),IF($X63&lt;30,1,0))</formula>
    </cfRule>
    <cfRule type="expression" dxfId="51" priority="33">
      <formula>AND(IF($Q63=3,1,0),IF($X63&lt;30,1,0))</formula>
    </cfRule>
    <cfRule type="expression" dxfId="50" priority="34">
      <formula>AND(IF($Q63=3,1,IF($Q63=4,1,0)),IF($F63&lt;=85,1,0))</formula>
    </cfRule>
  </conditionalFormatting>
  <conditionalFormatting sqref="X63">
    <cfRule type="expression" dxfId="49" priority="27">
      <formula>AND(IF(OR($Q63=1,$Q63=2),1,0),IF($X63&lt;=20,1,0))</formula>
    </cfRule>
    <cfRule type="expression" dxfId="48" priority="28">
      <formula>AND(IF($Q63=2,1,0),IF($X63&lt;30,1,0))</formula>
    </cfRule>
    <cfRule type="expression" dxfId="47" priority="29">
      <formula>AND(IF($Q63=3,1,0),IF($X63&lt;30,1,0))</formula>
    </cfRule>
    <cfRule type="expression" dxfId="46" priority="30">
      <formula>AND(IF($Q63=3,1,IF($Q63=4,1,0)),IF($F63&lt;=85,1,0))</formula>
    </cfRule>
  </conditionalFormatting>
  <conditionalFormatting sqref="AI63">
    <cfRule type="expression" dxfId="45" priority="23">
      <formula>AND(IF(OR($Q63=1,$Q63=2),1,0),IF($X63&lt;=20,1,0))</formula>
    </cfRule>
    <cfRule type="expression" dxfId="44" priority="24">
      <formula>AND(IF($Q63=2,1,0),IF($X63&lt;30,1,0))</formula>
    </cfRule>
    <cfRule type="expression" dxfId="43" priority="25">
      <formula>AND(IF($Q63=3,1,0),IF($X63&lt;30,1,0))</formula>
    </cfRule>
    <cfRule type="expression" dxfId="42" priority="26">
      <formula>AND(IF($Q63=3,1,IF($Q63=4,1,0)),IF($F63&lt;=85,1,0))</formula>
    </cfRule>
  </conditionalFormatting>
  <conditionalFormatting sqref="AV64">
    <cfRule type="expression" dxfId="41" priority="21">
      <formula>AV64="X"</formula>
    </cfRule>
    <cfRule type="expression" dxfId="40" priority="22">
      <formula>AV64="후보"</formula>
    </cfRule>
  </conditionalFormatting>
  <conditionalFormatting sqref="AC64 N64">
    <cfRule type="cellIs" dxfId="39" priority="19" operator="greaterThan">
      <formula>0.9</formula>
    </cfRule>
    <cfRule type="cellIs" dxfId="38" priority="20" operator="greaterThan">
      <formula>0.85</formula>
    </cfRule>
  </conditionalFormatting>
  <conditionalFormatting sqref="AV65">
    <cfRule type="expression" dxfId="37" priority="17">
      <formula>AV65="X"</formula>
    </cfRule>
    <cfRule type="expression" dxfId="36" priority="18">
      <formula>AV65="후보"</formula>
    </cfRule>
  </conditionalFormatting>
  <conditionalFormatting sqref="AC65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65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65">
    <cfRule type="expression" dxfId="31" priority="9">
      <formula>AND(IF(OR($Q65=1,$Q65=2),1,0),IF($X65&lt;=20,1,0))</formula>
    </cfRule>
    <cfRule type="expression" dxfId="30" priority="10">
      <formula>AND(IF($Q65=2,1,0),IF($X65&lt;30,1,0))</formula>
    </cfRule>
    <cfRule type="expression" dxfId="29" priority="11">
      <formula>AND(IF($Q65=3,1,0),IF($X65&lt;30,1,0))</formula>
    </cfRule>
    <cfRule type="expression" dxfId="28" priority="12">
      <formula>AND(IF($Q65=3,1,IF($Q65=4,1,0)),IF($F65&lt;=85,1,0))</formula>
    </cfRule>
  </conditionalFormatting>
  <conditionalFormatting sqref="X65">
    <cfRule type="expression" dxfId="27" priority="5">
      <formula>AND(IF(OR($Q65=1,$Q65=2),1,0),IF($X65&lt;=20,1,0))</formula>
    </cfRule>
    <cfRule type="expression" dxfId="26" priority="6">
      <formula>AND(IF($Q65=2,1,0),IF($X65&lt;30,1,0))</formula>
    </cfRule>
    <cfRule type="expression" dxfId="25" priority="7">
      <formula>AND(IF($Q65=3,1,0),IF($X65&lt;30,1,0))</formula>
    </cfRule>
    <cfRule type="expression" dxfId="24" priority="8">
      <formula>AND(IF($Q65=3,1,IF($Q65=4,1,0)),IF($F65&lt;=85,1,0))</formula>
    </cfRule>
  </conditionalFormatting>
  <conditionalFormatting sqref="AI65">
    <cfRule type="expression" dxfId="23" priority="1">
      <formula>AND(IF(OR($Q65=1,$Q65=2),1,0),IF($X65&lt;=20,1,0))</formula>
    </cfRule>
    <cfRule type="expression" dxfId="22" priority="2">
      <formula>AND(IF($Q65=2,1,0),IF($X65&lt;30,1,0))</formula>
    </cfRule>
    <cfRule type="expression" dxfId="21" priority="3">
      <formula>AND(IF($Q65=3,1,0),IF($X65&lt;30,1,0))</formula>
    </cfRule>
    <cfRule type="expression" dxfId="20" priority="4">
      <formula>AND(IF($Q65=3,1,IF($Q65=4,1,0)),IF($F65&lt;=85,1,0))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1364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21</v>
      </c>
      <c r="B6" s="10" t="s">
        <v>1365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61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14</v>
      </c>
      <c r="AL6" s="80" t="s">
        <v>63</v>
      </c>
      <c r="AM6" s="80" t="s">
        <v>64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이름이 지정된 범위</vt:lpstr>
      </vt:variant>
      <vt:variant>
        <vt:i4>48</vt:i4>
      </vt:variant>
    </vt:vector>
  </HeadingPairs>
  <TitlesOfParts>
    <vt:vector size="80" baseType="lpstr">
      <vt:lpstr>단지추출</vt:lpstr>
      <vt:lpstr>단지추출_가격표용</vt:lpstr>
      <vt:lpstr>동별가격표</vt:lpstr>
      <vt:lpstr>정보입력(KB)</vt:lpstr>
      <vt:lpstr>정보입력</vt:lpstr>
      <vt:lpstr>경암동</vt:lpstr>
      <vt:lpstr>구암동</vt:lpstr>
      <vt:lpstr>금광동</vt:lpstr>
      <vt:lpstr>나운동</vt:lpstr>
      <vt:lpstr>대명동</vt:lpstr>
      <vt:lpstr>동흥남동</vt:lpstr>
      <vt:lpstr>문화동</vt:lpstr>
      <vt:lpstr>미룡동</vt:lpstr>
      <vt:lpstr>미장동</vt:lpstr>
      <vt:lpstr>사정동</vt:lpstr>
      <vt:lpstr>산북동</vt:lpstr>
      <vt:lpstr>삼학동</vt:lpstr>
      <vt:lpstr>서흥남동</vt:lpstr>
      <vt:lpstr>소룡동</vt:lpstr>
      <vt:lpstr>수송동</vt:lpstr>
      <vt:lpstr>신풍동</vt:lpstr>
      <vt:lpstr>오식도동</vt:lpstr>
      <vt:lpstr>옥산면</vt:lpstr>
      <vt:lpstr>월명동</vt:lpstr>
      <vt:lpstr>장재동</vt:lpstr>
      <vt:lpstr>조촌동</vt:lpstr>
      <vt:lpstr>양식</vt:lpstr>
      <vt:lpstr>Sheet6</vt:lpstr>
      <vt:lpstr>Sheet7</vt:lpstr>
      <vt:lpstr>Sheet8</vt:lpstr>
      <vt:lpstr>Sheet9</vt:lpstr>
      <vt:lpstr>Sheet10</vt:lpstr>
      <vt:lpstr>경암동!Print_Area</vt:lpstr>
      <vt:lpstr>구암동!Print_Area</vt:lpstr>
      <vt:lpstr>금광동!Print_Area</vt:lpstr>
      <vt:lpstr>나운동!Print_Area</vt:lpstr>
      <vt:lpstr>단지추출!Print_Area</vt:lpstr>
      <vt:lpstr>단지추출_가격표용!Print_Area</vt:lpstr>
      <vt:lpstr>대명동!Print_Area</vt:lpstr>
      <vt:lpstr>동흥남동!Print_Area</vt:lpstr>
      <vt:lpstr>문화동!Print_Area</vt:lpstr>
      <vt:lpstr>미룡동!Print_Area</vt:lpstr>
      <vt:lpstr>미장동!Print_Area</vt:lpstr>
      <vt:lpstr>사정동!Print_Area</vt:lpstr>
      <vt:lpstr>산북동!Print_Area</vt:lpstr>
      <vt:lpstr>삼학동!Print_Area</vt:lpstr>
      <vt:lpstr>서흥남동!Print_Area</vt:lpstr>
      <vt:lpstr>소룡동!Print_Area</vt:lpstr>
      <vt:lpstr>수송동!Print_Area</vt:lpstr>
      <vt:lpstr>신풍동!Print_Area</vt:lpstr>
      <vt:lpstr>양식!Print_Area</vt:lpstr>
      <vt:lpstr>오식도동!Print_Area</vt:lpstr>
      <vt:lpstr>옥산면!Print_Area</vt:lpstr>
      <vt:lpstr>월명동!Print_Area</vt:lpstr>
      <vt:lpstr>장재동!Print_Area</vt:lpstr>
      <vt:lpstr>조촌동!Print_Area</vt:lpstr>
      <vt:lpstr>경암동!Print_Titles</vt:lpstr>
      <vt:lpstr>구암동!Print_Titles</vt:lpstr>
      <vt:lpstr>금광동!Print_Titles</vt:lpstr>
      <vt:lpstr>나운동!Print_Titles</vt:lpstr>
      <vt:lpstr>단지추출!Print_Titles</vt:lpstr>
      <vt:lpstr>단지추출_가격표용!Print_Titles</vt:lpstr>
      <vt:lpstr>대명동!Print_Titles</vt:lpstr>
      <vt:lpstr>동흥남동!Print_Titles</vt:lpstr>
      <vt:lpstr>문화동!Print_Titles</vt:lpstr>
      <vt:lpstr>미룡동!Print_Titles</vt:lpstr>
      <vt:lpstr>미장동!Print_Titles</vt:lpstr>
      <vt:lpstr>사정동!Print_Titles</vt:lpstr>
      <vt:lpstr>산북동!Print_Titles</vt:lpstr>
      <vt:lpstr>삼학동!Print_Titles</vt:lpstr>
      <vt:lpstr>서흥남동!Print_Titles</vt:lpstr>
      <vt:lpstr>소룡동!Print_Titles</vt:lpstr>
      <vt:lpstr>수송동!Print_Titles</vt:lpstr>
      <vt:lpstr>신풍동!Print_Titles</vt:lpstr>
      <vt:lpstr>양식!Print_Titles</vt:lpstr>
      <vt:lpstr>오식도동!Print_Titles</vt:lpstr>
      <vt:lpstr>옥산면!Print_Titles</vt:lpstr>
      <vt:lpstr>월명동!Print_Titles</vt:lpstr>
      <vt:lpstr>장재동!Print_Titles</vt:lpstr>
      <vt:lpstr>조촌동!Print_Titles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2022-04-04T10:42:35Z</dcterms:modified>
</cp:coreProperties>
</file>