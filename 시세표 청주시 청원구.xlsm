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208" activePane="bottomRight" state="frozen"/>
      <selection activeCell="U15" sqref="U15"/>
      <selection pane="topRight" activeCell="U15" sqref="U15"/>
      <selection pane="bottomLeft" activeCell="U15" sqref="U15"/>
      <selection pane="bottomRight" activeCell="P233" sqref="P23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5">
      <c r="A1" s="24" t="inlineStr">
        <is>
          <t>청주시 청원구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X</t>
        </is>
      </c>
      <c r="M1" s="0" t="n"/>
      <c r="N1" s="116" t="inlineStr">
        <is>
          <t>추출기준세대수</t>
        </is>
      </c>
      <c r="O1" s="115" t="n"/>
      <c r="P1" s="126" t="n">
        <v>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9" t="inlineStr">
        <is>
          <t>인천광역시 연수구 전체 등급</t>
        </is>
      </c>
      <c r="AK1" s="118" t="n"/>
      <c r="AL1" s="118" t="n"/>
      <c r="AM1" s="118" t="n"/>
      <c r="AN1" s="11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6" t="inlineStr">
        <is>
          <t>기준연도</t>
        </is>
      </c>
      <c r="AY1" s="116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4" t="inlineStr">
        <is>
          <t>원금보전</t>
        </is>
      </c>
      <c r="AP2" s="118" t="n"/>
      <c r="AQ2" s="115" t="n"/>
      <c r="AR2" s="114" t="inlineStr">
        <is>
          <t>수익성</t>
        </is>
      </c>
      <c r="AS2" s="115" t="n"/>
      <c r="AT2" s="114" t="inlineStr">
        <is>
          <t>환금성</t>
        </is>
      </c>
      <c r="AU2" s="115" t="n"/>
      <c r="AV2" s="114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  <c r="W3" s="114" t="inlineStr">
        <is>
          <t>공급
평형</t>
        </is>
      </c>
      <c r="X3" s="114" t="inlineStr">
        <is>
          <t>공급
면적</t>
        </is>
      </c>
      <c r="Y3" s="128" t="inlineStr">
        <is>
          <t>세대</t>
        </is>
      </c>
      <c r="Z3" s="116" t="inlineStr">
        <is>
          <t>매매가</t>
        </is>
      </c>
      <c r="AA3" s="116" t="inlineStr">
        <is>
          <t>전세가</t>
        </is>
      </c>
      <c r="AB3" s="116" t="inlineStr">
        <is>
          <t>갭</t>
        </is>
      </c>
      <c r="AC3" s="114" t="inlineStr">
        <is>
          <t>전세
가율</t>
        </is>
      </c>
      <c r="AD3" s="116" t="inlineStr">
        <is>
          <t>평단가</t>
        </is>
      </c>
      <c r="AE3" s="114" t="inlineStr">
        <is>
          <t>구
조</t>
        </is>
      </c>
      <c r="AF3" s="34" t="inlineStr">
        <is>
          <t>방/
욕실</t>
        </is>
      </c>
      <c r="AG3" s="25" t="n"/>
      <c r="AH3" s="114" t="inlineStr">
        <is>
          <t>단지명</t>
        </is>
      </c>
      <c r="AI3" s="114" t="inlineStr">
        <is>
          <t>공급
면적</t>
        </is>
      </c>
      <c r="AJ3" s="114" t="inlineStr">
        <is>
          <t>직장</t>
        </is>
      </c>
      <c r="AK3" s="114" t="inlineStr">
        <is>
          <t>교통</t>
        </is>
      </c>
      <c r="AL3" s="114" t="inlineStr">
        <is>
          <t>학군</t>
        </is>
      </c>
      <c r="AM3" s="114" t="inlineStr">
        <is>
          <t>환경</t>
        </is>
      </c>
      <c r="AN3" s="114" t="inlineStr">
        <is>
          <t>공급</t>
        </is>
      </c>
      <c r="AO3" s="114" t="inlineStr">
        <is>
          <t>전세가율★
(80%↑)</t>
        </is>
      </c>
      <c r="AP3" s="114" t="inlineStr">
        <is>
          <t>절대가★
(4.5억↓)</t>
        </is>
      </c>
      <c r="AQ3" s="114" t="inlineStr">
        <is>
          <t>평단가
(1000↓)</t>
        </is>
      </c>
      <c r="AR3" s="114" t="inlineStr">
        <is>
          <t>투자규모★
(갭6천↓)</t>
        </is>
      </c>
      <c r="AS3" s="114" t="inlineStr">
        <is>
          <t>전고점
이하</t>
        </is>
      </c>
      <c r="AT3" s="36" t="inlineStr">
        <is>
          <t>평형★
(15~34평)</t>
        </is>
      </c>
      <c r="AU3" s="114" t="inlineStr">
        <is>
          <t>단지규모★
(300^↑)</t>
        </is>
      </c>
      <c r="AV3" s="11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1" t="n">
        <v>236</v>
      </c>
      <c r="D4" s="132" t="n">
        <v>112.9</v>
      </c>
      <c r="E4" s="133" t="n">
        <v>34</v>
      </c>
      <c r="F4" s="132" t="n">
        <v>84.90000000000001</v>
      </c>
      <c r="G4" s="17" t="n">
        <v>26</v>
      </c>
      <c r="H4" s="134" t="n">
        <v>120</v>
      </c>
      <c r="I4" s="135" t="n"/>
      <c r="J4" s="135" t="n"/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3</v>
      </c>
      <c r="R4" s="122" t="n">
        <v>2</v>
      </c>
      <c r="S4" s="122" t="inlineStr">
        <is>
          <t>계</t>
        </is>
      </c>
      <c r="T4" s="5" t="inlineStr">
        <is>
          <t>112B</t>
        </is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22">
        <f>S4</f>
        <v/>
      </c>
      <c r="AF4" s="122">
        <f>Q4&amp;"/"&amp;R4</f>
        <v/>
      </c>
      <c r="AH4" s="20">
        <f>IF(A4="","",A4)</f>
        <v/>
      </c>
      <c r="AI4" s="133">
        <f>IF(E4="","",E4)</f>
        <v/>
      </c>
      <c r="AJ4" s="122">
        <f>IF(AI4="","",$AJ$2)</f>
        <v/>
      </c>
      <c r="AK4" s="122" t="inlineStr">
        <is>
          <t>A</t>
        </is>
      </c>
      <c r="AL4" s="122" t="inlineStr">
        <is>
          <t>A+</t>
        </is>
      </c>
      <c r="AM4" s="122" t="inlineStr">
        <is>
          <t>B+</t>
        </is>
      </c>
      <c r="AN4" s="122">
        <f>IF(AI4="","",$AN$2)</f>
        <v/>
      </c>
      <c r="AO4" s="122">
        <f>IF(N4="","",IF(N4&gt;=$AO$1/100,"O","X"))</f>
        <v/>
      </c>
      <c r="AP4" s="122">
        <f>IF(I4="","",IF(I4&lt;=$AP$1,"O","X"))</f>
        <v/>
      </c>
      <c r="AQ4" s="122">
        <f>IF(O4="","",IF(O4&lt;=$AQ$1,"O","X"))</f>
        <v/>
      </c>
      <c r="AR4" s="122">
        <f>IF(M4="","",IF(M4&lt;=$AR$1,"O","X"))</f>
        <v/>
      </c>
      <c r="AS4" s="122" t="inlineStr">
        <is>
          <t>X</t>
        </is>
      </c>
      <c r="AT4" s="122">
        <f>IF(OR(F4="",AI4=""),"",IF(AND((F4&lt;=85),(AI4&gt;=15)),"O","X"))</f>
        <v/>
      </c>
      <c r="AU4" s="122">
        <f>IF(C4="","",IF(C4&gt;=$AU$1,"O","X"))</f>
        <v/>
      </c>
      <c r="AV4" s="122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1" t="n">
        <v>236</v>
      </c>
      <c r="D5" s="132" t="n">
        <v>113.5</v>
      </c>
      <c r="E5" s="133" t="n">
        <v>34</v>
      </c>
      <c r="F5" s="132" t="n">
        <v>85</v>
      </c>
      <c r="G5" s="17" t="n">
        <v>26</v>
      </c>
      <c r="H5" s="134" t="n">
        <v>116</v>
      </c>
      <c r="I5" s="135" t="n"/>
      <c r="J5" s="135" t="n"/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3</v>
      </c>
      <c r="R5" s="122" t="n">
        <v>2</v>
      </c>
      <c r="S5" s="122" t="inlineStr">
        <is>
          <t>계</t>
        </is>
      </c>
      <c r="T5" s="5" t="inlineStr">
        <is>
          <t>113A</t>
        </is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22">
        <f>S5</f>
        <v/>
      </c>
      <c r="AF5" s="122">
        <f>Q5&amp;"/"&amp;R5</f>
        <v/>
      </c>
      <c r="AH5" s="20">
        <f>IF(A5="","",A5)</f>
        <v/>
      </c>
      <c r="AI5" s="133">
        <f>IF(E5="","",E5)</f>
        <v/>
      </c>
      <c r="AJ5" s="122">
        <f>IF(AI5="","",$AJ$2)</f>
        <v/>
      </c>
      <c r="AK5" s="122" t="inlineStr">
        <is>
          <t>A</t>
        </is>
      </c>
      <c r="AL5" s="122" t="inlineStr">
        <is>
          <t>A+</t>
        </is>
      </c>
      <c r="AM5" s="122" t="inlineStr">
        <is>
          <t>B+</t>
        </is>
      </c>
      <c r="AN5" s="122">
        <f>IF(AI5="","",$AN$2)</f>
        <v/>
      </c>
      <c r="AO5" s="122">
        <f>IF(N5="","",IF(N5&gt;=$AO$1/100,"O","X"))</f>
        <v/>
      </c>
      <c r="AP5" s="122">
        <f>IF(I5="","",IF(I5&lt;=$AP$1,"O","X"))</f>
        <v/>
      </c>
      <c r="AQ5" s="122">
        <f>IF(O5="","",IF(O5&lt;=$AQ$1,"O","X"))</f>
        <v/>
      </c>
      <c r="AR5" s="122">
        <f>IF(M5="","",IF(M5&lt;=$AR$1,"O","X"))</f>
        <v/>
      </c>
      <c r="AS5" s="122" t="inlineStr">
        <is>
          <t>X</t>
        </is>
      </c>
      <c r="AT5" s="122">
        <f>IF(OR(F5="",AI5=""),"",IF(AND((F5&lt;=85),(AI5&gt;=15)),"O","X"))</f>
        <v/>
      </c>
      <c r="AU5" s="122">
        <f>IF(C5="","",IF(C5&gt;=$AU$1,"O","X"))</f>
        <v/>
      </c>
      <c r="AV5" s="122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1" t="n">
        <v>200</v>
      </c>
      <c r="D6" s="132" t="n">
        <v>109.1</v>
      </c>
      <c r="E6" s="133" t="n">
        <v>33</v>
      </c>
      <c r="F6" s="132" t="n">
        <v>85</v>
      </c>
      <c r="G6" s="17" t="n">
        <v>26</v>
      </c>
      <c r="H6" s="134" t="n">
        <v>200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109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1" t="n">
        <v>508</v>
      </c>
      <c r="D7" s="132" t="n">
        <v>97.5</v>
      </c>
      <c r="E7" s="133" t="n">
        <v>29</v>
      </c>
      <c r="F7" s="132" t="n">
        <v>74.7</v>
      </c>
      <c r="G7" s="17" t="n">
        <v>23</v>
      </c>
      <c r="H7" s="134" t="n">
        <v>154</v>
      </c>
      <c r="I7" s="135" t="n">
        <v>35500</v>
      </c>
      <c r="J7" s="135" t="inlineStr">
        <is>
          <t>7</t>
        </is>
      </c>
      <c r="K7" s="135" t="n">
        <v>29000</v>
      </c>
      <c r="L7" s="135" t="inlineStr">
        <is>
          <t>26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n">
        <v>97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1" t="n">
        <v>508</v>
      </c>
      <c r="D8" s="132" t="n">
        <v>100.5</v>
      </c>
      <c r="E8" s="133" t="n">
        <v>30</v>
      </c>
      <c r="F8" s="132" t="n">
        <v>77.5</v>
      </c>
      <c r="G8" s="17" t="n">
        <v>23</v>
      </c>
      <c r="H8" s="134" t="n">
        <v>200</v>
      </c>
      <c r="I8" s="135" t="n">
        <v>36000</v>
      </c>
      <c r="J8" s="135" t="inlineStr">
        <is>
          <t>고</t>
        </is>
      </c>
      <c r="K8" s="135" t="n">
        <v>28000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n">
        <v>100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1" t="n">
        <v>508</v>
      </c>
      <c r="D9" s="132" t="n">
        <v>110.1</v>
      </c>
      <c r="E9" s="133" t="n">
        <v>33</v>
      </c>
      <c r="F9" s="132" t="n">
        <v>84.90000000000001</v>
      </c>
      <c r="G9" s="17" t="n">
        <v>26</v>
      </c>
      <c r="H9" s="134" t="n">
        <v>154</v>
      </c>
      <c r="I9" s="135" t="n">
        <v>43000</v>
      </c>
      <c r="J9" s="135" t="inlineStr">
        <is>
          <t>23</t>
        </is>
      </c>
      <c r="K9" s="135" t="n">
        <v>35000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2</v>
      </c>
      <c r="S9" s="122" t="inlineStr">
        <is>
          <t>계</t>
        </is>
      </c>
      <c r="T9" s="5" t="n">
        <v>110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1" t="n">
        <v>432</v>
      </c>
      <c r="D10" s="132" t="n">
        <v>95.5</v>
      </c>
      <c r="E10" s="133" t="n">
        <v>29</v>
      </c>
      <c r="F10" s="132" t="n">
        <v>73.59999999999999</v>
      </c>
      <c r="G10" s="17" t="n">
        <v>22</v>
      </c>
      <c r="H10" s="134" t="n">
        <v>69</v>
      </c>
      <c r="I10" s="135" t="n">
        <v>14000</v>
      </c>
      <c r="J10" s="135" t="inlineStr">
        <is>
          <t>6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1</v>
      </c>
      <c r="S10" s="122" t="inlineStr">
        <is>
          <t>계</t>
        </is>
      </c>
      <c r="T10" s="5" t="n">
        <v>95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1" t="n">
        <v>432</v>
      </c>
      <c r="D11" s="132" t="n">
        <v>112.4</v>
      </c>
      <c r="E11" s="133" t="n">
        <v>34</v>
      </c>
      <c r="F11" s="132" t="n">
        <v>85</v>
      </c>
      <c r="G11" s="17" t="n">
        <v>26</v>
      </c>
      <c r="H11" s="134" t="n">
        <v>283</v>
      </c>
      <c r="I11" s="135" t="n">
        <v>17000</v>
      </c>
      <c r="J11" s="135" t="inlineStr">
        <is>
          <t>5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n">
        <v>112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1" t="n">
        <v>432</v>
      </c>
      <c r="D12" s="132" t="n">
        <v>162.1</v>
      </c>
      <c r="E12" s="133" t="n">
        <v>49</v>
      </c>
      <c r="F12" s="132" t="n">
        <v>133.7</v>
      </c>
      <c r="G12" s="17" t="n">
        <v>40</v>
      </c>
      <c r="H12" s="134" t="n">
        <v>80</v>
      </c>
      <c r="I12" s="135" t="n">
        <v>21000</v>
      </c>
      <c r="J12" s="135" t="inlineStr">
        <is>
          <t>5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4</v>
      </c>
      <c r="R12" s="122" t="n">
        <v>2</v>
      </c>
      <c r="S12" s="122" t="inlineStr">
        <is>
          <t>계</t>
        </is>
      </c>
      <c r="T12" s="5" t="n">
        <v>162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1" t="n">
        <v>777</v>
      </c>
      <c r="D13" s="132" t="n">
        <v>98.59999999999999</v>
      </c>
      <c r="E13" s="133" t="n">
        <v>30</v>
      </c>
      <c r="F13" s="132" t="n">
        <v>76</v>
      </c>
      <c r="G13" s="17" t="n">
        <v>23</v>
      </c>
      <c r="H13" s="134" t="n">
        <v>91</v>
      </c>
      <c r="I13" s="135" t="n">
        <v>50000</v>
      </c>
      <c r="J13" s="135" t="inlineStr">
        <is>
          <t>고</t>
        </is>
      </c>
      <c r="K13" s="135" t="n">
        <v>33000</v>
      </c>
      <c r="L13" s="135" t="inlineStr">
        <is>
          <t>11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inlineStr">
        <is>
          <t>98A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1" t="n">
        <v>777</v>
      </c>
      <c r="D14" s="132" t="n">
        <v>99.7</v>
      </c>
      <c r="E14" s="133" t="n">
        <v>30</v>
      </c>
      <c r="F14" s="132" t="n">
        <v>76</v>
      </c>
      <c r="G14" s="17" t="n">
        <v>23</v>
      </c>
      <c r="H14" s="134" t="n">
        <v>98</v>
      </c>
      <c r="I14" s="135" t="n">
        <v>52000</v>
      </c>
      <c r="J14" s="135" t="inlineStr">
        <is>
          <t>23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2</v>
      </c>
      <c r="S14" s="122" t="inlineStr">
        <is>
          <t>계</t>
        </is>
      </c>
      <c r="T14" s="5" t="inlineStr">
        <is>
          <t>99B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1" t="n">
        <v>777</v>
      </c>
      <c r="D15" s="132" t="n">
        <v>110.4</v>
      </c>
      <c r="E15" s="133" t="n">
        <v>33</v>
      </c>
      <c r="F15" s="132" t="n">
        <v>85</v>
      </c>
      <c r="G15" s="17" t="n">
        <v>26</v>
      </c>
      <c r="H15" s="134" t="n">
        <v>304</v>
      </c>
      <c r="I15" s="135" t="n">
        <v>54000</v>
      </c>
      <c r="J15" s="135" t="inlineStr">
        <is>
          <t>고</t>
        </is>
      </c>
      <c r="K15" s="135" t="n">
        <v>40000</v>
      </c>
      <c r="L15" s="135" t="inlineStr">
        <is>
          <t>16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2</v>
      </c>
      <c r="S15" s="122" t="inlineStr">
        <is>
          <t>계</t>
        </is>
      </c>
      <c r="T15" s="5" t="inlineStr">
        <is>
          <t>110A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1" t="n">
        <v>777</v>
      </c>
      <c r="D16" s="132" t="n">
        <v>110.6</v>
      </c>
      <c r="E16" s="133" t="n">
        <v>33</v>
      </c>
      <c r="F16" s="132" t="n">
        <v>85</v>
      </c>
      <c r="G16" s="17" t="n">
        <v>26</v>
      </c>
      <c r="H16" s="134" t="n">
        <v>98</v>
      </c>
      <c r="I16" s="135" t="n"/>
      <c r="J16" s="135" t="n"/>
      <c r="K16" s="135" t="n">
        <v>35000</v>
      </c>
      <c r="L16" s="135" t="inlineStr">
        <is>
          <t>9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110B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1" t="n">
        <v>777</v>
      </c>
      <c r="D17" s="132" t="n">
        <v>110.2</v>
      </c>
      <c r="E17" s="133" t="n">
        <v>33</v>
      </c>
      <c r="F17" s="132" t="n">
        <v>85</v>
      </c>
      <c r="G17" s="17" t="n">
        <v>26</v>
      </c>
      <c r="H17" s="134" t="n">
        <v>68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inlineStr">
        <is>
          <t>110D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1" t="n">
        <v>777</v>
      </c>
      <c r="D18" s="132" t="n">
        <v>111.5</v>
      </c>
      <c r="E18" s="133" t="n">
        <v>34</v>
      </c>
      <c r="F18" s="132" t="n">
        <v>85</v>
      </c>
      <c r="G18" s="17" t="n">
        <v>26</v>
      </c>
      <c r="H18" s="134" t="n">
        <v>68</v>
      </c>
      <c r="I18" s="135" t="n">
        <v>56000</v>
      </c>
      <c r="J18" s="135" t="inlineStr">
        <is>
          <t>고</t>
        </is>
      </c>
      <c r="K18" s="135" t="n">
        <v>40000</v>
      </c>
      <c r="L18" s="135" t="inlineStr">
        <is>
          <t>9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111C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1" t="n">
        <v>777</v>
      </c>
      <c r="D19" s="132" t="n">
        <v>132</v>
      </c>
      <c r="E19" s="133" t="n">
        <v>40</v>
      </c>
      <c r="F19" s="132" t="n">
        <v>101.9</v>
      </c>
      <c r="G19" s="17" t="n">
        <v>31</v>
      </c>
      <c r="H19" s="134" t="n">
        <v>46</v>
      </c>
      <c r="I19" s="135" t="n">
        <v>65000</v>
      </c>
      <c r="J19" s="135" t="inlineStr">
        <is>
          <t>중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4</v>
      </c>
      <c r="R19" s="122" t="n">
        <v>2</v>
      </c>
      <c r="S19" s="122" t="inlineStr">
        <is>
          <t>계</t>
        </is>
      </c>
      <c r="T19" s="5" t="n">
        <v>132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1" t="n">
        <v>777</v>
      </c>
      <c r="D20" s="132" t="n">
        <v>148</v>
      </c>
      <c r="E20" s="133" t="n">
        <v>45</v>
      </c>
      <c r="F20" s="132" t="n">
        <v>118.8</v>
      </c>
      <c r="G20" s="17" t="n">
        <v>36</v>
      </c>
      <c r="H20" s="134" t="n">
        <v>2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n">
        <v>147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1" t="n">
        <v>777</v>
      </c>
      <c r="D21" s="132" t="n">
        <v>151.9</v>
      </c>
      <c r="E21" s="133" t="n">
        <v>46</v>
      </c>
      <c r="F21" s="132" t="n">
        <v>114.2</v>
      </c>
      <c r="G21" s="17" t="n">
        <v>35</v>
      </c>
      <c r="H21" s="134" t="n">
        <v>1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n">
        <v>151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1" t="n">
        <v>777</v>
      </c>
      <c r="D22" s="132" t="n">
        <v>161.2</v>
      </c>
      <c r="E22" s="133" t="n">
        <v>49</v>
      </c>
      <c r="F22" s="132" t="n">
        <v>121.4</v>
      </c>
      <c r="G22" s="17" t="n">
        <v>37</v>
      </c>
      <c r="H22" s="134" t="n">
        <v>1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n">
        <v>161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1" t="n">
        <v>280</v>
      </c>
      <c r="D23" s="132" t="n">
        <v>41</v>
      </c>
      <c r="E23" s="133" t="n">
        <v>12</v>
      </c>
      <c r="F23" s="132" t="n">
        <v>30.3</v>
      </c>
      <c r="G23" s="17" t="n">
        <v>9</v>
      </c>
      <c r="H23" s="134" t="n">
        <v>250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2</v>
      </c>
      <c r="R23" s="122" t="n">
        <v>1</v>
      </c>
      <c r="S23" s="122" t="inlineStr">
        <is>
          <t>계</t>
        </is>
      </c>
      <c r="T23" s="5" t="n">
        <v>40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1" t="n">
        <v>280</v>
      </c>
      <c r="D24" s="132" t="n">
        <v>57.1</v>
      </c>
      <c r="E24" s="133" t="n">
        <v>17</v>
      </c>
      <c r="F24" s="132" t="n">
        <v>43.3</v>
      </c>
      <c r="G24" s="17" t="n">
        <v>13</v>
      </c>
      <c r="H24" s="134" t="n">
        <v>30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2</v>
      </c>
      <c r="R24" s="122" t="n">
        <v>1</v>
      </c>
      <c r="S24" s="122" t="inlineStr">
        <is>
          <t>계</t>
        </is>
      </c>
      <c r="T24" s="5" t="n">
        <v>57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1" t="n">
        <v>252</v>
      </c>
      <c r="D25" s="132" t="n">
        <v>55.1</v>
      </c>
      <c r="E25" s="133" t="n">
        <v>17</v>
      </c>
      <c r="F25" s="132" t="n">
        <v>43.9</v>
      </c>
      <c r="G25" s="17" t="n">
        <v>13</v>
      </c>
      <c r="H25" s="134" t="n">
        <v>156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1</v>
      </c>
      <c r="S25" s="122" t="inlineStr">
        <is>
          <t>계</t>
        </is>
      </c>
      <c r="T25" s="5" t="n">
        <v>55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1" t="n">
        <v>252</v>
      </c>
      <c r="D26" s="132" t="n">
        <v>68.40000000000001</v>
      </c>
      <c r="E26" s="133" t="n">
        <v>21</v>
      </c>
      <c r="F26" s="132" t="n">
        <v>55.4</v>
      </c>
      <c r="G26" s="17" t="n">
        <v>17</v>
      </c>
      <c r="H26" s="134" t="n">
        <v>96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1</v>
      </c>
      <c r="S26" s="122" t="inlineStr">
        <is>
          <t>계</t>
        </is>
      </c>
      <c r="T26" s="5" t="n">
        <v>68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1" t="n">
        <v>300</v>
      </c>
      <c r="D27" s="132" t="n">
        <v>51.8</v>
      </c>
      <c r="E27" s="133" t="n">
        <v>16</v>
      </c>
      <c r="F27" s="132" t="n">
        <v>45.1</v>
      </c>
      <c r="G27" s="17" t="n">
        <v>14</v>
      </c>
      <c r="H27" s="134" t="n">
        <v>60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2</v>
      </c>
      <c r="R27" s="122" t="n">
        <v>1</v>
      </c>
      <c r="S27" s="122" t="inlineStr">
        <is>
          <t>계</t>
        </is>
      </c>
      <c r="T27" s="5" t="inlineStr">
        <is>
          <t>51A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1" t="n">
        <v>300</v>
      </c>
      <c r="D28" s="132" t="n">
        <v>53</v>
      </c>
      <c r="E28" s="133" t="n">
        <v>16</v>
      </c>
      <c r="F28" s="132" t="n">
        <v>45.5</v>
      </c>
      <c r="G28" s="17" t="n">
        <v>14</v>
      </c>
      <c r="H28" s="134" t="n">
        <v>50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2</v>
      </c>
      <c r="R28" s="122" t="n">
        <v>1</v>
      </c>
      <c r="S28" s="122" t="inlineStr">
        <is>
          <t>계</t>
        </is>
      </c>
      <c r="T28" s="5" t="inlineStr">
        <is>
          <t>52B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1" t="n">
        <v>300</v>
      </c>
      <c r="D29" s="132" t="n">
        <v>59.4</v>
      </c>
      <c r="E29" s="133" t="n">
        <v>18</v>
      </c>
      <c r="F29" s="132" t="n">
        <v>52.4</v>
      </c>
      <c r="G29" s="17" t="n">
        <v>16</v>
      </c>
      <c r="H29" s="134" t="n">
        <v>90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1</v>
      </c>
      <c r="S29" s="122" t="inlineStr">
        <is>
          <t>계</t>
        </is>
      </c>
      <c r="T29" s="5" t="n">
        <v>59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1" t="n">
        <v>300</v>
      </c>
      <c r="D30" s="132" t="n">
        <v>61.7</v>
      </c>
      <c r="E30" s="133" t="n">
        <v>19</v>
      </c>
      <c r="F30" s="132" t="n">
        <v>54.2</v>
      </c>
      <c r="G30" s="17" t="n">
        <v>16</v>
      </c>
      <c r="H30" s="134" t="n">
        <v>100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1</v>
      </c>
      <c r="S30" s="122" t="inlineStr">
        <is>
          <t>계</t>
        </is>
      </c>
      <c r="T30" s="5" t="n">
        <v>61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1" t="n">
        <v>700</v>
      </c>
      <c r="D31" s="132" t="n">
        <v>43.1</v>
      </c>
      <c r="E31" s="133" t="n">
        <v>13</v>
      </c>
      <c r="F31" s="132" t="n">
        <v>33.6</v>
      </c>
      <c r="G31" s="17" t="n">
        <v>10</v>
      </c>
      <c r="H31" s="134" t="n">
        <v>240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1</v>
      </c>
      <c r="R31" s="122" t="n">
        <v>1</v>
      </c>
      <c r="S31" s="122" t="inlineStr">
        <is>
          <t>계</t>
        </is>
      </c>
      <c r="T31" s="5" t="n">
        <v>43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1" t="n">
        <v>700</v>
      </c>
      <c r="D32" s="132" t="n">
        <v>52.2</v>
      </c>
      <c r="E32" s="133" t="n">
        <v>16</v>
      </c>
      <c r="F32" s="132" t="n">
        <v>39.8</v>
      </c>
      <c r="G32" s="17" t="n">
        <v>12</v>
      </c>
      <c r="H32" s="134" t="n">
        <v>460</v>
      </c>
      <c r="I32" s="135" t="n">
        <v>4200</v>
      </c>
      <c r="J32" s="135" t="inlineStr">
        <is>
          <t>10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2</v>
      </c>
      <c r="R32" s="122" t="n">
        <v>1</v>
      </c>
      <c r="S32" s="122" t="inlineStr">
        <is>
          <t>계</t>
        </is>
      </c>
      <c r="T32" s="5" t="n">
        <v>52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1" t="n">
        <v>298</v>
      </c>
      <c r="D33" s="132" t="n">
        <v>78.59999999999999</v>
      </c>
      <c r="E33" s="133" t="n">
        <v>24</v>
      </c>
      <c r="F33" s="132" t="n">
        <v>59.7</v>
      </c>
      <c r="G33" s="17" t="n">
        <v>18</v>
      </c>
      <c r="H33" s="134" t="n">
        <v>298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1</v>
      </c>
      <c r="S33" s="122" t="inlineStr">
        <is>
          <t>복</t>
        </is>
      </c>
      <c r="T33" s="5" t="n">
        <v>78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1" t="n">
        <v>494</v>
      </c>
      <c r="D34" s="132" t="n">
        <v>71.59999999999999</v>
      </c>
      <c r="E34" s="133" t="n">
        <v>22</v>
      </c>
      <c r="F34" s="132" t="n">
        <v>59.7</v>
      </c>
      <c r="G34" s="17" t="n">
        <v>18</v>
      </c>
      <c r="H34" s="134" t="n">
        <v>494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n">
        <v>71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1" t="n">
        <v>883</v>
      </c>
      <c r="D35" s="132" t="n">
        <v>36.1</v>
      </c>
      <c r="E35" s="133" t="n">
        <v>11</v>
      </c>
      <c r="F35" s="132" t="n">
        <v>26.6</v>
      </c>
      <c r="G35" s="17" t="n">
        <v>8</v>
      </c>
      <c r="H35" s="134" t="n">
        <v>132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1</v>
      </c>
      <c r="R35" s="122" t="n">
        <v>1</v>
      </c>
      <c r="S35" s="122" t="inlineStr">
        <is>
          <t>복</t>
        </is>
      </c>
      <c r="T35" s="5" t="n">
        <v>36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1" t="n">
        <v>883</v>
      </c>
      <c r="D36" s="132" t="n">
        <v>78</v>
      </c>
      <c r="E36" s="133" t="n">
        <v>24</v>
      </c>
      <c r="F36" s="132" t="n">
        <v>59.6</v>
      </c>
      <c r="G36" s="17" t="n">
        <v>18</v>
      </c>
      <c r="H36" s="134" t="n">
        <v>1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1</v>
      </c>
      <c r="S36" s="122" t="inlineStr">
        <is>
          <t>복</t>
        </is>
      </c>
      <c r="T36" s="5" t="inlineStr">
        <is>
          <t>77B</t>
        </is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1" t="n">
        <v>883</v>
      </c>
      <c r="D37" s="132" t="n">
        <v>78.09999999999999</v>
      </c>
      <c r="E37" s="133" t="n">
        <v>24</v>
      </c>
      <c r="F37" s="132" t="n">
        <v>59.7</v>
      </c>
      <c r="G37" s="17" t="n">
        <v>18</v>
      </c>
      <c r="H37" s="134" t="n">
        <v>750</v>
      </c>
      <c r="I37" s="135" t="n">
        <v>7900</v>
      </c>
      <c r="J37" s="135" t="inlineStr">
        <is>
          <t>중</t>
        </is>
      </c>
      <c r="K37" s="135" t="n">
        <v>8000</v>
      </c>
      <c r="L37" s="135" t="inlineStr">
        <is>
          <t>중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1</v>
      </c>
      <c r="S37" s="122" t="inlineStr">
        <is>
          <t>복</t>
        </is>
      </c>
      <c r="T37" s="5" t="inlineStr">
        <is>
          <t>78A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1" t="n">
        <v>264</v>
      </c>
      <c r="D38" s="132" t="n">
        <v>63.1</v>
      </c>
      <c r="E38" s="133" t="n">
        <v>19</v>
      </c>
      <c r="F38" s="132" t="n">
        <v>49.8</v>
      </c>
      <c r="G38" s="17" t="n">
        <v>15</v>
      </c>
      <c r="H38" s="134" t="n">
        <v>132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2</v>
      </c>
      <c r="R38" s="122" t="n">
        <v>1</v>
      </c>
      <c r="S38" s="122" t="inlineStr">
        <is>
          <t>복</t>
        </is>
      </c>
      <c r="T38" s="5" t="n">
        <v>63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1" t="n">
        <v>264</v>
      </c>
      <c r="D39" s="132" t="n">
        <v>75.2</v>
      </c>
      <c r="E39" s="133" t="n">
        <v>23</v>
      </c>
      <c r="F39" s="132" t="n">
        <v>60</v>
      </c>
      <c r="G39" s="17" t="n">
        <v>18</v>
      </c>
      <c r="H39" s="134" t="n">
        <v>132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3</v>
      </c>
      <c r="R39" s="122" t="n">
        <v>1</v>
      </c>
      <c r="S39" s="122" t="inlineStr">
        <is>
          <t>복</t>
        </is>
      </c>
      <c r="T39" s="5" t="n">
        <v>75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1" t="n">
        <v>910</v>
      </c>
      <c r="D40" s="132" t="n">
        <v>50.2</v>
      </c>
      <c r="E40" s="133" t="n">
        <v>15</v>
      </c>
      <c r="F40" s="132" t="n">
        <v>38.6</v>
      </c>
      <c r="G40" s="17" t="n">
        <v>12</v>
      </c>
      <c r="H40" s="134" t="n">
        <v>440</v>
      </c>
      <c r="I40" s="135" t="n">
        <v>3000</v>
      </c>
      <c r="J40" s="135" t="inlineStr">
        <is>
          <t>5</t>
        </is>
      </c>
      <c r="K40" s="135" t="n">
        <v>1800</v>
      </c>
      <c r="L40" s="135" t="inlineStr">
        <is>
          <t>5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1</v>
      </c>
      <c r="R40" s="122" t="n">
        <v>1</v>
      </c>
      <c r="S40" s="122" t="inlineStr">
        <is>
          <t>복</t>
        </is>
      </c>
      <c r="T40" s="5" t="n">
        <v>50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1" t="n">
        <v>910</v>
      </c>
      <c r="D41" s="132" t="n">
        <v>52.2</v>
      </c>
      <c r="E41" s="133" t="n">
        <v>16</v>
      </c>
      <c r="F41" s="132" t="n">
        <v>38.6</v>
      </c>
      <c r="G41" s="17" t="n">
        <v>12</v>
      </c>
      <c r="H41" s="134" t="n">
        <v>110</v>
      </c>
      <c r="I41" s="135" t="n"/>
      <c r="J41" s="135" t="n"/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1</v>
      </c>
      <c r="R41" s="122" t="n">
        <v>1</v>
      </c>
      <c r="S41" s="122" t="inlineStr">
        <is>
          <t>복</t>
        </is>
      </c>
      <c r="T41" s="5" t="n">
        <v>52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1" t="n">
        <v>910</v>
      </c>
      <c r="D42" s="132" t="n">
        <v>61</v>
      </c>
      <c r="E42" s="133" t="n">
        <v>18</v>
      </c>
      <c r="F42" s="132" t="n">
        <v>45.3</v>
      </c>
      <c r="G42" s="17" t="n">
        <v>14</v>
      </c>
      <c r="H42" s="134" t="n">
        <v>360</v>
      </c>
      <c r="I42" s="135" t="n">
        <v>4800</v>
      </c>
      <c r="J42" s="135" t="inlineStr">
        <is>
          <t>9</t>
        </is>
      </c>
      <c r="K42" s="135" t="n">
        <v>3000</v>
      </c>
      <c r="L42" s="135" t="inlineStr">
        <is>
          <t>6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2</v>
      </c>
      <c r="R42" s="122" t="n">
        <v>1</v>
      </c>
      <c r="S42" s="122" t="inlineStr">
        <is>
          <t>복</t>
        </is>
      </c>
      <c r="T42" s="5" t="n">
        <v>61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1" t="n">
        <v>425</v>
      </c>
      <c r="D43" s="132" t="n">
        <v>37.6</v>
      </c>
      <c r="E43" s="133" t="n">
        <v>11</v>
      </c>
      <c r="F43" s="132" t="n">
        <v>28.2</v>
      </c>
      <c r="G43" s="17" t="n">
        <v>9</v>
      </c>
      <c r="H43" s="134" t="n">
        <v>6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1</v>
      </c>
      <c r="R43" s="122" t="n">
        <v>1</v>
      </c>
      <c r="S43" s="122" t="inlineStr">
        <is>
          <t>복</t>
        </is>
      </c>
      <c r="T43" s="5" t="n">
        <v>37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2">
        <f>S43</f>
        <v/>
      </c>
      <c r="AF43" s="122">
        <f>Q43&amp;"/"&amp;R43</f>
        <v/>
      </c>
      <c r="AH43" s="20">
        <f>IF(A43="","",A43)</f>
        <v/>
      </c>
      <c r="AI43" s="133">
        <f>IF(E43="","",E43)</f>
        <v/>
      </c>
      <c r="AJ43" s="122">
        <f>IF(AI43="","",$AJ$2)</f>
        <v/>
      </c>
      <c r="AK43" s="122" t="inlineStr">
        <is>
          <t>A</t>
        </is>
      </c>
      <c r="AL43" s="122" t="inlineStr">
        <is>
          <t>A+</t>
        </is>
      </c>
      <c r="AM43" s="122" t="inlineStr">
        <is>
          <t>B+</t>
        </is>
      </c>
      <c r="AN43" s="122">
        <f>IF(AI43="","",$AN$2)</f>
        <v/>
      </c>
      <c r="AO43" s="122">
        <f>IF(N43="","",IF(N43&gt;=$AO$1/100,"O","X"))</f>
        <v/>
      </c>
      <c r="AP43" s="122">
        <f>IF(I43="","",IF(I43&lt;=$AP$1,"O","X"))</f>
        <v/>
      </c>
      <c r="AQ43" s="122">
        <f>IF(O43="","",IF(O43&lt;=$AQ$1,"O","X"))</f>
        <v/>
      </c>
      <c r="AR43" s="122">
        <f>IF(M43="","",IF(M43&lt;=$AR$1,"O","X"))</f>
        <v/>
      </c>
      <c r="AS43" s="122" t="inlineStr">
        <is>
          <t>X</t>
        </is>
      </c>
      <c r="AT43" s="122">
        <f>IF(OR(F43="",AI43=""),"",IF(AND((F43&lt;=85),(AI43&gt;=15)),"O","X"))</f>
        <v/>
      </c>
      <c r="AU43" s="122">
        <f>IF(C43="","",IF(C43&gt;=$AU$1,"O","X"))</f>
        <v/>
      </c>
      <c r="AV43" s="122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1" t="n">
        <v>425</v>
      </c>
      <c r="D44" s="132" t="n">
        <v>38.3</v>
      </c>
      <c r="E44" s="133" t="n">
        <v>12</v>
      </c>
      <c r="F44" s="132" t="n">
        <v>28.7</v>
      </c>
      <c r="G44" s="17" t="n">
        <v>9</v>
      </c>
      <c r="H44" s="134" t="n">
        <v>61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1</v>
      </c>
      <c r="R44" s="122" t="n">
        <v>1</v>
      </c>
      <c r="S44" s="122" t="inlineStr">
        <is>
          <t>계</t>
        </is>
      </c>
      <c r="T44" s="5" t="n">
        <v>38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1" t="n">
        <v>425</v>
      </c>
      <c r="D45" s="132" t="n">
        <v>67.5</v>
      </c>
      <c r="E45" s="133" t="n">
        <v>20</v>
      </c>
      <c r="F45" s="132" t="n">
        <v>59.9</v>
      </c>
      <c r="G45" s="17" t="n">
        <v>18</v>
      </c>
      <c r="H45" s="134" t="n">
        <v>358</v>
      </c>
      <c r="I45" s="135" t="n">
        <v>6500</v>
      </c>
      <c r="J45" s="135" t="inlineStr">
        <is>
          <t>5</t>
        </is>
      </c>
      <c r="K45" s="135" t="n">
        <v>4000</v>
      </c>
      <c r="L45" s="135" t="inlineStr">
        <is>
          <t>6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2</v>
      </c>
      <c r="R45" s="122" t="n">
        <v>1</v>
      </c>
      <c r="S45" s="122" t="inlineStr">
        <is>
          <t>계</t>
        </is>
      </c>
      <c r="T45" s="5" t="inlineStr">
        <is>
          <t>67A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1" t="n">
        <v>295</v>
      </c>
      <c r="D46" s="132" t="n">
        <v>84.7</v>
      </c>
      <c r="E46" s="133" t="n">
        <v>26</v>
      </c>
      <c r="F46" s="132" t="n">
        <v>59.9</v>
      </c>
      <c r="G46" s="17" t="n">
        <v>18</v>
      </c>
      <c r="H46" s="134" t="n">
        <v>242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2</v>
      </c>
      <c r="R46" s="122" t="n">
        <v>1</v>
      </c>
      <c r="S46" s="122" t="inlineStr">
        <is>
          <t>복</t>
        </is>
      </c>
      <c r="T46" s="5" t="inlineStr">
        <is>
          <t>84A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1" t="n">
        <v>295</v>
      </c>
      <c r="D47" s="132" t="n">
        <v>84.7</v>
      </c>
      <c r="E47" s="133" t="n">
        <v>26</v>
      </c>
      <c r="F47" s="132" t="n">
        <v>59.9</v>
      </c>
      <c r="G47" s="17" t="n">
        <v>18</v>
      </c>
      <c r="H47" s="134" t="n">
        <v>53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1</v>
      </c>
      <c r="S47" s="122" t="inlineStr">
        <is>
          <t>복</t>
        </is>
      </c>
      <c r="T47" s="5" t="inlineStr">
        <is>
          <t>84B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1" t="n">
        <v>299</v>
      </c>
      <c r="D48" s="132" t="n">
        <v>75.7</v>
      </c>
      <c r="E48" s="133" t="n">
        <v>23</v>
      </c>
      <c r="F48" s="132" t="n">
        <v>60</v>
      </c>
      <c r="G48" s="17" t="n">
        <v>18</v>
      </c>
      <c r="H48" s="134" t="n">
        <v>233</v>
      </c>
      <c r="I48" s="135" t="n"/>
      <c r="J48" s="135" t="n"/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2</v>
      </c>
      <c r="R48" s="122" t="n">
        <v>1</v>
      </c>
      <c r="S48" s="122" t="inlineStr">
        <is>
          <t>계</t>
        </is>
      </c>
      <c r="T48" s="5" t="n">
        <v>75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1" t="n">
        <v>299</v>
      </c>
      <c r="D49" s="132" t="n">
        <v>75.59999999999999</v>
      </c>
      <c r="E49" s="133" t="n">
        <v>23</v>
      </c>
      <c r="F49" s="132" t="n">
        <v>59.9</v>
      </c>
      <c r="G49" s="17" t="n">
        <v>18</v>
      </c>
      <c r="H49" s="134" t="n">
        <v>42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1</v>
      </c>
      <c r="S49" s="122" t="inlineStr">
        <is>
          <t>복</t>
        </is>
      </c>
      <c r="T49" s="5" t="n">
        <v>75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1" t="n">
        <v>299</v>
      </c>
      <c r="D50" s="132" t="n">
        <v>107.2</v>
      </c>
      <c r="E50" s="133" t="n">
        <v>32</v>
      </c>
      <c r="F50" s="132" t="n">
        <v>84.90000000000001</v>
      </c>
      <c r="G50" s="17" t="n">
        <v>26</v>
      </c>
      <c r="H50" s="134" t="n">
        <v>24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n">
        <v>107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1" t="n">
        <v>333</v>
      </c>
      <c r="D51" s="132" t="n">
        <v>110.5</v>
      </c>
      <c r="E51" s="133" t="n">
        <v>33</v>
      </c>
      <c r="F51" s="132" t="n">
        <v>84.5</v>
      </c>
      <c r="G51" s="17" t="n">
        <v>26</v>
      </c>
      <c r="H51" s="134" t="n">
        <v>87</v>
      </c>
      <c r="I51" s="135" t="n">
        <v>35000</v>
      </c>
      <c r="J51" s="135" t="inlineStr">
        <is>
          <t>13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n">
        <v>110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2">
        <f>S51</f>
        <v/>
      </c>
      <c r="AF51" s="122">
        <f>Q51&amp;"/"&amp;R51</f>
        <v/>
      </c>
      <c r="AH51" s="20">
        <f>IF(A51="","",A51)</f>
        <v/>
      </c>
      <c r="AI51" s="133">
        <f>IF(E51="","",E51)</f>
        <v/>
      </c>
      <c r="AJ51" s="122">
        <f>IF(AI51="","",$AJ$2)</f>
        <v/>
      </c>
      <c r="AK51" s="122" t="inlineStr">
        <is>
          <t>A</t>
        </is>
      </c>
      <c r="AL51" s="122" t="inlineStr">
        <is>
          <t>A+</t>
        </is>
      </c>
      <c r="AM51" s="122" t="inlineStr">
        <is>
          <t>B+</t>
        </is>
      </c>
      <c r="AN51" s="122">
        <f>IF(AI51="","",$AN$2)</f>
        <v/>
      </c>
      <c r="AO51" s="122">
        <f>IF(N51="","",IF(N51&gt;=$AO$1/100,"O","X"))</f>
        <v/>
      </c>
      <c r="AP51" s="122">
        <f>IF(I51="","",IF(I51&lt;=$AP$1,"O","X"))</f>
        <v/>
      </c>
      <c r="AQ51" s="122">
        <f>IF(O51="","",IF(O51&lt;=$AQ$1,"O","X"))</f>
        <v/>
      </c>
      <c r="AR51" s="122">
        <f>IF(M51="","",IF(M51&lt;=$AR$1,"O","X"))</f>
        <v/>
      </c>
      <c r="AS51" s="122" t="inlineStr">
        <is>
          <t>X</t>
        </is>
      </c>
      <c r="AT51" s="122">
        <f>IF(OR(F51="",AI51=""),"",IF(AND((F51&lt;=85),(AI51&gt;=15)),"O","X"))</f>
        <v/>
      </c>
      <c r="AU51" s="122">
        <f>IF(C51="","",IF(C51&gt;=$AU$1,"O","X"))</f>
        <v/>
      </c>
      <c r="AV51" s="122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1" t="n">
        <v>333</v>
      </c>
      <c r="D52" s="132" t="n">
        <v>131.7</v>
      </c>
      <c r="E52" s="133" t="n">
        <v>40</v>
      </c>
      <c r="F52" s="132" t="n">
        <v>102.2</v>
      </c>
      <c r="G52" s="17" t="n">
        <v>31</v>
      </c>
      <c r="H52" s="134" t="n">
        <v>98</v>
      </c>
      <c r="I52" s="135" t="n">
        <v>38000</v>
      </c>
      <c r="J52" s="135" t="inlineStr">
        <is>
          <t>중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3</v>
      </c>
      <c r="R52" s="122" t="n">
        <v>2</v>
      </c>
      <c r="S52" s="122" t="inlineStr">
        <is>
          <t>계</t>
        </is>
      </c>
      <c r="T52" s="5" t="n">
        <v>131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1" t="n">
        <v>333</v>
      </c>
      <c r="D53" s="132" t="n">
        <v>153.5</v>
      </c>
      <c r="E53" s="133" t="n">
        <v>46</v>
      </c>
      <c r="F53" s="132" t="n">
        <v>124.6</v>
      </c>
      <c r="G53" s="17" t="n">
        <v>38</v>
      </c>
      <c r="H53" s="134" t="n">
        <v>64</v>
      </c>
      <c r="I53" s="135" t="n">
        <v>45000</v>
      </c>
      <c r="J53" s="135" t="inlineStr">
        <is>
          <t>8</t>
        </is>
      </c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4</v>
      </c>
      <c r="R53" s="122" t="n">
        <v>2</v>
      </c>
      <c r="S53" s="122" t="inlineStr">
        <is>
          <t>계</t>
        </is>
      </c>
      <c r="T53" s="5" t="n">
        <v>153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1" t="n">
        <v>333</v>
      </c>
      <c r="D54" s="132" t="n">
        <v>173.8</v>
      </c>
      <c r="E54" s="133" t="n">
        <v>53</v>
      </c>
      <c r="F54" s="132" t="n">
        <v>134</v>
      </c>
      <c r="G54" s="17" t="n">
        <v>41</v>
      </c>
      <c r="H54" s="134" t="n">
        <v>10</v>
      </c>
      <c r="I54" s="135" t="n">
        <v>45000</v>
      </c>
      <c r="J54" s="135" t="inlineStr">
        <is>
          <t>고</t>
        </is>
      </c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3</v>
      </c>
      <c r="S54" s="122" t="inlineStr">
        <is>
          <t>계</t>
        </is>
      </c>
      <c r="T54" s="5" t="n">
        <v>173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2">
        <f>S54</f>
        <v/>
      </c>
      <c r="AF54" s="122">
        <f>Q54&amp;"/"&amp;R54</f>
        <v/>
      </c>
      <c r="AH54" s="20">
        <f>IF(A54="","",A54)</f>
        <v/>
      </c>
      <c r="AI54" s="133">
        <f>IF(E54="","",E54)</f>
        <v/>
      </c>
      <c r="AJ54" s="122">
        <f>IF(AI54="","",$AJ$2)</f>
        <v/>
      </c>
      <c r="AK54" s="122" t="inlineStr">
        <is>
          <t>A</t>
        </is>
      </c>
      <c r="AL54" s="122" t="inlineStr">
        <is>
          <t>A+</t>
        </is>
      </c>
      <c r="AM54" s="122" t="inlineStr">
        <is>
          <t>B+</t>
        </is>
      </c>
      <c r="AN54" s="122">
        <f>IF(AI54="","",$AN$2)</f>
        <v/>
      </c>
      <c r="AO54" s="122">
        <f>IF(N54="","",IF(N54&gt;=$AO$1/100,"O","X"))</f>
        <v/>
      </c>
      <c r="AP54" s="122">
        <f>IF(I54="","",IF(I54&lt;=$AP$1,"O","X"))</f>
        <v/>
      </c>
      <c r="AQ54" s="122">
        <f>IF(O54="","",IF(O54&lt;=$AQ$1,"O","X"))</f>
        <v/>
      </c>
      <c r="AR54" s="122">
        <f>IF(M54="","",IF(M54&lt;=$AR$1,"O","X"))</f>
        <v/>
      </c>
      <c r="AS54" s="122" t="inlineStr">
        <is>
          <t>X</t>
        </is>
      </c>
      <c r="AT54" s="122">
        <f>IF(OR(F54="",AI54=""),"",IF(AND((F54&lt;=85),(AI54&gt;=15)),"O","X"))</f>
        <v/>
      </c>
      <c r="AU54" s="122">
        <f>IF(C54="","",IF(C54&gt;=$AU$1,"O","X"))</f>
        <v/>
      </c>
      <c r="AV54" s="122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1" t="n">
        <v>333</v>
      </c>
      <c r="D55" s="132" t="n">
        <v>193.3</v>
      </c>
      <c r="E55" s="133" t="n">
        <v>58</v>
      </c>
      <c r="F55" s="132" t="n">
        <v>157.4</v>
      </c>
      <c r="G55" s="17" t="n">
        <v>48</v>
      </c>
      <c r="H55" s="134" t="n">
        <v>70</v>
      </c>
      <c r="I55" s="135" t="n">
        <v>52000</v>
      </c>
      <c r="J55" s="135" t="inlineStr">
        <is>
          <t>6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3</v>
      </c>
      <c r="S55" s="122" t="inlineStr">
        <is>
          <t>계</t>
        </is>
      </c>
      <c r="T55" s="5" t="n">
        <v>193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1" t="n">
        <v>333</v>
      </c>
      <c r="D56" s="132" t="n">
        <v>228.8</v>
      </c>
      <c r="E56" s="133" t="n">
        <v>69</v>
      </c>
      <c r="F56" s="132" t="n">
        <v>183.3</v>
      </c>
      <c r="G56" s="17" t="n">
        <v>55</v>
      </c>
      <c r="H56" s="134" t="n">
        <v>4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5</v>
      </c>
      <c r="R56" s="122" t="n">
        <v>4</v>
      </c>
      <c r="S56" s="122" t="inlineStr">
        <is>
          <t>계</t>
        </is>
      </c>
      <c r="T56" s="5" t="n">
        <v>228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1" t="n">
        <v>461</v>
      </c>
      <c r="D57" s="132" t="n">
        <v>103.6</v>
      </c>
      <c r="E57" s="133" t="n">
        <v>31</v>
      </c>
      <c r="F57" s="132" t="n">
        <v>84.8</v>
      </c>
      <c r="G57" s="17" t="n">
        <v>26</v>
      </c>
      <c r="H57" s="134" t="n">
        <v>319</v>
      </c>
      <c r="I57" s="135" t="n"/>
      <c r="J57" s="135" t="n"/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2</v>
      </c>
      <c r="S57" s="122" t="inlineStr">
        <is>
          <t>계</t>
        </is>
      </c>
      <c r="T57" s="5" t="n">
        <v>103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1" t="n">
        <v>461</v>
      </c>
      <c r="D58" s="132" t="n">
        <v>156</v>
      </c>
      <c r="E58" s="133" t="n">
        <v>47</v>
      </c>
      <c r="F58" s="132" t="n">
        <v>134.1</v>
      </c>
      <c r="G58" s="17" t="n">
        <v>41</v>
      </c>
      <c r="H58" s="134" t="n">
        <v>57</v>
      </c>
      <c r="I58" s="135" t="n">
        <v>30000</v>
      </c>
      <c r="J58" s="135" t="inlineStr">
        <is>
          <t>12</t>
        </is>
      </c>
      <c r="K58" s="135" t="n"/>
      <c r="L58" s="135" t="n"/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4</v>
      </c>
      <c r="R58" s="122" t="n">
        <v>2</v>
      </c>
      <c r="S58" s="122" t="inlineStr">
        <is>
          <t>계</t>
        </is>
      </c>
      <c r="T58" s="5" t="n">
        <v>156</v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1" t="n">
        <v>461</v>
      </c>
      <c r="D59" s="132" t="n">
        <v>188.8</v>
      </c>
      <c r="E59" s="133" t="n">
        <v>57</v>
      </c>
      <c r="F59" s="132" t="n">
        <v>164.4</v>
      </c>
      <c r="G59" s="17" t="n">
        <v>50</v>
      </c>
      <c r="H59" s="134" t="n">
        <v>1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4</v>
      </c>
      <c r="R59" s="122" t="n">
        <v>2</v>
      </c>
      <c r="S59" s="122" t="inlineStr">
        <is>
          <t>계</t>
        </is>
      </c>
      <c r="T59" s="5" t="inlineStr">
        <is>
          <t>188A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1" t="n">
        <v>461</v>
      </c>
      <c r="D60" s="132" t="n">
        <v>189</v>
      </c>
      <c r="E60" s="133" t="n">
        <v>57</v>
      </c>
      <c r="F60" s="132" t="n">
        <v>164.6</v>
      </c>
      <c r="G60" s="17" t="n">
        <v>50</v>
      </c>
      <c r="H60" s="134" t="n">
        <v>84</v>
      </c>
      <c r="I60" s="135" t="n">
        <v>31000</v>
      </c>
      <c r="J60" s="135" t="inlineStr">
        <is>
          <t>15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4</v>
      </c>
      <c r="R60" s="122" t="n">
        <v>2</v>
      </c>
      <c r="S60" s="122" t="inlineStr">
        <is>
          <t>계</t>
        </is>
      </c>
      <c r="T60" s="5" t="inlineStr">
        <is>
          <t>189B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2">
        <f>S60</f>
        <v/>
      </c>
      <c r="AF60" s="122">
        <f>Q60&amp;"/"&amp;R60</f>
        <v/>
      </c>
      <c r="AH60" s="20">
        <f>IF(A60="","",A60)</f>
        <v/>
      </c>
      <c r="AI60" s="133">
        <f>IF(E60="","",E60)</f>
        <v/>
      </c>
      <c r="AJ60" s="122">
        <f>IF(AI60="","",$AJ$2)</f>
        <v/>
      </c>
      <c r="AK60" s="122" t="inlineStr">
        <is>
          <t>A</t>
        </is>
      </c>
      <c r="AL60" s="122" t="inlineStr">
        <is>
          <t>A+</t>
        </is>
      </c>
      <c r="AM60" s="122" t="inlineStr">
        <is>
          <t>B+</t>
        </is>
      </c>
      <c r="AN60" s="122">
        <f>IF(AI60="","",$AN$2)</f>
        <v/>
      </c>
      <c r="AO60" s="122">
        <f>IF(N60="","",IF(N60&gt;=$AO$1/100,"O","X"))</f>
        <v/>
      </c>
      <c r="AP60" s="122">
        <f>IF(I60="","",IF(I60&lt;=$AP$1,"O","X"))</f>
        <v/>
      </c>
      <c r="AQ60" s="122">
        <f>IF(O60="","",IF(O60&lt;=$AQ$1,"O","X"))</f>
        <v/>
      </c>
      <c r="AR60" s="122">
        <f>IF(M60="","",IF(M60&lt;=$AR$1,"O","X"))</f>
        <v/>
      </c>
      <c r="AS60" s="122" t="inlineStr">
        <is>
          <t>X</t>
        </is>
      </c>
      <c r="AT60" s="122">
        <f>IF(OR(F60="",AI60=""),"",IF(AND((F60&lt;=85),(AI60&gt;=15)),"O","X"))</f>
        <v/>
      </c>
      <c r="AU60" s="122">
        <f>IF(C60="","",IF(C60&gt;=$AU$1,"O","X"))</f>
        <v/>
      </c>
      <c r="AV60" s="122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1" t="n">
        <v>411</v>
      </c>
      <c r="D61" s="132" t="n">
        <v>46.8</v>
      </c>
      <c r="E61" s="133" t="n">
        <v>14</v>
      </c>
      <c r="F61" s="132" t="n">
        <v>33.3</v>
      </c>
      <c r="G61" s="17" t="n">
        <v>10</v>
      </c>
      <c r="H61" s="134" t="n">
        <v>355</v>
      </c>
      <c r="I61" s="135" t="n">
        <v>5000</v>
      </c>
      <c r="J61" s="135" t="inlineStr">
        <is>
          <t>14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2</v>
      </c>
      <c r="R61" s="122" t="n">
        <v>1</v>
      </c>
      <c r="S61" s="122" t="inlineStr">
        <is>
          <t>복</t>
        </is>
      </c>
      <c r="T61" s="5" t="n">
        <v>46</v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1" t="n">
        <v>411</v>
      </c>
      <c r="D62" s="132" t="n">
        <v>50.4</v>
      </c>
      <c r="E62" s="133" t="n">
        <v>15</v>
      </c>
      <c r="F62" s="132" t="n">
        <v>35.9</v>
      </c>
      <c r="G62" s="17" t="n">
        <v>11</v>
      </c>
      <c r="H62" s="134" t="n">
        <v>56</v>
      </c>
      <c r="I62" s="135" t="n">
        <v>5500</v>
      </c>
      <c r="J62" s="135" t="inlineStr">
        <is>
          <t>12</t>
        </is>
      </c>
      <c r="K62" s="135" t="n">
        <v>3600</v>
      </c>
      <c r="L62" s="135" t="inlineStr">
        <is>
          <t>12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2</v>
      </c>
      <c r="R62" s="122" t="n">
        <v>1</v>
      </c>
      <c r="S62" s="122" t="inlineStr">
        <is>
          <t>복</t>
        </is>
      </c>
      <c r="T62" s="5" t="n">
        <v>50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1" t="n">
        <v>398</v>
      </c>
      <c r="D63" s="132" t="n">
        <v>53.4</v>
      </c>
      <c r="E63" s="133" t="n">
        <v>16</v>
      </c>
      <c r="F63" s="132" t="n">
        <v>43.4</v>
      </c>
      <c r="G63" s="17" t="n">
        <v>13</v>
      </c>
      <c r="H63" s="134" t="n">
        <v>8</v>
      </c>
      <c r="I63" s="135" t="n"/>
      <c r="J63" s="135" t="n"/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2</v>
      </c>
      <c r="R63" s="122" t="n">
        <v>1</v>
      </c>
      <c r="S63" s="122" t="inlineStr">
        <is>
          <t>계</t>
        </is>
      </c>
      <c r="T63" s="5" t="n">
        <v>53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2">
        <f>S63</f>
        <v/>
      </c>
      <c r="AF63" s="122">
        <f>Q63&amp;"/"&amp;R63</f>
        <v/>
      </c>
      <c r="AH63" s="20">
        <f>IF(A63="","",A63)</f>
        <v/>
      </c>
      <c r="AI63" s="133">
        <f>IF(E63="","",E63)</f>
        <v/>
      </c>
      <c r="AJ63" s="122">
        <f>IF(AI63="","",$AJ$2)</f>
        <v/>
      </c>
      <c r="AK63" s="122" t="inlineStr">
        <is>
          <t>A</t>
        </is>
      </c>
      <c r="AL63" s="122" t="inlineStr">
        <is>
          <t>A+</t>
        </is>
      </c>
      <c r="AM63" s="122" t="inlineStr">
        <is>
          <t>B+</t>
        </is>
      </c>
      <c r="AN63" s="122">
        <f>IF(AI63="","",$AN$2)</f>
        <v/>
      </c>
      <c r="AO63" s="122">
        <f>IF(N63="","",IF(N63&gt;=$AO$1/100,"O","X"))</f>
        <v/>
      </c>
      <c r="AP63" s="122">
        <f>IF(I63="","",IF(I63&lt;=$AP$1,"O","X"))</f>
        <v/>
      </c>
      <c r="AQ63" s="122">
        <f>IF(O63="","",IF(O63&lt;=$AQ$1,"O","X"))</f>
        <v/>
      </c>
      <c r="AR63" s="122">
        <f>IF(M63="","",IF(M63&lt;=$AR$1,"O","X"))</f>
        <v/>
      </c>
      <c r="AS63" s="122" t="inlineStr">
        <is>
          <t>X</t>
        </is>
      </c>
      <c r="AT63" s="122">
        <f>IF(OR(F63="",AI63=""),"",IF(AND((F63&lt;=85),(AI63&gt;=15)),"O","X"))</f>
        <v/>
      </c>
      <c r="AU63" s="122">
        <f>IF(C63="","",IF(C63&gt;=$AU$1,"O","X"))</f>
        <v/>
      </c>
      <c r="AV63" s="122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1" t="n">
        <v>398</v>
      </c>
      <c r="D64" s="132" t="n">
        <v>61.9</v>
      </c>
      <c r="E64" s="133" t="n">
        <v>19</v>
      </c>
      <c r="F64" s="132" t="n">
        <v>51.3</v>
      </c>
      <c r="G64" s="17" t="n">
        <v>16</v>
      </c>
      <c r="H64" s="134" t="n">
        <v>20</v>
      </c>
      <c r="I64" s="135" t="n">
        <v>9500</v>
      </c>
      <c r="J64" s="135" t="inlineStr">
        <is>
          <t>5</t>
        </is>
      </c>
      <c r="K64" s="135" t="n">
        <v>6000</v>
      </c>
      <c r="L64" s="135" t="inlineStr">
        <is>
          <t>5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2</v>
      </c>
      <c r="R64" s="122" t="n">
        <v>1</v>
      </c>
      <c r="S64" s="122" t="inlineStr">
        <is>
          <t>계</t>
        </is>
      </c>
      <c r="T64" s="5" t="n">
        <v>61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1" t="n">
        <v>398</v>
      </c>
      <c r="D65" s="132" t="n">
        <v>76.59999999999999</v>
      </c>
      <c r="E65" s="133" t="n">
        <v>23</v>
      </c>
      <c r="F65" s="132" t="n">
        <v>60</v>
      </c>
      <c r="G65" s="17" t="n">
        <v>18</v>
      </c>
      <c r="H65" s="134" t="n">
        <v>131</v>
      </c>
      <c r="I65" s="135" t="n"/>
      <c r="J65" s="135" t="n"/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2" t="n">
        <v>3</v>
      </c>
      <c r="R65" s="122" t="n">
        <v>1</v>
      </c>
      <c r="S65" s="122" t="inlineStr">
        <is>
          <t>계</t>
        </is>
      </c>
      <c r="T65" s="5" t="n">
        <v>76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22">
        <f>S65</f>
        <v/>
      </c>
      <c r="AF65" s="122">
        <f>Q65&amp;"/"&amp;R65</f>
        <v/>
      </c>
      <c r="AH65" s="20">
        <f>IF(A65="","",A65)</f>
        <v/>
      </c>
      <c r="AI65" s="133">
        <f>IF(E65="","",E65)</f>
        <v/>
      </c>
      <c r="AJ65" s="122">
        <f>IF(AI65="","",$AJ$2)</f>
        <v/>
      </c>
      <c r="AK65" s="122" t="inlineStr">
        <is>
          <t>A</t>
        </is>
      </c>
      <c r="AL65" s="122" t="inlineStr">
        <is>
          <t>A+</t>
        </is>
      </c>
      <c r="AM65" s="122" t="inlineStr">
        <is>
          <t>B+</t>
        </is>
      </c>
      <c r="AN65" s="122">
        <f>IF(AI65="","",$AN$2)</f>
        <v/>
      </c>
      <c r="AO65" s="122">
        <f>IF(N65="","",IF(N65&gt;=$AO$1/100,"O","X"))</f>
        <v/>
      </c>
      <c r="AP65" s="122">
        <f>IF(I65="","",IF(I65&lt;=$AP$1,"O","X"))</f>
        <v/>
      </c>
      <c r="AQ65" s="122">
        <f>IF(O65="","",IF(O65&lt;=$AQ$1,"O","X"))</f>
        <v/>
      </c>
      <c r="AR65" s="122">
        <f>IF(M65="","",IF(M65&lt;=$AR$1,"O","X"))</f>
        <v/>
      </c>
      <c r="AS65" s="122" t="inlineStr">
        <is>
          <t>X</t>
        </is>
      </c>
      <c r="AT65" s="122">
        <f>IF(OR(F65="",AI65=""),"",IF(AND((F65&lt;=85),(AI65&gt;=15)),"O","X"))</f>
        <v/>
      </c>
      <c r="AU65" s="122">
        <f>IF(C65="","",IF(C65&gt;=$AU$1,"O","X"))</f>
        <v/>
      </c>
      <c r="AV65" s="122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1" t="n">
        <v>398</v>
      </c>
      <c r="D66" s="132" t="n">
        <v>104</v>
      </c>
      <c r="E66" s="133" t="n">
        <v>31</v>
      </c>
      <c r="F66" s="132" t="n">
        <v>85</v>
      </c>
      <c r="G66" s="17" t="n">
        <v>26</v>
      </c>
      <c r="H66" s="134" t="n">
        <v>239</v>
      </c>
      <c r="I66" s="135" t="n">
        <v>17800</v>
      </c>
      <c r="J66" s="135" t="inlineStr">
        <is>
          <t>11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2</v>
      </c>
      <c r="S66" s="122" t="inlineStr">
        <is>
          <t>계</t>
        </is>
      </c>
      <c r="T66" s="5" t="n">
        <v>104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2">
        <f>S66</f>
        <v/>
      </c>
      <c r="AF66" s="122">
        <f>Q66&amp;"/"&amp;R66</f>
        <v/>
      </c>
      <c r="AH66" s="20">
        <f>IF(A66="","",A66)</f>
        <v/>
      </c>
      <c r="AI66" s="133">
        <f>IF(E66="","",E66)</f>
        <v/>
      </c>
      <c r="AJ66" s="122">
        <f>IF(AI66="","",$AJ$2)</f>
        <v/>
      </c>
      <c r="AK66" s="122" t="inlineStr">
        <is>
          <t>A</t>
        </is>
      </c>
      <c r="AL66" s="122" t="inlineStr">
        <is>
          <t>A+</t>
        </is>
      </c>
      <c r="AM66" s="122" t="inlineStr">
        <is>
          <t>B+</t>
        </is>
      </c>
      <c r="AN66" s="122">
        <f>IF(AI66="","",$AN$2)</f>
        <v/>
      </c>
      <c r="AO66" s="122">
        <f>IF(N66="","",IF(N66&gt;=$AO$1/100,"O","X"))</f>
        <v/>
      </c>
      <c r="AP66" s="122">
        <f>IF(I66="","",IF(I66&lt;=$AP$1,"O","X"))</f>
        <v/>
      </c>
      <c r="AQ66" s="122">
        <f>IF(O66="","",IF(O66&lt;=$AQ$1,"O","X"))</f>
        <v/>
      </c>
      <c r="AR66" s="122">
        <f>IF(M66="","",IF(M66&lt;=$AR$1,"O","X"))</f>
        <v/>
      </c>
      <c r="AS66" s="122" t="inlineStr">
        <is>
          <t>X</t>
        </is>
      </c>
      <c r="AT66" s="122">
        <f>IF(OR(F66="",AI66=""),"",IF(AND((F66&lt;=85),(AI66&gt;=15)),"O","X"))</f>
        <v/>
      </c>
      <c r="AU66" s="122">
        <f>IF(C66="","",IF(C66&gt;=$AU$1,"O","X"))</f>
        <v/>
      </c>
      <c r="AV66" s="122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1" t="n">
        <v>729</v>
      </c>
      <c r="D67" s="132" t="n">
        <v>84.8</v>
      </c>
      <c r="E67" s="133" t="n">
        <v>26</v>
      </c>
      <c r="F67" s="132" t="n">
        <v>60</v>
      </c>
      <c r="G67" s="17" t="n">
        <v>18</v>
      </c>
      <c r="H67" s="134" t="n">
        <v>204</v>
      </c>
      <c r="I67" s="135" t="n">
        <v>37000</v>
      </c>
      <c r="J67" s="135" t="inlineStr">
        <is>
          <t>5</t>
        </is>
      </c>
      <c r="K67" s="135" t="n">
        <v>28000</v>
      </c>
      <c r="L67" s="135" t="inlineStr">
        <is>
          <t>26</t>
        </is>
      </c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3</v>
      </c>
      <c r="R67" s="122" t="n">
        <v>2</v>
      </c>
      <c r="S67" s="122" t="inlineStr">
        <is>
          <t>계</t>
        </is>
      </c>
      <c r="T67" s="5" t="n">
        <v>84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2">
        <f>S67</f>
        <v/>
      </c>
      <c r="AF67" s="122">
        <f>Q67&amp;"/"&amp;R67</f>
        <v/>
      </c>
      <c r="AH67" s="20">
        <f>IF(A67="","",A67)</f>
        <v/>
      </c>
      <c r="AI67" s="133">
        <f>IF(E67="","",E67)</f>
        <v/>
      </c>
      <c r="AJ67" s="122">
        <f>IF(AI67="","",$AJ$2)</f>
        <v/>
      </c>
      <c r="AK67" s="122" t="inlineStr">
        <is>
          <t>A</t>
        </is>
      </c>
      <c r="AL67" s="122" t="inlineStr">
        <is>
          <t>A+</t>
        </is>
      </c>
      <c r="AM67" s="122" t="inlineStr">
        <is>
          <t>B+</t>
        </is>
      </c>
      <c r="AN67" s="122">
        <f>IF(AI67="","",$AN$2)</f>
        <v/>
      </c>
      <c r="AO67" s="122">
        <f>IF(N67="","",IF(N67&gt;=$AO$1/100,"O","X"))</f>
        <v/>
      </c>
      <c r="AP67" s="122">
        <f>IF(I67="","",IF(I67&lt;=$AP$1,"O","X"))</f>
        <v/>
      </c>
      <c r="AQ67" s="122">
        <f>IF(O67="","",IF(O67&lt;=$AQ$1,"O","X"))</f>
        <v/>
      </c>
      <c r="AR67" s="122">
        <f>IF(M67="","",IF(M67&lt;=$AR$1,"O","X"))</f>
        <v/>
      </c>
      <c r="AS67" s="122" t="inlineStr">
        <is>
          <t>X</t>
        </is>
      </c>
      <c r="AT67" s="122">
        <f>IF(OR(F67="",AI67=""),"",IF(AND((F67&lt;=85),(AI67&gt;=15)),"O","X"))</f>
        <v/>
      </c>
      <c r="AU67" s="122">
        <f>IF(C67="","",IF(C67&gt;=$AU$1,"O","X"))</f>
        <v/>
      </c>
      <c r="AV67" s="122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1" t="n">
        <v>729</v>
      </c>
      <c r="D68" s="132" t="n">
        <v>99</v>
      </c>
      <c r="E68" s="133" t="n">
        <v>30</v>
      </c>
      <c r="F68" s="132" t="n">
        <v>74.40000000000001</v>
      </c>
      <c r="G68" s="17" t="n">
        <v>23</v>
      </c>
      <c r="H68" s="134" t="n">
        <v>119</v>
      </c>
      <c r="I68" s="135" t="n">
        <v>46000</v>
      </c>
      <c r="J68" s="135" t="inlineStr">
        <is>
          <t>고</t>
        </is>
      </c>
      <c r="K68" s="135" t="n">
        <v>32000</v>
      </c>
      <c r="L68" s="135" t="inlineStr">
        <is>
          <t>11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2" t="n">
        <v>3</v>
      </c>
      <c r="R68" s="122" t="n">
        <v>2</v>
      </c>
      <c r="S68" s="122" t="inlineStr">
        <is>
          <t>계</t>
        </is>
      </c>
      <c r="T68" s="5" t="n">
        <v>98</v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22">
        <f>S68</f>
        <v/>
      </c>
      <c r="AF68" s="122">
        <f>Q68&amp;"/"&amp;R68</f>
        <v/>
      </c>
      <c r="AH68" s="20">
        <f>IF(A68="","",A68)</f>
        <v/>
      </c>
      <c r="AI68" s="133">
        <f>IF(E68="","",E68)</f>
        <v/>
      </c>
      <c r="AJ68" s="122">
        <f>IF(AI68="","",$AJ$2)</f>
        <v/>
      </c>
      <c r="AK68" s="122" t="inlineStr">
        <is>
          <t>A</t>
        </is>
      </c>
      <c r="AL68" s="122" t="inlineStr">
        <is>
          <t>A+</t>
        </is>
      </c>
      <c r="AM68" s="122" t="inlineStr">
        <is>
          <t>B+</t>
        </is>
      </c>
      <c r="AN68" s="122">
        <f>IF(AI68="","",$AN$2)</f>
        <v/>
      </c>
      <c r="AO68" s="122">
        <f>IF(N68="","",IF(N68&gt;=$AO$1/100,"O","X"))</f>
        <v/>
      </c>
      <c r="AP68" s="122">
        <f>IF(I68="","",IF(I68&lt;=$AP$1,"O","X"))</f>
        <v/>
      </c>
      <c r="AQ68" s="122">
        <f>IF(O68="","",IF(O68&lt;=$AQ$1,"O","X"))</f>
        <v/>
      </c>
      <c r="AR68" s="122">
        <f>IF(M68="","",IF(M68&lt;=$AR$1,"O","X"))</f>
        <v/>
      </c>
      <c r="AS68" s="122" t="inlineStr">
        <is>
          <t>X</t>
        </is>
      </c>
      <c r="AT68" s="122">
        <f>IF(OR(F68="",AI68=""),"",IF(AND((F68&lt;=85),(AI68&gt;=15)),"O","X"))</f>
        <v/>
      </c>
      <c r="AU68" s="122">
        <f>IF(C68="","",IF(C68&gt;=$AU$1,"O","X"))</f>
        <v/>
      </c>
      <c r="AV68" s="122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1" t="n">
        <v>729</v>
      </c>
      <c r="D69" s="132" t="n">
        <v>112.1</v>
      </c>
      <c r="E69" s="133" t="n">
        <v>34</v>
      </c>
      <c r="F69" s="132" t="n">
        <v>85</v>
      </c>
      <c r="G69" s="17" t="n">
        <v>26</v>
      </c>
      <c r="H69" s="134" t="n">
        <v>406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4</v>
      </c>
      <c r="R69" s="122" t="n">
        <v>2</v>
      </c>
      <c r="S69" s="122" t="inlineStr">
        <is>
          <t>계</t>
        </is>
      </c>
      <c r="T69" s="5" t="n">
        <v>112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2">
        <f>S69</f>
        <v/>
      </c>
      <c r="AF69" s="122">
        <f>Q69&amp;"/"&amp;R69</f>
        <v/>
      </c>
      <c r="AH69" s="20">
        <f>IF(A69="","",A69)</f>
        <v/>
      </c>
      <c r="AI69" s="133">
        <f>IF(E69="","",E69)</f>
        <v/>
      </c>
      <c r="AJ69" s="122">
        <f>IF(AI69="","",$AJ$2)</f>
        <v/>
      </c>
      <c r="AK69" s="122" t="inlineStr">
        <is>
          <t>A</t>
        </is>
      </c>
      <c r="AL69" s="122" t="inlineStr">
        <is>
          <t>A+</t>
        </is>
      </c>
      <c r="AM69" s="122" t="inlineStr">
        <is>
          <t>B+</t>
        </is>
      </c>
      <c r="AN69" s="122">
        <f>IF(AI69="","",$AN$2)</f>
        <v/>
      </c>
      <c r="AO69" s="122">
        <f>IF(N69="","",IF(N69&gt;=$AO$1/100,"O","X"))</f>
        <v/>
      </c>
      <c r="AP69" s="122">
        <f>IF(I69="","",IF(I69&lt;=$AP$1,"O","X"))</f>
        <v/>
      </c>
      <c r="AQ69" s="122">
        <f>IF(O69="","",IF(O69&lt;=$AQ$1,"O","X"))</f>
        <v/>
      </c>
      <c r="AR69" s="122">
        <f>IF(M69="","",IF(M69&lt;=$AR$1,"O","X"))</f>
        <v/>
      </c>
      <c r="AS69" s="122" t="inlineStr">
        <is>
          <t>X</t>
        </is>
      </c>
      <c r="AT69" s="122">
        <f>IF(OR(F69="",AI69=""),"",IF(AND((F69&lt;=85),(AI69&gt;=15)),"O","X"))</f>
        <v/>
      </c>
      <c r="AU69" s="122">
        <f>IF(C69="","",IF(C69&gt;=$AU$1,"O","X"))</f>
        <v/>
      </c>
      <c r="AV69" s="122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1" t="n">
        <v>356</v>
      </c>
      <c r="D70" s="132" t="n">
        <v>60.4</v>
      </c>
      <c r="E70" s="133" t="n">
        <v>18</v>
      </c>
      <c r="F70" s="132" t="n">
        <v>44.2</v>
      </c>
      <c r="G70" s="17" t="n">
        <v>13</v>
      </c>
      <c r="H70" s="134" t="n">
        <v>25</v>
      </c>
      <c r="I70" s="135" t="n"/>
      <c r="J70" s="135" t="n"/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2</v>
      </c>
      <c r="R70" s="122" t="n">
        <v>1</v>
      </c>
      <c r="S70" s="122" t="inlineStr">
        <is>
          <t>계</t>
        </is>
      </c>
      <c r="T70" s="5" t="n">
        <v>60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2">
        <f>S70</f>
        <v/>
      </c>
      <c r="AF70" s="122">
        <f>Q70&amp;"/"&amp;R70</f>
        <v/>
      </c>
      <c r="AH70" s="20">
        <f>IF(A70="","",A70)</f>
        <v/>
      </c>
      <c r="AI70" s="133">
        <f>IF(E70="","",E70)</f>
        <v/>
      </c>
      <c r="AJ70" s="122">
        <f>IF(AI70="","",$AJ$2)</f>
        <v/>
      </c>
      <c r="AK70" s="122" t="inlineStr">
        <is>
          <t>A</t>
        </is>
      </c>
      <c r="AL70" s="122" t="inlineStr">
        <is>
          <t>A+</t>
        </is>
      </c>
      <c r="AM70" s="122" t="inlineStr">
        <is>
          <t>B+</t>
        </is>
      </c>
      <c r="AN70" s="122">
        <f>IF(AI70="","",$AN$2)</f>
        <v/>
      </c>
      <c r="AO70" s="122">
        <f>IF(N70="","",IF(N70&gt;=$AO$1/100,"O","X"))</f>
        <v/>
      </c>
      <c r="AP70" s="122">
        <f>IF(I70="","",IF(I70&lt;=$AP$1,"O","X"))</f>
        <v/>
      </c>
      <c r="AQ70" s="122">
        <f>IF(O70="","",IF(O70&lt;=$AQ$1,"O","X"))</f>
        <v/>
      </c>
      <c r="AR70" s="122">
        <f>IF(M70="","",IF(M70&lt;=$AR$1,"O","X"))</f>
        <v/>
      </c>
      <c r="AS70" s="122" t="inlineStr">
        <is>
          <t>X</t>
        </is>
      </c>
      <c r="AT70" s="122">
        <f>IF(OR(F70="",AI70=""),"",IF(AND((F70&lt;=85),(AI70&gt;=15)),"O","X"))</f>
        <v/>
      </c>
      <c r="AU70" s="122">
        <f>IF(C70="","",IF(C70&gt;=$AU$1,"O","X"))</f>
        <v/>
      </c>
      <c r="AV70" s="122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1" t="n">
        <v>356</v>
      </c>
      <c r="D71" s="132" t="n">
        <v>67.7</v>
      </c>
      <c r="E71" s="133" t="n">
        <v>20</v>
      </c>
      <c r="F71" s="132" t="n">
        <v>49.5</v>
      </c>
      <c r="G71" s="17" t="n">
        <v>15</v>
      </c>
      <c r="H71" s="134" t="n">
        <v>105</v>
      </c>
      <c r="I71" s="135" t="n">
        <v>11000</v>
      </c>
      <c r="J71" s="135" t="inlineStr">
        <is>
          <t>12</t>
        </is>
      </c>
      <c r="K71" s="135" t="n"/>
      <c r="L71" s="135" t="n"/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2" t="n">
        <v>2</v>
      </c>
      <c r="R71" s="122" t="n">
        <v>1</v>
      </c>
      <c r="S71" s="122" t="inlineStr">
        <is>
          <t>계</t>
        </is>
      </c>
      <c r="T71" s="5" t="n">
        <v>67</v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22">
        <f>S71</f>
        <v/>
      </c>
      <c r="AF71" s="122">
        <f>Q71&amp;"/"&amp;R71</f>
        <v/>
      </c>
      <c r="AH71" s="20">
        <f>IF(A71="","",A71)</f>
        <v/>
      </c>
      <c r="AI71" s="133">
        <f>IF(E71="","",E71)</f>
        <v/>
      </c>
      <c r="AJ71" s="122">
        <f>IF(AI71="","",$AJ$2)</f>
        <v/>
      </c>
      <c r="AK71" s="122" t="inlineStr">
        <is>
          <t>A</t>
        </is>
      </c>
      <c r="AL71" s="122" t="inlineStr">
        <is>
          <t>A+</t>
        </is>
      </c>
      <c r="AM71" s="122" t="inlineStr">
        <is>
          <t>B+</t>
        </is>
      </c>
      <c r="AN71" s="122">
        <f>IF(AI71="","",$AN$2)</f>
        <v/>
      </c>
      <c r="AO71" s="122">
        <f>IF(N71="","",IF(N71&gt;=$AO$1/100,"O","X"))</f>
        <v/>
      </c>
      <c r="AP71" s="122">
        <f>IF(I71="","",IF(I71&lt;=$AP$1,"O","X"))</f>
        <v/>
      </c>
      <c r="AQ71" s="122">
        <f>IF(O71="","",IF(O71&lt;=$AQ$1,"O","X"))</f>
        <v/>
      </c>
      <c r="AR71" s="122">
        <f>IF(M71="","",IF(M71&lt;=$AR$1,"O","X"))</f>
        <v/>
      </c>
      <c r="AS71" s="122" t="inlineStr">
        <is>
          <t>X</t>
        </is>
      </c>
      <c r="AT71" s="122">
        <f>IF(OR(F71="",AI71=""),"",IF(AND((F71&lt;=85),(AI71&gt;=15)),"O","X"))</f>
        <v/>
      </c>
      <c r="AU71" s="122">
        <f>IF(C71="","",IF(C71&gt;=$AU$1,"O","X"))</f>
        <v/>
      </c>
      <c r="AV71" s="122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1" t="n">
        <v>356</v>
      </c>
      <c r="D72" s="132" t="n">
        <v>81.3</v>
      </c>
      <c r="E72" s="133" t="n">
        <v>25</v>
      </c>
      <c r="F72" s="132" t="n">
        <v>59.5</v>
      </c>
      <c r="G72" s="17" t="n">
        <v>18</v>
      </c>
      <c r="H72" s="134" t="n">
        <v>226</v>
      </c>
      <c r="I72" s="135" t="n">
        <v>13500</v>
      </c>
      <c r="J72" s="135" t="inlineStr">
        <is>
          <t>중</t>
        </is>
      </c>
      <c r="K72" s="135" t="n">
        <v>12500</v>
      </c>
      <c r="L72" s="135" t="inlineStr">
        <is>
          <t>11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3</v>
      </c>
      <c r="R72" s="122" t="n">
        <v>1</v>
      </c>
      <c r="S72" s="122" t="inlineStr">
        <is>
          <t>계</t>
        </is>
      </c>
      <c r="T72" s="5" t="n">
        <v>81</v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2">
        <f>S72</f>
        <v/>
      </c>
      <c r="AF72" s="122">
        <f>Q72&amp;"/"&amp;R72</f>
        <v/>
      </c>
      <c r="AH72" s="20">
        <f>IF(A72="","",A72)</f>
        <v/>
      </c>
      <c r="AI72" s="133">
        <f>IF(E72="","",E72)</f>
        <v/>
      </c>
      <c r="AJ72" s="122">
        <f>IF(AI72="","",$AJ$2)</f>
        <v/>
      </c>
      <c r="AK72" s="122" t="inlineStr">
        <is>
          <t>A</t>
        </is>
      </c>
      <c r="AL72" s="122" t="inlineStr">
        <is>
          <t>A+</t>
        </is>
      </c>
      <c r="AM72" s="122" t="inlineStr">
        <is>
          <t>B+</t>
        </is>
      </c>
      <c r="AN72" s="122">
        <f>IF(AI72="","",$AN$2)</f>
        <v/>
      </c>
      <c r="AO72" s="122">
        <f>IF(N72="","",IF(N72&gt;=$AO$1/100,"O","X"))</f>
        <v/>
      </c>
      <c r="AP72" s="122">
        <f>IF(I72="","",IF(I72&lt;=$AP$1,"O","X"))</f>
        <v/>
      </c>
      <c r="AQ72" s="122">
        <f>IF(O72="","",IF(O72&lt;=$AQ$1,"O","X"))</f>
        <v/>
      </c>
      <c r="AR72" s="122">
        <f>IF(M72="","",IF(M72&lt;=$AR$1,"O","X"))</f>
        <v/>
      </c>
      <c r="AS72" s="122" t="inlineStr">
        <is>
          <t>X</t>
        </is>
      </c>
      <c r="AT72" s="122">
        <f>IF(OR(F72="",AI72=""),"",IF(AND((F72&lt;=85),(AI72&gt;=15)),"O","X"))</f>
        <v/>
      </c>
      <c r="AU72" s="122">
        <f>IF(C72="","",IF(C72&gt;=$AU$1,"O","X"))</f>
        <v/>
      </c>
      <c r="AV72" s="122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1" t="n">
        <v>958</v>
      </c>
      <c r="D73" s="132" t="n">
        <v>87.8</v>
      </c>
      <c r="E73" s="133" t="n">
        <v>27</v>
      </c>
      <c r="F73" s="132" t="n">
        <v>72.3</v>
      </c>
      <c r="G73" s="17" t="n">
        <v>22</v>
      </c>
      <c r="H73" s="134" t="n">
        <v>45</v>
      </c>
      <c r="I73" s="135" t="n">
        <v>15500</v>
      </c>
      <c r="J73" s="135" t="inlineStr">
        <is>
          <t>8</t>
        </is>
      </c>
      <c r="K73" s="135" t="n">
        <v>14000</v>
      </c>
      <c r="L73" s="135" t="inlineStr">
        <is>
          <t>15</t>
        </is>
      </c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2" t="n">
        <v>3</v>
      </c>
      <c r="R73" s="122" t="n">
        <v>1</v>
      </c>
      <c r="S73" s="122" t="inlineStr">
        <is>
          <t>계</t>
        </is>
      </c>
      <c r="T73" s="5" t="inlineStr">
        <is>
          <t>87A</t>
        </is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22">
        <f>S73</f>
        <v/>
      </c>
      <c r="AF73" s="122">
        <f>Q73&amp;"/"&amp;R73</f>
        <v/>
      </c>
      <c r="AH73" s="20">
        <f>IF(A73="","",A73)</f>
        <v/>
      </c>
      <c r="AI73" s="133">
        <f>IF(E73="","",E73)</f>
        <v/>
      </c>
      <c r="AJ73" s="122">
        <f>IF(AI73="","",$AJ$2)</f>
        <v/>
      </c>
      <c r="AK73" s="122" t="inlineStr">
        <is>
          <t>A</t>
        </is>
      </c>
      <c r="AL73" s="122" t="inlineStr">
        <is>
          <t>A+</t>
        </is>
      </c>
      <c r="AM73" s="122" t="inlineStr">
        <is>
          <t>B+</t>
        </is>
      </c>
      <c r="AN73" s="122">
        <f>IF(AI73="","",$AN$2)</f>
        <v/>
      </c>
      <c r="AO73" s="122">
        <f>IF(N73="","",IF(N73&gt;=$AO$1/100,"O","X"))</f>
        <v/>
      </c>
      <c r="AP73" s="122">
        <f>IF(I73="","",IF(I73&lt;=$AP$1,"O","X"))</f>
        <v/>
      </c>
      <c r="AQ73" s="122">
        <f>IF(O73="","",IF(O73&lt;=$AQ$1,"O","X"))</f>
        <v/>
      </c>
      <c r="AR73" s="122">
        <f>IF(M73="","",IF(M73&lt;=$AR$1,"O","X"))</f>
        <v/>
      </c>
      <c r="AS73" s="122" t="inlineStr">
        <is>
          <t>X</t>
        </is>
      </c>
      <c r="AT73" s="122">
        <f>IF(OR(F73="",AI73=""),"",IF(AND((F73&lt;=85),(AI73&gt;=15)),"O","X"))</f>
        <v/>
      </c>
      <c r="AU73" s="122">
        <f>IF(C73="","",IF(C73&gt;=$AU$1,"O","X"))</f>
        <v/>
      </c>
      <c r="AV73" s="122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1" t="n">
        <v>958</v>
      </c>
      <c r="D74" s="132" t="n">
        <v>88.7</v>
      </c>
      <c r="E74" s="133" t="n">
        <v>27</v>
      </c>
      <c r="F74" s="132" t="n">
        <v>72.8</v>
      </c>
      <c r="G74" s="17" t="n">
        <v>22</v>
      </c>
      <c r="H74" s="134" t="n">
        <v>191</v>
      </c>
      <c r="I74" s="135" t="n">
        <v>15000</v>
      </c>
      <c r="J74" s="135" t="inlineStr">
        <is>
          <t>10</t>
        </is>
      </c>
      <c r="K74" s="135" t="n">
        <v>14500</v>
      </c>
      <c r="L74" s="135" t="inlineStr">
        <is>
          <t>15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3</v>
      </c>
      <c r="R74" s="122" t="n">
        <v>1</v>
      </c>
      <c r="S74" s="122" t="inlineStr">
        <is>
          <t>계</t>
        </is>
      </c>
      <c r="T74" s="5" t="inlineStr">
        <is>
          <t>88B</t>
        </is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2">
        <f>S74</f>
        <v/>
      </c>
      <c r="AF74" s="122">
        <f>Q74&amp;"/"&amp;R74</f>
        <v/>
      </c>
      <c r="AH74" s="20">
        <f>IF(A74="","",A74)</f>
        <v/>
      </c>
      <c r="AI74" s="133">
        <f>IF(E74="","",E74)</f>
        <v/>
      </c>
      <c r="AJ74" s="122">
        <f>IF(AI74="","",$AJ$2)</f>
        <v/>
      </c>
      <c r="AK74" s="122" t="inlineStr">
        <is>
          <t>A</t>
        </is>
      </c>
      <c r="AL74" s="122" t="inlineStr">
        <is>
          <t>A+</t>
        </is>
      </c>
      <c r="AM74" s="122" t="inlineStr">
        <is>
          <t>B+</t>
        </is>
      </c>
      <c r="AN74" s="122">
        <f>IF(AI74="","",$AN$2)</f>
        <v/>
      </c>
      <c r="AO74" s="122">
        <f>IF(N74="","",IF(N74&gt;=$AO$1/100,"O","X"))</f>
        <v/>
      </c>
      <c r="AP74" s="122">
        <f>IF(I74="","",IF(I74&lt;=$AP$1,"O","X"))</f>
        <v/>
      </c>
      <c r="AQ74" s="122">
        <f>IF(O74="","",IF(O74&lt;=$AQ$1,"O","X"))</f>
        <v/>
      </c>
      <c r="AR74" s="122">
        <f>IF(M74="","",IF(M74&lt;=$AR$1,"O","X"))</f>
        <v/>
      </c>
      <c r="AS74" s="122" t="inlineStr">
        <is>
          <t>X</t>
        </is>
      </c>
      <c r="AT74" s="122">
        <f>IF(OR(F74="",AI74=""),"",IF(AND((F74&lt;=85),(AI74&gt;=15)),"O","X"))</f>
        <v/>
      </c>
      <c r="AU74" s="122">
        <f>IF(C74="","",IF(C74&gt;=$AU$1,"O","X"))</f>
        <v/>
      </c>
      <c r="AV74" s="122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1" t="n">
        <v>958</v>
      </c>
      <c r="D75" s="132" t="n">
        <v>103</v>
      </c>
      <c r="E75" s="133" t="n">
        <v>31</v>
      </c>
      <c r="F75" s="132" t="n">
        <v>84.8</v>
      </c>
      <c r="G75" s="17" t="n">
        <v>26</v>
      </c>
      <c r="H75" s="134" t="n">
        <v>544</v>
      </c>
      <c r="I75" s="135" t="n">
        <v>18500</v>
      </c>
      <c r="J75" s="135" t="inlineStr">
        <is>
          <t>10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3</v>
      </c>
      <c r="R75" s="122" t="n">
        <v>2</v>
      </c>
      <c r="S75" s="122" t="inlineStr">
        <is>
          <t>계</t>
        </is>
      </c>
      <c r="T75" s="5" t="n">
        <v>103</v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2">
        <f>S75</f>
        <v/>
      </c>
      <c r="AF75" s="122">
        <f>Q75&amp;"/"&amp;R75</f>
        <v/>
      </c>
      <c r="AH75" s="20">
        <f>IF(A75="","",A75)</f>
        <v/>
      </c>
      <c r="AI75" s="133">
        <f>IF(E75="","",E75)</f>
        <v/>
      </c>
      <c r="AJ75" s="122">
        <f>IF(AI75="","",$AJ$2)</f>
        <v/>
      </c>
      <c r="AK75" s="122" t="inlineStr">
        <is>
          <t>A</t>
        </is>
      </c>
      <c r="AL75" s="122" t="inlineStr">
        <is>
          <t>A+</t>
        </is>
      </c>
      <c r="AM75" s="122" t="inlineStr">
        <is>
          <t>B+</t>
        </is>
      </c>
      <c r="AN75" s="122">
        <f>IF(AI75="","",$AN$2)</f>
        <v/>
      </c>
      <c r="AO75" s="122">
        <f>IF(N75="","",IF(N75&gt;=$AO$1/100,"O","X"))</f>
        <v/>
      </c>
      <c r="AP75" s="122">
        <f>IF(I75="","",IF(I75&lt;=$AP$1,"O","X"))</f>
        <v/>
      </c>
      <c r="AQ75" s="122">
        <f>IF(O75="","",IF(O75&lt;=$AQ$1,"O","X"))</f>
        <v/>
      </c>
      <c r="AR75" s="122">
        <f>IF(M75="","",IF(M75&lt;=$AR$1,"O","X"))</f>
        <v/>
      </c>
      <c r="AS75" s="122" t="inlineStr">
        <is>
          <t>X</t>
        </is>
      </c>
      <c r="AT75" s="122">
        <f>IF(OR(F75="",AI75=""),"",IF(AND((F75&lt;=85),(AI75&gt;=15)),"O","X"))</f>
        <v/>
      </c>
      <c r="AU75" s="122">
        <f>IF(C75="","",IF(C75&gt;=$AU$1,"O","X"))</f>
        <v/>
      </c>
      <c r="AV75" s="122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1" t="n">
        <v>958</v>
      </c>
      <c r="D76" s="132" t="n">
        <v>146</v>
      </c>
      <c r="E76" s="133" t="n">
        <v>44</v>
      </c>
      <c r="F76" s="132" t="n">
        <v>123.8</v>
      </c>
      <c r="G76" s="17" t="n">
        <v>37</v>
      </c>
      <c r="H76" s="134" t="n">
        <v>178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2" t="n">
        <v>4</v>
      </c>
      <c r="R76" s="122" t="n">
        <v>2</v>
      </c>
      <c r="S76" s="122" t="inlineStr">
        <is>
          <t>계</t>
        </is>
      </c>
      <c r="T76" s="5" t="n">
        <v>145</v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22">
        <f>S76</f>
        <v/>
      </c>
      <c r="AF76" s="122">
        <f>Q76&amp;"/"&amp;R76</f>
        <v/>
      </c>
      <c r="AH76" s="20">
        <f>IF(A76="","",A76)</f>
        <v/>
      </c>
      <c r="AI76" s="133">
        <f>IF(E76="","",E76)</f>
        <v/>
      </c>
      <c r="AJ76" s="122">
        <f>IF(AI76="","",$AJ$2)</f>
        <v/>
      </c>
      <c r="AK76" s="122" t="inlineStr">
        <is>
          <t>A</t>
        </is>
      </c>
      <c r="AL76" s="122" t="inlineStr">
        <is>
          <t>A+</t>
        </is>
      </c>
      <c r="AM76" s="122" t="inlineStr">
        <is>
          <t>B+</t>
        </is>
      </c>
      <c r="AN76" s="122">
        <f>IF(AI76="","",$AN$2)</f>
        <v/>
      </c>
      <c r="AO76" s="122">
        <f>IF(N76="","",IF(N76&gt;=$AO$1/100,"O","X"))</f>
        <v/>
      </c>
      <c r="AP76" s="122">
        <f>IF(I76="","",IF(I76&lt;=$AP$1,"O","X"))</f>
        <v/>
      </c>
      <c r="AQ76" s="122">
        <f>IF(O76="","",IF(O76&lt;=$AQ$1,"O","X"))</f>
        <v/>
      </c>
      <c r="AR76" s="122">
        <f>IF(M76="","",IF(M76&lt;=$AR$1,"O","X"))</f>
        <v/>
      </c>
      <c r="AS76" s="122" t="inlineStr">
        <is>
          <t>X</t>
        </is>
      </c>
      <c r="AT76" s="122">
        <f>IF(OR(F76="",AI76=""),"",IF(AND((F76&lt;=85),(AI76&gt;=15)),"O","X"))</f>
        <v/>
      </c>
      <c r="AU76" s="122">
        <f>IF(C76="","",IF(C76&gt;=$AU$1,"O","X"))</f>
        <v/>
      </c>
      <c r="AV76" s="122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1" t="n">
        <v>499</v>
      </c>
      <c r="D77" s="132" t="n">
        <v>41.1</v>
      </c>
      <c r="E77" s="133" t="n">
        <v>12</v>
      </c>
      <c r="F77" s="132" t="n">
        <v>29.9</v>
      </c>
      <c r="G77" s="17" t="n">
        <v>9</v>
      </c>
      <c r="H77" s="134" t="n">
        <v>499</v>
      </c>
      <c r="I77" s="135" t="n">
        <v>5500</v>
      </c>
      <c r="J77" s="135" t="inlineStr">
        <is>
          <t>10</t>
        </is>
      </c>
      <c r="K77" s="135" t="n">
        <v>5000</v>
      </c>
      <c r="L77" s="135" t="inlineStr">
        <is>
          <t>9</t>
        </is>
      </c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2" t="n">
        <v>1</v>
      </c>
      <c r="R77" s="122" t="n">
        <v>1</v>
      </c>
      <c r="S77" s="122" t="inlineStr">
        <is>
          <t>복</t>
        </is>
      </c>
      <c r="T77" s="5" t="n">
        <v>41</v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22">
        <f>S77</f>
        <v/>
      </c>
      <c r="AF77" s="122">
        <f>Q77&amp;"/"&amp;R77</f>
        <v/>
      </c>
      <c r="AH77" s="20">
        <f>IF(A77="","",A77)</f>
        <v/>
      </c>
      <c r="AI77" s="133">
        <f>IF(E77="","",E77)</f>
        <v/>
      </c>
      <c r="AJ77" s="122">
        <f>IF(AI77="","",$AJ$2)</f>
        <v/>
      </c>
      <c r="AK77" s="122" t="inlineStr">
        <is>
          <t>A</t>
        </is>
      </c>
      <c r="AL77" s="122" t="inlineStr">
        <is>
          <t>A+</t>
        </is>
      </c>
      <c r="AM77" s="122" t="inlineStr">
        <is>
          <t>B+</t>
        </is>
      </c>
      <c r="AN77" s="122">
        <f>IF(AI77="","",$AN$2)</f>
        <v/>
      </c>
      <c r="AO77" s="122">
        <f>IF(N77="","",IF(N77&gt;=$AO$1/100,"O","X"))</f>
        <v/>
      </c>
      <c r="AP77" s="122">
        <f>IF(I77="","",IF(I77&lt;=$AP$1,"O","X"))</f>
        <v/>
      </c>
      <c r="AQ77" s="122">
        <f>IF(O77="","",IF(O77&lt;=$AQ$1,"O","X"))</f>
        <v/>
      </c>
      <c r="AR77" s="122">
        <f>IF(M77="","",IF(M77&lt;=$AR$1,"O","X"))</f>
        <v/>
      </c>
      <c r="AS77" s="122" t="inlineStr">
        <is>
          <t>X</t>
        </is>
      </c>
      <c r="AT77" s="122">
        <f>IF(OR(F77="",AI77=""),"",IF(AND((F77&lt;=85),(AI77&gt;=15)),"O","X"))</f>
        <v/>
      </c>
      <c r="AU77" s="122">
        <f>IF(C77="","",IF(C77&gt;=$AU$1,"O","X"))</f>
        <v/>
      </c>
      <c r="AV77" s="122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1" t="n">
        <v>478</v>
      </c>
      <c r="D78" s="132" t="n">
        <v>112.8</v>
      </c>
      <c r="E78" s="133" t="n">
        <v>34</v>
      </c>
      <c r="F78" s="132" t="n">
        <v>84.5</v>
      </c>
      <c r="G78" s="17" t="n">
        <v>26</v>
      </c>
      <c r="H78" s="134" t="n">
        <v>155</v>
      </c>
      <c r="I78" s="135" t="n">
        <v>33000</v>
      </c>
      <c r="J78" s="135" t="inlineStr">
        <is>
          <t>5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2</v>
      </c>
      <c r="S78" s="122" t="inlineStr">
        <is>
          <t>계</t>
        </is>
      </c>
      <c r="T78" s="5" t="inlineStr">
        <is>
          <t>112A</t>
        </is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2">
        <f>S78</f>
        <v/>
      </c>
      <c r="AF78" s="122">
        <f>Q78&amp;"/"&amp;R78</f>
        <v/>
      </c>
      <c r="AH78" s="20">
        <f>IF(A78="","",A78)</f>
        <v/>
      </c>
      <c r="AI78" s="133">
        <f>IF(E78="","",E78)</f>
        <v/>
      </c>
      <c r="AJ78" s="122">
        <f>IF(AI78="","",$AJ$2)</f>
        <v/>
      </c>
      <c r="AK78" s="122" t="inlineStr">
        <is>
          <t>A</t>
        </is>
      </c>
      <c r="AL78" s="122" t="inlineStr">
        <is>
          <t>A+</t>
        </is>
      </c>
      <c r="AM78" s="122" t="inlineStr">
        <is>
          <t>B+</t>
        </is>
      </c>
      <c r="AN78" s="122">
        <f>IF(AI78="","",$AN$2)</f>
        <v/>
      </c>
      <c r="AO78" s="122">
        <f>IF(N78="","",IF(N78&gt;=$AO$1/100,"O","X"))</f>
        <v/>
      </c>
      <c r="AP78" s="122">
        <f>IF(I78="","",IF(I78&lt;=$AP$1,"O","X"))</f>
        <v/>
      </c>
      <c r="AQ78" s="122">
        <f>IF(O78="","",IF(O78&lt;=$AQ$1,"O","X"))</f>
        <v/>
      </c>
      <c r="AR78" s="122">
        <f>IF(M78="","",IF(M78&lt;=$AR$1,"O","X"))</f>
        <v/>
      </c>
      <c r="AS78" s="122" t="inlineStr">
        <is>
          <t>X</t>
        </is>
      </c>
      <c r="AT78" s="122">
        <f>IF(OR(F78="",AI78=""),"",IF(AND((F78&lt;=85),(AI78&gt;=15)),"O","X"))</f>
        <v/>
      </c>
      <c r="AU78" s="122">
        <f>IF(C78="","",IF(C78&gt;=$AU$1,"O","X"))</f>
        <v/>
      </c>
      <c r="AV78" s="122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1" t="n">
        <v>478</v>
      </c>
      <c r="D79" s="132" t="n">
        <v>114.3</v>
      </c>
      <c r="E79" s="133" t="n">
        <v>35</v>
      </c>
      <c r="F79" s="132" t="n">
        <v>84.09999999999999</v>
      </c>
      <c r="G79" s="17" t="n">
        <v>25</v>
      </c>
      <c r="H79" s="134" t="n">
        <v>49</v>
      </c>
      <c r="I79" s="135" t="n"/>
      <c r="J79" s="135" t="n"/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2</v>
      </c>
      <c r="S79" s="122" t="inlineStr">
        <is>
          <t>계</t>
        </is>
      </c>
      <c r="T79" s="5" t="inlineStr">
        <is>
          <t>114B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2">
        <f>S79</f>
        <v/>
      </c>
      <c r="AF79" s="122">
        <f>Q79&amp;"/"&amp;R79</f>
        <v/>
      </c>
      <c r="AH79" s="20">
        <f>IF(A79="","",A79)</f>
        <v/>
      </c>
      <c r="AI79" s="133">
        <f>IF(E79="","",E79)</f>
        <v/>
      </c>
      <c r="AJ79" s="122">
        <f>IF(AI79="","",$AJ$2)</f>
        <v/>
      </c>
      <c r="AK79" s="122" t="inlineStr">
        <is>
          <t>A</t>
        </is>
      </c>
      <c r="AL79" s="122" t="inlineStr">
        <is>
          <t>A+</t>
        </is>
      </c>
      <c r="AM79" s="122" t="inlineStr">
        <is>
          <t>B+</t>
        </is>
      </c>
      <c r="AN79" s="122">
        <f>IF(AI79="","",$AN$2)</f>
        <v/>
      </c>
      <c r="AO79" s="122">
        <f>IF(N79="","",IF(N79&gt;=$AO$1/100,"O","X"))</f>
        <v/>
      </c>
      <c r="AP79" s="122">
        <f>IF(I79="","",IF(I79&lt;=$AP$1,"O","X"))</f>
        <v/>
      </c>
      <c r="AQ79" s="122">
        <f>IF(O79="","",IF(O79&lt;=$AQ$1,"O","X"))</f>
        <v/>
      </c>
      <c r="AR79" s="122">
        <f>IF(M79="","",IF(M79&lt;=$AR$1,"O","X"))</f>
        <v/>
      </c>
      <c r="AS79" s="122" t="inlineStr">
        <is>
          <t>X</t>
        </is>
      </c>
      <c r="AT79" s="122">
        <f>IF(OR(F79="",AI79=""),"",IF(AND((F79&lt;=85),(AI79&gt;=15)),"O","X"))</f>
        <v/>
      </c>
      <c r="AU79" s="122">
        <f>IF(C79="","",IF(C79&gt;=$AU$1,"O","X"))</f>
        <v/>
      </c>
      <c r="AV79" s="122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1" t="n">
        <v>478</v>
      </c>
      <c r="D80" s="132" t="n">
        <v>130</v>
      </c>
      <c r="E80" s="133" t="n">
        <v>39</v>
      </c>
      <c r="F80" s="132" t="n">
        <v>102.2</v>
      </c>
      <c r="G80" s="17" t="n">
        <v>31</v>
      </c>
      <c r="H80" s="134" t="n">
        <v>108</v>
      </c>
      <c r="I80" s="135" t="n">
        <v>39000</v>
      </c>
      <c r="J80" s="135" t="inlineStr">
        <is>
          <t>고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2" t="n">
        <v>3</v>
      </c>
      <c r="R80" s="122" t="n">
        <v>2</v>
      </c>
      <c r="S80" s="122" t="inlineStr">
        <is>
          <t>계</t>
        </is>
      </c>
      <c r="T80" s="5" t="n">
        <v>130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22">
        <f>S80</f>
        <v/>
      </c>
      <c r="AF80" s="122">
        <f>Q80&amp;"/"&amp;R80</f>
        <v/>
      </c>
      <c r="AH80" s="20">
        <f>IF(A80="","",A80)</f>
        <v/>
      </c>
      <c r="AI80" s="133">
        <f>IF(E80="","",E80)</f>
        <v/>
      </c>
      <c r="AJ80" s="122">
        <f>IF(AI80="","",$AJ$2)</f>
        <v/>
      </c>
      <c r="AK80" s="122" t="inlineStr">
        <is>
          <t>A</t>
        </is>
      </c>
      <c r="AL80" s="122" t="inlineStr">
        <is>
          <t>A+</t>
        </is>
      </c>
      <c r="AM80" s="122" t="inlineStr">
        <is>
          <t>B+</t>
        </is>
      </c>
      <c r="AN80" s="122">
        <f>IF(AI80="","",$AN$2)</f>
        <v/>
      </c>
      <c r="AO80" s="122">
        <f>IF(N80="","",IF(N80&gt;=$AO$1/100,"O","X"))</f>
        <v/>
      </c>
      <c r="AP80" s="122">
        <f>IF(I80="","",IF(I80&lt;=$AP$1,"O","X"))</f>
        <v/>
      </c>
      <c r="AQ80" s="122">
        <f>IF(O80="","",IF(O80&lt;=$AQ$1,"O","X"))</f>
        <v/>
      </c>
      <c r="AR80" s="122">
        <f>IF(M80="","",IF(M80&lt;=$AR$1,"O","X"))</f>
        <v/>
      </c>
      <c r="AS80" s="122" t="inlineStr">
        <is>
          <t>X</t>
        </is>
      </c>
      <c r="AT80" s="122">
        <f>IF(OR(F80="",AI80=""),"",IF(AND((F80&lt;=85),(AI80&gt;=15)),"O","X"))</f>
        <v/>
      </c>
      <c r="AU80" s="122">
        <f>IF(C80="","",IF(C80&gt;=$AU$1,"O","X"))</f>
        <v/>
      </c>
      <c r="AV80" s="122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1" t="n">
        <v>478</v>
      </c>
      <c r="D81" s="132" t="n">
        <v>154.1</v>
      </c>
      <c r="E81" s="133" t="n">
        <v>47</v>
      </c>
      <c r="F81" s="132" t="n">
        <v>124.6</v>
      </c>
      <c r="G81" s="17" t="n">
        <v>38</v>
      </c>
      <c r="H81" s="134" t="n">
        <v>88</v>
      </c>
      <c r="I81" s="135" t="n">
        <v>43000</v>
      </c>
      <c r="J81" s="135" t="inlineStr">
        <is>
          <t>중</t>
        </is>
      </c>
      <c r="K81" s="135" t="n">
        <v>35000</v>
      </c>
      <c r="L81" s="135" t="inlineStr">
        <is>
          <t>중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4</v>
      </c>
      <c r="R81" s="122" t="n">
        <v>2</v>
      </c>
      <c r="S81" s="122" t="inlineStr">
        <is>
          <t>계</t>
        </is>
      </c>
      <c r="T81" s="5" t="n">
        <v>154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2">
        <f>S81</f>
        <v/>
      </c>
      <c r="AF81" s="122">
        <f>Q81&amp;"/"&amp;R81</f>
        <v/>
      </c>
      <c r="AH81" s="20">
        <f>IF(A81="","",A81)</f>
        <v/>
      </c>
      <c r="AI81" s="133">
        <f>IF(E81="","",E81)</f>
        <v/>
      </c>
      <c r="AJ81" s="122">
        <f>IF(AI81="","",$AJ$2)</f>
        <v/>
      </c>
      <c r="AK81" s="122" t="inlineStr">
        <is>
          <t>A</t>
        </is>
      </c>
      <c r="AL81" s="122" t="inlineStr">
        <is>
          <t>A+</t>
        </is>
      </c>
      <c r="AM81" s="122" t="inlineStr">
        <is>
          <t>B+</t>
        </is>
      </c>
      <c r="AN81" s="122">
        <f>IF(AI81="","",$AN$2)</f>
        <v/>
      </c>
      <c r="AO81" s="122">
        <f>IF(N81="","",IF(N81&gt;=$AO$1/100,"O","X"))</f>
        <v/>
      </c>
      <c r="AP81" s="122">
        <f>IF(I81="","",IF(I81&lt;=$AP$1,"O","X"))</f>
        <v/>
      </c>
      <c r="AQ81" s="122">
        <f>IF(O81="","",IF(O81&lt;=$AQ$1,"O","X"))</f>
        <v/>
      </c>
      <c r="AR81" s="122">
        <f>IF(M81="","",IF(M81&lt;=$AR$1,"O","X"))</f>
        <v/>
      </c>
      <c r="AS81" s="122" t="inlineStr">
        <is>
          <t>X</t>
        </is>
      </c>
      <c r="AT81" s="122">
        <f>IF(OR(F81="",AI81=""),"",IF(AND((F81&lt;=85),(AI81&gt;=15)),"O","X"))</f>
        <v/>
      </c>
      <c r="AU81" s="122">
        <f>IF(C81="","",IF(C81&gt;=$AU$1,"O","X"))</f>
        <v/>
      </c>
      <c r="AV81" s="122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1" t="n">
        <v>478</v>
      </c>
      <c r="D82" s="132" t="n">
        <v>193.7</v>
      </c>
      <c r="E82" s="133" t="n">
        <v>59</v>
      </c>
      <c r="F82" s="132" t="n">
        <v>157.4</v>
      </c>
      <c r="G82" s="17" t="n">
        <v>48</v>
      </c>
      <c r="H82" s="134" t="n">
        <v>72</v>
      </c>
      <c r="I82" s="135" t="n">
        <v>60000</v>
      </c>
      <c r="J82" s="135" t="inlineStr">
        <is>
          <t>18</t>
        </is>
      </c>
      <c r="K82" s="135" t="n">
        <v>43000</v>
      </c>
      <c r="L82" s="135" t="inlineStr">
        <is>
          <t>고</t>
        </is>
      </c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2" t="n">
        <v>4</v>
      </c>
      <c r="R82" s="122" t="n">
        <v>2</v>
      </c>
      <c r="S82" s="122" t="inlineStr">
        <is>
          <t>계</t>
        </is>
      </c>
      <c r="T82" s="5" t="n">
        <v>193</v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22">
        <f>S82</f>
        <v/>
      </c>
      <c r="AF82" s="122">
        <f>Q82&amp;"/"&amp;R82</f>
        <v/>
      </c>
      <c r="AH82" s="20">
        <f>IF(A82="","",A82)</f>
        <v/>
      </c>
      <c r="AI82" s="133">
        <f>IF(E82="","",E82)</f>
        <v/>
      </c>
      <c r="AJ82" s="122">
        <f>IF(AI82="","",$AJ$2)</f>
        <v/>
      </c>
      <c r="AK82" s="122" t="inlineStr">
        <is>
          <t>A</t>
        </is>
      </c>
      <c r="AL82" s="122" t="inlineStr">
        <is>
          <t>A+</t>
        </is>
      </c>
      <c r="AM82" s="122" t="inlineStr">
        <is>
          <t>B+</t>
        </is>
      </c>
      <c r="AN82" s="122">
        <f>IF(AI82="","",$AN$2)</f>
        <v/>
      </c>
      <c r="AO82" s="122">
        <f>IF(N82="","",IF(N82&gt;=$AO$1/100,"O","X"))</f>
        <v/>
      </c>
      <c r="AP82" s="122">
        <f>IF(I82="","",IF(I82&lt;=$AP$1,"O","X"))</f>
        <v/>
      </c>
      <c r="AQ82" s="122">
        <f>IF(O82="","",IF(O82&lt;=$AQ$1,"O","X"))</f>
        <v/>
      </c>
      <c r="AR82" s="122">
        <f>IF(M82="","",IF(M82&lt;=$AR$1,"O","X"))</f>
        <v/>
      </c>
      <c r="AS82" s="122" t="inlineStr">
        <is>
          <t>X</t>
        </is>
      </c>
      <c r="AT82" s="122">
        <f>IF(OR(F82="",AI82=""),"",IF(AND((F82&lt;=85),(AI82&gt;=15)),"O","X"))</f>
        <v/>
      </c>
      <c r="AU82" s="122">
        <f>IF(C82="","",IF(C82&gt;=$AU$1,"O","X"))</f>
        <v/>
      </c>
      <c r="AV82" s="122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1" t="n">
        <v>478</v>
      </c>
      <c r="D83" s="132" t="n">
        <v>229.7</v>
      </c>
      <c r="E83" s="133" t="n">
        <v>69</v>
      </c>
      <c r="F83" s="132" t="n">
        <v>183.3</v>
      </c>
      <c r="G83" s="17" t="n">
        <v>55</v>
      </c>
      <c r="H83" s="134" t="n">
        <v>6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5</v>
      </c>
      <c r="R83" s="122" t="n">
        <v>3</v>
      </c>
      <c r="S83" s="122" t="inlineStr">
        <is>
          <t>계</t>
        </is>
      </c>
      <c r="T83" s="5" t="n">
        <v>229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2">
        <f>S83</f>
        <v/>
      </c>
      <c r="AF83" s="122">
        <f>Q83&amp;"/"&amp;R83</f>
        <v/>
      </c>
      <c r="AH83" s="20">
        <f>IF(A83="","",A83)</f>
        <v/>
      </c>
      <c r="AI83" s="133">
        <f>IF(E83="","",E83)</f>
        <v/>
      </c>
      <c r="AJ83" s="122">
        <f>IF(AI83="","",$AJ$2)</f>
        <v/>
      </c>
      <c r="AK83" s="122" t="inlineStr">
        <is>
          <t>A</t>
        </is>
      </c>
      <c r="AL83" s="122" t="inlineStr">
        <is>
          <t>A+</t>
        </is>
      </c>
      <c r="AM83" s="122" t="inlineStr">
        <is>
          <t>B+</t>
        </is>
      </c>
      <c r="AN83" s="122">
        <f>IF(AI83="","",$AN$2)</f>
        <v/>
      </c>
      <c r="AO83" s="122">
        <f>IF(N83="","",IF(N83&gt;=$AO$1/100,"O","X"))</f>
        <v/>
      </c>
      <c r="AP83" s="122">
        <f>IF(I83="","",IF(I83&lt;=$AP$1,"O","X"))</f>
        <v/>
      </c>
      <c r="AQ83" s="122">
        <f>IF(O83="","",IF(O83&lt;=$AQ$1,"O","X"))</f>
        <v/>
      </c>
      <c r="AR83" s="122">
        <f>IF(M83="","",IF(M83&lt;=$AR$1,"O","X"))</f>
        <v/>
      </c>
      <c r="AS83" s="122" t="inlineStr">
        <is>
          <t>X</t>
        </is>
      </c>
      <c r="AT83" s="122">
        <f>IF(OR(F83="",AI83=""),"",IF(AND((F83&lt;=85),(AI83&gt;=15)),"O","X"))</f>
        <v/>
      </c>
      <c r="AU83" s="122">
        <f>IF(C83="","",IF(C83&gt;=$AU$1,"O","X"))</f>
        <v/>
      </c>
      <c r="AV83" s="122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1" t="n">
        <v>592</v>
      </c>
      <c r="D84" s="132" t="n">
        <v>98.59999999999999</v>
      </c>
      <c r="E84" s="133" t="n">
        <v>30</v>
      </c>
      <c r="F84" s="132" t="n">
        <v>75.3</v>
      </c>
      <c r="G84" s="17" t="n">
        <v>23</v>
      </c>
      <c r="H84" s="134" t="n">
        <v>126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2</v>
      </c>
      <c r="S84" s="122" t="inlineStr">
        <is>
          <t>계</t>
        </is>
      </c>
      <c r="T84" s="5" t="n">
        <v>98</v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2">
        <f>S84</f>
        <v/>
      </c>
      <c r="AF84" s="122">
        <f>Q84&amp;"/"&amp;R84</f>
        <v/>
      </c>
      <c r="AH84" s="20">
        <f>IF(A84="","",A84)</f>
        <v/>
      </c>
      <c r="AI84" s="133">
        <f>IF(E84="","",E84)</f>
        <v/>
      </c>
      <c r="AJ84" s="122">
        <f>IF(AI84="","",$AJ$2)</f>
        <v/>
      </c>
      <c r="AK84" s="122" t="inlineStr">
        <is>
          <t>A</t>
        </is>
      </c>
      <c r="AL84" s="122" t="inlineStr">
        <is>
          <t>A+</t>
        </is>
      </c>
      <c r="AM84" s="122" t="inlineStr">
        <is>
          <t>B+</t>
        </is>
      </c>
      <c r="AN84" s="122">
        <f>IF(AI84="","",$AN$2)</f>
        <v/>
      </c>
      <c r="AO84" s="122">
        <f>IF(N84="","",IF(N84&gt;=$AO$1/100,"O","X"))</f>
        <v/>
      </c>
      <c r="AP84" s="122">
        <f>IF(I84="","",IF(I84&lt;=$AP$1,"O","X"))</f>
        <v/>
      </c>
      <c r="AQ84" s="122">
        <f>IF(O84="","",IF(O84&lt;=$AQ$1,"O","X"))</f>
        <v/>
      </c>
      <c r="AR84" s="122">
        <f>IF(M84="","",IF(M84&lt;=$AR$1,"O","X"))</f>
        <v/>
      </c>
      <c r="AS84" s="122" t="inlineStr">
        <is>
          <t>X</t>
        </is>
      </c>
      <c r="AT84" s="122">
        <f>IF(OR(F84="",AI84=""),"",IF(AND((F84&lt;=85),(AI84&gt;=15)),"O","X"))</f>
        <v/>
      </c>
      <c r="AU84" s="122">
        <f>IF(C84="","",IF(C84&gt;=$AU$1,"O","X"))</f>
        <v/>
      </c>
      <c r="AV84" s="122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1" t="n">
        <v>592</v>
      </c>
      <c r="D85" s="132" t="n">
        <v>111.5</v>
      </c>
      <c r="E85" s="133" t="n">
        <v>34</v>
      </c>
      <c r="F85" s="132" t="n">
        <v>85</v>
      </c>
      <c r="G85" s="17" t="n">
        <v>26</v>
      </c>
      <c r="H85" s="134" t="n">
        <v>408</v>
      </c>
      <c r="I85" s="135" t="n">
        <v>37000</v>
      </c>
      <c r="J85" s="135" t="inlineStr">
        <is>
          <t>고</t>
        </is>
      </c>
      <c r="K85" s="135" t="n">
        <v>28000</v>
      </c>
      <c r="L85" s="135" t="inlineStr">
        <is>
          <t>8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2</v>
      </c>
      <c r="S85" s="122" t="inlineStr">
        <is>
          <t>계</t>
        </is>
      </c>
      <c r="T85" s="5" t="inlineStr">
        <is>
          <t>111A</t>
        </is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2">
        <f>S85</f>
        <v/>
      </c>
      <c r="AF85" s="122">
        <f>Q85&amp;"/"&amp;R85</f>
        <v/>
      </c>
      <c r="AH85" s="20">
        <f>IF(A85="","",A85)</f>
        <v/>
      </c>
      <c r="AI85" s="133">
        <f>IF(E85="","",E85)</f>
        <v/>
      </c>
      <c r="AJ85" s="122">
        <f>IF(AI85="","",$AJ$2)</f>
        <v/>
      </c>
      <c r="AK85" s="122" t="inlineStr">
        <is>
          <t>A</t>
        </is>
      </c>
      <c r="AL85" s="122" t="inlineStr">
        <is>
          <t>A+</t>
        </is>
      </c>
      <c r="AM85" s="122" t="inlineStr">
        <is>
          <t>B+</t>
        </is>
      </c>
      <c r="AN85" s="122">
        <f>IF(AI85="","",$AN$2)</f>
        <v/>
      </c>
      <c r="AO85" s="122">
        <f>IF(N85="","",IF(N85&gt;=$AO$1/100,"O","X"))</f>
        <v/>
      </c>
      <c r="AP85" s="122">
        <f>IF(I85="","",IF(I85&lt;=$AP$1,"O","X"))</f>
        <v/>
      </c>
      <c r="AQ85" s="122">
        <f>IF(O85="","",IF(O85&lt;=$AQ$1,"O","X"))</f>
        <v/>
      </c>
      <c r="AR85" s="122">
        <f>IF(M85="","",IF(M85&lt;=$AR$1,"O","X"))</f>
        <v/>
      </c>
      <c r="AS85" s="122" t="inlineStr">
        <is>
          <t>X</t>
        </is>
      </c>
      <c r="AT85" s="122">
        <f>IF(OR(F85="",AI85=""),"",IF(AND((F85&lt;=85),(AI85&gt;=15)),"O","X"))</f>
        <v/>
      </c>
      <c r="AU85" s="122">
        <f>IF(C85="","",IF(C85&gt;=$AU$1,"O","X"))</f>
        <v/>
      </c>
      <c r="AV85" s="122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1" t="n">
        <v>592</v>
      </c>
      <c r="D86" s="132" t="n">
        <v>113</v>
      </c>
      <c r="E86" s="133" t="n">
        <v>34</v>
      </c>
      <c r="F86" s="132" t="n">
        <v>84.90000000000001</v>
      </c>
      <c r="G86" s="17" t="n">
        <v>26</v>
      </c>
      <c r="H86" s="134" t="n">
        <v>58</v>
      </c>
      <c r="I86" s="135" t="n">
        <v>39500</v>
      </c>
      <c r="J86" s="135" t="inlineStr">
        <is>
          <t>12</t>
        </is>
      </c>
      <c r="K86" s="135" t="n">
        <v>30000</v>
      </c>
      <c r="L86" s="135" t="inlineStr">
        <is>
          <t>12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2" t="n">
        <v>3</v>
      </c>
      <c r="R86" s="122" t="n">
        <v>2</v>
      </c>
      <c r="S86" s="122" t="inlineStr">
        <is>
          <t>계</t>
        </is>
      </c>
      <c r="T86" s="5" t="inlineStr">
        <is>
          <t>113B</t>
        </is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22">
        <f>S86</f>
        <v/>
      </c>
      <c r="AF86" s="122">
        <f>Q86&amp;"/"&amp;R86</f>
        <v/>
      </c>
      <c r="AH86" s="20">
        <f>IF(A86="","",A86)</f>
        <v/>
      </c>
      <c r="AI86" s="133">
        <f>IF(E86="","",E86)</f>
        <v/>
      </c>
      <c r="AJ86" s="122">
        <f>IF(AI86="","",$AJ$2)</f>
        <v/>
      </c>
      <c r="AK86" s="122" t="inlineStr">
        <is>
          <t>A</t>
        </is>
      </c>
      <c r="AL86" s="122" t="inlineStr">
        <is>
          <t>A+</t>
        </is>
      </c>
      <c r="AM86" s="122" t="inlineStr">
        <is>
          <t>B+</t>
        </is>
      </c>
      <c r="AN86" s="122">
        <f>IF(AI86="","",$AN$2)</f>
        <v/>
      </c>
      <c r="AO86" s="122">
        <f>IF(N86="","",IF(N86&gt;=$AO$1/100,"O","X"))</f>
        <v/>
      </c>
      <c r="AP86" s="122">
        <f>IF(I86="","",IF(I86&lt;=$AP$1,"O","X"))</f>
        <v/>
      </c>
      <c r="AQ86" s="122">
        <f>IF(O86="","",IF(O86&lt;=$AQ$1,"O","X"))</f>
        <v/>
      </c>
      <c r="AR86" s="122">
        <f>IF(M86="","",IF(M86&lt;=$AR$1,"O","X"))</f>
        <v/>
      </c>
      <c r="AS86" s="122" t="inlineStr">
        <is>
          <t>X</t>
        </is>
      </c>
      <c r="AT86" s="122">
        <f>IF(OR(F86="",AI86=""),"",IF(AND((F86&lt;=85),(AI86&gt;=15)),"O","X"))</f>
        <v/>
      </c>
      <c r="AU86" s="122">
        <f>IF(C86="","",IF(C86&gt;=$AU$1,"O","X"))</f>
        <v/>
      </c>
      <c r="AV86" s="122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1" t="n">
        <v>472</v>
      </c>
      <c r="D87" s="132" t="n">
        <v>99.09999999999999</v>
      </c>
      <c r="E87" s="133" t="n">
        <v>30</v>
      </c>
      <c r="F87" s="132" t="n">
        <v>74.8</v>
      </c>
      <c r="G87" s="17" t="n">
        <v>23</v>
      </c>
      <c r="H87" s="134" t="n">
        <v>71</v>
      </c>
      <c r="I87" s="135" t="n">
        <v>34000</v>
      </c>
      <c r="J87" s="135" t="inlineStr">
        <is>
          <t>중</t>
        </is>
      </c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2" t="n">
        <v>3</v>
      </c>
      <c r="R87" s="122" t="n">
        <v>2</v>
      </c>
      <c r="S87" s="122" t="inlineStr">
        <is>
          <t>계</t>
        </is>
      </c>
      <c r="T87" s="5" t="n">
        <v>99</v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22">
        <f>S87</f>
        <v/>
      </c>
      <c r="AF87" s="122">
        <f>Q87&amp;"/"&amp;R87</f>
        <v/>
      </c>
      <c r="AH87" s="20">
        <f>IF(A87="","",A87)</f>
        <v/>
      </c>
      <c r="AI87" s="133">
        <f>IF(E87="","",E87)</f>
        <v/>
      </c>
      <c r="AJ87" s="122">
        <f>IF(AI87="","",$AJ$2)</f>
        <v/>
      </c>
      <c r="AK87" s="122" t="inlineStr">
        <is>
          <t>A</t>
        </is>
      </c>
      <c r="AL87" s="122" t="inlineStr">
        <is>
          <t>A+</t>
        </is>
      </c>
      <c r="AM87" s="122" t="inlineStr">
        <is>
          <t>B+</t>
        </is>
      </c>
      <c r="AN87" s="122">
        <f>IF(AI87="","",$AN$2)</f>
        <v/>
      </c>
      <c r="AO87" s="122">
        <f>IF(N87="","",IF(N87&gt;=$AO$1/100,"O","X"))</f>
        <v/>
      </c>
      <c r="AP87" s="122">
        <f>IF(I87="","",IF(I87&lt;=$AP$1,"O","X"))</f>
        <v/>
      </c>
      <c r="AQ87" s="122">
        <f>IF(O87="","",IF(O87&lt;=$AQ$1,"O","X"))</f>
        <v/>
      </c>
      <c r="AR87" s="122">
        <f>IF(M87="","",IF(M87&lt;=$AR$1,"O","X"))</f>
        <v/>
      </c>
      <c r="AS87" s="122" t="inlineStr">
        <is>
          <t>X</t>
        </is>
      </c>
      <c r="AT87" s="122">
        <f>IF(OR(F87="",AI87=""),"",IF(AND((F87&lt;=85),(AI87&gt;=15)),"O","X"))</f>
        <v/>
      </c>
      <c r="AU87" s="122">
        <f>IF(C87="","",IF(C87&gt;=$AU$1,"O","X"))</f>
        <v/>
      </c>
      <c r="AV87" s="122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1" t="n">
        <v>472</v>
      </c>
      <c r="D88" s="132" t="n">
        <v>110.5</v>
      </c>
      <c r="E88" s="133" t="n">
        <v>33</v>
      </c>
      <c r="F88" s="132" t="n">
        <v>85</v>
      </c>
      <c r="G88" s="17" t="n">
        <v>26</v>
      </c>
      <c r="H88" s="134" t="n">
        <v>401</v>
      </c>
      <c r="I88" s="135" t="n">
        <v>37000</v>
      </c>
      <c r="J88" s="135" t="inlineStr">
        <is>
          <t>9</t>
        </is>
      </c>
      <c r="K88" s="135" t="n">
        <v>29000</v>
      </c>
      <c r="L88" s="135" t="inlineStr">
        <is>
          <t>중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2" t="n">
        <v>3</v>
      </c>
      <c r="R88" s="122" t="n">
        <v>2</v>
      </c>
      <c r="S88" s="122" t="inlineStr">
        <is>
          <t>계</t>
        </is>
      </c>
      <c r="T88" s="5" t="n">
        <v>110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22">
        <f>S88</f>
        <v/>
      </c>
      <c r="AF88" s="122">
        <f>Q88&amp;"/"&amp;R88</f>
        <v/>
      </c>
      <c r="AH88" s="20">
        <f>IF(A88="","",A88)</f>
        <v/>
      </c>
      <c r="AI88" s="133">
        <f>IF(E88="","",E88)</f>
        <v/>
      </c>
      <c r="AJ88" s="122">
        <f>IF(AI88="","",$AJ$2)</f>
        <v/>
      </c>
      <c r="AK88" s="122" t="inlineStr">
        <is>
          <t>A</t>
        </is>
      </c>
      <c r="AL88" s="122" t="inlineStr">
        <is>
          <t>A+</t>
        </is>
      </c>
      <c r="AM88" s="122" t="inlineStr">
        <is>
          <t>B+</t>
        </is>
      </c>
      <c r="AN88" s="122">
        <f>IF(AI88="","",$AN$2)</f>
        <v/>
      </c>
      <c r="AO88" s="122">
        <f>IF(N88="","",IF(N88&gt;=$AO$1/100,"O","X"))</f>
        <v/>
      </c>
      <c r="AP88" s="122">
        <f>IF(I88="","",IF(I88&lt;=$AP$1,"O","X"))</f>
        <v/>
      </c>
      <c r="AQ88" s="122">
        <f>IF(O88="","",IF(O88&lt;=$AQ$1,"O","X"))</f>
        <v/>
      </c>
      <c r="AR88" s="122">
        <f>IF(M88="","",IF(M88&lt;=$AR$1,"O","X"))</f>
        <v/>
      </c>
      <c r="AS88" s="122" t="inlineStr">
        <is>
          <t>X</t>
        </is>
      </c>
      <c r="AT88" s="122">
        <f>IF(OR(F88="",AI88=""),"",IF(AND((F88&lt;=85),(AI88&gt;=15)),"O","X"))</f>
        <v/>
      </c>
      <c r="AU88" s="122">
        <f>IF(C88="","",IF(C88&gt;=$AU$1,"O","X"))</f>
        <v/>
      </c>
      <c r="AV88" s="122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1" t="n">
        <v>622</v>
      </c>
      <c r="D89" s="132" t="n">
        <v>83.8</v>
      </c>
      <c r="E89" s="133" t="n">
        <v>25</v>
      </c>
      <c r="F89" s="132" t="n">
        <v>59.9</v>
      </c>
      <c r="G89" s="17" t="n">
        <v>18</v>
      </c>
      <c r="H89" s="134" t="n">
        <v>172</v>
      </c>
      <c r="I89" s="135" t="n">
        <v>23000</v>
      </c>
      <c r="J89" s="135" t="inlineStr">
        <is>
          <t>7</t>
        </is>
      </c>
      <c r="K89" s="135" t="n">
        <v>22000</v>
      </c>
      <c r="L89" s="135" t="inlineStr">
        <is>
          <t>7</t>
        </is>
      </c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2" t="n">
        <v>3</v>
      </c>
      <c r="R89" s="122" t="n">
        <v>2</v>
      </c>
      <c r="S89" s="122" t="inlineStr">
        <is>
          <t>계</t>
        </is>
      </c>
      <c r="T89" s="5" t="n">
        <v>83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22">
        <f>S89</f>
        <v/>
      </c>
      <c r="AF89" s="122">
        <f>Q89&amp;"/"&amp;R89</f>
        <v/>
      </c>
      <c r="AH89" s="20">
        <f>IF(A89="","",A89)</f>
        <v/>
      </c>
      <c r="AI89" s="133">
        <f>IF(E89="","",E89)</f>
        <v/>
      </c>
      <c r="AJ89" s="122">
        <f>IF(AI89="","",$AJ$2)</f>
        <v/>
      </c>
      <c r="AK89" s="122" t="inlineStr">
        <is>
          <t>A</t>
        </is>
      </c>
      <c r="AL89" s="122" t="inlineStr">
        <is>
          <t>A+</t>
        </is>
      </c>
      <c r="AM89" s="122" t="inlineStr">
        <is>
          <t>B+</t>
        </is>
      </c>
      <c r="AN89" s="122">
        <f>IF(AI89="","",$AN$2)</f>
        <v/>
      </c>
      <c r="AO89" s="122">
        <f>IF(N89="","",IF(N89&gt;=$AO$1/100,"O","X"))</f>
        <v/>
      </c>
      <c r="AP89" s="122">
        <f>IF(I89="","",IF(I89&lt;=$AP$1,"O","X"))</f>
        <v/>
      </c>
      <c r="AQ89" s="122">
        <f>IF(O89="","",IF(O89&lt;=$AQ$1,"O","X"))</f>
        <v/>
      </c>
      <c r="AR89" s="122">
        <f>IF(M89="","",IF(M89&lt;=$AR$1,"O","X"))</f>
        <v/>
      </c>
      <c r="AS89" s="122" t="inlineStr">
        <is>
          <t>X</t>
        </is>
      </c>
      <c r="AT89" s="122">
        <f>IF(OR(F89="",AI89=""),"",IF(AND((F89&lt;=85),(AI89&gt;=15)),"O","X"))</f>
        <v/>
      </c>
      <c r="AU89" s="122">
        <f>IF(C89="","",IF(C89&gt;=$AU$1,"O","X"))</f>
        <v/>
      </c>
      <c r="AV89" s="122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1" t="n">
        <v>622</v>
      </c>
      <c r="D90" s="132" t="n">
        <v>109.7</v>
      </c>
      <c r="E90" s="133" t="n">
        <v>33</v>
      </c>
      <c r="F90" s="132" t="n">
        <v>85</v>
      </c>
      <c r="G90" s="17" t="n">
        <v>26</v>
      </c>
      <c r="H90" s="134" t="n">
        <v>270</v>
      </c>
      <c r="I90" s="135" t="n">
        <v>31000</v>
      </c>
      <c r="J90" s="135" t="inlineStr">
        <is>
          <t>13</t>
        </is>
      </c>
      <c r="K90" s="135" t="n">
        <v>28000</v>
      </c>
      <c r="L90" s="135" t="inlineStr">
        <is>
          <t>15</t>
        </is>
      </c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2" t="n">
        <v>3</v>
      </c>
      <c r="R90" s="122" t="n">
        <v>2</v>
      </c>
      <c r="S90" s="122" t="inlineStr">
        <is>
          <t>계</t>
        </is>
      </c>
      <c r="T90" s="5" t="n">
        <v>109</v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22">
        <f>S90</f>
        <v/>
      </c>
      <c r="AF90" s="122">
        <f>Q90&amp;"/"&amp;R90</f>
        <v/>
      </c>
      <c r="AH90" s="20">
        <f>IF(A90="","",A90)</f>
        <v/>
      </c>
      <c r="AI90" s="133">
        <f>IF(E90="","",E90)</f>
        <v/>
      </c>
      <c r="AJ90" s="122">
        <f>IF(AI90="","",$AJ$2)</f>
        <v/>
      </c>
      <c r="AK90" s="122" t="inlineStr">
        <is>
          <t>A</t>
        </is>
      </c>
      <c r="AL90" s="122" t="inlineStr">
        <is>
          <t>A+</t>
        </is>
      </c>
      <c r="AM90" s="122" t="inlineStr">
        <is>
          <t>B+</t>
        </is>
      </c>
      <c r="AN90" s="122">
        <f>IF(AI90="","",$AN$2)</f>
        <v/>
      </c>
      <c r="AO90" s="122">
        <f>IF(N90="","",IF(N90&gt;=$AO$1/100,"O","X"))</f>
        <v/>
      </c>
      <c r="AP90" s="122">
        <f>IF(I90="","",IF(I90&lt;=$AP$1,"O","X"))</f>
        <v/>
      </c>
      <c r="AQ90" s="122">
        <f>IF(O90="","",IF(O90&lt;=$AQ$1,"O","X"))</f>
        <v/>
      </c>
      <c r="AR90" s="122">
        <f>IF(M90="","",IF(M90&lt;=$AR$1,"O","X"))</f>
        <v/>
      </c>
      <c r="AS90" s="122" t="inlineStr">
        <is>
          <t>X</t>
        </is>
      </c>
      <c r="AT90" s="122">
        <f>IF(OR(F90="",AI90=""),"",IF(AND((F90&lt;=85),(AI90&gt;=15)),"O","X"))</f>
        <v/>
      </c>
      <c r="AU90" s="122">
        <f>IF(C90="","",IF(C90&gt;=$AU$1,"O","X"))</f>
        <v/>
      </c>
      <c r="AV90" s="122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1" t="n">
        <v>622</v>
      </c>
      <c r="D91" s="132" t="n">
        <v>151.7</v>
      </c>
      <c r="E91" s="133" t="n">
        <v>46</v>
      </c>
      <c r="F91" s="132" t="n">
        <v>121.5</v>
      </c>
      <c r="G91" s="17" t="n">
        <v>37</v>
      </c>
      <c r="H91" s="134" t="n">
        <v>180</v>
      </c>
      <c r="I91" s="135" t="n">
        <v>38000</v>
      </c>
      <c r="J91" s="135" t="inlineStr">
        <is>
          <t>15</t>
        </is>
      </c>
      <c r="K91" s="135" t="n">
        <v>33000</v>
      </c>
      <c r="L91" s="135" t="inlineStr">
        <is>
          <t>중</t>
        </is>
      </c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2" t="n">
        <v>4</v>
      </c>
      <c r="R91" s="122" t="n">
        <v>2</v>
      </c>
      <c r="S91" s="122" t="inlineStr">
        <is>
          <t>계</t>
        </is>
      </c>
      <c r="T91" s="5" t="n">
        <v>151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22">
        <f>S91</f>
        <v/>
      </c>
      <c r="AF91" s="122">
        <f>Q91&amp;"/"&amp;R91</f>
        <v/>
      </c>
      <c r="AH91" s="20">
        <f>IF(A91="","",A91)</f>
        <v/>
      </c>
      <c r="AI91" s="133">
        <f>IF(E91="","",E91)</f>
        <v/>
      </c>
      <c r="AJ91" s="122">
        <f>IF(AI91="","",$AJ$2)</f>
        <v/>
      </c>
      <c r="AK91" s="122" t="inlineStr">
        <is>
          <t>A</t>
        </is>
      </c>
      <c r="AL91" s="122" t="inlineStr">
        <is>
          <t>A+</t>
        </is>
      </c>
      <c r="AM91" s="122" t="inlineStr">
        <is>
          <t>B+</t>
        </is>
      </c>
      <c r="AN91" s="122">
        <f>IF(AI91="","",$AN$2)</f>
        <v/>
      </c>
      <c r="AO91" s="122">
        <f>IF(N91="","",IF(N91&gt;=$AO$1/100,"O","X"))</f>
        <v/>
      </c>
      <c r="AP91" s="122">
        <f>IF(I91="","",IF(I91&lt;=$AP$1,"O","X"))</f>
        <v/>
      </c>
      <c r="AQ91" s="122">
        <f>IF(O91="","",IF(O91&lt;=$AQ$1,"O","X"))</f>
        <v/>
      </c>
      <c r="AR91" s="122">
        <f>IF(M91="","",IF(M91&lt;=$AR$1,"O","X"))</f>
        <v/>
      </c>
      <c r="AS91" s="122" t="inlineStr">
        <is>
          <t>X</t>
        </is>
      </c>
      <c r="AT91" s="122">
        <f>IF(OR(F91="",AI91=""),"",IF(AND((F91&lt;=85),(AI91&gt;=15)),"O","X"))</f>
        <v/>
      </c>
      <c r="AU91" s="122">
        <f>IF(C91="","",IF(C91&gt;=$AU$1,"O","X"))</f>
        <v/>
      </c>
      <c r="AV91" s="122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1" t="n">
        <v>1338</v>
      </c>
      <c r="D92" s="132" t="n">
        <v>85.7</v>
      </c>
      <c r="E92" s="133" t="n">
        <v>26</v>
      </c>
      <c r="F92" s="132" t="n">
        <v>59.9</v>
      </c>
      <c r="G92" s="17" t="n">
        <v>18</v>
      </c>
      <c r="H92" s="134" t="n">
        <v>396</v>
      </c>
      <c r="I92" s="135" t="n">
        <v>23000</v>
      </c>
      <c r="J92" s="135" t="inlineStr">
        <is>
          <t>5</t>
        </is>
      </c>
      <c r="K92" s="135" t="n">
        <v>20000</v>
      </c>
      <c r="L92" s="135" t="inlineStr">
        <is>
          <t>10</t>
        </is>
      </c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2" t="n">
        <v>3</v>
      </c>
      <c r="R92" s="122" t="n">
        <v>2</v>
      </c>
      <c r="S92" s="122" t="inlineStr">
        <is>
          <t>계</t>
        </is>
      </c>
      <c r="T92" s="5" t="n">
        <v>85</v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22">
        <f>S92</f>
        <v/>
      </c>
      <c r="AF92" s="122">
        <f>Q92&amp;"/"&amp;R92</f>
        <v/>
      </c>
      <c r="AH92" s="20">
        <f>IF(A92="","",A92)</f>
        <v/>
      </c>
      <c r="AI92" s="133">
        <f>IF(E92="","",E92)</f>
        <v/>
      </c>
      <c r="AJ92" s="122">
        <f>IF(AI92="","",$AJ$2)</f>
        <v/>
      </c>
      <c r="AK92" s="122" t="inlineStr">
        <is>
          <t>A</t>
        </is>
      </c>
      <c r="AL92" s="122" t="inlineStr">
        <is>
          <t>A+</t>
        </is>
      </c>
      <c r="AM92" s="122" t="inlineStr">
        <is>
          <t>B+</t>
        </is>
      </c>
      <c r="AN92" s="122">
        <f>IF(AI92="","",$AN$2)</f>
        <v/>
      </c>
      <c r="AO92" s="122">
        <f>IF(N92="","",IF(N92&gt;=$AO$1/100,"O","X"))</f>
        <v/>
      </c>
      <c r="AP92" s="122">
        <f>IF(I92="","",IF(I92&lt;=$AP$1,"O","X"))</f>
        <v/>
      </c>
      <c r="AQ92" s="122">
        <f>IF(O92="","",IF(O92&lt;=$AQ$1,"O","X"))</f>
        <v/>
      </c>
      <c r="AR92" s="122">
        <f>IF(M92="","",IF(M92&lt;=$AR$1,"O","X"))</f>
        <v/>
      </c>
      <c r="AS92" s="122" t="inlineStr">
        <is>
          <t>X</t>
        </is>
      </c>
      <c r="AT92" s="122">
        <f>IF(OR(F92="",AI92=""),"",IF(AND((F92&lt;=85),(AI92&gt;=15)),"O","X"))</f>
        <v/>
      </c>
      <c r="AU92" s="122">
        <f>IF(C92="","",IF(C92&gt;=$AU$1,"O","X"))</f>
        <v/>
      </c>
      <c r="AV92" s="122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1" t="n">
        <v>1338</v>
      </c>
      <c r="D93" s="132" t="n">
        <v>115.5</v>
      </c>
      <c r="E93" s="133" t="n">
        <v>35</v>
      </c>
      <c r="F93" s="132" t="n">
        <v>84.7</v>
      </c>
      <c r="G93" s="17" t="n">
        <v>26</v>
      </c>
      <c r="H93" s="134" t="n">
        <v>498</v>
      </c>
      <c r="I93" s="135" t="n">
        <v>33000</v>
      </c>
      <c r="J93" s="135" t="inlineStr">
        <is>
          <t>16</t>
        </is>
      </c>
      <c r="K93" s="135" t="n">
        <v>28000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2" t="n">
        <v>3</v>
      </c>
      <c r="R93" s="122" t="n">
        <v>2</v>
      </c>
      <c r="S93" s="122" t="inlineStr">
        <is>
          <t>계</t>
        </is>
      </c>
      <c r="T93" s="5" t="inlineStr">
        <is>
          <t>115A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22">
        <f>S93</f>
        <v/>
      </c>
      <c r="AF93" s="122">
        <f>Q93&amp;"/"&amp;R93</f>
        <v/>
      </c>
      <c r="AH93" s="20">
        <f>IF(A93="","",A93)</f>
        <v/>
      </c>
      <c r="AI93" s="133">
        <f>IF(E93="","",E93)</f>
        <v/>
      </c>
      <c r="AJ93" s="122">
        <f>IF(AI93="","",$AJ$2)</f>
        <v/>
      </c>
      <c r="AK93" s="122" t="inlineStr">
        <is>
          <t>A</t>
        </is>
      </c>
      <c r="AL93" s="122" t="inlineStr">
        <is>
          <t>A+</t>
        </is>
      </c>
      <c r="AM93" s="122" t="inlineStr">
        <is>
          <t>B+</t>
        </is>
      </c>
      <c r="AN93" s="122">
        <f>IF(AI93="","",$AN$2)</f>
        <v/>
      </c>
      <c r="AO93" s="122">
        <f>IF(N93="","",IF(N93&gt;=$AO$1/100,"O","X"))</f>
        <v/>
      </c>
      <c r="AP93" s="122">
        <f>IF(I93="","",IF(I93&lt;=$AP$1,"O","X"))</f>
        <v/>
      </c>
      <c r="AQ93" s="122">
        <f>IF(O93="","",IF(O93&lt;=$AQ$1,"O","X"))</f>
        <v/>
      </c>
      <c r="AR93" s="122">
        <f>IF(M93="","",IF(M93&lt;=$AR$1,"O","X"))</f>
        <v/>
      </c>
      <c r="AS93" s="122" t="inlineStr">
        <is>
          <t>X</t>
        </is>
      </c>
      <c r="AT93" s="122">
        <f>IF(OR(F93="",AI93=""),"",IF(AND((F93&lt;=85),(AI93&gt;=15)),"O","X"))</f>
        <v/>
      </c>
      <c r="AU93" s="122">
        <f>IF(C93="","",IF(C93&gt;=$AU$1,"O","X"))</f>
        <v/>
      </c>
      <c r="AV93" s="122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1" t="n">
        <v>1338</v>
      </c>
      <c r="D94" s="132" t="n">
        <v>115.6</v>
      </c>
      <c r="E94" s="133" t="n">
        <v>35</v>
      </c>
      <c r="F94" s="132" t="n">
        <v>84.7</v>
      </c>
      <c r="G94" s="17" t="n">
        <v>26</v>
      </c>
      <c r="H94" s="134" t="n">
        <v>86</v>
      </c>
      <c r="I94" s="135" t="n">
        <v>35000</v>
      </c>
      <c r="J94" s="135" t="inlineStr">
        <is>
          <t>5</t>
        </is>
      </c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2" t="n">
        <v>3</v>
      </c>
      <c r="R94" s="122" t="n">
        <v>2</v>
      </c>
      <c r="S94" s="122" t="inlineStr">
        <is>
          <t>계</t>
        </is>
      </c>
      <c r="T94" s="5" t="inlineStr">
        <is>
          <t>115B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22">
        <f>S94</f>
        <v/>
      </c>
      <c r="AF94" s="122">
        <f>Q94&amp;"/"&amp;R94</f>
        <v/>
      </c>
      <c r="AH94" s="20">
        <f>IF(A94="","",A94)</f>
        <v/>
      </c>
      <c r="AI94" s="133">
        <f>IF(E94="","",E94)</f>
        <v/>
      </c>
      <c r="AJ94" s="122">
        <f>IF(AI94="","",$AJ$2)</f>
        <v/>
      </c>
      <c r="AK94" s="122" t="inlineStr">
        <is>
          <t>A</t>
        </is>
      </c>
      <c r="AL94" s="122" t="inlineStr">
        <is>
          <t>A+</t>
        </is>
      </c>
      <c r="AM94" s="122" t="inlineStr">
        <is>
          <t>B+</t>
        </is>
      </c>
      <c r="AN94" s="122">
        <f>IF(AI94="","",$AN$2)</f>
        <v/>
      </c>
      <c r="AO94" s="122">
        <f>IF(N94="","",IF(N94&gt;=$AO$1/100,"O","X"))</f>
        <v/>
      </c>
      <c r="AP94" s="122">
        <f>IF(I94="","",IF(I94&lt;=$AP$1,"O","X"))</f>
        <v/>
      </c>
      <c r="AQ94" s="122">
        <f>IF(O94="","",IF(O94&lt;=$AQ$1,"O","X"))</f>
        <v/>
      </c>
      <c r="AR94" s="122">
        <f>IF(M94="","",IF(M94&lt;=$AR$1,"O","X"))</f>
        <v/>
      </c>
      <c r="AS94" s="122" t="inlineStr">
        <is>
          <t>X</t>
        </is>
      </c>
      <c r="AT94" s="122">
        <f>IF(OR(F94="",AI94=""),"",IF(AND((F94&lt;=85),(AI94&gt;=15)),"O","X"))</f>
        <v/>
      </c>
      <c r="AU94" s="122">
        <f>IF(C94="","",IF(C94&gt;=$AU$1,"O","X"))</f>
        <v/>
      </c>
      <c r="AV94" s="122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1" t="n">
        <v>1338</v>
      </c>
      <c r="D95" s="132" t="n">
        <v>130.6</v>
      </c>
      <c r="E95" s="133" t="n">
        <v>39</v>
      </c>
      <c r="F95" s="132" t="n">
        <v>102.2</v>
      </c>
      <c r="G95" s="17" t="n">
        <v>31</v>
      </c>
      <c r="H95" s="134" t="n">
        <v>142</v>
      </c>
      <c r="I95" s="135" t="n">
        <v>35800</v>
      </c>
      <c r="J95" s="135" t="inlineStr">
        <is>
          <t>16</t>
        </is>
      </c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2" t="n">
        <v>3</v>
      </c>
      <c r="R95" s="122" t="n">
        <v>2</v>
      </c>
      <c r="S95" s="122" t="inlineStr">
        <is>
          <t>계</t>
        </is>
      </c>
      <c r="T95" s="5" t="n">
        <v>130</v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22">
        <f>S95</f>
        <v/>
      </c>
      <c r="AF95" s="122">
        <f>Q95&amp;"/"&amp;R95</f>
        <v/>
      </c>
      <c r="AH95" s="20">
        <f>IF(A95="","",A95)</f>
        <v/>
      </c>
      <c r="AI95" s="133">
        <f>IF(E95="","",E95)</f>
        <v/>
      </c>
      <c r="AJ95" s="122">
        <f>IF(AI95="","",$AJ$2)</f>
        <v/>
      </c>
      <c r="AK95" s="122" t="inlineStr">
        <is>
          <t>A</t>
        </is>
      </c>
      <c r="AL95" s="122" t="inlineStr">
        <is>
          <t>A+</t>
        </is>
      </c>
      <c r="AM95" s="122" t="inlineStr">
        <is>
          <t>B+</t>
        </is>
      </c>
      <c r="AN95" s="122">
        <f>IF(AI95="","",$AN$2)</f>
        <v/>
      </c>
      <c r="AO95" s="122">
        <f>IF(N95="","",IF(N95&gt;=$AO$1/100,"O","X"))</f>
        <v/>
      </c>
      <c r="AP95" s="122">
        <f>IF(I95="","",IF(I95&lt;=$AP$1,"O","X"))</f>
        <v/>
      </c>
      <c r="AQ95" s="122">
        <f>IF(O95="","",IF(O95&lt;=$AQ$1,"O","X"))</f>
        <v/>
      </c>
      <c r="AR95" s="122">
        <f>IF(M95="","",IF(M95&lt;=$AR$1,"O","X"))</f>
        <v/>
      </c>
      <c r="AS95" s="122" t="inlineStr">
        <is>
          <t>X</t>
        </is>
      </c>
      <c r="AT95" s="122">
        <f>IF(OR(F95="",AI95=""),"",IF(AND((F95&lt;=85),(AI95&gt;=15)),"O","X"))</f>
        <v/>
      </c>
      <c r="AU95" s="122">
        <f>IF(C95="","",IF(C95&gt;=$AU$1,"O","X"))</f>
        <v/>
      </c>
      <c r="AV95" s="122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1" t="n">
        <v>1338</v>
      </c>
      <c r="D96" s="132" t="n">
        <v>160.6</v>
      </c>
      <c r="E96" s="133" t="n">
        <v>49</v>
      </c>
      <c r="F96" s="132" t="n">
        <v>129.2</v>
      </c>
      <c r="G96" s="17" t="n">
        <v>39</v>
      </c>
      <c r="H96" s="134" t="n">
        <v>144</v>
      </c>
      <c r="I96" s="135" t="n">
        <v>46000</v>
      </c>
      <c r="J96" s="135" t="inlineStr">
        <is>
          <t>5</t>
        </is>
      </c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2" t="n">
        <v>4</v>
      </c>
      <c r="R96" s="122" t="n">
        <v>2</v>
      </c>
      <c r="S96" s="122" t="inlineStr">
        <is>
          <t>계</t>
        </is>
      </c>
      <c r="T96" s="5" t="n">
        <v>160</v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22">
        <f>S96</f>
        <v/>
      </c>
      <c r="AF96" s="122">
        <f>Q96&amp;"/"&amp;R96</f>
        <v/>
      </c>
      <c r="AH96" s="20">
        <f>IF(A96="","",A96)</f>
        <v/>
      </c>
      <c r="AI96" s="133">
        <f>IF(E96="","",E96)</f>
        <v/>
      </c>
      <c r="AJ96" s="122">
        <f>IF(AI96="","",$AJ$2)</f>
        <v/>
      </c>
      <c r="AK96" s="122" t="inlineStr">
        <is>
          <t>A</t>
        </is>
      </c>
      <c r="AL96" s="122" t="inlineStr">
        <is>
          <t>A+</t>
        </is>
      </c>
      <c r="AM96" s="122" t="inlineStr">
        <is>
          <t>B+</t>
        </is>
      </c>
      <c r="AN96" s="122">
        <f>IF(AI96="","",$AN$2)</f>
        <v/>
      </c>
      <c r="AO96" s="122">
        <f>IF(N96="","",IF(N96&gt;=$AO$1/100,"O","X"))</f>
        <v/>
      </c>
      <c r="AP96" s="122">
        <f>IF(I96="","",IF(I96&lt;=$AP$1,"O","X"))</f>
        <v/>
      </c>
      <c r="AQ96" s="122">
        <f>IF(O96="","",IF(O96&lt;=$AQ$1,"O","X"))</f>
        <v/>
      </c>
      <c r="AR96" s="122">
        <f>IF(M96="","",IF(M96&lt;=$AR$1,"O","X"))</f>
        <v/>
      </c>
      <c r="AS96" s="122" t="inlineStr">
        <is>
          <t>X</t>
        </is>
      </c>
      <c r="AT96" s="122">
        <f>IF(OR(F96="",AI96=""),"",IF(AND((F96&lt;=85),(AI96&gt;=15)),"O","X"))</f>
        <v/>
      </c>
      <c r="AU96" s="122">
        <f>IF(C96="","",IF(C96&gt;=$AU$1,"O","X"))</f>
        <v/>
      </c>
      <c r="AV96" s="122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1" t="n">
        <v>1338</v>
      </c>
      <c r="D97" s="132" t="n">
        <v>186.1</v>
      </c>
      <c r="E97" s="133" t="n">
        <v>56</v>
      </c>
      <c r="F97" s="132" t="n">
        <v>147.8</v>
      </c>
      <c r="G97" s="17" t="n">
        <v>45</v>
      </c>
      <c r="H97" s="134" t="n">
        <v>72</v>
      </c>
      <c r="I97" s="135" t="n">
        <v>60000</v>
      </c>
      <c r="J97" s="135" t="inlineStr">
        <is>
          <t>17</t>
        </is>
      </c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2" t="n">
        <v>4</v>
      </c>
      <c r="R97" s="122" t="n">
        <v>2</v>
      </c>
      <c r="S97" s="122" t="inlineStr">
        <is>
          <t>계</t>
        </is>
      </c>
      <c r="T97" s="5" t="n">
        <v>186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22">
        <f>S97</f>
        <v/>
      </c>
      <c r="AF97" s="122">
        <f>Q97&amp;"/"&amp;R97</f>
        <v/>
      </c>
      <c r="AH97" s="20">
        <f>IF(A97="","",A97)</f>
        <v/>
      </c>
      <c r="AI97" s="133">
        <f>IF(E97="","",E97)</f>
        <v/>
      </c>
      <c r="AJ97" s="122">
        <f>IF(AI97="","",$AJ$2)</f>
        <v/>
      </c>
      <c r="AK97" s="122" t="inlineStr">
        <is>
          <t>A</t>
        </is>
      </c>
      <c r="AL97" s="122" t="inlineStr">
        <is>
          <t>A+</t>
        </is>
      </c>
      <c r="AM97" s="122" t="inlineStr">
        <is>
          <t>B+</t>
        </is>
      </c>
      <c r="AN97" s="122">
        <f>IF(AI97="","",$AN$2)</f>
        <v/>
      </c>
      <c r="AO97" s="122">
        <f>IF(N97="","",IF(N97&gt;=$AO$1/100,"O","X"))</f>
        <v/>
      </c>
      <c r="AP97" s="122">
        <f>IF(I97="","",IF(I97&lt;=$AP$1,"O","X"))</f>
        <v/>
      </c>
      <c r="AQ97" s="122">
        <f>IF(O97="","",IF(O97&lt;=$AQ$1,"O","X"))</f>
        <v/>
      </c>
      <c r="AR97" s="122">
        <f>IF(M97="","",IF(M97&lt;=$AR$1,"O","X"))</f>
        <v/>
      </c>
      <c r="AS97" s="122" t="inlineStr">
        <is>
          <t>X</t>
        </is>
      </c>
      <c r="AT97" s="122">
        <f>IF(OR(F97="",AI97=""),"",IF(AND((F97&lt;=85),(AI97&gt;=15)),"O","X"))</f>
        <v/>
      </c>
      <c r="AU97" s="122">
        <f>IF(C97="","",IF(C97&gt;=$AU$1,"O","X"))</f>
        <v/>
      </c>
      <c r="AV97" s="122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1" t="n">
        <v>630</v>
      </c>
      <c r="D98" s="132" t="n">
        <v>84</v>
      </c>
      <c r="E98" s="133" t="n">
        <v>25</v>
      </c>
      <c r="F98" s="132" t="n">
        <v>60</v>
      </c>
      <c r="G98" s="17" t="n">
        <v>18</v>
      </c>
      <c r="H98" s="134" t="n">
        <v>506</v>
      </c>
      <c r="I98" s="135" t="n">
        <v>26500</v>
      </c>
      <c r="J98" s="135" t="inlineStr">
        <is>
          <t>중</t>
        </is>
      </c>
      <c r="K98" s="135" t="n">
        <v>24000</v>
      </c>
      <c r="L98" s="135" t="inlineStr">
        <is>
          <t>중</t>
        </is>
      </c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2" t="n">
        <v>3</v>
      </c>
      <c r="R98" s="122" t="n">
        <v>2</v>
      </c>
      <c r="S98" s="122" t="inlineStr">
        <is>
          <t>계</t>
        </is>
      </c>
      <c r="T98" s="5" t="inlineStr">
        <is>
          <t>83A</t>
        </is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22">
        <f>S98</f>
        <v/>
      </c>
      <c r="AF98" s="122">
        <f>Q98&amp;"/"&amp;R98</f>
        <v/>
      </c>
      <c r="AH98" s="20">
        <f>IF(A98="","",A98)</f>
        <v/>
      </c>
      <c r="AI98" s="133">
        <f>IF(E98="","",E98)</f>
        <v/>
      </c>
      <c r="AJ98" s="122">
        <f>IF(AI98="","",$AJ$2)</f>
        <v/>
      </c>
      <c r="AK98" s="122" t="inlineStr">
        <is>
          <t>A</t>
        </is>
      </c>
      <c r="AL98" s="122" t="inlineStr">
        <is>
          <t>A+</t>
        </is>
      </c>
      <c r="AM98" s="122" t="inlineStr">
        <is>
          <t>B+</t>
        </is>
      </c>
      <c r="AN98" s="122">
        <f>IF(AI98="","",$AN$2)</f>
        <v/>
      </c>
      <c r="AO98" s="122">
        <f>IF(N98="","",IF(N98&gt;=$AO$1/100,"O","X"))</f>
        <v/>
      </c>
      <c r="AP98" s="122">
        <f>IF(I98="","",IF(I98&lt;=$AP$1,"O","X"))</f>
        <v/>
      </c>
      <c r="AQ98" s="122">
        <f>IF(O98="","",IF(O98&lt;=$AQ$1,"O","X"))</f>
        <v/>
      </c>
      <c r="AR98" s="122">
        <f>IF(M98="","",IF(M98&lt;=$AR$1,"O","X"))</f>
        <v/>
      </c>
      <c r="AS98" s="122" t="inlineStr">
        <is>
          <t>X</t>
        </is>
      </c>
      <c r="AT98" s="122">
        <f>IF(OR(F98="",AI98=""),"",IF(AND((F98&lt;=85),(AI98&gt;=15)),"O","X"))</f>
        <v/>
      </c>
      <c r="AU98" s="122">
        <f>IF(C98="","",IF(C98&gt;=$AU$1,"O","X"))</f>
        <v/>
      </c>
      <c r="AV98" s="122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1" t="n">
        <v>630</v>
      </c>
      <c r="D99" s="132" t="n">
        <v>84.90000000000001</v>
      </c>
      <c r="E99" s="133" t="n">
        <v>26</v>
      </c>
      <c r="F99" s="132" t="n">
        <v>60</v>
      </c>
      <c r="G99" s="17" t="n">
        <v>18</v>
      </c>
      <c r="H99" s="134" t="n">
        <v>124</v>
      </c>
      <c r="I99" s="135" t="n">
        <v>27500</v>
      </c>
      <c r="J99" s="135" t="inlineStr">
        <is>
          <t>13</t>
        </is>
      </c>
      <c r="K99" s="135" t="n">
        <v>24000</v>
      </c>
      <c r="L99" s="135" t="inlineStr">
        <is>
          <t>고</t>
        </is>
      </c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2" t="n">
        <v>3</v>
      </c>
      <c r="R99" s="122" t="n">
        <v>2</v>
      </c>
      <c r="S99" s="122" t="inlineStr">
        <is>
          <t>계</t>
        </is>
      </c>
      <c r="T99" s="5" t="inlineStr">
        <is>
          <t>84B</t>
        </is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22">
        <f>S99</f>
        <v/>
      </c>
      <c r="AF99" s="122">
        <f>Q99&amp;"/"&amp;R99</f>
        <v/>
      </c>
      <c r="AH99" s="20">
        <f>IF(A99="","",A99)</f>
        <v/>
      </c>
      <c r="AI99" s="133">
        <f>IF(E99="","",E99)</f>
        <v/>
      </c>
      <c r="AJ99" s="122">
        <f>IF(AI99="","",$AJ$2)</f>
        <v/>
      </c>
      <c r="AK99" s="122" t="inlineStr">
        <is>
          <t>A</t>
        </is>
      </c>
      <c r="AL99" s="122" t="inlineStr">
        <is>
          <t>A+</t>
        </is>
      </c>
      <c r="AM99" s="122" t="inlineStr">
        <is>
          <t>B+</t>
        </is>
      </c>
      <c r="AN99" s="122">
        <f>IF(AI99="","",$AN$2)</f>
        <v/>
      </c>
      <c r="AO99" s="122">
        <f>IF(N99="","",IF(N99&gt;=$AO$1/100,"O","X"))</f>
        <v/>
      </c>
      <c r="AP99" s="122">
        <f>IF(I99="","",IF(I99&lt;=$AP$1,"O","X"))</f>
        <v/>
      </c>
      <c r="AQ99" s="122">
        <f>IF(O99="","",IF(O99&lt;=$AQ$1,"O","X"))</f>
        <v/>
      </c>
      <c r="AR99" s="122">
        <f>IF(M99="","",IF(M99&lt;=$AR$1,"O","X"))</f>
        <v/>
      </c>
      <c r="AS99" s="122" t="inlineStr">
        <is>
          <t>X</t>
        </is>
      </c>
      <c r="AT99" s="122">
        <f>IF(OR(F99="",AI99=""),"",IF(AND((F99&lt;=85),(AI99&gt;=15)),"O","X"))</f>
        <v/>
      </c>
      <c r="AU99" s="122">
        <f>IF(C99="","",IF(C99&gt;=$AU$1,"O","X"))</f>
        <v/>
      </c>
      <c r="AV99" s="122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1" t="n">
        <v>587</v>
      </c>
      <c r="D100" s="132" t="n">
        <v>97.8</v>
      </c>
      <c r="E100" s="133" t="n">
        <v>30</v>
      </c>
      <c r="F100" s="132" t="n">
        <v>72.90000000000001</v>
      </c>
      <c r="G100" s="17" t="n">
        <v>22</v>
      </c>
      <c r="H100" s="134" t="n">
        <v>132</v>
      </c>
      <c r="I100" s="135" t="n">
        <v>36000</v>
      </c>
      <c r="J100" s="135" t="inlineStr">
        <is>
          <t>16</t>
        </is>
      </c>
      <c r="K100" s="135" t="n">
        <v>28000</v>
      </c>
      <c r="L100" s="135" t="inlineStr">
        <is>
          <t>11</t>
        </is>
      </c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2" t="n">
        <v>3</v>
      </c>
      <c r="R100" s="122" t="n">
        <v>2</v>
      </c>
      <c r="S100" s="122" t="inlineStr">
        <is>
          <t>계</t>
        </is>
      </c>
      <c r="T100" s="5" t="n">
        <v>97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22">
        <f>S100</f>
        <v/>
      </c>
      <c r="AF100" s="122">
        <f>Q100&amp;"/"&amp;R100</f>
        <v/>
      </c>
      <c r="AH100" s="20">
        <f>IF(A100="","",A100)</f>
        <v/>
      </c>
      <c r="AI100" s="133">
        <f>IF(E100="","",E100)</f>
        <v/>
      </c>
      <c r="AJ100" s="122">
        <f>IF(AI100="","",$AJ$2)</f>
        <v/>
      </c>
      <c r="AK100" s="122" t="inlineStr">
        <is>
          <t>A</t>
        </is>
      </c>
      <c r="AL100" s="122" t="inlineStr">
        <is>
          <t>A+</t>
        </is>
      </c>
      <c r="AM100" s="122" t="inlineStr">
        <is>
          <t>B+</t>
        </is>
      </c>
      <c r="AN100" s="122">
        <f>IF(AI100="","",$AN$2)</f>
        <v/>
      </c>
      <c r="AO100" s="122">
        <f>IF(N100="","",IF(N100&gt;=$AO$1/100,"O","X"))</f>
        <v/>
      </c>
      <c r="AP100" s="122">
        <f>IF(I100="","",IF(I100&lt;=$AP$1,"O","X"))</f>
        <v/>
      </c>
      <c r="AQ100" s="122">
        <f>IF(O100="","",IF(O100&lt;=$AQ$1,"O","X"))</f>
        <v/>
      </c>
      <c r="AR100" s="122">
        <f>IF(M100="","",IF(M100&lt;=$AR$1,"O","X"))</f>
        <v/>
      </c>
      <c r="AS100" s="122" t="inlineStr">
        <is>
          <t>X</t>
        </is>
      </c>
      <c r="AT100" s="122">
        <f>IF(OR(F100="",AI100=""),"",IF(AND((F100&lt;=85),(AI100&gt;=15)),"O","X"))</f>
        <v/>
      </c>
      <c r="AU100" s="122">
        <f>IF(C100="","",IF(C100&gt;=$AU$1,"O","X"))</f>
        <v/>
      </c>
      <c r="AV100" s="122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1" t="n">
        <v>587</v>
      </c>
      <c r="D101" s="132" t="n">
        <v>110.5</v>
      </c>
      <c r="E101" s="133" t="n">
        <v>33</v>
      </c>
      <c r="F101" s="132" t="n">
        <v>84.90000000000001</v>
      </c>
      <c r="G101" s="17" t="n">
        <v>26</v>
      </c>
      <c r="H101" s="134" t="n">
        <v>455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2" t="n">
        <v>4</v>
      </c>
      <c r="R101" s="122" t="n">
        <v>2</v>
      </c>
      <c r="S101" s="122" t="inlineStr">
        <is>
          <t>계</t>
        </is>
      </c>
      <c r="T101" s="5" t="n">
        <v>110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22">
        <f>S101</f>
        <v/>
      </c>
      <c r="AF101" s="122">
        <f>Q101&amp;"/"&amp;R101</f>
        <v/>
      </c>
      <c r="AH101" s="20">
        <f>IF(A101="","",A101)</f>
        <v/>
      </c>
      <c r="AI101" s="133">
        <f>IF(E101="","",E101)</f>
        <v/>
      </c>
      <c r="AJ101" s="122">
        <f>IF(AI101="","",$AJ$2)</f>
        <v/>
      </c>
      <c r="AK101" s="122" t="inlineStr">
        <is>
          <t>A</t>
        </is>
      </c>
      <c r="AL101" s="122" t="inlineStr">
        <is>
          <t>A+</t>
        </is>
      </c>
      <c r="AM101" s="122" t="inlineStr">
        <is>
          <t>B+</t>
        </is>
      </c>
      <c r="AN101" s="122">
        <f>IF(AI101="","",$AN$2)</f>
        <v/>
      </c>
      <c r="AO101" s="122">
        <f>IF(N101="","",IF(N101&gt;=$AO$1/100,"O","X"))</f>
        <v/>
      </c>
      <c r="AP101" s="122">
        <f>IF(I101="","",IF(I101&lt;=$AP$1,"O","X"))</f>
        <v/>
      </c>
      <c r="AQ101" s="122">
        <f>IF(O101="","",IF(O101&lt;=$AQ$1,"O","X"))</f>
        <v/>
      </c>
      <c r="AR101" s="122">
        <f>IF(M101="","",IF(M101&lt;=$AR$1,"O","X"))</f>
        <v/>
      </c>
      <c r="AS101" s="122" t="inlineStr">
        <is>
          <t>X</t>
        </is>
      </c>
      <c r="AT101" s="122">
        <f>IF(OR(F101="",AI101=""),"",IF(AND((F101&lt;=85),(AI101&gt;=15)),"O","X"))</f>
        <v/>
      </c>
      <c r="AU101" s="122">
        <f>IF(C101="","",IF(C101&gt;=$AU$1,"O","X"))</f>
        <v/>
      </c>
      <c r="AV101" s="122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1" t="n">
        <v>1602</v>
      </c>
      <c r="D102" s="132" t="n">
        <v>86.59999999999999</v>
      </c>
      <c r="E102" s="133" t="n">
        <v>26</v>
      </c>
      <c r="F102" s="132" t="n">
        <v>59.9</v>
      </c>
      <c r="G102" s="17" t="n">
        <v>18</v>
      </c>
      <c r="H102" s="134" t="n">
        <v>391</v>
      </c>
      <c r="I102" s="135" t="n">
        <v>21500</v>
      </c>
      <c r="J102" s="135" t="inlineStr">
        <is>
          <t>11</t>
        </is>
      </c>
      <c r="K102" s="135" t="n">
        <v>21000</v>
      </c>
      <c r="L102" s="135" t="inlineStr">
        <is>
          <t>17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2" t="n">
        <v>3</v>
      </c>
      <c r="R102" s="122" t="n">
        <v>2</v>
      </c>
      <c r="S102" s="122" t="inlineStr">
        <is>
          <t>계</t>
        </is>
      </c>
      <c r="T102" s="5" t="inlineStr">
        <is>
          <t>86A</t>
        </is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22">
        <f>S102</f>
        <v/>
      </c>
      <c r="AF102" s="122">
        <f>Q102&amp;"/"&amp;R102</f>
        <v/>
      </c>
      <c r="AH102" s="20">
        <f>IF(A102="","",A102)</f>
        <v/>
      </c>
      <c r="AI102" s="133">
        <f>IF(E102="","",E102)</f>
        <v/>
      </c>
      <c r="AJ102" s="122">
        <f>IF(AI102="","",$AJ$2)</f>
        <v/>
      </c>
      <c r="AK102" s="122" t="inlineStr">
        <is>
          <t>A</t>
        </is>
      </c>
      <c r="AL102" s="122" t="inlineStr">
        <is>
          <t>A+</t>
        </is>
      </c>
      <c r="AM102" s="122" t="inlineStr">
        <is>
          <t>B+</t>
        </is>
      </c>
      <c r="AN102" s="122">
        <f>IF(AI102="","",$AN$2)</f>
        <v/>
      </c>
      <c r="AO102" s="122">
        <f>IF(N102="","",IF(N102&gt;=$AO$1/100,"O","X"))</f>
        <v/>
      </c>
      <c r="AP102" s="122">
        <f>IF(I102="","",IF(I102&lt;=$AP$1,"O","X"))</f>
        <v/>
      </c>
      <c r="AQ102" s="122">
        <f>IF(O102="","",IF(O102&lt;=$AQ$1,"O","X"))</f>
        <v/>
      </c>
      <c r="AR102" s="122">
        <f>IF(M102="","",IF(M102&lt;=$AR$1,"O","X"))</f>
        <v/>
      </c>
      <c r="AS102" s="122" t="inlineStr">
        <is>
          <t>X</t>
        </is>
      </c>
      <c r="AT102" s="122">
        <f>IF(OR(F102="",AI102=""),"",IF(AND((F102&lt;=85),(AI102&gt;=15)),"O","X"))</f>
        <v/>
      </c>
      <c r="AU102" s="122">
        <f>IF(C102="","",IF(C102&gt;=$AU$1,"O","X"))</f>
        <v/>
      </c>
      <c r="AV102" s="122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1" t="n">
        <v>1602</v>
      </c>
      <c r="D103" s="132" t="n">
        <v>86.59999999999999</v>
      </c>
      <c r="E103" s="133" t="n">
        <v>26</v>
      </c>
      <c r="F103" s="132" t="n">
        <v>59.9</v>
      </c>
      <c r="G103" s="17" t="n">
        <v>18</v>
      </c>
      <c r="H103" s="134" t="n">
        <v>53</v>
      </c>
      <c r="I103" s="135" t="n">
        <v>21500</v>
      </c>
      <c r="J103" s="135" t="inlineStr">
        <is>
          <t>11</t>
        </is>
      </c>
      <c r="K103" s="135" t="n">
        <v>21000</v>
      </c>
      <c r="L103" s="135" t="inlineStr">
        <is>
          <t>17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2" t="n">
        <v>3</v>
      </c>
      <c r="R103" s="122" t="n">
        <v>2</v>
      </c>
      <c r="S103" s="122" t="inlineStr">
        <is>
          <t>계</t>
        </is>
      </c>
      <c r="T103" s="5" t="inlineStr">
        <is>
          <t>86B</t>
        </is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22">
        <f>S103</f>
        <v/>
      </c>
      <c r="AF103" s="122">
        <f>Q103&amp;"/"&amp;R103</f>
        <v/>
      </c>
      <c r="AH103" s="20">
        <f>IF(A103="","",A103)</f>
        <v/>
      </c>
      <c r="AI103" s="133">
        <f>IF(E103="","",E103)</f>
        <v/>
      </c>
      <c r="AJ103" s="122">
        <f>IF(AI103="","",$AJ$2)</f>
        <v/>
      </c>
      <c r="AK103" s="122" t="inlineStr">
        <is>
          <t>A</t>
        </is>
      </c>
      <c r="AL103" s="122" t="inlineStr">
        <is>
          <t>A+</t>
        </is>
      </c>
      <c r="AM103" s="122" t="inlineStr">
        <is>
          <t>B+</t>
        </is>
      </c>
      <c r="AN103" s="122">
        <f>IF(AI103="","",$AN$2)</f>
        <v/>
      </c>
      <c r="AO103" s="122">
        <f>IF(N103="","",IF(N103&gt;=$AO$1/100,"O","X"))</f>
        <v/>
      </c>
      <c r="AP103" s="122">
        <f>IF(I103="","",IF(I103&lt;=$AP$1,"O","X"))</f>
        <v/>
      </c>
      <c r="AQ103" s="122">
        <f>IF(O103="","",IF(O103&lt;=$AQ$1,"O","X"))</f>
        <v/>
      </c>
      <c r="AR103" s="122">
        <f>IF(M103="","",IF(M103&lt;=$AR$1,"O","X"))</f>
        <v/>
      </c>
      <c r="AS103" s="122" t="inlineStr">
        <is>
          <t>X</t>
        </is>
      </c>
      <c r="AT103" s="122">
        <f>IF(OR(F103="",AI103=""),"",IF(AND((F103&lt;=85),(AI103&gt;=15)),"O","X"))</f>
        <v/>
      </c>
      <c r="AU103" s="122">
        <f>IF(C103="","",IF(C103&gt;=$AU$1,"O","X"))</f>
        <v/>
      </c>
      <c r="AV103" s="122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1" t="n">
        <v>1602</v>
      </c>
      <c r="D104" s="132" t="n">
        <v>113.1</v>
      </c>
      <c r="E104" s="133" t="n">
        <v>34</v>
      </c>
      <c r="F104" s="132" t="n">
        <v>85</v>
      </c>
      <c r="G104" s="17" t="n">
        <v>26</v>
      </c>
      <c r="H104" s="134" t="n">
        <v>685</v>
      </c>
      <c r="I104" s="135" t="n">
        <v>32000</v>
      </c>
      <c r="J104" s="135" t="inlineStr">
        <is>
          <t>12</t>
        </is>
      </c>
      <c r="K104" s="135" t="n">
        <v>27000</v>
      </c>
      <c r="L104" s="135" t="inlineStr">
        <is>
          <t>고</t>
        </is>
      </c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2" t="n">
        <v>3</v>
      </c>
      <c r="R104" s="122" t="n">
        <v>2</v>
      </c>
      <c r="S104" s="122" t="inlineStr">
        <is>
          <t>계</t>
        </is>
      </c>
      <c r="T104" s="5" t="inlineStr">
        <is>
          <t>113A</t>
        </is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22">
        <f>S104</f>
        <v/>
      </c>
      <c r="AF104" s="122">
        <f>Q104&amp;"/"&amp;R104</f>
        <v/>
      </c>
      <c r="AH104" s="20">
        <f>IF(A104="","",A104)</f>
        <v/>
      </c>
      <c r="AI104" s="133">
        <f>IF(E104="","",E104)</f>
        <v/>
      </c>
      <c r="AJ104" s="122">
        <f>IF(AI104="","",$AJ$2)</f>
        <v/>
      </c>
      <c r="AK104" s="122" t="inlineStr">
        <is>
          <t>A</t>
        </is>
      </c>
      <c r="AL104" s="122" t="inlineStr">
        <is>
          <t>A+</t>
        </is>
      </c>
      <c r="AM104" s="122" t="inlineStr">
        <is>
          <t>B+</t>
        </is>
      </c>
      <c r="AN104" s="122">
        <f>IF(AI104="","",$AN$2)</f>
        <v/>
      </c>
      <c r="AO104" s="122">
        <f>IF(N104="","",IF(N104&gt;=$AO$1/100,"O","X"))</f>
        <v/>
      </c>
      <c r="AP104" s="122">
        <f>IF(I104="","",IF(I104&lt;=$AP$1,"O","X"))</f>
        <v/>
      </c>
      <c r="AQ104" s="122">
        <f>IF(O104="","",IF(O104&lt;=$AQ$1,"O","X"))</f>
        <v/>
      </c>
      <c r="AR104" s="122">
        <f>IF(M104="","",IF(M104&lt;=$AR$1,"O","X"))</f>
        <v/>
      </c>
      <c r="AS104" s="122" t="inlineStr">
        <is>
          <t>X</t>
        </is>
      </c>
      <c r="AT104" s="122">
        <f>IF(OR(F104="",AI104=""),"",IF(AND((F104&lt;=85),(AI104&gt;=15)),"O","X"))</f>
        <v/>
      </c>
      <c r="AU104" s="122">
        <f>IF(C104="","",IF(C104&gt;=$AU$1,"O","X"))</f>
        <v/>
      </c>
      <c r="AV104" s="122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1" t="n">
        <v>1602</v>
      </c>
      <c r="D105" s="132" t="n">
        <v>114.7</v>
      </c>
      <c r="E105" s="133" t="n">
        <v>35</v>
      </c>
      <c r="F105" s="132" t="n">
        <v>85</v>
      </c>
      <c r="G105" s="17" t="n">
        <v>26</v>
      </c>
      <c r="H105" s="134" t="n">
        <v>121</v>
      </c>
      <c r="I105" s="135" t="n">
        <v>31000</v>
      </c>
      <c r="J105" s="135" t="inlineStr">
        <is>
          <t>10</t>
        </is>
      </c>
      <c r="K105" s="135" t="n">
        <v>27000</v>
      </c>
      <c r="L105" s="135" t="inlineStr">
        <is>
          <t>중</t>
        </is>
      </c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2" t="n">
        <v>3</v>
      </c>
      <c r="R105" s="122" t="n">
        <v>2</v>
      </c>
      <c r="S105" s="122" t="inlineStr">
        <is>
          <t>계</t>
        </is>
      </c>
      <c r="T105" s="5" t="inlineStr">
        <is>
          <t>114B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22">
        <f>S105</f>
        <v/>
      </c>
      <c r="AF105" s="122">
        <f>Q105&amp;"/"&amp;R105</f>
        <v/>
      </c>
      <c r="AH105" s="20">
        <f>IF(A105="","",A105)</f>
        <v/>
      </c>
      <c r="AI105" s="133">
        <f>IF(E105="","",E105)</f>
        <v/>
      </c>
      <c r="AJ105" s="122">
        <f>IF(AI105="","",$AJ$2)</f>
        <v/>
      </c>
      <c r="AK105" s="122" t="inlineStr">
        <is>
          <t>A</t>
        </is>
      </c>
      <c r="AL105" s="122" t="inlineStr">
        <is>
          <t>A+</t>
        </is>
      </c>
      <c r="AM105" s="122" t="inlineStr">
        <is>
          <t>B+</t>
        </is>
      </c>
      <c r="AN105" s="122">
        <f>IF(AI105="","",$AN$2)</f>
        <v/>
      </c>
      <c r="AO105" s="122">
        <f>IF(N105="","",IF(N105&gt;=$AO$1/100,"O","X"))</f>
        <v/>
      </c>
      <c r="AP105" s="122">
        <f>IF(I105="","",IF(I105&lt;=$AP$1,"O","X"))</f>
        <v/>
      </c>
      <c r="AQ105" s="122">
        <f>IF(O105="","",IF(O105&lt;=$AQ$1,"O","X"))</f>
        <v/>
      </c>
      <c r="AR105" s="122">
        <f>IF(M105="","",IF(M105&lt;=$AR$1,"O","X"))</f>
        <v/>
      </c>
      <c r="AS105" s="122" t="inlineStr">
        <is>
          <t>X</t>
        </is>
      </c>
      <c r="AT105" s="122">
        <f>IF(OR(F105="",AI105=""),"",IF(AND((F105&lt;=85),(AI105&gt;=15)),"O","X"))</f>
        <v/>
      </c>
      <c r="AU105" s="122">
        <f>IF(C105="","",IF(C105&gt;=$AU$1,"O","X"))</f>
        <v/>
      </c>
      <c r="AV105" s="122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1" t="n">
        <v>1602</v>
      </c>
      <c r="D106" s="132" t="n">
        <v>156.1</v>
      </c>
      <c r="E106" s="133" t="n">
        <v>47</v>
      </c>
      <c r="F106" s="132" t="n">
        <v>122.6</v>
      </c>
      <c r="G106" s="17" t="n">
        <v>37</v>
      </c>
      <c r="H106" s="134" t="n">
        <v>280</v>
      </c>
      <c r="I106" s="135" t="n">
        <v>47000</v>
      </c>
      <c r="J106" s="135" t="inlineStr">
        <is>
          <t>14</t>
        </is>
      </c>
      <c r="K106" s="135" t="n">
        <v>38000</v>
      </c>
      <c r="L106" s="135" t="inlineStr">
        <is>
          <t>13</t>
        </is>
      </c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2" t="n">
        <v>4</v>
      </c>
      <c r="R106" s="122" t="n">
        <v>2</v>
      </c>
      <c r="S106" s="122" t="inlineStr">
        <is>
          <t>계</t>
        </is>
      </c>
      <c r="T106" s="5" t="n">
        <v>156</v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22">
        <f>S106</f>
        <v/>
      </c>
      <c r="AF106" s="122">
        <f>Q106&amp;"/"&amp;R106</f>
        <v/>
      </c>
      <c r="AH106" s="20">
        <f>IF(A106="","",A106)</f>
        <v/>
      </c>
      <c r="AI106" s="133">
        <f>IF(E106="","",E106)</f>
        <v/>
      </c>
      <c r="AJ106" s="122">
        <f>IF(AI106="","",$AJ$2)</f>
        <v/>
      </c>
      <c r="AK106" s="122" t="inlineStr">
        <is>
          <t>A</t>
        </is>
      </c>
      <c r="AL106" s="122" t="inlineStr">
        <is>
          <t>A+</t>
        </is>
      </c>
      <c r="AM106" s="122" t="inlineStr">
        <is>
          <t>B+</t>
        </is>
      </c>
      <c r="AN106" s="122">
        <f>IF(AI106="","",$AN$2)</f>
        <v/>
      </c>
      <c r="AO106" s="122">
        <f>IF(N106="","",IF(N106&gt;=$AO$1/100,"O","X"))</f>
        <v/>
      </c>
      <c r="AP106" s="122">
        <f>IF(I106="","",IF(I106&lt;=$AP$1,"O","X"))</f>
        <v/>
      </c>
      <c r="AQ106" s="122">
        <f>IF(O106="","",IF(O106&lt;=$AQ$1,"O","X"))</f>
        <v/>
      </c>
      <c r="AR106" s="122">
        <f>IF(M106="","",IF(M106&lt;=$AR$1,"O","X"))</f>
        <v/>
      </c>
      <c r="AS106" s="122" t="inlineStr">
        <is>
          <t>X</t>
        </is>
      </c>
      <c r="AT106" s="122">
        <f>IF(OR(F106="",AI106=""),"",IF(AND((F106&lt;=85),(AI106&gt;=15)),"O","X"))</f>
        <v/>
      </c>
      <c r="AU106" s="122">
        <f>IF(C106="","",IF(C106&gt;=$AU$1,"O","X"))</f>
        <v/>
      </c>
      <c r="AV106" s="122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1" t="n">
        <v>1602</v>
      </c>
      <c r="D107" s="132" t="n">
        <v>202.1</v>
      </c>
      <c r="E107" s="133" t="n">
        <v>61</v>
      </c>
      <c r="F107" s="132" t="n">
        <v>166.8</v>
      </c>
      <c r="G107" s="17" t="n">
        <v>50</v>
      </c>
      <c r="H107" s="134" t="n">
        <v>72</v>
      </c>
      <c r="I107" s="135" t="n">
        <v>53000</v>
      </c>
      <c r="J107" s="135" t="inlineStr">
        <is>
          <t>13</t>
        </is>
      </c>
      <c r="K107" s="135" t="n">
        <v>40000</v>
      </c>
      <c r="L107" s="135" t="inlineStr">
        <is>
          <t>18</t>
        </is>
      </c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2" t="n">
        <v>4</v>
      </c>
      <c r="R107" s="122" t="n">
        <v>2</v>
      </c>
      <c r="S107" s="122" t="inlineStr">
        <is>
          <t>계</t>
        </is>
      </c>
      <c r="T107" s="5" t="n">
        <v>202</v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22">
        <f>S107</f>
        <v/>
      </c>
      <c r="AF107" s="122">
        <f>Q107&amp;"/"&amp;R107</f>
        <v/>
      </c>
      <c r="AH107" s="20">
        <f>IF(A107="","",A107)</f>
        <v/>
      </c>
      <c r="AI107" s="133">
        <f>IF(E107="","",E107)</f>
        <v/>
      </c>
      <c r="AJ107" s="122">
        <f>IF(AI107="","",$AJ$2)</f>
        <v/>
      </c>
      <c r="AK107" s="122" t="inlineStr">
        <is>
          <t>A</t>
        </is>
      </c>
      <c r="AL107" s="122" t="inlineStr">
        <is>
          <t>A+</t>
        </is>
      </c>
      <c r="AM107" s="122" t="inlineStr">
        <is>
          <t>B+</t>
        </is>
      </c>
      <c r="AN107" s="122">
        <f>IF(AI107="","",$AN$2)</f>
        <v/>
      </c>
      <c r="AO107" s="122">
        <f>IF(N107="","",IF(N107&gt;=$AO$1/100,"O","X"))</f>
        <v/>
      </c>
      <c r="AP107" s="122">
        <f>IF(I107="","",IF(I107&lt;=$AP$1,"O","X"))</f>
        <v/>
      </c>
      <c r="AQ107" s="122">
        <f>IF(O107="","",IF(O107&lt;=$AQ$1,"O","X"))</f>
        <v/>
      </c>
      <c r="AR107" s="122">
        <f>IF(M107="","",IF(M107&lt;=$AR$1,"O","X"))</f>
        <v/>
      </c>
      <c r="AS107" s="122" t="inlineStr">
        <is>
          <t>X</t>
        </is>
      </c>
      <c r="AT107" s="122">
        <f>IF(OR(F107="",AI107=""),"",IF(AND((F107&lt;=85),(AI107&gt;=15)),"O","X"))</f>
        <v/>
      </c>
      <c r="AU107" s="122">
        <f>IF(C107="","",IF(C107&gt;=$AU$1,"O","X"))</f>
        <v/>
      </c>
      <c r="AV107" s="122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1" t="n">
        <v>1529</v>
      </c>
      <c r="D108" s="132" t="n">
        <v>85.09999999999999</v>
      </c>
      <c r="E108" s="133" t="n">
        <v>26</v>
      </c>
      <c r="F108" s="132" t="n">
        <v>60</v>
      </c>
      <c r="G108" s="17" t="n">
        <v>18</v>
      </c>
      <c r="H108" s="134" t="n">
        <v>406</v>
      </c>
      <c r="I108" s="135" t="n">
        <v>22000</v>
      </c>
      <c r="J108" s="135" t="inlineStr">
        <is>
          <t>6</t>
        </is>
      </c>
      <c r="K108" s="135" t="n">
        <v>21000</v>
      </c>
      <c r="L108" s="135" t="inlineStr">
        <is>
          <t>14</t>
        </is>
      </c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2" t="n">
        <v>3</v>
      </c>
      <c r="R108" s="122" t="n">
        <v>2</v>
      </c>
      <c r="S108" s="122" t="inlineStr">
        <is>
          <t>계</t>
        </is>
      </c>
      <c r="T108" s="5" t="n">
        <v>85</v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22">
        <f>S108</f>
        <v/>
      </c>
      <c r="AF108" s="122">
        <f>Q108&amp;"/"&amp;R108</f>
        <v/>
      </c>
      <c r="AH108" s="20">
        <f>IF(A108="","",A108)</f>
        <v/>
      </c>
      <c r="AI108" s="133">
        <f>IF(E108="","",E108)</f>
        <v/>
      </c>
      <c r="AJ108" s="122">
        <f>IF(AI108="","",$AJ$2)</f>
        <v/>
      </c>
      <c r="AK108" s="122" t="inlineStr">
        <is>
          <t>A</t>
        </is>
      </c>
      <c r="AL108" s="122" t="inlineStr">
        <is>
          <t>A+</t>
        </is>
      </c>
      <c r="AM108" s="122" t="inlineStr">
        <is>
          <t>B+</t>
        </is>
      </c>
      <c r="AN108" s="122">
        <f>IF(AI108="","",$AN$2)</f>
        <v/>
      </c>
      <c r="AO108" s="122">
        <f>IF(N108="","",IF(N108&gt;=$AO$1/100,"O","X"))</f>
        <v/>
      </c>
      <c r="AP108" s="122">
        <f>IF(I108="","",IF(I108&lt;=$AP$1,"O","X"))</f>
        <v/>
      </c>
      <c r="AQ108" s="122">
        <f>IF(O108="","",IF(O108&lt;=$AQ$1,"O","X"))</f>
        <v/>
      </c>
      <c r="AR108" s="122">
        <f>IF(M108="","",IF(M108&lt;=$AR$1,"O","X"))</f>
        <v/>
      </c>
      <c r="AS108" s="122" t="inlineStr">
        <is>
          <t>X</t>
        </is>
      </c>
      <c r="AT108" s="122">
        <f>IF(OR(F108="",AI108=""),"",IF(AND((F108&lt;=85),(AI108&gt;=15)),"O","X"))</f>
        <v/>
      </c>
      <c r="AU108" s="122">
        <f>IF(C108="","",IF(C108&gt;=$AU$1,"O","X"))</f>
        <v/>
      </c>
      <c r="AV108" s="122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1" t="n">
        <v>1529</v>
      </c>
      <c r="D109" s="132" t="n">
        <v>111</v>
      </c>
      <c r="E109" s="133" t="n">
        <v>34</v>
      </c>
      <c r="F109" s="132" t="n">
        <v>84.59999999999999</v>
      </c>
      <c r="G109" s="17" t="n">
        <v>26</v>
      </c>
      <c r="H109" s="134" t="n">
        <v>776</v>
      </c>
      <c r="I109" s="135" t="n">
        <v>28000</v>
      </c>
      <c r="J109" s="135" t="inlineStr">
        <is>
          <t>중</t>
        </is>
      </c>
      <c r="K109" s="135" t="n">
        <v>26500</v>
      </c>
      <c r="L109" s="135" t="inlineStr">
        <is>
          <t>13</t>
        </is>
      </c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2" t="n">
        <v>3</v>
      </c>
      <c r="R109" s="122" t="n">
        <v>2</v>
      </c>
      <c r="S109" s="122" t="inlineStr">
        <is>
          <t>계</t>
        </is>
      </c>
      <c r="T109" s="5" t="n">
        <v>111</v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22">
        <f>S109</f>
        <v/>
      </c>
      <c r="AF109" s="122">
        <f>Q109&amp;"/"&amp;R109</f>
        <v/>
      </c>
      <c r="AH109" s="20">
        <f>IF(A109="","",A109)</f>
        <v/>
      </c>
      <c r="AI109" s="133">
        <f>IF(E109="","",E109)</f>
        <v/>
      </c>
      <c r="AJ109" s="122">
        <f>IF(AI109="","",$AJ$2)</f>
        <v/>
      </c>
      <c r="AK109" s="122" t="inlineStr">
        <is>
          <t>A</t>
        </is>
      </c>
      <c r="AL109" s="122" t="inlineStr">
        <is>
          <t>A+</t>
        </is>
      </c>
      <c r="AM109" s="122" t="inlineStr">
        <is>
          <t>B+</t>
        </is>
      </c>
      <c r="AN109" s="122">
        <f>IF(AI109="","",$AN$2)</f>
        <v/>
      </c>
      <c r="AO109" s="122">
        <f>IF(N109="","",IF(N109&gt;=$AO$1/100,"O","X"))</f>
        <v/>
      </c>
      <c r="AP109" s="122">
        <f>IF(I109="","",IF(I109&lt;=$AP$1,"O","X"))</f>
        <v/>
      </c>
      <c r="AQ109" s="122">
        <f>IF(O109="","",IF(O109&lt;=$AQ$1,"O","X"))</f>
        <v/>
      </c>
      <c r="AR109" s="122">
        <f>IF(M109="","",IF(M109&lt;=$AR$1,"O","X"))</f>
        <v/>
      </c>
      <c r="AS109" s="122" t="inlineStr">
        <is>
          <t>X</t>
        </is>
      </c>
      <c r="AT109" s="122">
        <f>IF(OR(F109="",AI109=""),"",IF(AND((F109&lt;=85),(AI109&gt;=15)),"O","X"))</f>
        <v/>
      </c>
      <c r="AU109" s="122">
        <f>IF(C109="","",IF(C109&gt;=$AU$1,"O","X"))</f>
        <v/>
      </c>
      <c r="AV109" s="122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1" t="n">
        <v>1529</v>
      </c>
      <c r="D110" s="132" t="n">
        <v>133</v>
      </c>
      <c r="E110" s="133" t="n">
        <v>40</v>
      </c>
      <c r="F110" s="132" t="n">
        <v>108.5</v>
      </c>
      <c r="G110" s="17" t="n">
        <v>33</v>
      </c>
      <c r="H110" s="134" t="n">
        <v>142</v>
      </c>
      <c r="I110" s="135" t="n">
        <v>37000</v>
      </c>
      <c r="J110" s="135" t="inlineStr">
        <is>
          <t>고</t>
        </is>
      </c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2" t="n">
        <v>3</v>
      </c>
      <c r="R110" s="122" t="n">
        <v>2</v>
      </c>
      <c r="S110" s="122" t="inlineStr">
        <is>
          <t>계</t>
        </is>
      </c>
      <c r="T110" s="5" t="n">
        <v>132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22">
        <f>S110</f>
        <v/>
      </c>
      <c r="AF110" s="122">
        <f>Q110&amp;"/"&amp;R110</f>
        <v/>
      </c>
      <c r="AH110" s="20">
        <f>IF(A110="","",A110)</f>
        <v/>
      </c>
      <c r="AI110" s="133">
        <f>IF(E110="","",E110)</f>
        <v/>
      </c>
      <c r="AJ110" s="122">
        <f>IF(AI110="","",$AJ$2)</f>
        <v/>
      </c>
      <c r="AK110" s="122" t="inlineStr">
        <is>
          <t>A</t>
        </is>
      </c>
      <c r="AL110" s="122" t="inlineStr">
        <is>
          <t>A+</t>
        </is>
      </c>
      <c r="AM110" s="122" t="inlineStr">
        <is>
          <t>B+</t>
        </is>
      </c>
      <c r="AN110" s="122">
        <f>IF(AI110="","",$AN$2)</f>
        <v/>
      </c>
      <c r="AO110" s="122">
        <f>IF(N110="","",IF(N110&gt;=$AO$1/100,"O","X"))</f>
        <v/>
      </c>
      <c r="AP110" s="122">
        <f>IF(I110="","",IF(I110&lt;=$AP$1,"O","X"))</f>
        <v/>
      </c>
      <c r="AQ110" s="122">
        <f>IF(O110="","",IF(O110&lt;=$AQ$1,"O","X"))</f>
        <v/>
      </c>
      <c r="AR110" s="122">
        <f>IF(M110="","",IF(M110&lt;=$AR$1,"O","X"))</f>
        <v/>
      </c>
      <c r="AS110" s="122" t="inlineStr">
        <is>
          <t>X</t>
        </is>
      </c>
      <c r="AT110" s="122">
        <f>IF(OR(F110="",AI110=""),"",IF(AND((F110&lt;=85),(AI110&gt;=15)),"O","X"))</f>
        <v/>
      </c>
      <c r="AU110" s="122">
        <f>IF(C110="","",IF(C110&gt;=$AU$1,"O","X"))</f>
        <v/>
      </c>
      <c r="AV110" s="122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1" t="n">
        <v>1529</v>
      </c>
      <c r="D111" s="132" t="n">
        <v>153.3</v>
      </c>
      <c r="E111" s="133" t="n">
        <v>46</v>
      </c>
      <c r="F111" s="132" t="n">
        <v>129.9</v>
      </c>
      <c r="G111" s="17" t="n">
        <v>39</v>
      </c>
      <c r="H111" s="134" t="n">
        <v>167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2" t="n">
        <v>4</v>
      </c>
      <c r="R111" s="122" t="n">
        <v>2</v>
      </c>
      <c r="S111" s="122" t="inlineStr">
        <is>
          <t>계</t>
        </is>
      </c>
      <c r="T111" s="5" t="n">
        <v>153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22">
        <f>S111</f>
        <v/>
      </c>
      <c r="AF111" s="122">
        <f>Q111&amp;"/"&amp;R111</f>
        <v/>
      </c>
      <c r="AH111" s="20">
        <f>IF(A111="","",A111)</f>
        <v/>
      </c>
      <c r="AI111" s="133">
        <f>IF(E111="","",E111)</f>
        <v/>
      </c>
      <c r="AJ111" s="122">
        <f>IF(AI111="","",$AJ$2)</f>
        <v/>
      </c>
      <c r="AK111" s="122" t="inlineStr">
        <is>
          <t>A</t>
        </is>
      </c>
      <c r="AL111" s="122" t="inlineStr">
        <is>
          <t>A+</t>
        </is>
      </c>
      <c r="AM111" s="122" t="inlineStr">
        <is>
          <t>B+</t>
        </is>
      </c>
      <c r="AN111" s="122">
        <f>IF(AI111="","",$AN$2)</f>
        <v/>
      </c>
      <c r="AO111" s="122">
        <f>IF(N111="","",IF(N111&gt;=$AO$1/100,"O","X"))</f>
        <v/>
      </c>
      <c r="AP111" s="122">
        <f>IF(I111="","",IF(I111&lt;=$AP$1,"O","X"))</f>
        <v/>
      </c>
      <c r="AQ111" s="122">
        <f>IF(O111="","",IF(O111&lt;=$AQ$1,"O","X"))</f>
        <v/>
      </c>
      <c r="AR111" s="122">
        <f>IF(M111="","",IF(M111&lt;=$AR$1,"O","X"))</f>
        <v/>
      </c>
      <c r="AS111" s="122" t="inlineStr">
        <is>
          <t>X</t>
        </is>
      </c>
      <c r="AT111" s="122">
        <f>IF(OR(F111="",AI111=""),"",IF(AND((F111&lt;=85),(AI111&gt;=15)),"O","X"))</f>
        <v/>
      </c>
      <c r="AU111" s="122">
        <f>IF(C111="","",IF(C111&gt;=$AU$1,"O","X"))</f>
        <v/>
      </c>
      <c r="AV111" s="122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1" t="n">
        <v>1529</v>
      </c>
      <c r="D112" s="132" t="n">
        <v>189.3</v>
      </c>
      <c r="E112" s="133" t="n">
        <v>57</v>
      </c>
      <c r="F112" s="132" t="n">
        <v>161.9</v>
      </c>
      <c r="G112" s="17" t="n">
        <v>49</v>
      </c>
      <c r="H112" s="134" t="n">
        <v>34</v>
      </c>
      <c r="I112" s="135" t="n">
        <v>53000</v>
      </c>
      <c r="J112" s="135" t="inlineStr">
        <is>
          <t>고</t>
        </is>
      </c>
      <c r="K112" s="135" t="n">
        <v>40000</v>
      </c>
      <c r="L112" s="135" t="inlineStr">
        <is>
          <t>중</t>
        </is>
      </c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2" t="n">
        <v>4</v>
      </c>
      <c r="R112" s="122" t="n">
        <v>2</v>
      </c>
      <c r="S112" s="122" t="inlineStr">
        <is>
          <t>계</t>
        </is>
      </c>
      <c r="T112" s="5" t="n">
        <v>189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22">
        <f>S112</f>
        <v/>
      </c>
      <c r="AF112" s="122">
        <f>Q112&amp;"/"&amp;R112</f>
        <v/>
      </c>
      <c r="AH112" s="20">
        <f>IF(A112="","",A112)</f>
        <v/>
      </c>
      <c r="AI112" s="133">
        <f>IF(E112="","",E112)</f>
        <v/>
      </c>
      <c r="AJ112" s="122">
        <f>IF(AI112="","",$AJ$2)</f>
        <v/>
      </c>
      <c r="AK112" s="122" t="inlineStr">
        <is>
          <t>A</t>
        </is>
      </c>
      <c r="AL112" s="122" t="inlineStr">
        <is>
          <t>A+</t>
        </is>
      </c>
      <c r="AM112" s="122" t="inlineStr">
        <is>
          <t>B+</t>
        </is>
      </c>
      <c r="AN112" s="122">
        <f>IF(AI112="","",$AN$2)</f>
        <v/>
      </c>
      <c r="AO112" s="122">
        <f>IF(N112="","",IF(N112&gt;=$AO$1/100,"O","X"))</f>
        <v/>
      </c>
      <c r="AP112" s="122">
        <f>IF(I112="","",IF(I112&lt;=$AP$1,"O","X"))</f>
        <v/>
      </c>
      <c r="AQ112" s="122">
        <f>IF(O112="","",IF(O112&lt;=$AQ$1,"O","X"))</f>
        <v/>
      </c>
      <c r="AR112" s="122">
        <f>IF(M112="","",IF(M112&lt;=$AR$1,"O","X"))</f>
        <v/>
      </c>
      <c r="AS112" s="122" t="inlineStr">
        <is>
          <t>X</t>
        </is>
      </c>
      <c r="AT112" s="122">
        <f>IF(OR(F112="",AI112=""),"",IF(AND((F112&lt;=85),(AI112&gt;=15)),"O","X"))</f>
        <v/>
      </c>
      <c r="AU112" s="122">
        <f>IF(C112="","",IF(C112&gt;=$AU$1,"O","X"))</f>
        <v/>
      </c>
      <c r="AV112" s="122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1" t="n">
        <v>1529</v>
      </c>
      <c r="D113" s="132" t="n">
        <v>255.9</v>
      </c>
      <c r="E113" s="133" t="n">
        <v>77</v>
      </c>
      <c r="F113" s="132" t="n">
        <v>213.9</v>
      </c>
      <c r="G113" s="17" t="n">
        <v>65</v>
      </c>
      <c r="H113" s="134" t="n">
        <v>4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2" t="n">
        <v>4</v>
      </c>
      <c r="R113" s="122" t="n">
        <v>2</v>
      </c>
      <c r="S113" s="122" t="inlineStr">
        <is>
          <t>계</t>
        </is>
      </c>
      <c r="T113" s="5" t="n">
        <v>255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22">
        <f>S113</f>
        <v/>
      </c>
      <c r="AF113" s="122">
        <f>Q113&amp;"/"&amp;R113</f>
        <v/>
      </c>
      <c r="AH113" s="20">
        <f>IF(A113="","",A113)</f>
        <v/>
      </c>
      <c r="AI113" s="133">
        <f>IF(E113="","",E113)</f>
        <v/>
      </c>
      <c r="AJ113" s="122">
        <f>IF(AI113="","",$AJ$2)</f>
        <v/>
      </c>
      <c r="AK113" s="122" t="inlineStr">
        <is>
          <t>A</t>
        </is>
      </c>
      <c r="AL113" s="122" t="inlineStr">
        <is>
          <t>A+</t>
        </is>
      </c>
      <c r="AM113" s="122" t="inlineStr">
        <is>
          <t>B+</t>
        </is>
      </c>
      <c r="AN113" s="122">
        <f>IF(AI113="","",$AN$2)</f>
        <v/>
      </c>
      <c r="AO113" s="122">
        <f>IF(N113="","",IF(N113&gt;=$AO$1/100,"O","X"))</f>
        <v/>
      </c>
      <c r="AP113" s="122">
        <f>IF(I113="","",IF(I113&lt;=$AP$1,"O","X"))</f>
        <v/>
      </c>
      <c r="AQ113" s="122">
        <f>IF(O113="","",IF(O113&lt;=$AQ$1,"O","X"))</f>
        <v/>
      </c>
      <c r="AR113" s="122">
        <f>IF(M113="","",IF(M113&lt;=$AR$1,"O","X"))</f>
        <v/>
      </c>
      <c r="AS113" s="122" t="inlineStr">
        <is>
          <t>X</t>
        </is>
      </c>
      <c r="AT113" s="122">
        <f>IF(OR(F113="",AI113=""),"",IF(AND((F113&lt;=85),(AI113&gt;=15)),"O","X"))</f>
        <v/>
      </c>
      <c r="AU113" s="122">
        <f>IF(C113="","",IF(C113&gt;=$AU$1,"O","X"))</f>
        <v/>
      </c>
      <c r="AV113" s="122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1" t="n">
        <v>1210</v>
      </c>
      <c r="D114" s="132" t="n">
        <v>114.8</v>
      </c>
      <c r="E114" s="133" t="n">
        <v>35</v>
      </c>
      <c r="F114" s="132" t="n">
        <v>85</v>
      </c>
      <c r="G114" s="17" t="n">
        <v>26</v>
      </c>
      <c r="H114" s="134" t="n">
        <v>301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2" t="n">
        <v>3</v>
      </c>
      <c r="R114" s="122" t="n">
        <v>2</v>
      </c>
      <c r="S114" s="122" t="inlineStr">
        <is>
          <t>계</t>
        </is>
      </c>
      <c r="T114" s="5" t="inlineStr">
        <is>
          <t>114A</t>
        </is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22">
        <f>S114</f>
        <v/>
      </c>
      <c r="AF114" s="122">
        <f>Q114&amp;"/"&amp;R114</f>
        <v/>
      </c>
      <c r="AH114" s="20">
        <f>IF(A114="","",A114)</f>
        <v/>
      </c>
      <c r="AI114" s="133">
        <f>IF(E114="","",E114)</f>
        <v/>
      </c>
      <c r="AJ114" s="122">
        <f>IF(AI114="","",$AJ$2)</f>
        <v/>
      </c>
      <c r="AK114" s="122" t="inlineStr">
        <is>
          <t>A</t>
        </is>
      </c>
      <c r="AL114" s="122" t="inlineStr">
        <is>
          <t>A+</t>
        </is>
      </c>
      <c r="AM114" s="122" t="inlineStr">
        <is>
          <t>B+</t>
        </is>
      </c>
      <c r="AN114" s="122">
        <f>IF(AI114="","",$AN$2)</f>
        <v/>
      </c>
      <c r="AO114" s="122">
        <f>IF(N114="","",IF(N114&gt;=$AO$1/100,"O","X"))</f>
        <v/>
      </c>
      <c r="AP114" s="122">
        <f>IF(I114="","",IF(I114&lt;=$AP$1,"O","X"))</f>
        <v/>
      </c>
      <c r="AQ114" s="122">
        <f>IF(O114="","",IF(O114&lt;=$AQ$1,"O","X"))</f>
        <v/>
      </c>
      <c r="AR114" s="122">
        <f>IF(M114="","",IF(M114&lt;=$AR$1,"O","X"))</f>
        <v/>
      </c>
      <c r="AS114" s="122" t="inlineStr">
        <is>
          <t>X</t>
        </is>
      </c>
      <c r="AT114" s="122">
        <f>IF(OR(F114="",AI114=""),"",IF(AND((F114&lt;=85),(AI114&gt;=15)),"O","X"))</f>
        <v/>
      </c>
      <c r="AU114" s="122">
        <f>IF(C114="","",IF(C114&gt;=$AU$1,"O","X"))</f>
        <v/>
      </c>
      <c r="AV114" s="122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1" t="n">
        <v>1210</v>
      </c>
      <c r="D115" s="132" t="n">
        <v>115.4</v>
      </c>
      <c r="E115" s="133" t="n">
        <v>35</v>
      </c>
      <c r="F115" s="132" t="n">
        <v>85</v>
      </c>
      <c r="G115" s="17" t="n">
        <v>26</v>
      </c>
      <c r="H115" s="134" t="n">
        <v>307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2" t="n">
        <v>3</v>
      </c>
      <c r="R115" s="122" t="n">
        <v>2</v>
      </c>
      <c r="S115" s="122" t="inlineStr">
        <is>
          <t>계</t>
        </is>
      </c>
      <c r="T115" s="5" t="inlineStr">
        <is>
          <t>115B</t>
        </is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22">
        <f>S115</f>
        <v/>
      </c>
      <c r="AF115" s="122">
        <f>Q115&amp;"/"&amp;R115</f>
        <v/>
      </c>
      <c r="AH115" s="20">
        <f>IF(A115="","",A115)</f>
        <v/>
      </c>
      <c r="AI115" s="133">
        <f>IF(E115="","",E115)</f>
        <v/>
      </c>
      <c r="AJ115" s="122">
        <f>IF(AI115="","",$AJ$2)</f>
        <v/>
      </c>
      <c r="AK115" s="122" t="inlineStr">
        <is>
          <t>A</t>
        </is>
      </c>
      <c r="AL115" s="122" t="inlineStr">
        <is>
          <t>A+</t>
        </is>
      </c>
      <c r="AM115" s="122" t="inlineStr">
        <is>
          <t>B+</t>
        </is>
      </c>
      <c r="AN115" s="122">
        <f>IF(AI115="","",$AN$2)</f>
        <v/>
      </c>
      <c r="AO115" s="122">
        <f>IF(N115="","",IF(N115&gt;=$AO$1/100,"O","X"))</f>
        <v/>
      </c>
      <c r="AP115" s="122">
        <f>IF(I115="","",IF(I115&lt;=$AP$1,"O","X"))</f>
        <v/>
      </c>
      <c r="AQ115" s="122">
        <f>IF(O115="","",IF(O115&lt;=$AQ$1,"O","X"))</f>
        <v/>
      </c>
      <c r="AR115" s="122">
        <f>IF(M115="","",IF(M115&lt;=$AR$1,"O","X"))</f>
        <v/>
      </c>
      <c r="AS115" s="122" t="inlineStr">
        <is>
          <t>X</t>
        </is>
      </c>
      <c r="AT115" s="122">
        <f>IF(OR(F115="",AI115=""),"",IF(AND((F115&lt;=85),(AI115&gt;=15)),"O","X"))</f>
        <v/>
      </c>
      <c r="AU115" s="122">
        <f>IF(C115="","",IF(C115&gt;=$AU$1,"O","X"))</f>
        <v/>
      </c>
      <c r="AV115" s="122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1" t="n">
        <v>1210</v>
      </c>
      <c r="D116" s="132" t="n">
        <v>115.1</v>
      </c>
      <c r="E116" s="133" t="n">
        <v>35</v>
      </c>
      <c r="F116" s="132" t="n">
        <v>85</v>
      </c>
      <c r="G116" s="17" t="n">
        <v>26</v>
      </c>
      <c r="H116" s="134" t="n">
        <v>280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2" t="n">
        <v>3</v>
      </c>
      <c r="R116" s="122" t="n">
        <v>2</v>
      </c>
      <c r="S116" s="122" t="inlineStr">
        <is>
          <t>계</t>
        </is>
      </c>
      <c r="T116" s="5" t="inlineStr">
        <is>
          <t>115C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22">
        <f>S116</f>
        <v/>
      </c>
      <c r="AF116" s="122">
        <f>Q116&amp;"/"&amp;R116</f>
        <v/>
      </c>
      <c r="AH116" s="20">
        <f>IF(A116="","",A116)</f>
        <v/>
      </c>
      <c r="AI116" s="133">
        <f>IF(E116="","",E116)</f>
        <v/>
      </c>
      <c r="AJ116" s="122">
        <f>IF(AI116="","",$AJ$2)</f>
        <v/>
      </c>
      <c r="AK116" s="122" t="inlineStr">
        <is>
          <t>A</t>
        </is>
      </c>
      <c r="AL116" s="122" t="inlineStr">
        <is>
          <t>A+</t>
        </is>
      </c>
      <c r="AM116" s="122" t="inlineStr">
        <is>
          <t>B+</t>
        </is>
      </c>
      <c r="AN116" s="122">
        <f>IF(AI116="","",$AN$2)</f>
        <v/>
      </c>
      <c r="AO116" s="122">
        <f>IF(N116="","",IF(N116&gt;=$AO$1/100,"O","X"))</f>
        <v/>
      </c>
      <c r="AP116" s="122">
        <f>IF(I116="","",IF(I116&lt;=$AP$1,"O","X"))</f>
        <v/>
      </c>
      <c r="AQ116" s="122">
        <f>IF(O116="","",IF(O116&lt;=$AQ$1,"O","X"))</f>
        <v/>
      </c>
      <c r="AR116" s="122">
        <f>IF(M116="","",IF(M116&lt;=$AR$1,"O","X"))</f>
        <v/>
      </c>
      <c r="AS116" s="122" t="inlineStr">
        <is>
          <t>X</t>
        </is>
      </c>
      <c r="AT116" s="122">
        <f>IF(OR(F116="",AI116=""),"",IF(AND((F116&lt;=85),(AI116&gt;=15)),"O","X"))</f>
        <v/>
      </c>
      <c r="AU116" s="122">
        <f>IF(C116="","",IF(C116&gt;=$AU$1,"O","X"))</f>
        <v/>
      </c>
      <c r="AV116" s="122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1" t="n">
        <v>1210</v>
      </c>
      <c r="D117" s="132" t="n">
        <v>115.1</v>
      </c>
      <c r="E117" s="133" t="n">
        <v>35</v>
      </c>
      <c r="F117" s="132" t="n">
        <v>85</v>
      </c>
      <c r="G117" s="17" t="n">
        <v>26</v>
      </c>
      <c r="H117" s="134" t="n">
        <v>280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2" t="n">
        <v>3</v>
      </c>
      <c r="R117" s="122" t="n">
        <v>2</v>
      </c>
      <c r="S117" s="122" t="inlineStr">
        <is>
          <t>계</t>
        </is>
      </c>
      <c r="T117" s="5" t="inlineStr">
        <is>
          <t>115D</t>
        </is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22">
        <f>S117</f>
        <v/>
      </c>
      <c r="AF117" s="122">
        <f>Q117&amp;"/"&amp;R117</f>
        <v/>
      </c>
      <c r="AH117" s="20">
        <f>IF(A117="","",A117)</f>
        <v/>
      </c>
      <c r="AI117" s="133">
        <f>IF(E117="","",E117)</f>
        <v/>
      </c>
      <c r="AJ117" s="122">
        <f>IF(AI117="","",$AJ$2)</f>
        <v/>
      </c>
      <c r="AK117" s="122" t="inlineStr">
        <is>
          <t>A</t>
        </is>
      </c>
      <c r="AL117" s="122" t="inlineStr">
        <is>
          <t>A+</t>
        </is>
      </c>
      <c r="AM117" s="122" t="inlineStr">
        <is>
          <t>B+</t>
        </is>
      </c>
      <c r="AN117" s="122">
        <f>IF(AI117="","",$AN$2)</f>
        <v/>
      </c>
      <c r="AO117" s="122">
        <f>IF(N117="","",IF(N117&gt;=$AO$1/100,"O","X"))</f>
        <v/>
      </c>
      <c r="AP117" s="122">
        <f>IF(I117="","",IF(I117&lt;=$AP$1,"O","X"))</f>
        <v/>
      </c>
      <c r="AQ117" s="122">
        <f>IF(O117="","",IF(O117&lt;=$AQ$1,"O","X"))</f>
        <v/>
      </c>
      <c r="AR117" s="122">
        <f>IF(M117="","",IF(M117&lt;=$AR$1,"O","X"))</f>
        <v/>
      </c>
      <c r="AS117" s="122" t="inlineStr">
        <is>
          <t>X</t>
        </is>
      </c>
      <c r="AT117" s="122">
        <f>IF(OR(F117="",AI117=""),"",IF(AND((F117&lt;=85),(AI117&gt;=15)),"O","X"))</f>
        <v/>
      </c>
      <c r="AU117" s="122">
        <f>IF(C117="","",IF(C117&gt;=$AU$1,"O","X"))</f>
        <v/>
      </c>
      <c r="AV117" s="122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1" t="n">
        <v>1210</v>
      </c>
      <c r="D118" s="132" t="n">
        <v>174.1</v>
      </c>
      <c r="E118" s="133" t="n">
        <v>53</v>
      </c>
      <c r="F118" s="132" t="n">
        <v>129</v>
      </c>
      <c r="G118" s="17" t="n">
        <v>39</v>
      </c>
      <c r="H118" s="134" t="n">
        <v>28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2" t="n">
        <v>3</v>
      </c>
      <c r="R118" s="122" t="n">
        <v>2</v>
      </c>
      <c r="S118" s="122" t="inlineStr">
        <is>
          <t>계</t>
        </is>
      </c>
      <c r="T118" s="5" t="n">
        <v>174</v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22">
        <f>S118</f>
        <v/>
      </c>
      <c r="AF118" s="122">
        <f>Q118&amp;"/"&amp;R118</f>
        <v/>
      </c>
      <c r="AH118" s="20">
        <f>IF(A118="","",A118)</f>
        <v/>
      </c>
      <c r="AI118" s="133">
        <f>IF(E118="","",E118)</f>
        <v/>
      </c>
      <c r="AJ118" s="122">
        <f>IF(AI118="","",$AJ$2)</f>
        <v/>
      </c>
      <c r="AK118" s="122" t="inlineStr">
        <is>
          <t>A</t>
        </is>
      </c>
      <c r="AL118" s="122" t="inlineStr">
        <is>
          <t>A+</t>
        </is>
      </c>
      <c r="AM118" s="122" t="inlineStr">
        <is>
          <t>B+</t>
        </is>
      </c>
      <c r="AN118" s="122">
        <f>IF(AI118="","",$AN$2)</f>
        <v/>
      </c>
      <c r="AO118" s="122">
        <f>IF(N118="","",IF(N118&gt;=$AO$1/100,"O","X"))</f>
        <v/>
      </c>
      <c r="AP118" s="122">
        <f>IF(I118="","",IF(I118&lt;=$AP$1,"O","X"))</f>
        <v/>
      </c>
      <c r="AQ118" s="122">
        <f>IF(O118="","",IF(O118&lt;=$AQ$1,"O","X"))</f>
        <v/>
      </c>
      <c r="AR118" s="122">
        <f>IF(M118="","",IF(M118&lt;=$AR$1,"O","X"))</f>
        <v/>
      </c>
      <c r="AS118" s="122" t="inlineStr">
        <is>
          <t>X</t>
        </is>
      </c>
      <c r="AT118" s="122">
        <f>IF(OR(F118="",AI118=""),"",IF(AND((F118&lt;=85),(AI118&gt;=15)),"O","X"))</f>
        <v/>
      </c>
      <c r="AU118" s="122">
        <f>IF(C118="","",IF(C118&gt;=$AU$1,"O","X"))</f>
        <v/>
      </c>
      <c r="AV118" s="122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1" t="n">
        <v>1210</v>
      </c>
      <c r="D119" s="132" t="n">
        <v>186.3</v>
      </c>
      <c r="E119" s="133" t="n">
        <v>56</v>
      </c>
      <c r="F119" s="132" t="n">
        <v>138.6</v>
      </c>
      <c r="G119" s="17" t="n">
        <v>42</v>
      </c>
      <c r="H119" s="134" t="n">
        <v>7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2" t="n">
        <v>3</v>
      </c>
      <c r="R119" s="122" t="n">
        <v>2</v>
      </c>
      <c r="S119" s="122" t="inlineStr">
        <is>
          <t>계</t>
        </is>
      </c>
      <c r="T119" s="5" t="n">
        <v>186</v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22">
        <f>S119</f>
        <v/>
      </c>
      <c r="AF119" s="122">
        <f>Q119&amp;"/"&amp;R119</f>
        <v/>
      </c>
      <c r="AH119" s="20">
        <f>IF(A119="","",A119)</f>
        <v/>
      </c>
      <c r="AI119" s="133">
        <f>IF(E119="","",E119)</f>
        <v/>
      </c>
      <c r="AJ119" s="122">
        <f>IF(AI119="","",$AJ$2)</f>
        <v/>
      </c>
      <c r="AK119" s="122" t="inlineStr">
        <is>
          <t>A</t>
        </is>
      </c>
      <c r="AL119" s="122" t="inlineStr">
        <is>
          <t>A+</t>
        </is>
      </c>
      <c r="AM119" s="122" t="inlineStr">
        <is>
          <t>B+</t>
        </is>
      </c>
      <c r="AN119" s="122">
        <f>IF(AI119="","",$AN$2)</f>
        <v/>
      </c>
      <c r="AO119" s="122">
        <f>IF(N119="","",IF(N119&gt;=$AO$1/100,"O","X"))</f>
        <v/>
      </c>
      <c r="AP119" s="122">
        <f>IF(I119="","",IF(I119&lt;=$AP$1,"O","X"))</f>
        <v/>
      </c>
      <c r="AQ119" s="122">
        <f>IF(O119="","",IF(O119&lt;=$AQ$1,"O","X"))</f>
        <v/>
      </c>
      <c r="AR119" s="122">
        <f>IF(M119="","",IF(M119&lt;=$AR$1,"O","X"))</f>
        <v/>
      </c>
      <c r="AS119" s="122" t="inlineStr">
        <is>
          <t>X</t>
        </is>
      </c>
      <c r="AT119" s="122">
        <f>IF(OR(F119="",AI119=""),"",IF(AND((F119&lt;=85),(AI119&gt;=15)),"O","X"))</f>
        <v/>
      </c>
      <c r="AU119" s="122">
        <f>IF(C119="","",IF(C119&gt;=$AU$1,"O","X"))</f>
        <v/>
      </c>
      <c r="AV119" s="122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1" t="n">
        <v>1210</v>
      </c>
      <c r="D120" s="132" t="n">
        <v>205.1</v>
      </c>
      <c r="E120" s="133" t="n">
        <v>62</v>
      </c>
      <c r="F120" s="132" t="n">
        <v>149.6</v>
      </c>
      <c r="G120" s="17" t="n">
        <v>45</v>
      </c>
      <c r="H120" s="134" t="n">
        <v>7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2" t="n">
        <v>3</v>
      </c>
      <c r="R120" s="122" t="n">
        <v>3</v>
      </c>
      <c r="S120" s="122" t="inlineStr">
        <is>
          <t>계</t>
        </is>
      </c>
      <c r="T120" s="5" t="n">
        <v>205</v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22">
        <f>S120</f>
        <v/>
      </c>
      <c r="AF120" s="122">
        <f>Q120&amp;"/"&amp;R120</f>
        <v/>
      </c>
      <c r="AH120" s="20">
        <f>IF(A120="","",A120)</f>
        <v/>
      </c>
      <c r="AI120" s="133">
        <f>IF(E120="","",E120)</f>
        <v/>
      </c>
      <c r="AJ120" s="122">
        <f>IF(AI120="","",$AJ$2)</f>
        <v/>
      </c>
      <c r="AK120" s="122" t="inlineStr">
        <is>
          <t>A</t>
        </is>
      </c>
      <c r="AL120" s="122" t="inlineStr">
        <is>
          <t>A+</t>
        </is>
      </c>
      <c r="AM120" s="122" t="inlineStr">
        <is>
          <t>B+</t>
        </is>
      </c>
      <c r="AN120" s="122">
        <f>IF(AI120="","",$AN$2)</f>
        <v/>
      </c>
      <c r="AO120" s="122">
        <f>IF(N120="","",IF(N120&gt;=$AO$1/100,"O","X"))</f>
        <v/>
      </c>
      <c r="AP120" s="122">
        <f>IF(I120="","",IF(I120&lt;=$AP$1,"O","X"))</f>
        <v/>
      </c>
      <c r="AQ120" s="122">
        <f>IF(O120="","",IF(O120&lt;=$AQ$1,"O","X"))</f>
        <v/>
      </c>
      <c r="AR120" s="122">
        <f>IF(M120="","",IF(M120&lt;=$AR$1,"O","X"))</f>
        <v/>
      </c>
      <c r="AS120" s="122" t="inlineStr">
        <is>
          <t>X</t>
        </is>
      </c>
      <c r="AT120" s="122">
        <f>IF(OR(F120="",AI120=""),"",IF(AND((F120&lt;=85),(AI120&gt;=15)),"O","X"))</f>
        <v/>
      </c>
      <c r="AU120" s="122">
        <f>IF(C120="","",IF(C120&gt;=$AU$1,"O","X"))</f>
        <v/>
      </c>
      <c r="AV120" s="122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1" t="n">
        <v>2500</v>
      </c>
      <c r="D121" s="132" t="n">
        <v>85.59999999999999</v>
      </c>
      <c r="E121" s="133" t="n">
        <v>26</v>
      </c>
      <c r="F121" s="132" t="n">
        <v>60</v>
      </c>
      <c r="G121" s="17" t="n">
        <v>18</v>
      </c>
      <c r="H121" s="134" t="n">
        <v>483</v>
      </c>
      <c r="I121" s="135" t="n">
        <v>34000</v>
      </c>
      <c r="J121" s="135" t="inlineStr">
        <is>
          <t>5</t>
        </is>
      </c>
      <c r="K121" s="135" t="n">
        <v>24000</v>
      </c>
      <c r="L121" s="135" t="inlineStr">
        <is>
          <t>7</t>
        </is>
      </c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2" t="n">
        <v>3</v>
      </c>
      <c r="R121" s="122" t="n">
        <v>2</v>
      </c>
      <c r="S121" s="122" t="inlineStr">
        <is>
          <t>계</t>
        </is>
      </c>
      <c r="T121" s="5" t="inlineStr">
        <is>
          <t>85A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22">
        <f>S121</f>
        <v/>
      </c>
      <c r="AF121" s="122">
        <f>Q121&amp;"/"&amp;R121</f>
        <v/>
      </c>
      <c r="AH121" s="20">
        <f>IF(A121="","",A121)</f>
        <v/>
      </c>
      <c r="AI121" s="133">
        <f>IF(E121="","",E121)</f>
        <v/>
      </c>
      <c r="AJ121" s="122">
        <f>IF(AI121="","",$AJ$2)</f>
        <v/>
      </c>
      <c r="AK121" s="122" t="inlineStr">
        <is>
          <t>A</t>
        </is>
      </c>
      <c r="AL121" s="122" t="inlineStr">
        <is>
          <t>A+</t>
        </is>
      </c>
      <c r="AM121" s="122" t="inlineStr">
        <is>
          <t>B+</t>
        </is>
      </c>
      <c r="AN121" s="122">
        <f>IF(AI121="","",$AN$2)</f>
        <v/>
      </c>
      <c r="AO121" s="122">
        <f>IF(N121="","",IF(N121&gt;=$AO$1/100,"O","X"))</f>
        <v/>
      </c>
      <c r="AP121" s="122">
        <f>IF(I121="","",IF(I121&lt;=$AP$1,"O","X"))</f>
        <v/>
      </c>
      <c r="AQ121" s="122">
        <f>IF(O121="","",IF(O121&lt;=$AQ$1,"O","X"))</f>
        <v/>
      </c>
      <c r="AR121" s="122">
        <f>IF(M121="","",IF(M121&lt;=$AR$1,"O","X"))</f>
        <v/>
      </c>
      <c r="AS121" s="122" t="inlineStr">
        <is>
          <t>X</t>
        </is>
      </c>
      <c r="AT121" s="122">
        <f>IF(OR(F121="",AI121=""),"",IF(AND((F121&lt;=85),(AI121&gt;=15)),"O","X"))</f>
        <v/>
      </c>
      <c r="AU121" s="122">
        <f>IF(C121="","",IF(C121&gt;=$AU$1,"O","X"))</f>
        <v/>
      </c>
      <c r="AV121" s="122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1" t="n">
        <v>2500</v>
      </c>
      <c r="D122" s="132" t="n">
        <v>85.5</v>
      </c>
      <c r="E122" s="133" t="n">
        <v>26</v>
      </c>
      <c r="F122" s="132" t="n">
        <v>59.9</v>
      </c>
      <c r="G122" s="17" t="n">
        <v>18</v>
      </c>
      <c r="H122" s="134" t="n">
        <v>150</v>
      </c>
      <c r="I122" s="135" t="n">
        <v>35500</v>
      </c>
      <c r="J122" s="135" t="inlineStr">
        <is>
          <t>14</t>
        </is>
      </c>
      <c r="K122" s="135" t="n">
        <v>26000</v>
      </c>
      <c r="L122" s="135" t="inlineStr">
        <is>
          <t>22</t>
        </is>
      </c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2" t="n">
        <v>3</v>
      </c>
      <c r="R122" s="122" t="n">
        <v>2</v>
      </c>
      <c r="S122" s="122" t="inlineStr">
        <is>
          <t>계</t>
        </is>
      </c>
      <c r="T122" s="5" t="inlineStr">
        <is>
          <t>85B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22">
        <f>S122</f>
        <v/>
      </c>
      <c r="AF122" s="122">
        <f>Q122&amp;"/"&amp;R122</f>
        <v/>
      </c>
      <c r="AH122" s="20">
        <f>IF(A122="","",A122)</f>
        <v/>
      </c>
      <c r="AI122" s="133">
        <f>IF(E122="","",E122)</f>
        <v/>
      </c>
      <c r="AJ122" s="122">
        <f>IF(AI122="","",$AJ$2)</f>
        <v/>
      </c>
      <c r="AK122" s="122" t="inlineStr">
        <is>
          <t>A</t>
        </is>
      </c>
      <c r="AL122" s="122" t="inlineStr">
        <is>
          <t>A+</t>
        </is>
      </c>
      <c r="AM122" s="122" t="inlineStr">
        <is>
          <t>B+</t>
        </is>
      </c>
      <c r="AN122" s="122">
        <f>IF(AI122="","",$AN$2)</f>
        <v/>
      </c>
      <c r="AO122" s="122">
        <f>IF(N122="","",IF(N122&gt;=$AO$1/100,"O","X"))</f>
        <v/>
      </c>
      <c r="AP122" s="122">
        <f>IF(I122="","",IF(I122&lt;=$AP$1,"O","X"))</f>
        <v/>
      </c>
      <c r="AQ122" s="122">
        <f>IF(O122="","",IF(O122&lt;=$AQ$1,"O","X"))</f>
        <v/>
      </c>
      <c r="AR122" s="122">
        <f>IF(M122="","",IF(M122&lt;=$AR$1,"O","X"))</f>
        <v/>
      </c>
      <c r="AS122" s="122" t="inlineStr">
        <is>
          <t>X</t>
        </is>
      </c>
      <c r="AT122" s="122">
        <f>IF(OR(F122="",AI122=""),"",IF(AND((F122&lt;=85),(AI122&gt;=15)),"O","X"))</f>
        <v/>
      </c>
      <c r="AU122" s="122">
        <f>IF(C122="","",IF(C122&gt;=$AU$1,"O","X"))</f>
        <v/>
      </c>
      <c r="AV122" s="122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1" t="n">
        <v>2500</v>
      </c>
      <c r="D123" s="132" t="n">
        <v>100.7</v>
      </c>
      <c r="E123" s="133" t="n">
        <v>30</v>
      </c>
      <c r="F123" s="132" t="n">
        <v>71</v>
      </c>
      <c r="G123" s="17" t="n">
        <v>21</v>
      </c>
      <c r="H123" s="134" t="n">
        <v>226</v>
      </c>
      <c r="I123" s="135" t="n">
        <v>40000</v>
      </c>
      <c r="J123" s="135" t="inlineStr">
        <is>
          <t>25</t>
        </is>
      </c>
      <c r="K123" s="135" t="n">
        <v>32000</v>
      </c>
      <c r="L123" s="135" t="inlineStr">
        <is>
          <t>20</t>
        </is>
      </c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2" t="n">
        <v>3</v>
      </c>
      <c r="R123" s="122" t="n">
        <v>2</v>
      </c>
      <c r="S123" s="122" t="inlineStr">
        <is>
          <t>계</t>
        </is>
      </c>
      <c r="T123" s="5" t="inlineStr">
        <is>
          <t>100B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22">
        <f>S123</f>
        <v/>
      </c>
      <c r="AF123" s="122">
        <f>Q123&amp;"/"&amp;R123</f>
        <v/>
      </c>
      <c r="AH123" s="20">
        <f>IF(A123="","",A123)</f>
        <v/>
      </c>
      <c r="AI123" s="133">
        <f>IF(E123="","",E123)</f>
        <v/>
      </c>
      <c r="AJ123" s="122">
        <f>IF(AI123="","",$AJ$2)</f>
        <v/>
      </c>
      <c r="AK123" s="122" t="inlineStr">
        <is>
          <t>A</t>
        </is>
      </c>
      <c r="AL123" s="122" t="inlineStr">
        <is>
          <t>A+</t>
        </is>
      </c>
      <c r="AM123" s="122" t="inlineStr">
        <is>
          <t>B+</t>
        </is>
      </c>
      <c r="AN123" s="122">
        <f>IF(AI123="","",$AN$2)</f>
        <v/>
      </c>
      <c r="AO123" s="122">
        <f>IF(N123="","",IF(N123&gt;=$AO$1/100,"O","X"))</f>
        <v/>
      </c>
      <c r="AP123" s="122">
        <f>IF(I123="","",IF(I123&lt;=$AP$1,"O","X"))</f>
        <v/>
      </c>
      <c r="AQ123" s="122">
        <f>IF(O123="","",IF(O123&lt;=$AQ$1,"O","X"))</f>
        <v/>
      </c>
      <c r="AR123" s="122">
        <f>IF(M123="","",IF(M123&lt;=$AR$1,"O","X"))</f>
        <v/>
      </c>
      <c r="AS123" s="122" t="inlineStr">
        <is>
          <t>X</t>
        </is>
      </c>
      <c r="AT123" s="122">
        <f>IF(OR(F123="",AI123=""),"",IF(AND((F123&lt;=85),(AI123&gt;=15)),"O","X"))</f>
        <v/>
      </c>
      <c r="AU123" s="122">
        <f>IF(C123="","",IF(C123&gt;=$AU$1,"O","X"))</f>
        <v/>
      </c>
      <c r="AV123" s="122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1" t="n">
        <v>2500</v>
      </c>
      <c r="D124" s="132" t="n">
        <v>101.7</v>
      </c>
      <c r="E124" s="133" t="n">
        <v>31</v>
      </c>
      <c r="F124" s="132" t="n">
        <v>71</v>
      </c>
      <c r="G124" s="17" t="n">
        <v>21</v>
      </c>
      <c r="H124" s="134" t="n">
        <v>221</v>
      </c>
      <c r="I124" s="135" t="n">
        <v>40500</v>
      </c>
      <c r="J124" s="135" t="inlineStr">
        <is>
          <t>17</t>
        </is>
      </c>
      <c r="K124" s="135" t="n">
        <v>30000</v>
      </c>
      <c r="L124" s="135" t="inlineStr">
        <is>
          <t>20</t>
        </is>
      </c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2" t="n">
        <v>3</v>
      </c>
      <c r="R124" s="122" t="n">
        <v>2</v>
      </c>
      <c r="S124" s="122" t="inlineStr">
        <is>
          <t>계</t>
        </is>
      </c>
      <c r="T124" s="5" t="inlineStr">
        <is>
          <t>101A</t>
        </is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22">
        <f>S124</f>
        <v/>
      </c>
      <c r="AF124" s="122">
        <f>Q124&amp;"/"&amp;R124</f>
        <v/>
      </c>
      <c r="AH124" s="20">
        <f>IF(A124="","",A124)</f>
        <v/>
      </c>
      <c r="AI124" s="133">
        <f>IF(E124="","",E124)</f>
        <v/>
      </c>
      <c r="AJ124" s="122">
        <f>IF(AI124="","",$AJ$2)</f>
        <v/>
      </c>
      <c r="AK124" s="122" t="inlineStr">
        <is>
          <t>A</t>
        </is>
      </c>
      <c r="AL124" s="122" t="inlineStr">
        <is>
          <t>A+</t>
        </is>
      </c>
      <c r="AM124" s="122" t="inlineStr">
        <is>
          <t>B+</t>
        </is>
      </c>
      <c r="AN124" s="122">
        <f>IF(AI124="","",$AN$2)</f>
        <v/>
      </c>
      <c r="AO124" s="122">
        <f>IF(N124="","",IF(N124&gt;=$AO$1/100,"O","X"))</f>
        <v/>
      </c>
      <c r="AP124" s="122">
        <f>IF(I124="","",IF(I124&lt;=$AP$1,"O","X"))</f>
        <v/>
      </c>
      <c r="AQ124" s="122">
        <f>IF(O124="","",IF(O124&lt;=$AQ$1,"O","X"))</f>
        <v/>
      </c>
      <c r="AR124" s="122">
        <f>IF(M124="","",IF(M124&lt;=$AR$1,"O","X"))</f>
        <v/>
      </c>
      <c r="AS124" s="122" t="inlineStr">
        <is>
          <t>X</t>
        </is>
      </c>
      <c r="AT124" s="122">
        <f>IF(OR(F124="",AI124=""),"",IF(AND((F124&lt;=85),(AI124&gt;=15)),"O","X"))</f>
        <v/>
      </c>
      <c r="AU124" s="122">
        <f>IF(C124="","",IF(C124&gt;=$AU$1,"O","X"))</f>
        <v/>
      </c>
      <c r="AV124" s="122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1" t="n">
        <v>2500</v>
      </c>
      <c r="D125" s="132" t="n">
        <v>119.9</v>
      </c>
      <c r="E125" s="133" t="n">
        <v>36</v>
      </c>
      <c r="F125" s="132" t="n">
        <v>85</v>
      </c>
      <c r="G125" s="17" t="n">
        <v>26</v>
      </c>
      <c r="H125" s="134" t="n">
        <v>75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2" t="n">
        <v>3</v>
      </c>
      <c r="R125" s="122" t="n">
        <v>2</v>
      </c>
      <c r="S125" s="122" t="inlineStr">
        <is>
          <t>계</t>
        </is>
      </c>
      <c r="T125" s="5" t="inlineStr">
        <is>
          <t>119C</t>
        </is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22">
        <f>S125</f>
        <v/>
      </c>
      <c r="AF125" s="122">
        <f>Q125&amp;"/"&amp;R125</f>
        <v/>
      </c>
      <c r="AH125" s="20">
        <f>IF(A125="","",A125)</f>
        <v/>
      </c>
      <c r="AI125" s="133">
        <f>IF(E125="","",E125)</f>
        <v/>
      </c>
      <c r="AJ125" s="122">
        <f>IF(AI125="","",$AJ$2)</f>
        <v/>
      </c>
      <c r="AK125" s="122" t="inlineStr">
        <is>
          <t>A</t>
        </is>
      </c>
      <c r="AL125" s="122" t="inlineStr">
        <is>
          <t>A+</t>
        </is>
      </c>
      <c r="AM125" s="122" t="inlineStr">
        <is>
          <t>B+</t>
        </is>
      </c>
      <c r="AN125" s="122">
        <f>IF(AI125="","",$AN$2)</f>
        <v/>
      </c>
      <c r="AO125" s="122">
        <f>IF(N125="","",IF(N125&gt;=$AO$1/100,"O","X"))</f>
        <v/>
      </c>
      <c r="AP125" s="122">
        <f>IF(I125="","",IF(I125&lt;=$AP$1,"O","X"))</f>
        <v/>
      </c>
      <c r="AQ125" s="122">
        <f>IF(O125="","",IF(O125&lt;=$AQ$1,"O","X"))</f>
        <v/>
      </c>
      <c r="AR125" s="122">
        <f>IF(M125="","",IF(M125&lt;=$AR$1,"O","X"))</f>
        <v/>
      </c>
      <c r="AS125" s="122" t="inlineStr">
        <is>
          <t>X</t>
        </is>
      </c>
      <c r="AT125" s="122">
        <f>IF(OR(F125="",AI125=""),"",IF(AND((F125&lt;=85),(AI125&gt;=15)),"O","X"))</f>
        <v/>
      </c>
      <c r="AU125" s="122">
        <f>IF(C125="","",IF(C125&gt;=$AU$1,"O","X"))</f>
        <v/>
      </c>
      <c r="AV125" s="122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1" t="n">
        <v>2500</v>
      </c>
      <c r="D126" s="132" t="n">
        <v>120</v>
      </c>
      <c r="E126" s="133" t="n">
        <v>36</v>
      </c>
      <c r="F126" s="132" t="n">
        <v>85</v>
      </c>
      <c r="G126" s="17" t="n">
        <v>26</v>
      </c>
      <c r="H126" s="134" t="n">
        <v>438</v>
      </c>
      <c r="I126" s="135" t="n">
        <v>45000</v>
      </c>
      <c r="J126" s="135" t="inlineStr">
        <is>
          <t>34</t>
        </is>
      </c>
      <c r="K126" s="135" t="n">
        <v>35000</v>
      </c>
      <c r="L126" s="135" t="inlineStr">
        <is>
          <t>13</t>
        </is>
      </c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2" t="n">
        <v>3</v>
      </c>
      <c r="R126" s="122" t="n">
        <v>2</v>
      </c>
      <c r="S126" s="122" t="inlineStr">
        <is>
          <t>계</t>
        </is>
      </c>
      <c r="T126" s="5" t="inlineStr">
        <is>
          <t>120A</t>
        </is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22">
        <f>S126</f>
        <v/>
      </c>
      <c r="AF126" s="122">
        <f>Q126&amp;"/"&amp;R126</f>
        <v/>
      </c>
      <c r="AH126" s="20">
        <f>IF(A126="","",A126)</f>
        <v/>
      </c>
      <c r="AI126" s="133">
        <f>IF(E126="","",E126)</f>
        <v/>
      </c>
      <c r="AJ126" s="122">
        <f>IF(AI126="","",$AJ$2)</f>
        <v/>
      </c>
      <c r="AK126" s="122" t="inlineStr">
        <is>
          <t>A</t>
        </is>
      </c>
      <c r="AL126" s="122" t="inlineStr">
        <is>
          <t>A+</t>
        </is>
      </c>
      <c r="AM126" s="122" t="inlineStr">
        <is>
          <t>B+</t>
        </is>
      </c>
      <c r="AN126" s="122">
        <f>IF(AI126="","",$AN$2)</f>
        <v/>
      </c>
      <c r="AO126" s="122">
        <f>IF(N126="","",IF(N126&gt;=$AO$1/100,"O","X"))</f>
        <v/>
      </c>
      <c r="AP126" s="122">
        <f>IF(I126="","",IF(I126&lt;=$AP$1,"O","X"))</f>
        <v/>
      </c>
      <c r="AQ126" s="122">
        <f>IF(O126="","",IF(O126&lt;=$AQ$1,"O","X"))</f>
        <v/>
      </c>
      <c r="AR126" s="122">
        <f>IF(M126="","",IF(M126&lt;=$AR$1,"O","X"))</f>
        <v/>
      </c>
      <c r="AS126" s="122" t="inlineStr">
        <is>
          <t>X</t>
        </is>
      </c>
      <c r="AT126" s="122">
        <f>IF(OR(F126="",AI126=""),"",IF(AND((F126&lt;=85),(AI126&gt;=15)),"O","X"))</f>
        <v/>
      </c>
      <c r="AU126" s="122">
        <f>IF(C126="","",IF(C126&gt;=$AU$1,"O","X"))</f>
        <v/>
      </c>
      <c r="AV126" s="122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1" t="n">
        <v>2500</v>
      </c>
      <c r="D127" s="132" t="n">
        <v>121</v>
      </c>
      <c r="E127" s="133" t="n">
        <v>37</v>
      </c>
      <c r="F127" s="132" t="n">
        <v>85</v>
      </c>
      <c r="G127" s="17" t="n">
        <v>26</v>
      </c>
      <c r="H127" s="134" t="n">
        <v>379</v>
      </c>
      <c r="I127" s="135" t="n">
        <v>45000</v>
      </c>
      <c r="J127" s="135" t="inlineStr">
        <is>
          <t>11</t>
        </is>
      </c>
      <c r="K127" s="135" t="n">
        <v>37000</v>
      </c>
      <c r="L127" s="135" t="inlineStr">
        <is>
          <t>22</t>
        </is>
      </c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2" t="n">
        <v>3</v>
      </c>
      <c r="R127" s="122" t="n">
        <v>2</v>
      </c>
      <c r="S127" s="122" t="inlineStr">
        <is>
          <t>계</t>
        </is>
      </c>
      <c r="T127" s="5" t="inlineStr">
        <is>
          <t>120E</t>
        </is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22">
        <f>S127</f>
        <v/>
      </c>
      <c r="AF127" s="122">
        <f>Q127&amp;"/"&amp;R127</f>
        <v/>
      </c>
      <c r="AH127" s="20">
        <f>IF(A127="","",A127)</f>
        <v/>
      </c>
      <c r="AI127" s="133">
        <f>IF(E127="","",E127)</f>
        <v/>
      </c>
      <c r="AJ127" s="122">
        <f>IF(AI127="","",$AJ$2)</f>
        <v/>
      </c>
      <c r="AK127" s="122" t="inlineStr">
        <is>
          <t>A</t>
        </is>
      </c>
      <c r="AL127" s="122" t="inlineStr">
        <is>
          <t>A+</t>
        </is>
      </c>
      <c r="AM127" s="122" t="inlineStr">
        <is>
          <t>B+</t>
        </is>
      </c>
      <c r="AN127" s="122">
        <f>IF(AI127="","",$AN$2)</f>
        <v/>
      </c>
      <c r="AO127" s="122">
        <f>IF(N127="","",IF(N127&gt;=$AO$1/100,"O","X"))</f>
        <v/>
      </c>
      <c r="AP127" s="122">
        <f>IF(I127="","",IF(I127&lt;=$AP$1,"O","X"))</f>
        <v/>
      </c>
      <c r="AQ127" s="122">
        <f>IF(O127="","",IF(O127&lt;=$AQ$1,"O","X"))</f>
        <v/>
      </c>
      <c r="AR127" s="122">
        <f>IF(M127="","",IF(M127&lt;=$AR$1,"O","X"))</f>
        <v/>
      </c>
      <c r="AS127" s="122" t="inlineStr">
        <is>
          <t>X</t>
        </is>
      </c>
      <c r="AT127" s="122">
        <f>IF(OR(F127="",AI127=""),"",IF(AND((F127&lt;=85),(AI127&gt;=15)),"O","X"))</f>
        <v/>
      </c>
      <c r="AU127" s="122">
        <f>IF(C127="","",IF(C127&gt;=$AU$1,"O","X"))</f>
        <v/>
      </c>
      <c r="AV127" s="122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1" t="n">
        <v>2500</v>
      </c>
      <c r="D128" s="132" t="n">
        <v>120.1</v>
      </c>
      <c r="E128" s="133" t="n">
        <v>36</v>
      </c>
      <c r="F128" s="132" t="n">
        <v>84.90000000000001</v>
      </c>
      <c r="G128" s="17" t="n">
        <v>26</v>
      </c>
      <c r="H128" s="134" t="n">
        <v>301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2" t="n">
        <v>3</v>
      </c>
      <c r="R128" s="122" t="n">
        <v>2</v>
      </c>
      <c r="S128" s="122" t="inlineStr">
        <is>
          <t>계</t>
        </is>
      </c>
      <c r="T128" s="5" t="inlineStr">
        <is>
          <t>120B</t>
        </is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22">
        <f>S128</f>
        <v/>
      </c>
      <c r="AF128" s="122">
        <f>Q128&amp;"/"&amp;R128</f>
        <v/>
      </c>
      <c r="AH128" s="20">
        <f>IF(A128="","",A128)</f>
        <v/>
      </c>
      <c r="AI128" s="133">
        <f>IF(E128="","",E128)</f>
        <v/>
      </c>
      <c r="AJ128" s="122">
        <f>IF(AI128="","",$AJ$2)</f>
        <v/>
      </c>
      <c r="AK128" s="122" t="inlineStr">
        <is>
          <t>A</t>
        </is>
      </c>
      <c r="AL128" s="122" t="inlineStr">
        <is>
          <t>A+</t>
        </is>
      </c>
      <c r="AM128" s="122" t="inlineStr">
        <is>
          <t>B+</t>
        </is>
      </c>
      <c r="AN128" s="122">
        <f>IF(AI128="","",$AN$2)</f>
        <v/>
      </c>
      <c r="AO128" s="122">
        <f>IF(N128="","",IF(N128&gt;=$AO$1/100,"O","X"))</f>
        <v/>
      </c>
      <c r="AP128" s="122">
        <f>IF(I128="","",IF(I128&lt;=$AP$1,"O","X"))</f>
        <v/>
      </c>
      <c r="AQ128" s="122">
        <f>IF(O128="","",IF(O128&lt;=$AQ$1,"O","X"))</f>
        <v/>
      </c>
      <c r="AR128" s="122">
        <f>IF(M128="","",IF(M128&lt;=$AR$1,"O","X"))</f>
        <v/>
      </c>
      <c r="AS128" s="122" t="inlineStr">
        <is>
          <t>X</t>
        </is>
      </c>
      <c r="AT128" s="122">
        <f>IF(OR(F128="",AI128=""),"",IF(AND((F128&lt;=85),(AI128&gt;=15)),"O","X"))</f>
        <v/>
      </c>
      <c r="AU128" s="122">
        <f>IF(C128="","",IF(C128&gt;=$AU$1,"O","X"))</f>
        <v/>
      </c>
      <c r="AV128" s="122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1" t="n">
        <v>2500</v>
      </c>
      <c r="D129" s="132" t="n">
        <v>120.4</v>
      </c>
      <c r="E129" s="133" t="n">
        <v>36</v>
      </c>
      <c r="F129" s="132" t="n">
        <v>84.90000000000001</v>
      </c>
      <c r="G129" s="17" t="n">
        <v>26</v>
      </c>
      <c r="H129" s="134" t="n">
        <v>77</v>
      </c>
      <c r="I129" s="135" t="n">
        <v>49000</v>
      </c>
      <c r="J129" s="135" t="inlineStr">
        <is>
          <t>16</t>
        </is>
      </c>
      <c r="K129" s="135" t="n">
        <v>37000</v>
      </c>
      <c r="L129" s="135" t="inlineStr">
        <is>
          <t>31</t>
        </is>
      </c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2" t="n">
        <v>3</v>
      </c>
      <c r="R129" s="122" t="n">
        <v>2</v>
      </c>
      <c r="S129" s="122" t="inlineStr">
        <is>
          <t>계</t>
        </is>
      </c>
      <c r="T129" s="5" t="inlineStr">
        <is>
          <t>120B1</t>
        </is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22">
        <f>S129</f>
        <v/>
      </c>
      <c r="AF129" s="122">
        <f>Q129&amp;"/"&amp;R129</f>
        <v/>
      </c>
      <c r="AH129" s="20">
        <f>IF(A129="","",A129)</f>
        <v/>
      </c>
      <c r="AI129" s="133">
        <f>IF(E129="","",E129)</f>
        <v/>
      </c>
      <c r="AJ129" s="122">
        <f>IF(AI129="","",$AJ$2)</f>
        <v/>
      </c>
      <c r="AK129" s="122" t="inlineStr">
        <is>
          <t>A</t>
        </is>
      </c>
      <c r="AL129" s="122" t="inlineStr">
        <is>
          <t>A+</t>
        </is>
      </c>
      <c r="AM129" s="122" t="inlineStr">
        <is>
          <t>B+</t>
        </is>
      </c>
      <c r="AN129" s="122">
        <f>IF(AI129="","",$AN$2)</f>
        <v/>
      </c>
      <c r="AO129" s="122">
        <f>IF(N129="","",IF(N129&gt;=$AO$1/100,"O","X"))</f>
        <v/>
      </c>
      <c r="AP129" s="122">
        <f>IF(I129="","",IF(I129&lt;=$AP$1,"O","X"))</f>
        <v/>
      </c>
      <c r="AQ129" s="122">
        <f>IF(O129="","",IF(O129&lt;=$AQ$1,"O","X"))</f>
        <v/>
      </c>
      <c r="AR129" s="122">
        <f>IF(M129="","",IF(M129&lt;=$AR$1,"O","X"))</f>
        <v/>
      </c>
      <c r="AS129" s="122" t="inlineStr">
        <is>
          <t>X</t>
        </is>
      </c>
      <c r="AT129" s="122">
        <f>IF(OR(F129="",AI129=""),"",IF(AND((F129&lt;=85),(AI129&gt;=15)),"O","X"))</f>
        <v/>
      </c>
      <c r="AU129" s="122">
        <f>IF(C129="","",IF(C129&gt;=$AU$1,"O","X"))</f>
        <v/>
      </c>
      <c r="AV129" s="122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1" t="n">
        <v>2500</v>
      </c>
      <c r="D130" s="132" t="n">
        <v>120.6</v>
      </c>
      <c r="E130" s="133" t="n">
        <v>36</v>
      </c>
      <c r="F130" s="132" t="n">
        <v>85</v>
      </c>
      <c r="G130" s="17" t="n">
        <v>26</v>
      </c>
      <c r="H130" s="134" t="n">
        <v>75</v>
      </c>
      <c r="I130" s="135" t="n">
        <v>46000</v>
      </c>
      <c r="J130" s="135" t="inlineStr">
        <is>
          <t>15</t>
        </is>
      </c>
      <c r="K130" s="135" t="n">
        <v>33000</v>
      </c>
      <c r="L130" s="135" t="inlineStr">
        <is>
          <t>15</t>
        </is>
      </c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2" t="n">
        <v>3</v>
      </c>
      <c r="R130" s="122" t="n">
        <v>2</v>
      </c>
      <c r="S130" s="122" t="inlineStr">
        <is>
          <t>계</t>
        </is>
      </c>
      <c r="T130" s="5" t="inlineStr">
        <is>
          <t>120D</t>
        </is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22">
        <f>S130</f>
        <v/>
      </c>
      <c r="AF130" s="122">
        <f>Q130&amp;"/"&amp;R130</f>
        <v/>
      </c>
      <c r="AH130" s="20">
        <f>IF(A130="","",A130)</f>
        <v/>
      </c>
      <c r="AI130" s="133">
        <f>IF(E130="","",E130)</f>
        <v/>
      </c>
      <c r="AJ130" s="122">
        <f>IF(AI130="","",$AJ$2)</f>
        <v/>
      </c>
      <c r="AK130" s="122" t="inlineStr">
        <is>
          <t>A</t>
        </is>
      </c>
      <c r="AL130" s="122" t="inlineStr">
        <is>
          <t>A+</t>
        </is>
      </c>
      <c r="AM130" s="122" t="inlineStr">
        <is>
          <t>B+</t>
        </is>
      </c>
      <c r="AN130" s="122">
        <f>IF(AI130="","",$AN$2)</f>
        <v/>
      </c>
      <c r="AO130" s="122">
        <f>IF(N130="","",IF(N130&gt;=$AO$1/100,"O","X"))</f>
        <v/>
      </c>
      <c r="AP130" s="122">
        <f>IF(I130="","",IF(I130&lt;=$AP$1,"O","X"))</f>
        <v/>
      </c>
      <c r="AQ130" s="122">
        <f>IF(O130="","",IF(O130&lt;=$AQ$1,"O","X"))</f>
        <v/>
      </c>
      <c r="AR130" s="122">
        <f>IF(M130="","",IF(M130&lt;=$AR$1,"O","X"))</f>
        <v/>
      </c>
      <c r="AS130" s="122" t="inlineStr">
        <is>
          <t>X</t>
        </is>
      </c>
      <c r="AT130" s="122">
        <f>IF(OR(F130="",AI130=""),"",IF(AND((F130&lt;=85),(AI130&gt;=15)),"O","X"))</f>
        <v/>
      </c>
      <c r="AU130" s="122">
        <f>IF(C130="","",IF(C130&gt;=$AU$1,"O","X"))</f>
        <v/>
      </c>
      <c r="AV130" s="122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1" t="n">
        <v>2500</v>
      </c>
      <c r="D131" s="132" t="n">
        <v>152.6</v>
      </c>
      <c r="E131" s="133" t="n">
        <v>46</v>
      </c>
      <c r="F131" s="132" t="n">
        <v>109.4</v>
      </c>
      <c r="G131" s="17" t="n">
        <v>33</v>
      </c>
      <c r="H131" s="134" t="n">
        <v>75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2" t="n">
        <v>4</v>
      </c>
      <c r="R131" s="122" t="n">
        <v>2</v>
      </c>
      <c r="S131" s="122" t="inlineStr">
        <is>
          <t>계</t>
        </is>
      </c>
      <c r="T131" s="5" t="inlineStr">
        <is>
          <t>152A</t>
        </is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22">
        <f>S131</f>
        <v/>
      </c>
      <c r="AF131" s="122">
        <f>Q131&amp;"/"&amp;R131</f>
        <v/>
      </c>
      <c r="AH131" s="20">
        <f>IF(A131="","",A131)</f>
        <v/>
      </c>
      <c r="AI131" s="133">
        <f>IF(E131="","",E131)</f>
        <v/>
      </c>
      <c r="AJ131" s="122">
        <f>IF(AI131="","",$AJ$2)</f>
        <v/>
      </c>
      <c r="AK131" s="122" t="inlineStr">
        <is>
          <t>A</t>
        </is>
      </c>
      <c r="AL131" s="122" t="inlineStr">
        <is>
          <t>A+</t>
        </is>
      </c>
      <c r="AM131" s="122" t="inlineStr">
        <is>
          <t>B+</t>
        </is>
      </c>
      <c r="AN131" s="122">
        <f>IF(AI131="","",$AN$2)</f>
        <v/>
      </c>
      <c r="AO131" s="122">
        <f>IF(N131="","",IF(N131&gt;=$AO$1/100,"O","X"))</f>
        <v/>
      </c>
      <c r="AP131" s="122">
        <f>IF(I131="","",IF(I131&lt;=$AP$1,"O","X"))</f>
        <v/>
      </c>
      <c r="AQ131" s="122">
        <f>IF(O131="","",IF(O131&lt;=$AQ$1,"O","X"))</f>
        <v/>
      </c>
      <c r="AR131" s="122">
        <f>IF(M131="","",IF(M131&lt;=$AR$1,"O","X"))</f>
        <v/>
      </c>
      <c r="AS131" s="122" t="inlineStr">
        <is>
          <t>X</t>
        </is>
      </c>
      <c r="AT131" s="122">
        <f>IF(OR(F131="",AI131=""),"",IF(AND((F131&lt;=85),(AI131&gt;=15)),"O","X"))</f>
        <v/>
      </c>
      <c r="AU131" s="122">
        <f>IF(C131="","",IF(C131&gt;=$AU$1,"O","X"))</f>
        <v/>
      </c>
      <c r="AV131" s="122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1" t="n">
        <v>818</v>
      </c>
      <c r="D132" s="132" t="n">
        <v>77.59999999999999</v>
      </c>
      <c r="E132" s="133" t="n">
        <v>23</v>
      </c>
      <c r="F132" s="132" t="n">
        <v>59.4</v>
      </c>
      <c r="G132" s="17" t="n">
        <v>18</v>
      </c>
      <c r="H132" s="134" t="n">
        <v>227</v>
      </c>
      <c r="I132" s="135" t="n">
        <v>22500</v>
      </c>
      <c r="J132" s="135" t="inlineStr">
        <is>
          <t>6</t>
        </is>
      </c>
      <c r="K132" s="135" t="n">
        <v>20500</v>
      </c>
      <c r="L132" s="135" t="inlineStr">
        <is>
          <t>14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22" t="n">
        <v>3</v>
      </c>
      <c r="R132" s="122" t="n">
        <v>2</v>
      </c>
      <c r="S132" s="122" t="inlineStr">
        <is>
          <t>계</t>
        </is>
      </c>
      <c r="T132" s="5" t="n">
        <v>77</v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22">
        <f>S132</f>
        <v/>
      </c>
      <c r="AF132" s="122">
        <f>Q132&amp;"/"&amp;R132</f>
        <v/>
      </c>
      <c r="AH132" s="20">
        <f>IF(A132="","",A132)</f>
        <v/>
      </c>
      <c r="AI132" s="133">
        <f>IF(E132="","",E132)</f>
        <v/>
      </c>
      <c r="AJ132" s="122">
        <f>IF(AI132="","",$AJ$2)</f>
        <v/>
      </c>
      <c r="AK132" s="122" t="inlineStr">
        <is>
          <t>A</t>
        </is>
      </c>
      <c r="AL132" s="122" t="inlineStr">
        <is>
          <t>A+</t>
        </is>
      </c>
      <c r="AM132" s="122" t="inlineStr">
        <is>
          <t>B+</t>
        </is>
      </c>
      <c r="AN132" s="122">
        <f>IF(AI132="","",$AN$2)</f>
        <v/>
      </c>
      <c r="AO132" s="122">
        <f>IF(N132="","",IF(N132&gt;=$AO$1/100,"O","X"))</f>
        <v/>
      </c>
      <c r="AP132" s="122">
        <f>IF(I132="","",IF(I132&lt;=$AP$1,"O","X"))</f>
        <v/>
      </c>
      <c r="AQ132" s="122">
        <f>IF(O132="","",IF(O132&lt;=$AQ$1,"O","X"))</f>
        <v/>
      </c>
      <c r="AR132" s="122">
        <f>IF(M132="","",IF(M132&lt;=$AR$1,"O","X"))</f>
        <v/>
      </c>
      <c r="AS132" s="122" t="inlineStr">
        <is>
          <t>X</t>
        </is>
      </c>
      <c r="AT132" s="122">
        <f>IF(OR(F132="",AI132=""),"",IF(AND((F132&lt;=85),(AI132&gt;=15)),"O","X"))</f>
        <v/>
      </c>
      <c r="AU132" s="122">
        <f>IF(C132="","",IF(C132&gt;=$AU$1,"O","X"))</f>
        <v/>
      </c>
      <c r="AV132" s="122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1" t="n">
        <v>818</v>
      </c>
      <c r="D133" s="132" t="n">
        <v>106.2</v>
      </c>
      <c r="E133" s="133" t="n">
        <v>32</v>
      </c>
      <c r="F133" s="132" t="n">
        <v>84.8</v>
      </c>
      <c r="G133" s="17" t="n">
        <v>26</v>
      </c>
      <c r="H133" s="134" t="n">
        <v>351</v>
      </c>
      <c r="I133" s="135" t="n">
        <v>25500</v>
      </c>
      <c r="J133" s="135" t="inlineStr">
        <is>
          <t>11</t>
        </is>
      </c>
      <c r="K133" s="135" t="n">
        <v>25500</v>
      </c>
      <c r="L133" s="135" t="inlineStr">
        <is>
          <t>고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22" t="n">
        <v>3</v>
      </c>
      <c r="R133" s="122" t="n">
        <v>2</v>
      </c>
      <c r="S133" s="122" t="inlineStr">
        <is>
          <t>계</t>
        </is>
      </c>
      <c r="T133" s="5" t="inlineStr">
        <is>
          <t>106A</t>
        </is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22">
        <f>S133</f>
        <v/>
      </c>
      <c r="AF133" s="122">
        <f>Q133&amp;"/"&amp;R133</f>
        <v/>
      </c>
      <c r="AH133" s="20">
        <f>IF(A133="","",A133)</f>
        <v/>
      </c>
      <c r="AI133" s="133">
        <f>IF(E133="","",E133)</f>
        <v/>
      </c>
      <c r="AJ133" s="122">
        <f>IF(AI133="","",$AJ$2)</f>
        <v/>
      </c>
      <c r="AK133" s="122" t="inlineStr">
        <is>
          <t>A</t>
        </is>
      </c>
      <c r="AL133" s="122" t="inlineStr">
        <is>
          <t>A+</t>
        </is>
      </c>
      <c r="AM133" s="122" t="inlineStr">
        <is>
          <t>B+</t>
        </is>
      </c>
      <c r="AN133" s="122">
        <f>IF(AI133="","",$AN$2)</f>
        <v/>
      </c>
      <c r="AO133" s="122">
        <f>IF(N133="","",IF(N133&gt;=$AO$1/100,"O","X"))</f>
        <v/>
      </c>
      <c r="AP133" s="122">
        <f>IF(I133="","",IF(I133&lt;=$AP$1,"O","X"))</f>
        <v/>
      </c>
      <c r="AQ133" s="122">
        <f>IF(O133="","",IF(O133&lt;=$AQ$1,"O","X"))</f>
        <v/>
      </c>
      <c r="AR133" s="122">
        <f>IF(M133="","",IF(M133&lt;=$AR$1,"O","X"))</f>
        <v/>
      </c>
      <c r="AS133" s="122" t="inlineStr">
        <is>
          <t>X</t>
        </is>
      </c>
      <c r="AT133" s="122">
        <f>IF(OR(F133="",AI133=""),"",IF(AND((F133&lt;=85),(AI133&gt;=15)),"O","X"))</f>
        <v/>
      </c>
      <c r="AU133" s="122">
        <f>IF(C133="","",IF(C133&gt;=$AU$1,"O","X"))</f>
        <v/>
      </c>
      <c r="AV133" s="122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1" t="n">
        <v>818</v>
      </c>
      <c r="D134" s="132" t="n">
        <v>107.5</v>
      </c>
      <c r="E134" s="133" t="n">
        <v>33</v>
      </c>
      <c r="F134" s="132" t="n">
        <v>84.8</v>
      </c>
      <c r="G134" s="17" t="n">
        <v>26</v>
      </c>
      <c r="H134" s="134" t="n">
        <v>60</v>
      </c>
      <c r="I134" s="135" t="n">
        <v>28000</v>
      </c>
      <c r="J134" s="135" t="inlineStr">
        <is>
          <t>5</t>
        </is>
      </c>
      <c r="K134" s="135" t="n">
        <v>26000</v>
      </c>
      <c r="L134" s="135" t="inlineStr">
        <is>
          <t>중</t>
        </is>
      </c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22" t="n">
        <v>3</v>
      </c>
      <c r="R134" s="122" t="n">
        <v>2</v>
      </c>
      <c r="S134" s="122" t="inlineStr">
        <is>
          <t>계</t>
        </is>
      </c>
      <c r="T134" s="5" t="inlineStr">
        <is>
          <t>107B</t>
        </is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22">
        <f>S134</f>
        <v/>
      </c>
      <c r="AF134" s="122">
        <f>Q134&amp;"/"&amp;R134</f>
        <v/>
      </c>
      <c r="AH134" s="20">
        <f>IF(A134="","",A134)</f>
        <v/>
      </c>
      <c r="AI134" s="133">
        <f>IF(E134="","",E134)</f>
        <v/>
      </c>
      <c r="AJ134" s="122">
        <f>IF(AI134="","",$AJ$2)</f>
        <v/>
      </c>
      <c r="AK134" s="122" t="inlineStr">
        <is>
          <t>A</t>
        </is>
      </c>
      <c r="AL134" s="122" t="inlineStr">
        <is>
          <t>A+</t>
        </is>
      </c>
      <c r="AM134" s="122" t="inlineStr">
        <is>
          <t>B+</t>
        </is>
      </c>
      <c r="AN134" s="122">
        <f>IF(AI134="","",$AN$2)</f>
        <v/>
      </c>
      <c r="AO134" s="122">
        <f>IF(N134="","",IF(N134&gt;=$AO$1/100,"O","X"))</f>
        <v/>
      </c>
      <c r="AP134" s="122">
        <f>IF(I134="","",IF(I134&lt;=$AP$1,"O","X"))</f>
        <v/>
      </c>
      <c r="AQ134" s="122">
        <f>IF(O134="","",IF(O134&lt;=$AQ$1,"O","X"))</f>
        <v/>
      </c>
      <c r="AR134" s="122">
        <f>IF(M134="","",IF(M134&lt;=$AR$1,"O","X"))</f>
        <v/>
      </c>
      <c r="AS134" s="122" t="inlineStr">
        <is>
          <t>X</t>
        </is>
      </c>
      <c r="AT134" s="122">
        <f>IF(OR(F134="",AI134=""),"",IF(AND((F134&lt;=85),(AI134&gt;=15)),"O","X"))</f>
        <v/>
      </c>
      <c r="AU134" s="122">
        <f>IF(C134="","",IF(C134&gt;=$AU$1,"O","X"))</f>
        <v/>
      </c>
      <c r="AV134" s="122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1" t="n">
        <v>818</v>
      </c>
      <c r="D135" s="132" t="n">
        <v>146.1</v>
      </c>
      <c r="E135" s="133" t="n">
        <v>44</v>
      </c>
      <c r="F135" s="132" t="n">
        <v>119.3</v>
      </c>
      <c r="G135" s="17" t="n">
        <v>36</v>
      </c>
      <c r="H135" s="134" t="n">
        <v>180</v>
      </c>
      <c r="I135" s="135" t="n">
        <v>36000</v>
      </c>
      <c r="J135" s="135" t="inlineStr">
        <is>
          <t>10</t>
        </is>
      </c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22" t="n">
        <v>4</v>
      </c>
      <c r="R135" s="122" t="n">
        <v>2</v>
      </c>
      <c r="S135" s="122" t="inlineStr">
        <is>
          <t>계</t>
        </is>
      </c>
      <c r="T135" s="5" t="n">
        <v>146</v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22">
        <f>S135</f>
        <v/>
      </c>
      <c r="AF135" s="122">
        <f>Q135&amp;"/"&amp;R135</f>
        <v/>
      </c>
      <c r="AH135" s="20">
        <f>IF(A135="","",A135)</f>
        <v/>
      </c>
      <c r="AI135" s="133">
        <f>IF(E135="","",E135)</f>
        <v/>
      </c>
      <c r="AJ135" s="122">
        <f>IF(AI135="","",$AJ$2)</f>
        <v/>
      </c>
      <c r="AK135" s="122" t="inlineStr">
        <is>
          <t>A</t>
        </is>
      </c>
      <c r="AL135" s="122" t="inlineStr">
        <is>
          <t>A+</t>
        </is>
      </c>
      <c r="AM135" s="122" t="inlineStr">
        <is>
          <t>B+</t>
        </is>
      </c>
      <c r="AN135" s="122">
        <f>IF(AI135="","",$AN$2)</f>
        <v/>
      </c>
      <c r="AO135" s="122">
        <f>IF(N135="","",IF(N135&gt;=$AO$1/100,"O","X"))</f>
        <v/>
      </c>
      <c r="AP135" s="122">
        <f>IF(I135="","",IF(I135&lt;=$AP$1,"O","X"))</f>
        <v/>
      </c>
      <c r="AQ135" s="122">
        <f>IF(O135="","",IF(O135&lt;=$AQ$1,"O","X"))</f>
        <v/>
      </c>
      <c r="AR135" s="122">
        <f>IF(M135="","",IF(M135&lt;=$AR$1,"O","X"))</f>
        <v/>
      </c>
      <c r="AS135" s="122" t="inlineStr">
        <is>
          <t>X</t>
        </is>
      </c>
      <c r="AT135" s="122">
        <f>IF(OR(F135="",AI135=""),"",IF(AND((F135&lt;=85),(AI135&gt;=15)),"O","X"))</f>
        <v/>
      </c>
      <c r="AU135" s="122">
        <f>IF(C135="","",IF(C135&gt;=$AU$1,"O","X"))</f>
        <v/>
      </c>
      <c r="AV135" s="122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1" t="n">
        <v>464</v>
      </c>
      <c r="D136" s="132" t="n">
        <v>81.2</v>
      </c>
      <c r="E136" s="133" t="n">
        <v>25</v>
      </c>
      <c r="F136" s="132" t="n">
        <v>60</v>
      </c>
      <c r="G136" s="17" t="n">
        <v>18</v>
      </c>
      <c r="H136" s="134" t="n">
        <v>170</v>
      </c>
      <c r="I136" s="135" t="n">
        <v>25000</v>
      </c>
      <c r="J136" s="135" t="inlineStr">
        <is>
          <t>14</t>
        </is>
      </c>
      <c r="K136" s="135" t="n">
        <v>22000</v>
      </c>
      <c r="L136" s="135" t="inlineStr">
        <is>
          <t>14</t>
        </is>
      </c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22" t="n">
        <v>3</v>
      </c>
      <c r="R136" s="122" t="n">
        <v>2</v>
      </c>
      <c r="S136" s="122" t="inlineStr">
        <is>
          <t>계</t>
        </is>
      </c>
      <c r="T136" s="5" t="n">
        <v>81</v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22">
        <f>S136</f>
        <v/>
      </c>
      <c r="AF136" s="122">
        <f>Q136&amp;"/"&amp;R136</f>
        <v/>
      </c>
      <c r="AH136" s="20">
        <f>IF(A136="","",A136)</f>
        <v/>
      </c>
      <c r="AI136" s="133">
        <f>IF(E136="","",E136)</f>
        <v/>
      </c>
      <c r="AJ136" s="122">
        <f>IF(AI136="","",$AJ$2)</f>
        <v/>
      </c>
      <c r="AK136" s="122" t="inlineStr">
        <is>
          <t>A</t>
        </is>
      </c>
      <c r="AL136" s="122" t="inlineStr">
        <is>
          <t>A+</t>
        </is>
      </c>
      <c r="AM136" s="122" t="inlineStr">
        <is>
          <t>B+</t>
        </is>
      </c>
      <c r="AN136" s="122">
        <f>IF(AI136="","",$AN$2)</f>
        <v/>
      </c>
      <c r="AO136" s="122">
        <f>IF(N136="","",IF(N136&gt;=$AO$1/100,"O","X"))</f>
        <v/>
      </c>
      <c r="AP136" s="122">
        <f>IF(I136="","",IF(I136&lt;=$AP$1,"O","X"))</f>
        <v/>
      </c>
      <c r="AQ136" s="122">
        <f>IF(O136="","",IF(O136&lt;=$AQ$1,"O","X"))</f>
        <v/>
      </c>
      <c r="AR136" s="122">
        <f>IF(M136="","",IF(M136&lt;=$AR$1,"O","X"))</f>
        <v/>
      </c>
      <c r="AS136" s="122" t="inlineStr">
        <is>
          <t>X</t>
        </is>
      </c>
      <c r="AT136" s="122">
        <f>IF(OR(F136="",AI136=""),"",IF(AND((F136&lt;=85),(AI136&gt;=15)),"O","X"))</f>
        <v/>
      </c>
      <c r="AU136" s="122">
        <f>IF(C136="","",IF(C136&gt;=$AU$1,"O","X"))</f>
        <v/>
      </c>
      <c r="AV136" s="122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1" t="n">
        <v>464</v>
      </c>
      <c r="D137" s="132" t="n">
        <v>118.2</v>
      </c>
      <c r="E137" s="133" t="n">
        <v>36</v>
      </c>
      <c r="F137" s="132" t="n">
        <v>85</v>
      </c>
      <c r="G137" s="17" t="n">
        <v>26</v>
      </c>
      <c r="H137" s="134" t="n">
        <v>294</v>
      </c>
      <c r="I137" s="135" t="n">
        <v>29000</v>
      </c>
      <c r="J137" s="135" t="inlineStr">
        <is>
          <t>8</t>
        </is>
      </c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22" t="n">
        <v>3</v>
      </c>
      <c r="R137" s="122" t="n">
        <v>2</v>
      </c>
      <c r="S137" s="122" t="inlineStr">
        <is>
          <t>계</t>
        </is>
      </c>
      <c r="T137" s="5" t="n">
        <v>118</v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22">
        <f>S137</f>
        <v/>
      </c>
      <c r="AF137" s="122">
        <f>Q137&amp;"/"&amp;R137</f>
        <v/>
      </c>
      <c r="AH137" s="20">
        <f>IF(A137="","",A137)</f>
        <v/>
      </c>
      <c r="AI137" s="133">
        <f>IF(E137="","",E137)</f>
        <v/>
      </c>
      <c r="AJ137" s="122">
        <f>IF(AI137="","",$AJ$2)</f>
        <v/>
      </c>
      <c r="AK137" s="122" t="inlineStr">
        <is>
          <t>A</t>
        </is>
      </c>
      <c r="AL137" s="122" t="inlineStr">
        <is>
          <t>A+</t>
        </is>
      </c>
      <c r="AM137" s="122" t="inlineStr">
        <is>
          <t>B+</t>
        </is>
      </c>
      <c r="AN137" s="122">
        <f>IF(AI137="","",$AN$2)</f>
        <v/>
      </c>
      <c r="AO137" s="122">
        <f>IF(N137="","",IF(N137&gt;=$AO$1/100,"O","X"))</f>
        <v/>
      </c>
      <c r="AP137" s="122">
        <f>IF(I137="","",IF(I137&lt;=$AP$1,"O","X"))</f>
        <v/>
      </c>
      <c r="AQ137" s="122">
        <f>IF(O137="","",IF(O137&lt;=$AQ$1,"O","X"))</f>
        <v/>
      </c>
      <c r="AR137" s="122">
        <f>IF(M137="","",IF(M137&lt;=$AR$1,"O","X"))</f>
        <v/>
      </c>
      <c r="AS137" s="122" t="inlineStr">
        <is>
          <t>X</t>
        </is>
      </c>
      <c r="AT137" s="122">
        <f>IF(OR(F137="",AI137=""),"",IF(AND((F137&lt;=85),(AI137&gt;=15)),"O","X"))</f>
        <v/>
      </c>
      <c r="AU137" s="122">
        <f>IF(C137="","",IF(C137&gt;=$AU$1,"O","X"))</f>
        <v/>
      </c>
      <c r="AV137" s="122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1" t="n">
        <v>572</v>
      </c>
      <c r="D138" s="132" t="n">
        <v>80</v>
      </c>
      <c r="E138" s="133" t="n">
        <v>24</v>
      </c>
      <c r="F138" s="132" t="n">
        <v>60</v>
      </c>
      <c r="G138" s="17" t="n">
        <v>18</v>
      </c>
      <c r="H138" s="134" t="n">
        <v>250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22" t="n">
        <v>3</v>
      </c>
      <c r="R138" s="122" t="n">
        <v>2</v>
      </c>
      <c r="S138" s="122" t="inlineStr">
        <is>
          <t>계</t>
        </is>
      </c>
      <c r="T138" s="5" t="n">
        <v>80</v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22">
        <f>S138</f>
        <v/>
      </c>
      <c r="AF138" s="122">
        <f>Q138&amp;"/"&amp;R138</f>
        <v/>
      </c>
      <c r="AH138" s="20">
        <f>IF(A138="","",A138)</f>
        <v/>
      </c>
      <c r="AI138" s="133">
        <f>IF(E138="","",E138)</f>
        <v/>
      </c>
      <c r="AJ138" s="122">
        <f>IF(AI138="","",$AJ$2)</f>
        <v/>
      </c>
      <c r="AK138" s="122" t="inlineStr">
        <is>
          <t>A</t>
        </is>
      </c>
      <c r="AL138" s="122" t="inlineStr">
        <is>
          <t>A+</t>
        </is>
      </c>
      <c r="AM138" s="122" t="inlineStr">
        <is>
          <t>B+</t>
        </is>
      </c>
      <c r="AN138" s="122">
        <f>IF(AI138="","",$AN$2)</f>
        <v/>
      </c>
      <c r="AO138" s="122">
        <f>IF(N138="","",IF(N138&gt;=$AO$1/100,"O","X"))</f>
        <v/>
      </c>
      <c r="AP138" s="122">
        <f>IF(I138="","",IF(I138&lt;=$AP$1,"O","X"))</f>
        <v/>
      </c>
      <c r="AQ138" s="122">
        <f>IF(O138="","",IF(O138&lt;=$AQ$1,"O","X"))</f>
        <v/>
      </c>
      <c r="AR138" s="122">
        <f>IF(M138="","",IF(M138&lt;=$AR$1,"O","X"))</f>
        <v/>
      </c>
      <c r="AS138" s="122" t="inlineStr">
        <is>
          <t>X</t>
        </is>
      </c>
      <c r="AT138" s="122">
        <f>IF(OR(F138="",AI138=""),"",IF(AND((F138&lt;=85),(AI138&gt;=15)),"O","X"))</f>
        <v/>
      </c>
      <c r="AU138" s="122">
        <f>IF(C138="","",IF(C138&gt;=$AU$1,"O","X"))</f>
        <v/>
      </c>
      <c r="AV138" s="122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1" t="n">
        <v>572</v>
      </c>
      <c r="D139" s="132" t="n">
        <v>100.3</v>
      </c>
      <c r="E139" s="133" t="n">
        <v>30</v>
      </c>
      <c r="F139" s="132" t="n">
        <v>74.5</v>
      </c>
      <c r="G139" s="17" t="n">
        <v>23</v>
      </c>
      <c r="H139" s="134" t="n">
        <v>74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22" t="n">
        <v>3</v>
      </c>
      <c r="R139" s="122" t="n">
        <v>2</v>
      </c>
      <c r="S139" s="122" t="inlineStr">
        <is>
          <t>계</t>
        </is>
      </c>
      <c r="T139" s="5" t="n">
        <v>100</v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22">
        <f>S139</f>
        <v/>
      </c>
      <c r="AF139" s="122">
        <f>Q139&amp;"/"&amp;R139</f>
        <v/>
      </c>
      <c r="AH139" s="20">
        <f>IF(A139="","",A139)</f>
        <v/>
      </c>
      <c r="AI139" s="133">
        <f>IF(E139="","",E139)</f>
        <v/>
      </c>
      <c r="AJ139" s="122">
        <f>IF(AI139="","",$AJ$2)</f>
        <v/>
      </c>
      <c r="AK139" s="122" t="inlineStr">
        <is>
          <t>A</t>
        </is>
      </c>
      <c r="AL139" s="122" t="inlineStr">
        <is>
          <t>A+</t>
        </is>
      </c>
      <c r="AM139" s="122" t="inlineStr">
        <is>
          <t>B+</t>
        </is>
      </c>
      <c r="AN139" s="122">
        <f>IF(AI139="","",$AN$2)</f>
        <v/>
      </c>
      <c r="AO139" s="122">
        <f>IF(N139="","",IF(N139&gt;=$AO$1/100,"O","X"))</f>
        <v/>
      </c>
      <c r="AP139" s="122">
        <f>IF(I139="","",IF(I139&lt;=$AP$1,"O","X"))</f>
        <v/>
      </c>
      <c r="AQ139" s="122">
        <f>IF(O139="","",IF(O139&lt;=$AQ$1,"O","X"))</f>
        <v/>
      </c>
      <c r="AR139" s="122">
        <f>IF(M139="","",IF(M139&lt;=$AR$1,"O","X"))</f>
        <v/>
      </c>
      <c r="AS139" s="122" t="inlineStr">
        <is>
          <t>X</t>
        </is>
      </c>
      <c r="AT139" s="122">
        <f>IF(OR(F139="",AI139=""),"",IF(AND((F139&lt;=85),(AI139&gt;=15)),"O","X"))</f>
        <v/>
      </c>
      <c r="AU139" s="122">
        <f>IF(C139="","",IF(C139&gt;=$AU$1,"O","X"))</f>
        <v/>
      </c>
      <c r="AV139" s="122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1" t="n">
        <v>572</v>
      </c>
      <c r="D140" s="132" t="n">
        <v>112.2</v>
      </c>
      <c r="E140" s="133" t="n">
        <v>34</v>
      </c>
      <c r="F140" s="132" t="n">
        <v>84.90000000000001</v>
      </c>
      <c r="G140" s="17" t="n">
        <v>26</v>
      </c>
      <c r="H140" s="134" t="n">
        <v>100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22" t="n">
        <v>3</v>
      </c>
      <c r="R140" s="122" t="n">
        <v>2</v>
      </c>
      <c r="S140" s="122" t="inlineStr">
        <is>
          <t>계</t>
        </is>
      </c>
      <c r="T140" s="5" t="inlineStr">
        <is>
          <t>112C</t>
        </is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22">
        <f>S140</f>
        <v/>
      </c>
      <c r="AF140" s="122">
        <f>Q140&amp;"/"&amp;R140</f>
        <v/>
      </c>
      <c r="AH140" s="20">
        <f>IF(A140="","",A140)</f>
        <v/>
      </c>
      <c r="AI140" s="133">
        <f>IF(E140="","",E140)</f>
        <v/>
      </c>
      <c r="AJ140" s="122">
        <f>IF(AI140="","",$AJ$2)</f>
        <v/>
      </c>
      <c r="AK140" s="122" t="inlineStr">
        <is>
          <t>A</t>
        </is>
      </c>
      <c r="AL140" s="122" t="inlineStr">
        <is>
          <t>A+</t>
        </is>
      </c>
      <c r="AM140" s="122" t="inlineStr">
        <is>
          <t>B+</t>
        </is>
      </c>
      <c r="AN140" s="122">
        <f>IF(AI140="","",$AN$2)</f>
        <v/>
      </c>
      <c r="AO140" s="122">
        <f>IF(N140="","",IF(N140&gt;=$AO$1/100,"O","X"))</f>
        <v/>
      </c>
      <c r="AP140" s="122">
        <f>IF(I140="","",IF(I140&lt;=$AP$1,"O","X"))</f>
        <v/>
      </c>
      <c r="AQ140" s="122">
        <f>IF(O140="","",IF(O140&lt;=$AQ$1,"O","X"))</f>
        <v/>
      </c>
      <c r="AR140" s="122">
        <f>IF(M140="","",IF(M140&lt;=$AR$1,"O","X"))</f>
        <v/>
      </c>
      <c r="AS140" s="122" t="inlineStr">
        <is>
          <t>X</t>
        </is>
      </c>
      <c r="AT140" s="122">
        <f>IF(OR(F140="",AI140=""),"",IF(AND((F140&lt;=85),(AI140&gt;=15)),"O","X"))</f>
        <v/>
      </c>
      <c r="AU140" s="122">
        <f>IF(C140="","",IF(C140&gt;=$AU$1,"O","X"))</f>
        <v/>
      </c>
      <c r="AV140" s="122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1" t="n">
        <v>572</v>
      </c>
      <c r="D141" s="132" t="n">
        <v>114</v>
      </c>
      <c r="E141" s="133" t="n">
        <v>34</v>
      </c>
      <c r="F141" s="132" t="n">
        <v>85</v>
      </c>
      <c r="G141" s="17" t="n">
        <v>26</v>
      </c>
      <c r="H141" s="134" t="n">
        <v>74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22" t="n">
        <v>3</v>
      </c>
      <c r="R141" s="122" t="n">
        <v>2</v>
      </c>
      <c r="S141" s="122" t="inlineStr">
        <is>
          <t>계</t>
        </is>
      </c>
      <c r="T141" s="5" t="inlineStr">
        <is>
          <t>113A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22">
        <f>S141</f>
        <v/>
      </c>
      <c r="AF141" s="122">
        <f>Q141&amp;"/"&amp;R141</f>
        <v/>
      </c>
      <c r="AH141" s="20">
        <f>IF(A141="","",A141)</f>
        <v/>
      </c>
      <c r="AI141" s="133">
        <f>IF(E141="","",E141)</f>
        <v/>
      </c>
      <c r="AJ141" s="122">
        <f>IF(AI141="","",$AJ$2)</f>
        <v/>
      </c>
      <c r="AK141" s="122" t="inlineStr">
        <is>
          <t>A</t>
        </is>
      </c>
      <c r="AL141" s="122" t="inlineStr">
        <is>
          <t>A+</t>
        </is>
      </c>
      <c r="AM141" s="122" t="inlineStr">
        <is>
          <t>B+</t>
        </is>
      </c>
      <c r="AN141" s="122">
        <f>IF(AI141="","",$AN$2)</f>
        <v/>
      </c>
      <c r="AO141" s="122">
        <f>IF(N141="","",IF(N141&gt;=$AO$1/100,"O","X"))</f>
        <v/>
      </c>
      <c r="AP141" s="122">
        <f>IF(I141="","",IF(I141&lt;=$AP$1,"O","X"))</f>
        <v/>
      </c>
      <c r="AQ141" s="122">
        <f>IF(O141="","",IF(O141&lt;=$AQ$1,"O","X"))</f>
        <v/>
      </c>
      <c r="AR141" s="122">
        <f>IF(M141="","",IF(M141&lt;=$AR$1,"O","X"))</f>
        <v/>
      </c>
      <c r="AS141" s="122" t="inlineStr">
        <is>
          <t>X</t>
        </is>
      </c>
      <c r="AT141" s="122">
        <f>IF(OR(F141="",AI141=""),"",IF(AND((F141&lt;=85),(AI141&gt;=15)),"O","X"))</f>
        <v/>
      </c>
      <c r="AU141" s="122">
        <f>IF(C141="","",IF(C141&gt;=$AU$1,"O","X"))</f>
        <v/>
      </c>
      <c r="AV141" s="122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1" t="n">
        <v>572</v>
      </c>
      <c r="D142" s="132" t="n">
        <v>113</v>
      </c>
      <c r="E142" s="133" t="n">
        <v>34</v>
      </c>
      <c r="F142" s="132" t="n">
        <v>84.8</v>
      </c>
      <c r="G142" s="17" t="n">
        <v>26</v>
      </c>
      <c r="H142" s="134" t="n">
        <v>74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22" t="n">
        <v>3</v>
      </c>
      <c r="R142" s="122" t="n">
        <v>2</v>
      </c>
      <c r="S142" s="122" t="inlineStr">
        <is>
          <t>계</t>
        </is>
      </c>
      <c r="T142" s="5" t="inlineStr">
        <is>
          <t>113B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22">
        <f>S142</f>
        <v/>
      </c>
      <c r="AF142" s="122">
        <f>Q142&amp;"/"&amp;R142</f>
        <v/>
      </c>
      <c r="AH142" s="20">
        <f>IF(A142="","",A142)</f>
        <v/>
      </c>
      <c r="AI142" s="133">
        <f>IF(E142="","",E142)</f>
        <v/>
      </c>
      <c r="AJ142" s="122">
        <f>IF(AI142="","",$AJ$2)</f>
        <v/>
      </c>
      <c r="AK142" s="122" t="inlineStr">
        <is>
          <t>A</t>
        </is>
      </c>
      <c r="AL142" s="122" t="inlineStr">
        <is>
          <t>A+</t>
        </is>
      </c>
      <c r="AM142" s="122" t="inlineStr">
        <is>
          <t>B+</t>
        </is>
      </c>
      <c r="AN142" s="122">
        <f>IF(AI142="","",$AN$2)</f>
        <v/>
      </c>
      <c r="AO142" s="122">
        <f>IF(N142="","",IF(N142&gt;=$AO$1/100,"O","X"))</f>
        <v/>
      </c>
      <c r="AP142" s="122">
        <f>IF(I142="","",IF(I142&lt;=$AP$1,"O","X"))</f>
        <v/>
      </c>
      <c r="AQ142" s="122">
        <f>IF(O142="","",IF(O142&lt;=$AQ$1,"O","X"))</f>
        <v/>
      </c>
      <c r="AR142" s="122">
        <f>IF(M142="","",IF(M142&lt;=$AR$1,"O","X"))</f>
        <v/>
      </c>
      <c r="AS142" s="122" t="inlineStr">
        <is>
          <t>X</t>
        </is>
      </c>
      <c r="AT142" s="122">
        <f>IF(OR(F142="",AI142=""),"",IF(AND((F142&lt;=85),(AI142&gt;=15)),"O","X"))</f>
        <v/>
      </c>
      <c r="AU142" s="122">
        <f>IF(C142="","",IF(C142&gt;=$AU$1,"O","X"))</f>
        <v/>
      </c>
      <c r="AV142" s="122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1" t="n">
        <v>948</v>
      </c>
      <c r="D143" s="132" t="n">
        <v>86.40000000000001</v>
      </c>
      <c r="E143" s="133" t="n">
        <v>26</v>
      </c>
      <c r="F143" s="132" t="n">
        <v>60</v>
      </c>
      <c r="G143" s="17" t="n">
        <v>18</v>
      </c>
      <c r="H143" s="134" t="n">
        <v>315</v>
      </c>
      <c r="I143" s="135" t="n">
        <v>23500</v>
      </c>
      <c r="J143" s="135" t="inlineStr">
        <is>
          <t>10</t>
        </is>
      </c>
      <c r="K143" s="135" t="n">
        <v>22000</v>
      </c>
      <c r="L143" s="135" t="inlineStr">
        <is>
          <t>중</t>
        </is>
      </c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22" t="n">
        <v>3</v>
      </c>
      <c r="R143" s="122" t="n">
        <v>2</v>
      </c>
      <c r="S143" s="122" t="inlineStr">
        <is>
          <t>계</t>
        </is>
      </c>
      <c r="T143" s="5" t="n">
        <v>86</v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22">
        <f>S143</f>
        <v/>
      </c>
      <c r="AF143" s="122">
        <f>Q143&amp;"/"&amp;R143</f>
        <v/>
      </c>
      <c r="AH143" s="20">
        <f>IF(A143="","",A143)</f>
        <v/>
      </c>
      <c r="AI143" s="133">
        <f>IF(E143="","",E143)</f>
        <v/>
      </c>
      <c r="AJ143" s="122">
        <f>IF(AI143="","",$AJ$2)</f>
        <v/>
      </c>
      <c r="AK143" s="122" t="inlineStr">
        <is>
          <t>A</t>
        </is>
      </c>
      <c r="AL143" s="122" t="inlineStr">
        <is>
          <t>A+</t>
        </is>
      </c>
      <c r="AM143" s="122" t="inlineStr">
        <is>
          <t>B+</t>
        </is>
      </c>
      <c r="AN143" s="122">
        <f>IF(AI143="","",$AN$2)</f>
        <v/>
      </c>
      <c r="AO143" s="122">
        <f>IF(N143="","",IF(N143&gt;=$AO$1/100,"O","X"))</f>
        <v/>
      </c>
      <c r="AP143" s="122">
        <f>IF(I143="","",IF(I143&lt;=$AP$1,"O","X"))</f>
        <v/>
      </c>
      <c r="AQ143" s="122">
        <f>IF(O143="","",IF(O143&lt;=$AQ$1,"O","X"))</f>
        <v/>
      </c>
      <c r="AR143" s="122">
        <f>IF(M143="","",IF(M143&lt;=$AR$1,"O","X"))</f>
        <v/>
      </c>
      <c r="AS143" s="122" t="inlineStr">
        <is>
          <t>X</t>
        </is>
      </c>
      <c r="AT143" s="122">
        <f>IF(OR(F143="",AI143=""),"",IF(AND((F143&lt;=85),(AI143&gt;=15)),"O","X"))</f>
        <v/>
      </c>
      <c r="AU143" s="122">
        <f>IF(C143="","",IF(C143&gt;=$AU$1,"O","X"))</f>
        <v/>
      </c>
      <c r="AV143" s="122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1" t="n">
        <v>948</v>
      </c>
      <c r="D144" s="132" t="n">
        <v>116.4</v>
      </c>
      <c r="E144" s="133" t="n">
        <v>35</v>
      </c>
      <c r="F144" s="132" t="n">
        <v>85</v>
      </c>
      <c r="G144" s="17" t="n">
        <v>26</v>
      </c>
      <c r="H144" s="134" t="n">
        <v>314</v>
      </c>
      <c r="I144" s="135" t="n">
        <v>33500</v>
      </c>
      <c r="J144" s="135" t="inlineStr">
        <is>
          <t>중</t>
        </is>
      </c>
      <c r="K144" s="135" t="n">
        <v>28500</v>
      </c>
      <c r="L144" s="135" t="inlineStr">
        <is>
          <t>중</t>
        </is>
      </c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22" t="n">
        <v>3</v>
      </c>
      <c r="R144" s="122" t="n">
        <v>2</v>
      </c>
      <c r="S144" s="122" t="inlineStr">
        <is>
          <t>계</t>
        </is>
      </c>
      <c r="T144" s="5" t="inlineStr">
        <is>
          <t>116A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22">
        <f>S144</f>
        <v/>
      </c>
      <c r="AF144" s="122">
        <f>Q144&amp;"/"&amp;R144</f>
        <v/>
      </c>
      <c r="AH144" s="20">
        <f>IF(A144="","",A144)</f>
        <v/>
      </c>
      <c r="AI144" s="133">
        <f>IF(E144="","",E144)</f>
        <v/>
      </c>
      <c r="AJ144" s="122">
        <f>IF(AI144="","",$AJ$2)</f>
        <v/>
      </c>
      <c r="AK144" s="122" t="inlineStr">
        <is>
          <t>A</t>
        </is>
      </c>
      <c r="AL144" s="122" t="inlineStr">
        <is>
          <t>A+</t>
        </is>
      </c>
      <c r="AM144" s="122" t="inlineStr">
        <is>
          <t>B+</t>
        </is>
      </c>
      <c r="AN144" s="122">
        <f>IF(AI144="","",$AN$2)</f>
        <v/>
      </c>
      <c r="AO144" s="122">
        <f>IF(N144="","",IF(N144&gt;=$AO$1/100,"O","X"))</f>
        <v/>
      </c>
      <c r="AP144" s="122">
        <f>IF(I144="","",IF(I144&lt;=$AP$1,"O","X"))</f>
        <v/>
      </c>
      <c r="AQ144" s="122">
        <f>IF(O144="","",IF(O144&lt;=$AQ$1,"O","X"))</f>
        <v/>
      </c>
      <c r="AR144" s="122">
        <f>IF(M144="","",IF(M144&lt;=$AR$1,"O","X"))</f>
        <v/>
      </c>
      <c r="AS144" s="122" t="inlineStr">
        <is>
          <t>X</t>
        </is>
      </c>
      <c r="AT144" s="122">
        <f>IF(OR(F144="",AI144=""),"",IF(AND((F144&lt;=85),(AI144&gt;=15)),"O","X"))</f>
        <v/>
      </c>
      <c r="AU144" s="122">
        <f>IF(C144="","",IF(C144&gt;=$AU$1,"O","X"))</f>
        <v/>
      </c>
      <c r="AV144" s="122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1" t="n">
        <v>948</v>
      </c>
      <c r="D145" s="132" t="n">
        <v>116.8</v>
      </c>
      <c r="E145" s="133" t="n">
        <v>35</v>
      </c>
      <c r="F145" s="132" t="n">
        <v>85</v>
      </c>
      <c r="G145" s="17" t="n">
        <v>26</v>
      </c>
      <c r="H145" s="134" t="n">
        <v>177</v>
      </c>
      <c r="I145" s="135" t="n">
        <v>30500</v>
      </c>
      <c r="J145" s="135" t="inlineStr">
        <is>
          <t>중</t>
        </is>
      </c>
      <c r="K145" s="135" t="n">
        <v>27000</v>
      </c>
      <c r="L145" s="135" t="inlineStr">
        <is>
          <t>14</t>
        </is>
      </c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22" t="n">
        <v>3</v>
      </c>
      <c r="R145" s="122" t="n">
        <v>2</v>
      </c>
      <c r="S145" s="122" t="inlineStr">
        <is>
          <t>계</t>
        </is>
      </c>
      <c r="T145" s="5" t="inlineStr">
        <is>
          <t>116B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22">
        <f>S145</f>
        <v/>
      </c>
      <c r="AF145" s="122">
        <f>Q145&amp;"/"&amp;R145</f>
        <v/>
      </c>
      <c r="AH145" s="20">
        <f>IF(A145="","",A145)</f>
        <v/>
      </c>
      <c r="AI145" s="133">
        <f>IF(E145="","",E145)</f>
        <v/>
      </c>
      <c r="AJ145" s="122">
        <f>IF(AI145="","",$AJ$2)</f>
        <v/>
      </c>
      <c r="AK145" s="122" t="inlineStr">
        <is>
          <t>A</t>
        </is>
      </c>
      <c r="AL145" s="122" t="inlineStr">
        <is>
          <t>A+</t>
        </is>
      </c>
      <c r="AM145" s="122" t="inlineStr">
        <is>
          <t>B+</t>
        </is>
      </c>
      <c r="AN145" s="122">
        <f>IF(AI145="","",$AN$2)</f>
        <v/>
      </c>
      <c r="AO145" s="122">
        <f>IF(N145="","",IF(N145&gt;=$AO$1/100,"O","X"))</f>
        <v/>
      </c>
      <c r="AP145" s="122">
        <f>IF(I145="","",IF(I145&lt;=$AP$1,"O","X"))</f>
        <v/>
      </c>
      <c r="AQ145" s="122">
        <f>IF(O145="","",IF(O145&lt;=$AQ$1,"O","X"))</f>
        <v/>
      </c>
      <c r="AR145" s="122">
        <f>IF(M145="","",IF(M145&lt;=$AR$1,"O","X"))</f>
        <v/>
      </c>
      <c r="AS145" s="122" t="inlineStr">
        <is>
          <t>X</t>
        </is>
      </c>
      <c r="AT145" s="122">
        <f>IF(OR(F145="",AI145=""),"",IF(AND((F145&lt;=85),(AI145&gt;=15)),"O","X"))</f>
        <v/>
      </c>
      <c r="AU145" s="122">
        <f>IF(C145="","",IF(C145&gt;=$AU$1,"O","X"))</f>
        <v/>
      </c>
      <c r="AV145" s="122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1" t="n">
        <v>948</v>
      </c>
      <c r="D146" s="132" t="n">
        <v>156.7</v>
      </c>
      <c r="E146" s="133" t="n">
        <v>47</v>
      </c>
      <c r="F146" s="132" t="n">
        <v>127.9</v>
      </c>
      <c r="G146" s="17" t="n">
        <v>39</v>
      </c>
      <c r="H146" s="134" t="n">
        <v>142</v>
      </c>
      <c r="I146" s="135" t="n">
        <v>42000</v>
      </c>
      <c r="J146" s="135" t="inlineStr">
        <is>
          <t>6</t>
        </is>
      </c>
      <c r="K146" s="135" t="n">
        <v>38000</v>
      </c>
      <c r="L146" s="135" t="inlineStr">
        <is>
          <t>고</t>
        </is>
      </c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22" t="n">
        <v>4</v>
      </c>
      <c r="R146" s="122" t="n">
        <v>2</v>
      </c>
      <c r="S146" s="122" t="inlineStr">
        <is>
          <t>계</t>
        </is>
      </c>
      <c r="T146" s="5" t="n">
        <v>156</v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22">
        <f>S146</f>
        <v/>
      </c>
      <c r="AF146" s="122">
        <f>Q146&amp;"/"&amp;R146</f>
        <v/>
      </c>
      <c r="AH146" s="20">
        <f>IF(A146="","",A146)</f>
        <v/>
      </c>
      <c r="AI146" s="133">
        <f>IF(E146="","",E146)</f>
        <v/>
      </c>
      <c r="AJ146" s="122">
        <f>IF(AI146="","",$AJ$2)</f>
        <v/>
      </c>
      <c r="AK146" s="122" t="inlineStr">
        <is>
          <t>A</t>
        </is>
      </c>
      <c r="AL146" s="122" t="inlineStr">
        <is>
          <t>A+</t>
        </is>
      </c>
      <c r="AM146" s="122" t="inlineStr">
        <is>
          <t>B+</t>
        </is>
      </c>
      <c r="AN146" s="122">
        <f>IF(AI146="","",$AN$2)</f>
        <v/>
      </c>
      <c r="AO146" s="122">
        <f>IF(N146="","",IF(N146&gt;=$AO$1/100,"O","X"))</f>
        <v/>
      </c>
      <c r="AP146" s="122">
        <f>IF(I146="","",IF(I146&lt;=$AP$1,"O","X"))</f>
        <v/>
      </c>
      <c r="AQ146" s="122">
        <f>IF(O146="","",IF(O146&lt;=$AQ$1,"O","X"))</f>
        <v/>
      </c>
      <c r="AR146" s="122">
        <f>IF(M146="","",IF(M146&lt;=$AR$1,"O","X"))</f>
        <v/>
      </c>
      <c r="AS146" s="122" t="inlineStr">
        <is>
          <t>X</t>
        </is>
      </c>
      <c r="AT146" s="122">
        <f>IF(OR(F146="",AI146=""),"",IF(AND((F146&lt;=85),(AI146&gt;=15)),"O","X"))</f>
        <v/>
      </c>
      <c r="AU146" s="122">
        <f>IF(C146="","",IF(C146&gt;=$AU$1,"O","X"))</f>
        <v/>
      </c>
      <c r="AV146" s="122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1" t="n">
        <v>1120</v>
      </c>
      <c r="D147" s="132" t="n">
        <v>84.7</v>
      </c>
      <c r="E147" s="133" t="n">
        <v>26</v>
      </c>
      <c r="F147" s="132" t="n">
        <v>59.9</v>
      </c>
      <c r="G147" s="17" t="n">
        <v>18</v>
      </c>
      <c r="H147" s="134" t="n">
        <v>284</v>
      </c>
      <c r="I147" s="135" t="n">
        <v>23500</v>
      </c>
      <c r="J147" s="135" t="inlineStr">
        <is>
          <t>고</t>
        </is>
      </c>
      <c r="K147" s="135" t="n">
        <v>21000</v>
      </c>
      <c r="L147" s="135" t="inlineStr">
        <is>
          <t>고</t>
        </is>
      </c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22" t="n">
        <v>3</v>
      </c>
      <c r="R147" s="122" t="n">
        <v>2</v>
      </c>
      <c r="S147" s="122" t="inlineStr">
        <is>
          <t>계</t>
        </is>
      </c>
      <c r="T147" s="5" t="inlineStr">
        <is>
          <t>84A</t>
        </is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22">
        <f>S147</f>
        <v/>
      </c>
      <c r="AF147" s="122">
        <f>Q147&amp;"/"&amp;R147</f>
        <v/>
      </c>
      <c r="AH147" s="20">
        <f>IF(A147="","",A147)</f>
        <v/>
      </c>
      <c r="AI147" s="133">
        <f>IF(E147="","",E147)</f>
        <v/>
      </c>
      <c r="AJ147" s="122">
        <f>IF(AI147="","",$AJ$2)</f>
        <v/>
      </c>
      <c r="AK147" s="122" t="inlineStr">
        <is>
          <t>A</t>
        </is>
      </c>
      <c r="AL147" s="122" t="inlineStr">
        <is>
          <t>A+</t>
        </is>
      </c>
      <c r="AM147" s="122" t="inlineStr">
        <is>
          <t>B+</t>
        </is>
      </c>
      <c r="AN147" s="122">
        <f>IF(AI147="","",$AN$2)</f>
        <v/>
      </c>
      <c r="AO147" s="122">
        <f>IF(N147="","",IF(N147&gt;=$AO$1/100,"O","X"))</f>
        <v/>
      </c>
      <c r="AP147" s="122">
        <f>IF(I147="","",IF(I147&lt;=$AP$1,"O","X"))</f>
        <v/>
      </c>
      <c r="AQ147" s="122">
        <f>IF(O147="","",IF(O147&lt;=$AQ$1,"O","X"))</f>
        <v/>
      </c>
      <c r="AR147" s="122">
        <f>IF(M147="","",IF(M147&lt;=$AR$1,"O","X"))</f>
        <v/>
      </c>
      <c r="AS147" s="122" t="inlineStr">
        <is>
          <t>X</t>
        </is>
      </c>
      <c r="AT147" s="122">
        <f>IF(OR(F147="",AI147=""),"",IF(AND((F147&lt;=85),(AI147&gt;=15)),"O","X"))</f>
        <v/>
      </c>
      <c r="AU147" s="122">
        <f>IF(C147="","",IF(C147&gt;=$AU$1,"O","X"))</f>
        <v/>
      </c>
      <c r="AV147" s="122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1" t="n">
        <v>1120</v>
      </c>
      <c r="D148" s="132" t="n">
        <v>85.09999999999999</v>
      </c>
      <c r="E148" s="133" t="n">
        <v>26</v>
      </c>
      <c r="F148" s="132" t="n">
        <v>59.9</v>
      </c>
      <c r="G148" s="17" t="n">
        <v>18</v>
      </c>
      <c r="H148" s="134" t="n">
        <v>36</v>
      </c>
      <c r="I148" s="135" t="n">
        <v>24500</v>
      </c>
      <c r="J148" s="135" t="inlineStr">
        <is>
          <t>17</t>
        </is>
      </c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22" t="n">
        <v>3</v>
      </c>
      <c r="R148" s="122" t="n">
        <v>2</v>
      </c>
      <c r="S148" s="122" t="inlineStr">
        <is>
          <t>계</t>
        </is>
      </c>
      <c r="T148" s="5" t="inlineStr">
        <is>
          <t>85B</t>
        </is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22">
        <f>S148</f>
        <v/>
      </c>
      <c r="AF148" s="122">
        <f>Q148&amp;"/"&amp;R148</f>
        <v/>
      </c>
      <c r="AH148" s="20">
        <f>IF(A148="","",A148)</f>
        <v/>
      </c>
      <c r="AI148" s="133">
        <f>IF(E148="","",E148)</f>
        <v/>
      </c>
      <c r="AJ148" s="122">
        <f>IF(AI148="","",$AJ$2)</f>
        <v/>
      </c>
      <c r="AK148" s="122" t="inlineStr">
        <is>
          <t>A</t>
        </is>
      </c>
      <c r="AL148" s="122" t="inlineStr">
        <is>
          <t>A+</t>
        </is>
      </c>
      <c r="AM148" s="122" t="inlineStr">
        <is>
          <t>B+</t>
        </is>
      </c>
      <c r="AN148" s="122">
        <f>IF(AI148="","",$AN$2)</f>
        <v/>
      </c>
      <c r="AO148" s="122">
        <f>IF(N148="","",IF(N148&gt;=$AO$1/100,"O","X"))</f>
        <v/>
      </c>
      <c r="AP148" s="122">
        <f>IF(I148="","",IF(I148&lt;=$AP$1,"O","X"))</f>
        <v/>
      </c>
      <c r="AQ148" s="122">
        <f>IF(O148="","",IF(O148&lt;=$AQ$1,"O","X"))</f>
        <v/>
      </c>
      <c r="AR148" s="122">
        <f>IF(M148="","",IF(M148&lt;=$AR$1,"O","X"))</f>
        <v/>
      </c>
      <c r="AS148" s="122" t="inlineStr">
        <is>
          <t>X</t>
        </is>
      </c>
      <c r="AT148" s="122">
        <f>IF(OR(F148="",AI148=""),"",IF(AND((F148&lt;=85),(AI148&gt;=15)),"O","X"))</f>
        <v/>
      </c>
      <c r="AU148" s="122">
        <f>IF(C148="","",IF(C148&gt;=$AU$1,"O","X"))</f>
        <v/>
      </c>
      <c r="AV148" s="122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1" t="n">
        <v>1120</v>
      </c>
      <c r="D149" s="132" t="n">
        <v>113.2</v>
      </c>
      <c r="E149" s="133" t="n">
        <v>34</v>
      </c>
      <c r="F149" s="132" t="n">
        <v>84.90000000000001</v>
      </c>
      <c r="G149" s="17" t="n">
        <v>26</v>
      </c>
      <c r="H149" s="134" t="n">
        <v>552</v>
      </c>
      <c r="I149" s="135" t="n">
        <v>30000</v>
      </c>
      <c r="J149" s="135" t="inlineStr">
        <is>
          <t>14</t>
        </is>
      </c>
      <c r="K149" s="135" t="n">
        <v>26000</v>
      </c>
      <c r="L149" s="135" t="inlineStr">
        <is>
          <t>6</t>
        </is>
      </c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22" t="n">
        <v>3</v>
      </c>
      <c r="R149" s="122" t="n">
        <v>2</v>
      </c>
      <c r="S149" s="122" t="inlineStr">
        <is>
          <t>계</t>
        </is>
      </c>
      <c r="T149" s="5" t="n">
        <v>113</v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22">
        <f>S149</f>
        <v/>
      </c>
      <c r="AF149" s="122">
        <f>Q149&amp;"/"&amp;R149</f>
        <v/>
      </c>
      <c r="AH149" s="20">
        <f>IF(A149="","",A149)</f>
        <v/>
      </c>
      <c r="AI149" s="133">
        <f>IF(E149="","",E149)</f>
        <v/>
      </c>
      <c r="AJ149" s="122">
        <f>IF(AI149="","",$AJ$2)</f>
        <v/>
      </c>
      <c r="AK149" s="122" t="inlineStr">
        <is>
          <t>A</t>
        </is>
      </c>
      <c r="AL149" s="122" t="inlineStr">
        <is>
          <t>A+</t>
        </is>
      </c>
      <c r="AM149" s="122" t="inlineStr">
        <is>
          <t>B+</t>
        </is>
      </c>
      <c r="AN149" s="122">
        <f>IF(AI149="","",$AN$2)</f>
        <v/>
      </c>
      <c r="AO149" s="122">
        <f>IF(N149="","",IF(N149&gt;=$AO$1/100,"O","X"))</f>
        <v/>
      </c>
      <c r="AP149" s="122">
        <f>IF(I149="","",IF(I149&lt;=$AP$1,"O","X"))</f>
        <v/>
      </c>
      <c r="AQ149" s="122">
        <f>IF(O149="","",IF(O149&lt;=$AQ$1,"O","X"))</f>
        <v/>
      </c>
      <c r="AR149" s="122">
        <f>IF(M149="","",IF(M149&lt;=$AR$1,"O","X"))</f>
        <v/>
      </c>
      <c r="AS149" s="122" t="inlineStr">
        <is>
          <t>X</t>
        </is>
      </c>
      <c r="AT149" s="122">
        <f>IF(OR(F149="",AI149=""),"",IF(AND((F149&lt;=85),(AI149&gt;=15)),"O","X"))</f>
        <v/>
      </c>
      <c r="AU149" s="122">
        <f>IF(C149="","",IF(C149&gt;=$AU$1,"O","X"))</f>
        <v/>
      </c>
      <c r="AV149" s="122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1" t="n">
        <v>1120</v>
      </c>
      <c r="D150" s="132" t="n">
        <v>151</v>
      </c>
      <c r="E150" s="133" t="n">
        <v>46</v>
      </c>
      <c r="F150" s="132" t="n">
        <v>120.1</v>
      </c>
      <c r="G150" s="17" t="n">
        <v>36</v>
      </c>
      <c r="H150" s="134" t="n">
        <v>248</v>
      </c>
      <c r="I150" s="135" t="n">
        <v>41000</v>
      </c>
      <c r="J150" s="135" t="inlineStr">
        <is>
          <t>7</t>
        </is>
      </c>
      <c r="K150" s="135" t="n">
        <v>35000</v>
      </c>
      <c r="L150" s="135" t="inlineStr">
        <is>
          <t>15</t>
        </is>
      </c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22" t="n">
        <v>4</v>
      </c>
      <c r="R150" s="122" t="n">
        <v>2</v>
      </c>
      <c r="S150" s="122" t="inlineStr">
        <is>
          <t>계</t>
        </is>
      </c>
      <c r="T150" s="5" t="n">
        <v>150</v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22">
        <f>S150</f>
        <v/>
      </c>
      <c r="AF150" s="122">
        <f>Q150&amp;"/"&amp;R150</f>
        <v/>
      </c>
      <c r="AH150" s="20">
        <f>IF(A150="","",A150)</f>
        <v/>
      </c>
      <c r="AI150" s="133">
        <f>IF(E150="","",E150)</f>
        <v/>
      </c>
      <c r="AJ150" s="122">
        <f>IF(AI150="","",$AJ$2)</f>
        <v/>
      </c>
      <c r="AK150" s="122" t="inlineStr">
        <is>
          <t>A</t>
        </is>
      </c>
      <c r="AL150" s="122" t="inlineStr">
        <is>
          <t>A+</t>
        </is>
      </c>
      <c r="AM150" s="122" t="inlineStr">
        <is>
          <t>B+</t>
        </is>
      </c>
      <c r="AN150" s="122">
        <f>IF(AI150="","",$AN$2)</f>
        <v/>
      </c>
      <c r="AO150" s="122">
        <f>IF(N150="","",IF(N150&gt;=$AO$1/100,"O","X"))</f>
        <v/>
      </c>
      <c r="AP150" s="122">
        <f>IF(I150="","",IF(I150&lt;=$AP$1,"O","X"))</f>
        <v/>
      </c>
      <c r="AQ150" s="122">
        <f>IF(O150="","",IF(O150&lt;=$AQ$1,"O","X"))</f>
        <v/>
      </c>
      <c r="AR150" s="122">
        <f>IF(M150="","",IF(M150&lt;=$AR$1,"O","X"))</f>
        <v/>
      </c>
      <c r="AS150" s="122" t="inlineStr">
        <is>
          <t>X</t>
        </is>
      </c>
      <c r="AT150" s="122">
        <f>IF(OR(F150="",AI150=""),"",IF(AND((F150&lt;=85),(AI150&gt;=15)),"O","X"))</f>
        <v/>
      </c>
      <c r="AU150" s="122">
        <f>IF(C150="","",IF(C150&gt;=$AU$1,"O","X"))</f>
        <v/>
      </c>
      <c r="AV150" s="122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1" t="n">
        <v>210</v>
      </c>
      <c r="D151" s="132" t="n">
        <v>74.59999999999999</v>
      </c>
      <c r="E151" s="133" t="n">
        <v>23</v>
      </c>
      <c r="F151" s="132" t="n">
        <v>60</v>
      </c>
      <c r="G151" s="17" t="n">
        <v>18</v>
      </c>
      <c r="H151" s="134" t="n">
        <v>210</v>
      </c>
      <c r="I151" s="135" t="n"/>
      <c r="J151" s="135" t="n"/>
      <c r="K151" s="135" t="n"/>
      <c r="L151" s="135" t="n"/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22" t="n">
        <v>3</v>
      </c>
      <c r="R151" s="122" t="n">
        <v>1</v>
      </c>
      <c r="S151" s="122" t="inlineStr">
        <is>
          <t>계</t>
        </is>
      </c>
      <c r="T151" s="5" t="n">
        <v>74</v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22">
        <f>S151</f>
        <v/>
      </c>
      <c r="AF151" s="122">
        <f>Q151&amp;"/"&amp;R151</f>
        <v/>
      </c>
      <c r="AH151" s="20">
        <f>IF(A151="","",A151)</f>
        <v/>
      </c>
      <c r="AI151" s="133">
        <f>IF(E151="","",E151)</f>
        <v/>
      </c>
      <c r="AJ151" s="122">
        <f>IF(AI151="","",$AJ$2)</f>
        <v/>
      </c>
      <c r="AK151" s="122" t="inlineStr">
        <is>
          <t>A</t>
        </is>
      </c>
      <c r="AL151" s="122" t="inlineStr">
        <is>
          <t>A+</t>
        </is>
      </c>
      <c r="AM151" s="122" t="inlineStr">
        <is>
          <t>B+</t>
        </is>
      </c>
      <c r="AN151" s="122">
        <f>IF(AI151="","",$AN$2)</f>
        <v/>
      </c>
      <c r="AO151" s="122">
        <f>IF(N151="","",IF(N151&gt;=$AO$1/100,"O","X"))</f>
        <v/>
      </c>
      <c r="AP151" s="122">
        <f>IF(I151="","",IF(I151&lt;=$AP$1,"O","X"))</f>
        <v/>
      </c>
      <c r="AQ151" s="122">
        <f>IF(O151="","",IF(O151&lt;=$AQ$1,"O","X"))</f>
        <v/>
      </c>
      <c r="AR151" s="122">
        <f>IF(M151="","",IF(M151&lt;=$AR$1,"O","X"))</f>
        <v/>
      </c>
      <c r="AS151" s="122" t="inlineStr">
        <is>
          <t>X</t>
        </is>
      </c>
      <c r="AT151" s="122">
        <f>IF(OR(F151="",AI151=""),"",IF(AND((F151&lt;=85),(AI151&gt;=15)),"O","X"))</f>
        <v/>
      </c>
      <c r="AU151" s="122">
        <f>IF(C151="","",IF(C151&gt;=$AU$1,"O","X"))</f>
        <v/>
      </c>
      <c r="AV151" s="122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1" t="n">
        <v>236</v>
      </c>
      <c r="D152" s="132" t="n">
        <v>40.2</v>
      </c>
      <c r="E152" s="133" t="n">
        <v>12</v>
      </c>
      <c r="F152" s="132" t="n">
        <v>30.3</v>
      </c>
      <c r="G152" s="17" t="n">
        <v>9</v>
      </c>
      <c r="H152" s="134" t="n">
        <v>10</v>
      </c>
      <c r="I152" s="135" t="n"/>
      <c r="J152" s="135" t="n"/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22" t="n">
        <v>2</v>
      </c>
      <c r="R152" s="122" t="n">
        <v>1</v>
      </c>
      <c r="S152" s="122" t="inlineStr">
        <is>
          <t>복</t>
        </is>
      </c>
      <c r="T152" s="5" t="n">
        <v>40</v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22">
        <f>S152</f>
        <v/>
      </c>
      <c r="AF152" s="122">
        <f>Q152&amp;"/"&amp;R152</f>
        <v/>
      </c>
      <c r="AH152" s="20">
        <f>IF(A152="","",A152)</f>
        <v/>
      </c>
      <c r="AI152" s="133">
        <f>IF(E152="","",E152)</f>
        <v/>
      </c>
      <c r="AJ152" s="122">
        <f>IF(AI152="","",$AJ$2)</f>
        <v/>
      </c>
      <c r="AK152" s="122" t="inlineStr">
        <is>
          <t>A</t>
        </is>
      </c>
      <c r="AL152" s="122" t="inlineStr">
        <is>
          <t>A+</t>
        </is>
      </c>
      <c r="AM152" s="122" t="inlineStr">
        <is>
          <t>B+</t>
        </is>
      </c>
      <c r="AN152" s="122">
        <f>IF(AI152="","",$AN$2)</f>
        <v/>
      </c>
      <c r="AO152" s="122">
        <f>IF(N152="","",IF(N152&gt;=$AO$1/100,"O","X"))</f>
        <v/>
      </c>
      <c r="AP152" s="122">
        <f>IF(I152="","",IF(I152&lt;=$AP$1,"O","X"))</f>
        <v/>
      </c>
      <c r="AQ152" s="122">
        <f>IF(O152="","",IF(O152&lt;=$AQ$1,"O","X"))</f>
        <v/>
      </c>
      <c r="AR152" s="122">
        <f>IF(M152="","",IF(M152&lt;=$AR$1,"O","X"))</f>
        <v/>
      </c>
      <c r="AS152" s="122" t="inlineStr">
        <is>
          <t>X</t>
        </is>
      </c>
      <c r="AT152" s="122">
        <f>IF(OR(F152="",AI152=""),"",IF(AND((F152&lt;=85),(AI152&gt;=15)),"O","X"))</f>
        <v/>
      </c>
      <c r="AU152" s="122">
        <f>IF(C152="","",IF(C152&gt;=$AU$1,"O","X"))</f>
        <v/>
      </c>
      <c r="AV152" s="122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1" t="n">
        <v>236</v>
      </c>
      <c r="D153" s="132" t="n">
        <v>45.3</v>
      </c>
      <c r="E153" s="133" t="n">
        <v>14</v>
      </c>
      <c r="F153" s="132" t="n">
        <v>34.2</v>
      </c>
      <c r="G153" s="17" t="n">
        <v>10</v>
      </c>
      <c r="H153" s="134" t="n">
        <v>9</v>
      </c>
      <c r="I153" s="135" t="n"/>
      <c r="J153" s="135" t="n"/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22" t="n">
        <v>2</v>
      </c>
      <c r="R153" s="122" t="n">
        <v>1</v>
      </c>
      <c r="S153" s="122" t="inlineStr">
        <is>
          <t>복</t>
        </is>
      </c>
      <c r="T153" s="5" t="n">
        <v>45</v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22">
        <f>S153</f>
        <v/>
      </c>
      <c r="AF153" s="122">
        <f>Q153&amp;"/"&amp;R153</f>
        <v/>
      </c>
      <c r="AH153" s="20">
        <f>IF(A153="","",A153)</f>
        <v/>
      </c>
      <c r="AI153" s="133">
        <f>IF(E153="","",E153)</f>
        <v/>
      </c>
      <c r="AJ153" s="122">
        <f>IF(AI153="","",$AJ$2)</f>
        <v/>
      </c>
      <c r="AK153" s="122" t="inlineStr">
        <is>
          <t>A</t>
        </is>
      </c>
      <c r="AL153" s="122" t="inlineStr">
        <is>
          <t>A+</t>
        </is>
      </c>
      <c r="AM153" s="122" t="inlineStr">
        <is>
          <t>B+</t>
        </is>
      </c>
      <c r="AN153" s="122">
        <f>IF(AI153="","",$AN$2)</f>
        <v/>
      </c>
      <c r="AO153" s="122">
        <f>IF(N153="","",IF(N153&gt;=$AO$1/100,"O","X"))</f>
        <v/>
      </c>
      <c r="AP153" s="122">
        <f>IF(I153="","",IF(I153&lt;=$AP$1,"O","X"))</f>
        <v/>
      </c>
      <c r="AQ153" s="122">
        <f>IF(O153="","",IF(O153&lt;=$AQ$1,"O","X"))</f>
        <v/>
      </c>
      <c r="AR153" s="122">
        <f>IF(M153="","",IF(M153&lt;=$AR$1,"O","X"))</f>
        <v/>
      </c>
      <c r="AS153" s="122" t="inlineStr">
        <is>
          <t>X</t>
        </is>
      </c>
      <c r="AT153" s="122">
        <f>IF(OR(F153="",AI153=""),"",IF(AND((F153&lt;=85),(AI153&gt;=15)),"O","X"))</f>
        <v/>
      </c>
      <c r="AU153" s="122">
        <f>IF(C153="","",IF(C153&gt;=$AU$1,"O","X"))</f>
        <v/>
      </c>
      <c r="AV153" s="122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1" t="n">
        <v>236</v>
      </c>
      <c r="D154" s="132" t="n">
        <v>54.5</v>
      </c>
      <c r="E154" s="133" t="n">
        <v>16</v>
      </c>
      <c r="F154" s="132" t="n">
        <v>41</v>
      </c>
      <c r="G154" s="17" t="n">
        <v>12</v>
      </c>
      <c r="H154" s="134" t="n">
        <v>217</v>
      </c>
      <c r="I154" s="135" t="n"/>
      <c r="J154" s="135" t="n"/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22" t="n">
        <v>2</v>
      </c>
      <c r="R154" s="122" t="n">
        <v>1</v>
      </c>
      <c r="S154" s="122" t="inlineStr">
        <is>
          <t>복</t>
        </is>
      </c>
      <c r="T154" s="5" t="n">
        <v>54</v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22">
        <f>S154</f>
        <v/>
      </c>
      <c r="AF154" s="122">
        <f>Q154&amp;"/"&amp;R154</f>
        <v/>
      </c>
      <c r="AH154" s="20">
        <f>IF(A154="","",A154)</f>
        <v/>
      </c>
      <c r="AI154" s="133">
        <f>IF(E154="","",E154)</f>
        <v/>
      </c>
      <c r="AJ154" s="122">
        <f>IF(AI154="","",$AJ$2)</f>
        <v/>
      </c>
      <c r="AK154" s="122" t="inlineStr">
        <is>
          <t>A</t>
        </is>
      </c>
      <c r="AL154" s="122" t="inlineStr">
        <is>
          <t>A+</t>
        </is>
      </c>
      <c r="AM154" s="122" t="inlineStr">
        <is>
          <t>B+</t>
        </is>
      </c>
      <c r="AN154" s="122">
        <f>IF(AI154="","",$AN$2)</f>
        <v/>
      </c>
      <c r="AO154" s="122">
        <f>IF(N154="","",IF(N154&gt;=$AO$1/100,"O","X"))</f>
        <v/>
      </c>
      <c r="AP154" s="122">
        <f>IF(I154="","",IF(I154&lt;=$AP$1,"O","X"))</f>
        <v/>
      </c>
      <c r="AQ154" s="122">
        <f>IF(O154="","",IF(O154&lt;=$AQ$1,"O","X"))</f>
        <v/>
      </c>
      <c r="AR154" s="122">
        <f>IF(M154="","",IF(M154&lt;=$AR$1,"O","X"))</f>
        <v/>
      </c>
      <c r="AS154" s="122" t="inlineStr">
        <is>
          <t>X</t>
        </is>
      </c>
      <c r="AT154" s="122">
        <f>IF(OR(F154="",AI154=""),"",IF(AND((F154&lt;=85),(AI154&gt;=15)),"O","X"))</f>
        <v/>
      </c>
      <c r="AU154" s="122">
        <f>IF(C154="","",IF(C154&gt;=$AU$1,"O","X"))</f>
        <v/>
      </c>
      <c r="AV154" s="122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1" t="n">
        <v>299</v>
      </c>
      <c r="D155" s="132" t="n">
        <v>26.4</v>
      </c>
      <c r="E155" s="133" t="n">
        <v>8</v>
      </c>
      <c r="F155" s="132" t="n">
        <v>15.2</v>
      </c>
      <c r="G155" s="17" t="n">
        <v>5</v>
      </c>
      <c r="H155" s="134" t="n">
        <v>17</v>
      </c>
      <c r="I155" s="135" t="n"/>
      <c r="J155" s="135" t="n"/>
      <c r="K155" s="135" t="n"/>
      <c r="L155" s="135" t="n"/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22" t="n">
        <v>1</v>
      </c>
      <c r="R155" s="122" t="n">
        <v>1</v>
      </c>
      <c r="S155" s="122" t="inlineStr">
        <is>
          <t>복</t>
        </is>
      </c>
      <c r="T155" s="5" t="inlineStr">
        <is>
          <t>26G</t>
        </is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22">
        <f>S155</f>
        <v/>
      </c>
      <c r="AF155" s="122">
        <f>Q155&amp;"/"&amp;R155</f>
        <v/>
      </c>
      <c r="AH155" s="20">
        <f>IF(A155="","",A155)</f>
        <v/>
      </c>
      <c r="AI155" s="133">
        <f>IF(E155="","",E155)</f>
        <v/>
      </c>
      <c r="AJ155" s="122">
        <f>IF(AI155="","",$AJ$2)</f>
        <v/>
      </c>
      <c r="AK155" s="122" t="inlineStr">
        <is>
          <t>A</t>
        </is>
      </c>
      <c r="AL155" s="122" t="inlineStr">
        <is>
          <t>A+</t>
        </is>
      </c>
      <c r="AM155" s="122" t="inlineStr">
        <is>
          <t>B+</t>
        </is>
      </c>
      <c r="AN155" s="122">
        <f>IF(AI155="","",$AN$2)</f>
        <v/>
      </c>
      <c r="AO155" s="122">
        <f>IF(N155="","",IF(N155&gt;=$AO$1/100,"O","X"))</f>
        <v/>
      </c>
      <c r="AP155" s="122">
        <f>IF(I155="","",IF(I155&lt;=$AP$1,"O","X"))</f>
        <v/>
      </c>
      <c r="AQ155" s="122">
        <f>IF(O155="","",IF(O155&lt;=$AQ$1,"O","X"))</f>
        <v/>
      </c>
      <c r="AR155" s="122">
        <f>IF(M155="","",IF(M155&lt;=$AR$1,"O","X"))</f>
        <v/>
      </c>
      <c r="AS155" s="122" t="inlineStr">
        <is>
          <t>X</t>
        </is>
      </c>
      <c r="AT155" s="122">
        <f>IF(OR(F155="",AI155=""),"",IF(AND((F155&lt;=85),(AI155&gt;=15)),"O","X"))</f>
        <v/>
      </c>
      <c r="AU155" s="122">
        <f>IF(C155="","",IF(C155&gt;=$AU$1,"O","X"))</f>
        <v/>
      </c>
      <c r="AV155" s="122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1" t="n">
        <v>299</v>
      </c>
      <c r="D156" s="132" t="n">
        <v>27.7</v>
      </c>
      <c r="E156" s="133" t="n">
        <v>8</v>
      </c>
      <c r="F156" s="132" t="n">
        <v>16.2</v>
      </c>
      <c r="G156" s="17" t="n">
        <v>5</v>
      </c>
      <c r="H156" s="134" t="n">
        <v>194</v>
      </c>
      <c r="I156" s="135" t="n"/>
      <c r="J156" s="135" t="n"/>
      <c r="K156" s="135" t="n"/>
      <c r="L156" s="135" t="n"/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22" t="n">
        <v>1</v>
      </c>
      <c r="R156" s="122" t="n">
        <v>1</v>
      </c>
      <c r="S156" s="122" t="inlineStr">
        <is>
          <t>복</t>
        </is>
      </c>
      <c r="T156" s="5" t="inlineStr">
        <is>
          <t>27A</t>
        </is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22">
        <f>S156</f>
        <v/>
      </c>
      <c r="AF156" s="122">
        <f>Q156&amp;"/"&amp;R156</f>
        <v/>
      </c>
      <c r="AH156" s="20">
        <f>IF(A156="","",A156)</f>
        <v/>
      </c>
      <c r="AI156" s="133">
        <f>IF(E156="","",E156)</f>
        <v/>
      </c>
      <c r="AJ156" s="122">
        <f>IF(AI156="","",$AJ$2)</f>
        <v/>
      </c>
      <c r="AK156" s="122" t="inlineStr">
        <is>
          <t>A</t>
        </is>
      </c>
      <c r="AL156" s="122" t="inlineStr">
        <is>
          <t>A+</t>
        </is>
      </c>
      <c r="AM156" s="122" t="inlineStr">
        <is>
          <t>B+</t>
        </is>
      </c>
      <c r="AN156" s="122">
        <f>IF(AI156="","",$AN$2)</f>
        <v/>
      </c>
      <c r="AO156" s="122">
        <f>IF(N156="","",IF(N156&gt;=$AO$1/100,"O","X"))</f>
        <v/>
      </c>
      <c r="AP156" s="122">
        <f>IF(I156="","",IF(I156&lt;=$AP$1,"O","X"))</f>
        <v/>
      </c>
      <c r="AQ156" s="122">
        <f>IF(O156="","",IF(O156&lt;=$AQ$1,"O","X"))</f>
        <v/>
      </c>
      <c r="AR156" s="122">
        <f>IF(M156="","",IF(M156&lt;=$AR$1,"O","X"))</f>
        <v/>
      </c>
      <c r="AS156" s="122" t="inlineStr">
        <is>
          <t>X</t>
        </is>
      </c>
      <c r="AT156" s="122">
        <f>IF(OR(F156="",AI156=""),"",IF(AND((F156&lt;=85),(AI156&gt;=15)),"O","X"))</f>
        <v/>
      </c>
      <c r="AU156" s="122">
        <f>IF(C156="","",IF(C156&gt;=$AU$1,"O","X"))</f>
        <v/>
      </c>
      <c r="AV156" s="122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1" t="n">
        <v>299</v>
      </c>
      <c r="D157" s="132" t="n">
        <v>29.8</v>
      </c>
      <c r="E157" s="133" t="n">
        <v>9</v>
      </c>
      <c r="F157" s="132" t="n">
        <v>17.2</v>
      </c>
      <c r="G157" s="17" t="n">
        <v>5</v>
      </c>
      <c r="H157" s="134" t="n">
        <v>17</v>
      </c>
      <c r="I157" s="135" t="n"/>
      <c r="J157" s="135" t="n"/>
      <c r="K157" s="135" t="n"/>
      <c r="L157" s="135" t="n"/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22" t="n">
        <v>1</v>
      </c>
      <c r="R157" s="122" t="n">
        <v>1</v>
      </c>
      <c r="S157" s="122" t="inlineStr">
        <is>
          <t>복</t>
        </is>
      </c>
      <c r="T157" s="5" t="inlineStr">
        <is>
          <t>29F</t>
        </is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22">
        <f>S157</f>
        <v/>
      </c>
      <c r="AF157" s="122">
        <f>Q157&amp;"/"&amp;R157</f>
        <v/>
      </c>
      <c r="AH157" s="20">
        <f>IF(A157="","",A157)</f>
        <v/>
      </c>
      <c r="AI157" s="133">
        <f>IF(E157="","",E157)</f>
        <v/>
      </c>
      <c r="AJ157" s="122">
        <f>IF(AI157="","",$AJ$2)</f>
        <v/>
      </c>
      <c r="AK157" s="122" t="inlineStr">
        <is>
          <t>A</t>
        </is>
      </c>
      <c r="AL157" s="122" t="inlineStr">
        <is>
          <t>A+</t>
        </is>
      </c>
      <c r="AM157" s="122" t="inlineStr">
        <is>
          <t>B+</t>
        </is>
      </c>
      <c r="AN157" s="122">
        <f>IF(AI157="","",$AN$2)</f>
        <v/>
      </c>
      <c r="AO157" s="122">
        <f>IF(N157="","",IF(N157&gt;=$AO$1/100,"O","X"))</f>
        <v/>
      </c>
      <c r="AP157" s="122">
        <f>IF(I157="","",IF(I157&lt;=$AP$1,"O","X"))</f>
        <v/>
      </c>
      <c r="AQ157" s="122">
        <f>IF(O157="","",IF(O157&lt;=$AQ$1,"O","X"))</f>
        <v/>
      </c>
      <c r="AR157" s="122">
        <f>IF(M157="","",IF(M157&lt;=$AR$1,"O","X"))</f>
        <v/>
      </c>
      <c r="AS157" s="122" t="inlineStr">
        <is>
          <t>X</t>
        </is>
      </c>
      <c r="AT157" s="122">
        <f>IF(OR(F157="",AI157=""),"",IF(AND((F157&lt;=85),(AI157&gt;=15)),"O","X"))</f>
        <v/>
      </c>
      <c r="AU157" s="122">
        <f>IF(C157="","",IF(C157&gt;=$AU$1,"O","X"))</f>
        <v/>
      </c>
      <c r="AV157" s="122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1" t="n">
        <v>299</v>
      </c>
      <c r="D158" s="132" t="n">
        <v>30.4</v>
      </c>
      <c r="E158" s="133" t="n">
        <v>9</v>
      </c>
      <c r="F158" s="132" t="n">
        <v>17.5</v>
      </c>
      <c r="G158" s="17" t="n">
        <v>5</v>
      </c>
      <c r="H158" s="134" t="n">
        <v>17</v>
      </c>
      <c r="I158" s="135" t="n"/>
      <c r="J158" s="135" t="n"/>
      <c r="K158" s="135" t="n"/>
      <c r="L158" s="135" t="n"/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22" t="n">
        <v>1</v>
      </c>
      <c r="R158" s="122" t="n">
        <v>1</v>
      </c>
      <c r="S158" s="122" t="inlineStr">
        <is>
          <t>계</t>
        </is>
      </c>
      <c r="T158" s="5" t="inlineStr">
        <is>
          <t>30B</t>
        </is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22">
        <f>S158</f>
        <v/>
      </c>
      <c r="AF158" s="122">
        <f>Q158&amp;"/"&amp;R158</f>
        <v/>
      </c>
      <c r="AH158" s="20">
        <f>IF(A158="","",A158)</f>
        <v/>
      </c>
      <c r="AI158" s="133">
        <f>IF(E158="","",E158)</f>
        <v/>
      </c>
      <c r="AJ158" s="122">
        <f>IF(AI158="","",$AJ$2)</f>
        <v/>
      </c>
      <c r="AK158" s="122" t="inlineStr">
        <is>
          <t>A</t>
        </is>
      </c>
      <c r="AL158" s="122" t="inlineStr">
        <is>
          <t>A+</t>
        </is>
      </c>
      <c r="AM158" s="122" t="inlineStr">
        <is>
          <t>B+</t>
        </is>
      </c>
      <c r="AN158" s="122">
        <f>IF(AI158="","",$AN$2)</f>
        <v/>
      </c>
      <c r="AO158" s="122">
        <f>IF(N158="","",IF(N158&gt;=$AO$1/100,"O","X"))</f>
        <v/>
      </c>
      <c r="AP158" s="122">
        <f>IF(I158="","",IF(I158&lt;=$AP$1,"O","X"))</f>
        <v/>
      </c>
      <c r="AQ158" s="122">
        <f>IF(O158="","",IF(O158&lt;=$AQ$1,"O","X"))</f>
        <v/>
      </c>
      <c r="AR158" s="122">
        <f>IF(M158="","",IF(M158&lt;=$AR$1,"O","X"))</f>
        <v/>
      </c>
      <c r="AS158" s="122" t="inlineStr">
        <is>
          <t>X</t>
        </is>
      </c>
      <c r="AT158" s="122">
        <f>IF(OR(F158="",AI158=""),"",IF(AND((F158&lt;=85),(AI158&gt;=15)),"O","X"))</f>
        <v/>
      </c>
      <c r="AU158" s="122">
        <f>IF(C158="","",IF(C158&gt;=$AU$1,"O","X"))</f>
        <v/>
      </c>
      <c r="AV158" s="122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1" t="n">
        <v>299</v>
      </c>
      <c r="D159" s="132" t="n">
        <v>35.2</v>
      </c>
      <c r="E159" s="133" t="n">
        <v>11</v>
      </c>
      <c r="F159" s="132" t="n">
        <v>21</v>
      </c>
      <c r="G159" s="17" t="n">
        <v>6</v>
      </c>
      <c r="H159" s="134" t="n">
        <v>1</v>
      </c>
      <c r="I159" s="135" t="n"/>
      <c r="J159" s="135" t="n"/>
      <c r="K159" s="135" t="n"/>
      <c r="L159" s="135" t="n"/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22" t="n">
        <v>1</v>
      </c>
      <c r="R159" s="122" t="n">
        <v>1</v>
      </c>
      <c r="S159" s="122" t="inlineStr">
        <is>
          <t>복</t>
        </is>
      </c>
      <c r="T159" s="5" t="inlineStr">
        <is>
          <t>35K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22">
        <f>S159</f>
        <v/>
      </c>
      <c r="AF159" s="122">
        <f>Q159&amp;"/"&amp;R159</f>
        <v/>
      </c>
      <c r="AH159" s="20">
        <f>IF(A159="","",A159)</f>
        <v/>
      </c>
      <c r="AI159" s="133">
        <f>IF(E159="","",E159)</f>
        <v/>
      </c>
      <c r="AJ159" s="122">
        <f>IF(AI159="","",$AJ$2)</f>
        <v/>
      </c>
      <c r="AK159" s="122" t="inlineStr">
        <is>
          <t>A</t>
        </is>
      </c>
      <c r="AL159" s="122" t="inlineStr">
        <is>
          <t>A+</t>
        </is>
      </c>
      <c r="AM159" s="122" t="inlineStr">
        <is>
          <t>B+</t>
        </is>
      </c>
      <c r="AN159" s="122">
        <f>IF(AI159="","",$AN$2)</f>
        <v/>
      </c>
      <c r="AO159" s="122">
        <f>IF(N159="","",IF(N159&gt;=$AO$1/100,"O","X"))</f>
        <v/>
      </c>
      <c r="AP159" s="122">
        <f>IF(I159="","",IF(I159&lt;=$AP$1,"O","X"))</f>
        <v/>
      </c>
      <c r="AQ159" s="122">
        <f>IF(O159="","",IF(O159&lt;=$AQ$1,"O","X"))</f>
        <v/>
      </c>
      <c r="AR159" s="122">
        <f>IF(M159="","",IF(M159&lt;=$AR$1,"O","X"))</f>
        <v/>
      </c>
      <c r="AS159" s="122" t="inlineStr">
        <is>
          <t>X</t>
        </is>
      </c>
      <c r="AT159" s="122">
        <f>IF(OR(F159="",AI159=""),"",IF(AND((F159&lt;=85),(AI159&gt;=15)),"O","X"))</f>
        <v/>
      </c>
      <c r="AU159" s="122">
        <f>IF(C159="","",IF(C159&gt;=$AU$1,"O","X"))</f>
        <v/>
      </c>
      <c r="AV159" s="122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1" t="n">
        <v>299</v>
      </c>
      <c r="D160" s="132" t="n">
        <v>36.6</v>
      </c>
      <c r="E160" s="133" t="n">
        <v>11</v>
      </c>
      <c r="F160" s="132" t="n">
        <v>21</v>
      </c>
      <c r="G160" s="17" t="n">
        <v>6</v>
      </c>
      <c r="H160" s="134" t="n">
        <v>16</v>
      </c>
      <c r="I160" s="135" t="n"/>
      <c r="J160" s="135" t="n"/>
      <c r="K160" s="135" t="n"/>
      <c r="L160" s="135" t="n"/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22" t="n">
        <v>1</v>
      </c>
      <c r="R160" s="122" t="n">
        <v>1</v>
      </c>
      <c r="S160" s="122" t="inlineStr">
        <is>
          <t>복</t>
        </is>
      </c>
      <c r="T160" s="5" t="inlineStr">
        <is>
          <t>36D</t>
        </is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22">
        <f>S160</f>
        <v/>
      </c>
      <c r="AF160" s="122">
        <f>Q160&amp;"/"&amp;R160</f>
        <v/>
      </c>
      <c r="AH160" s="20">
        <f>IF(A160="","",A160)</f>
        <v/>
      </c>
      <c r="AI160" s="133">
        <f>IF(E160="","",E160)</f>
        <v/>
      </c>
      <c r="AJ160" s="122">
        <f>IF(AI160="","",$AJ$2)</f>
        <v/>
      </c>
      <c r="AK160" s="122" t="inlineStr">
        <is>
          <t>A</t>
        </is>
      </c>
      <c r="AL160" s="122" t="inlineStr">
        <is>
          <t>A+</t>
        </is>
      </c>
      <c r="AM160" s="122" t="inlineStr">
        <is>
          <t>B+</t>
        </is>
      </c>
      <c r="AN160" s="122">
        <f>IF(AI160="","",$AN$2)</f>
        <v/>
      </c>
      <c r="AO160" s="122">
        <f>IF(N160="","",IF(N160&gt;=$AO$1/100,"O","X"))</f>
        <v/>
      </c>
      <c r="AP160" s="122">
        <f>IF(I160="","",IF(I160&lt;=$AP$1,"O","X"))</f>
        <v/>
      </c>
      <c r="AQ160" s="122">
        <f>IF(O160="","",IF(O160&lt;=$AQ$1,"O","X"))</f>
        <v/>
      </c>
      <c r="AR160" s="122">
        <f>IF(M160="","",IF(M160&lt;=$AR$1,"O","X"))</f>
        <v/>
      </c>
      <c r="AS160" s="122" t="inlineStr">
        <is>
          <t>X</t>
        </is>
      </c>
      <c r="AT160" s="122">
        <f>IF(OR(F160="",AI160=""),"",IF(AND((F160&lt;=85),(AI160&gt;=15)),"O","X"))</f>
        <v/>
      </c>
      <c r="AU160" s="122">
        <f>IF(C160="","",IF(C160&gt;=$AU$1,"O","X"))</f>
        <v/>
      </c>
      <c r="AV160" s="122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1" t="n">
        <v>299</v>
      </c>
      <c r="D161" s="132" t="n">
        <v>38.7</v>
      </c>
      <c r="E161" s="133" t="n">
        <v>12</v>
      </c>
      <c r="F161" s="132" t="n">
        <v>23.2</v>
      </c>
      <c r="G161" s="17" t="n">
        <v>7</v>
      </c>
      <c r="H161" s="134" t="n">
        <v>16</v>
      </c>
      <c r="I161" s="135" t="n"/>
      <c r="J161" s="135" t="n"/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22" t="n">
        <v>1</v>
      </c>
      <c r="R161" s="122" t="n">
        <v>1</v>
      </c>
      <c r="S161" s="122" t="inlineStr">
        <is>
          <t>복</t>
        </is>
      </c>
      <c r="T161" s="5" t="inlineStr">
        <is>
          <t>38E</t>
        </is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22">
        <f>S161</f>
        <v/>
      </c>
      <c r="AF161" s="122">
        <f>Q161&amp;"/"&amp;R161</f>
        <v/>
      </c>
      <c r="AH161" s="20">
        <f>IF(A161="","",A161)</f>
        <v/>
      </c>
      <c r="AI161" s="133">
        <f>IF(E161="","",E161)</f>
        <v/>
      </c>
      <c r="AJ161" s="122">
        <f>IF(AI161="","",$AJ$2)</f>
        <v/>
      </c>
      <c r="AK161" s="122" t="inlineStr">
        <is>
          <t>A</t>
        </is>
      </c>
      <c r="AL161" s="122" t="inlineStr">
        <is>
          <t>A+</t>
        </is>
      </c>
      <c r="AM161" s="122" t="inlineStr">
        <is>
          <t>B+</t>
        </is>
      </c>
      <c r="AN161" s="122">
        <f>IF(AI161="","",$AN$2)</f>
        <v/>
      </c>
      <c r="AO161" s="122">
        <f>IF(N161="","",IF(N161&gt;=$AO$1/100,"O","X"))</f>
        <v/>
      </c>
      <c r="AP161" s="122">
        <f>IF(I161="","",IF(I161&lt;=$AP$1,"O","X"))</f>
        <v/>
      </c>
      <c r="AQ161" s="122">
        <f>IF(O161="","",IF(O161&lt;=$AQ$1,"O","X"))</f>
        <v/>
      </c>
      <c r="AR161" s="122">
        <f>IF(M161="","",IF(M161&lt;=$AR$1,"O","X"))</f>
        <v/>
      </c>
      <c r="AS161" s="122" t="inlineStr">
        <is>
          <t>X</t>
        </is>
      </c>
      <c r="AT161" s="122">
        <f>IF(OR(F161="",AI161=""),"",IF(AND((F161&lt;=85),(AI161&gt;=15)),"O","X"))</f>
        <v/>
      </c>
      <c r="AU161" s="122">
        <f>IF(C161="","",IF(C161&gt;=$AU$1,"O","X"))</f>
        <v/>
      </c>
      <c r="AV161" s="122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1" t="n">
        <v>299</v>
      </c>
      <c r="D162" s="132" t="n">
        <v>40.2</v>
      </c>
      <c r="E162" s="133" t="n">
        <v>12</v>
      </c>
      <c r="F162" s="132" t="n">
        <v>23.7</v>
      </c>
      <c r="G162" s="17" t="n">
        <v>7</v>
      </c>
      <c r="H162" s="134" t="n">
        <v>1</v>
      </c>
      <c r="I162" s="135" t="n"/>
      <c r="J162" s="135" t="n"/>
      <c r="K162" s="135" t="n"/>
      <c r="L162" s="135" t="n"/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22" t="n">
        <v>1</v>
      </c>
      <c r="R162" s="122" t="n">
        <v>1</v>
      </c>
      <c r="S162" s="122" t="inlineStr">
        <is>
          <t>복</t>
        </is>
      </c>
      <c r="T162" s="5" t="inlineStr">
        <is>
          <t>40I</t>
        </is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22">
        <f>S162</f>
        <v/>
      </c>
      <c r="AF162" s="122">
        <f>Q162&amp;"/"&amp;R162</f>
        <v/>
      </c>
      <c r="AH162" s="20">
        <f>IF(A162="","",A162)</f>
        <v/>
      </c>
      <c r="AI162" s="133">
        <f>IF(E162="","",E162)</f>
        <v/>
      </c>
      <c r="AJ162" s="122">
        <f>IF(AI162="","",$AJ$2)</f>
        <v/>
      </c>
      <c r="AK162" s="122" t="inlineStr">
        <is>
          <t>A</t>
        </is>
      </c>
      <c r="AL162" s="122" t="inlineStr">
        <is>
          <t>A+</t>
        </is>
      </c>
      <c r="AM162" s="122" t="inlineStr">
        <is>
          <t>B+</t>
        </is>
      </c>
      <c r="AN162" s="122">
        <f>IF(AI162="","",$AN$2)</f>
        <v/>
      </c>
      <c r="AO162" s="122">
        <f>IF(N162="","",IF(N162&gt;=$AO$1/100,"O","X"))</f>
        <v/>
      </c>
      <c r="AP162" s="122">
        <f>IF(I162="","",IF(I162&lt;=$AP$1,"O","X"))</f>
        <v/>
      </c>
      <c r="AQ162" s="122">
        <f>IF(O162="","",IF(O162&lt;=$AQ$1,"O","X"))</f>
        <v/>
      </c>
      <c r="AR162" s="122">
        <f>IF(M162="","",IF(M162&lt;=$AR$1,"O","X"))</f>
        <v/>
      </c>
      <c r="AS162" s="122" t="inlineStr">
        <is>
          <t>X</t>
        </is>
      </c>
      <c r="AT162" s="122">
        <f>IF(OR(F162="",AI162=""),"",IF(AND((F162&lt;=85),(AI162&gt;=15)),"O","X"))</f>
        <v/>
      </c>
      <c r="AU162" s="122">
        <f>IF(C162="","",IF(C162&gt;=$AU$1,"O","X"))</f>
        <v/>
      </c>
      <c r="AV162" s="122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1" t="n">
        <v>299</v>
      </c>
      <c r="D163" s="132" t="n">
        <v>43.3</v>
      </c>
      <c r="E163" s="133" t="n">
        <v>13</v>
      </c>
      <c r="F163" s="132" t="n">
        <v>25.6</v>
      </c>
      <c r="G163" s="17" t="n">
        <v>8</v>
      </c>
      <c r="H163" s="134" t="n">
        <v>18</v>
      </c>
      <c r="I163" s="135" t="n"/>
      <c r="J163" s="135" t="n"/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22" t="n">
        <v>1</v>
      </c>
      <c r="R163" s="122" t="n">
        <v>1</v>
      </c>
      <c r="S163" s="122" t="inlineStr">
        <is>
          <t>복</t>
        </is>
      </c>
      <c r="T163" s="5" t="inlineStr">
        <is>
          <t>43C</t>
        </is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22">
        <f>S163</f>
        <v/>
      </c>
      <c r="AF163" s="122">
        <f>Q163&amp;"/"&amp;R163</f>
        <v/>
      </c>
      <c r="AH163" s="20">
        <f>IF(A163="","",A163)</f>
        <v/>
      </c>
      <c r="AI163" s="133">
        <f>IF(E163="","",E163)</f>
        <v/>
      </c>
      <c r="AJ163" s="122">
        <f>IF(AI163="","",$AJ$2)</f>
        <v/>
      </c>
      <c r="AK163" s="122" t="inlineStr">
        <is>
          <t>A</t>
        </is>
      </c>
      <c r="AL163" s="122" t="inlineStr">
        <is>
          <t>A+</t>
        </is>
      </c>
      <c r="AM163" s="122" t="inlineStr">
        <is>
          <t>B+</t>
        </is>
      </c>
      <c r="AN163" s="122">
        <f>IF(AI163="","",$AN$2)</f>
        <v/>
      </c>
      <c r="AO163" s="122">
        <f>IF(N163="","",IF(N163&gt;=$AO$1/100,"O","X"))</f>
        <v/>
      </c>
      <c r="AP163" s="122">
        <f>IF(I163="","",IF(I163&lt;=$AP$1,"O","X"))</f>
        <v/>
      </c>
      <c r="AQ163" s="122">
        <f>IF(O163="","",IF(O163&lt;=$AQ$1,"O","X"))</f>
        <v/>
      </c>
      <c r="AR163" s="122">
        <f>IF(M163="","",IF(M163&lt;=$AR$1,"O","X"))</f>
        <v/>
      </c>
      <c r="AS163" s="122" t="inlineStr">
        <is>
          <t>X</t>
        </is>
      </c>
      <c r="AT163" s="122">
        <f>IF(OR(F163="",AI163=""),"",IF(AND((F163&lt;=85),(AI163&gt;=15)),"O","X"))</f>
        <v/>
      </c>
      <c r="AU163" s="122">
        <f>IF(C163="","",IF(C163&gt;=$AU$1,"O","X"))</f>
        <v/>
      </c>
      <c r="AV163" s="122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1" t="n">
        <v>299</v>
      </c>
      <c r="D164" s="132" t="n">
        <v>46.1</v>
      </c>
      <c r="E164" s="133" t="n">
        <v>14</v>
      </c>
      <c r="F164" s="132" t="n">
        <v>27.8</v>
      </c>
      <c r="G164" s="17" t="n">
        <v>8</v>
      </c>
      <c r="H164" s="134" t="n">
        <v>1</v>
      </c>
      <c r="I164" s="135" t="n"/>
      <c r="J164" s="135" t="n"/>
      <c r="K164" s="135" t="n"/>
      <c r="L164" s="135" t="n"/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22" t="n">
        <v>1</v>
      </c>
      <c r="R164" s="122" t="n">
        <v>1</v>
      </c>
      <c r="S164" s="122" t="inlineStr">
        <is>
          <t>복</t>
        </is>
      </c>
      <c r="T164" s="5" t="inlineStr">
        <is>
          <t>46J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22">
        <f>S164</f>
        <v/>
      </c>
      <c r="AF164" s="122">
        <f>Q164&amp;"/"&amp;R164</f>
        <v/>
      </c>
      <c r="AH164" s="20">
        <f>IF(A164="","",A164)</f>
        <v/>
      </c>
      <c r="AI164" s="133">
        <f>IF(E164="","",E164)</f>
        <v/>
      </c>
      <c r="AJ164" s="122">
        <f>IF(AI164="","",$AJ$2)</f>
        <v/>
      </c>
      <c r="AK164" s="122" t="inlineStr">
        <is>
          <t>A</t>
        </is>
      </c>
      <c r="AL164" s="122" t="inlineStr">
        <is>
          <t>A+</t>
        </is>
      </c>
      <c r="AM164" s="122" t="inlineStr">
        <is>
          <t>B+</t>
        </is>
      </c>
      <c r="AN164" s="122">
        <f>IF(AI164="","",$AN$2)</f>
        <v/>
      </c>
      <c r="AO164" s="122">
        <f>IF(N164="","",IF(N164&gt;=$AO$1/100,"O","X"))</f>
        <v/>
      </c>
      <c r="AP164" s="122">
        <f>IF(I164="","",IF(I164&lt;=$AP$1,"O","X"))</f>
        <v/>
      </c>
      <c r="AQ164" s="122">
        <f>IF(O164="","",IF(O164&lt;=$AQ$1,"O","X"))</f>
        <v/>
      </c>
      <c r="AR164" s="122">
        <f>IF(M164="","",IF(M164&lt;=$AR$1,"O","X"))</f>
        <v/>
      </c>
      <c r="AS164" s="122" t="inlineStr">
        <is>
          <t>X</t>
        </is>
      </c>
      <c r="AT164" s="122">
        <f>IF(OR(F164="",AI164=""),"",IF(AND((F164&lt;=85),(AI164&gt;=15)),"O","X"))</f>
        <v/>
      </c>
      <c r="AU164" s="122">
        <f>IF(C164="","",IF(C164&gt;=$AU$1,"O","X"))</f>
        <v/>
      </c>
      <c r="AV164" s="122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1" t="n">
        <v>299</v>
      </c>
      <c r="D165" s="132" t="n">
        <v>48.6</v>
      </c>
      <c r="E165" s="133" t="n">
        <v>15</v>
      </c>
      <c r="F165" s="132" t="n">
        <v>29.3</v>
      </c>
      <c r="G165" s="17" t="n">
        <v>9</v>
      </c>
      <c r="H165" s="134" t="n">
        <v>1</v>
      </c>
      <c r="I165" s="135" t="n"/>
      <c r="J165" s="135" t="n"/>
      <c r="K165" s="135" t="n"/>
      <c r="L165" s="135" t="n"/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22" t="n">
        <v>1</v>
      </c>
      <c r="R165" s="122" t="n">
        <v>1</v>
      </c>
      <c r="S165" s="122" t="inlineStr">
        <is>
          <t>복</t>
        </is>
      </c>
      <c r="T165" s="5" t="inlineStr">
        <is>
          <t>48H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22">
        <f>S165</f>
        <v/>
      </c>
      <c r="AF165" s="122">
        <f>Q165&amp;"/"&amp;R165</f>
        <v/>
      </c>
      <c r="AH165" s="20">
        <f>IF(A165="","",A165)</f>
        <v/>
      </c>
      <c r="AI165" s="133">
        <f>IF(E165="","",E165)</f>
        <v/>
      </c>
      <c r="AJ165" s="122">
        <f>IF(AI165="","",$AJ$2)</f>
        <v/>
      </c>
      <c r="AK165" s="122" t="inlineStr">
        <is>
          <t>A</t>
        </is>
      </c>
      <c r="AL165" s="122" t="inlineStr">
        <is>
          <t>A+</t>
        </is>
      </c>
      <c r="AM165" s="122" t="inlineStr">
        <is>
          <t>B+</t>
        </is>
      </c>
      <c r="AN165" s="122">
        <f>IF(AI165="","",$AN$2)</f>
        <v/>
      </c>
      <c r="AO165" s="122">
        <f>IF(N165="","",IF(N165&gt;=$AO$1/100,"O","X"))</f>
        <v/>
      </c>
      <c r="AP165" s="122">
        <f>IF(I165="","",IF(I165&lt;=$AP$1,"O","X"))</f>
        <v/>
      </c>
      <c r="AQ165" s="122">
        <f>IF(O165="","",IF(O165&lt;=$AQ$1,"O","X"))</f>
        <v/>
      </c>
      <c r="AR165" s="122">
        <f>IF(M165="","",IF(M165&lt;=$AR$1,"O","X"))</f>
        <v/>
      </c>
      <c r="AS165" s="122" t="inlineStr">
        <is>
          <t>X</t>
        </is>
      </c>
      <c r="AT165" s="122">
        <f>IF(OR(F165="",AI165=""),"",IF(AND((F165&lt;=85),(AI165&gt;=15)),"O","X"))</f>
        <v/>
      </c>
      <c r="AU165" s="122">
        <f>IF(C165="","",IF(C165&gt;=$AU$1,"O","X"))</f>
        <v/>
      </c>
      <c r="AV165" s="122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1" t="n">
        <v>345</v>
      </c>
      <c r="D166" s="132" t="n">
        <v>33.6</v>
      </c>
      <c r="E166" s="133" t="n">
        <v>10</v>
      </c>
      <c r="F166" s="132" t="n">
        <v>26.1</v>
      </c>
      <c r="G166" s="17" t="n">
        <v>8</v>
      </c>
      <c r="H166" s="134" t="n">
        <v>179</v>
      </c>
      <c r="I166" s="135" t="n">
        <v>4900</v>
      </c>
      <c r="J166" s="135" t="inlineStr">
        <is>
          <t>15</t>
        </is>
      </c>
      <c r="K166" s="135" t="n">
        <v>5000</v>
      </c>
      <c r="L166" s="135" t="inlineStr">
        <is>
          <t>고</t>
        </is>
      </c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22" t="n">
        <v>1</v>
      </c>
      <c r="R166" s="122" t="n">
        <v>1</v>
      </c>
      <c r="S166" s="122" t="inlineStr">
        <is>
          <t>계</t>
        </is>
      </c>
      <c r="T166" s="5" t="n">
        <v>33</v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22">
        <f>S166</f>
        <v/>
      </c>
      <c r="AF166" s="122">
        <f>Q166&amp;"/"&amp;R166</f>
        <v/>
      </c>
      <c r="AH166" s="20">
        <f>IF(A166="","",A166)</f>
        <v/>
      </c>
      <c r="AI166" s="133">
        <f>IF(E166="","",E166)</f>
        <v/>
      </c>
      <c r="AJ166" s="122">
        <f>IF(AI166="","",$AJ$2)</f>
        <v/>
      </c>
      <c r="AK166" s="122" t="inlineStr">
        <is>
          <t>A</t>
        </is>
      </c>
      <c r="AL166" s="122" t="inlineStr">
        <is>
          <t>A+</t>
        </is>
      </c>
      <c r="AM166" s="122" t="inlineStr">
        <is>
          <t>B+</t>
        </is>
      </c>
      <c r="AN166" s="122">
        <f>IF(AI166="","",$AN$2)</f>
        <v/>
      </c>
      <c r="AO166" s="122">
        <f>IF(N166="","",IF(N166&gt;=$AO$1/100,"O","X"))</f>
        <v/>
      </c>
      <c r="AP166" s="122">
        <f>IF(I166="","",IF(I166&lt;=$AP$1,"O","X"))</f>
        <v/>
      </c>
      <c r="AQ166" s="122">
        <f>IF(O166="","",IF(O166&lt;=$AQ$1,"O","X"))</f>
        <v/>
      </c>
      <c r="AR166" s="122">
        <f>IF(M166="","",IF(M166&lt;=$AR$1,"O","X"))</f>
        <v/>
      </c>
      <c r="AS166" s="122" t="inlineStr">
        <is>
          <t>X</t>
        </is>
      </c>
      <c r="AT166" s="122">
        <f>IF(OR(F166="",AI166=""),"",IF(AND((F166&lt;=85),(AI166&gt;=15)),"O","X"))</f>
        <v/>
      </c>
      <c r="AU166" s="122">
        <f>IF(C166="","",IF(C166&gt;=$AU$1,"O","X"))</f>
        <v/>
      </c>
      <c r="AV166" s="122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1" t="n">
        <v>345</v>
      </c>
      <c r="D167" s="132" t="n">
        <v>108.7</v>
      </c>
      <c r="E167" s="133" t="n">
        <v>33</v>
      </c>
      <c r="F167" s="132" t="n">
        <v>84.8</v>
      </c>
      <c r="G167" s="17" t="n">
        <v>26</v>
      </c>
      <c r="H167" s="134" t="n">
        <v>163</v>
      </c>
      <c r="I167" s="135" t="n"/>
      <c r="J167" s="135" t="n"/>
      <c r="K167" s="135" t="n"/>
      <c r="L167" s="135" t="n"/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22" t="n">
        <v>3</v>
      </c>
      <c r="R167" s="122" t="n">
        <v>2</v>
      </c>
      <c r="S167" s="122" t="inlineStr">
        <is>
          <t>계</t>
        </is>
      </c>
      <c r="T167" s="5" t="n">
        <v>108</v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22">
        <f>S167</f>
        <v/>
      </c>
      <c r="AF167" s="122">
        <f>Q167&amp;"/"&amp;R167</f>
        <v/>
      </c>
      <c r="AH167" s="20">
        <f>IF(A167="","",A167)</f>
        <v/>
      </c>
      <c r="AI167" s="133">
        <f>IF(E167="","",E167)</f>
        <v/>
      </c>
      <c r="AJ167" s="122">
        <f>IF(AI167="","",$AJ$2)</f>
        <v/>
      </c>
      <c r="AK167" s="122" t="inlineStr">
        <is>
          <t>A</t>
        </is>
      </c>
      <c r="AL167" s="122" t="inlineStr">
        <is>
          <t>A+</t>
        </is>
      </c>
      <c r="AM167" s="122" t="inlineStr">
        <is>
          <t>B+</t>
        </is>
      </c>
      <c r="AN167" s="122">
        <f>IF(AI167="","",$AN$2)</f>
        <v/>
      </c>
      <c r="AO167" s="122">
        <f>IF(N167="","",IF(N167&gt;=$AO$1/100,"O","X"))</f>
        <v/>
      </c>
      <c r="AP167" s="122">
        <f>IF(I167="","",IF(I167&lt;=$AP$1,"O","X"))</f>
        <v/>
      </c>
      <c r="AQ167" s="122">
        <f>IF(O167="","",IF(O167&lt;=$AQ$1,"O","X"))</f>
        <v/>
      </c>
      <c r="AR167" s="122">
        <f>IF(M167="","",IF(M167&lt;=$AR$1,"O","X"))</f>
        <v/>
      </c>
      <c r="AS167" s="122" t="inlineStr">
        <is>
          <t>X</t>
        </is>
      </c>
      <c r="AT167" s="122">
        <f>IF(OR(F167="",AI167=""),"",IF(AND((F167&lt;=85),(AI167&gt;=15)),"O","X"))</f>
        <v/>
      </c>
      <c r="AU167" s="122">
        <f>IF(C167="","",IF(C167&gt;=$AU$1,"O","X"))</f>
        <v/>
      </c>
      <c r="AV167" s="122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1" t="n">
        <v>345</v>
      </c>
      <c r="D168" s="132" t="n">
        <v>209.9</v>
      </c>
      <c r="E168" s="133" t="n">
        <v>63</v>
      </c>
      <c r="F168" s="132" t="n">
        <v>163.6</v>
      </c>
      <c r="G168" s="17" t="n">
        <v>50</v>
      </c>
      <c r="H168" s="134" t="n">
        <v>3</v>
      </c>
      <c r="I168" s="135" t="n"/>
      <c r="J168" s="135" t="n"/>
      <c r="K168" s="135" t="n"/>
      <c r="L168" s="135" t="n"/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22" t="n">
        <v>5</v>
      </c>
      <c r="R168" s="122" t="n">
        <v>2</v>
      </c>
      <c r="S168" s="122" t="inlineStr">
        <is>
          <t>계</t>
        </is>
      </c>
      <c r="T168" s="5" t="n">
        <v>209</v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22">
        <f>S168</f>
        <v/>
      </c>
      <c r="AF168" s="122">
        <f>Q168&amp;"/"&amp;R168</f>
        <v/>
      </c>
      <c r="AH168" s="20">
        <f>IF(A168="","",A168)</f>
        <v/>
      </c>
      <c r="AI168" s="133">
        <f>IF(E168="","",E168)</f>
        <v/>
      </c>
      <c r="AJ168" s="122">
        <f>IF(AI168="","",$AJ$2)</f>
        <v/>
      </c>
      <c r="AK168" s="122" t="inlineStr">
        <is>
          <t>A</t>
        </is>
      </c>
      <c r="AL168" s="122" t="inlineStr">
        <is>
          <t>A+</t>
        </is>
      </c>
      <c r="AM168" s="122" t="inlineStr">
        <is>
          <t>B+</t>
        </is>
      </c>
      <c r="AN168" s="122">
        <f>IF(AI168="","",$AN$2)</f>
        <v/>
      </c>
      <c r="AO168" s="122">
        <f>IF(N168="","",IF(N168&gt;=$AO$1/100,"O","X"))</f>
        <v/>
      </c>
      <c r="AP168" s="122">
        <f>IF(I168="","",IF(I168&lt;=$AP$1,"O","X"))</f>
        <v/>
      </c>
      <c r="AQ168" s="122">
        <f>IF(O168="","",IF(O168&lt;=$AQ$1,"O","X"))</f>
        <v/>
      </c>
      <c r="AR168" s="122">
        <f>IF(M168="","",IF(M168&lt;=$AR$1,"O","X"))</f>
        <v/>
      </c>
      <c r="AS168" s="122" t="inlineStr">
        <is>
          <t>X</t>
        </is>
      </c>
      <c r="AT168" s="122">
        <f>IF(OR(F168="",AI168=""),"",IF(AND((F168&lt;=85),(AI168&gt;=15)),"O","X"))</f>
        <v/>
      </c>
      <c r="AU168" s="122">
        <f>IF(C168="","",IF(C168&gt;=$AU$1,"O","X"))</f>
        <v/>
      </c>
      <c r="AV168" s="122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1" t="n">
        <v>275</v>
      </c>
      <c r="D169" s="132" t="n">
        <v>104</v>
      </c>
      <c r="E169" s="133" t="n">
        <v>31</v>
      </c>
      <c r="F169" s="132" t="n">
        <v>84.59999999999999</v>
      </c>
      <c r="G169" s="17" t="n">
        <v>26</v>
      </c>
      <c r="H169" s="134" t="n">
        <v>196</v>
      </c>
      <c r="I169" s="135" t="n"/>
      <c r="J169" s="135" t="n"/>
      <c r="K169" s="135" t="n"/>
      <c r="L169" s="135" t="n"/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22" t="n">
        <v>3</v>
      </c>
      <c r="R169" s="122" t="n">
        <v>2</v>
      </c>
      <c r="S169" s="122" t="inlineStr">
        <is>
          <t>계</t>
        </is>
      </c>
      <c r="T169" s="5" t="n">
        <v>104</v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22">
        <f>S169</f>
        <v/>
      </c>
      <c r="AF169" s="122">
        <f>Q169&amp;"/"&amp;R169</f>
        <v/>
      </c>
      <c r="AH169" s="20">
        <f>IF(A169="","",A169)</f>
        <v/>
      </c>
      <c r="AI169" s="133">
        <f>IF(E169="","",E169)</f>
        <v/>
      </c>
      <c r="AJ169" s="122">
        <f>IF(AI169="","",$AJ$2)</f>
        <v/>
      </c>
      <c r="AK169" s="122" t="inlineStr">
        <is>
          <t>A</t>
        </is>
      </c>
      <c r="AL169" s="122" t="inlineStr">
        <is>
          <t>A+</t>
        </is>
      </c>
      <c r="AM169" s="122" t="inlineStr">
        <is>
          <t>B+</t>
        </is>
      </c>
      <c r="AN169" s="122">
        <f>IF(AI169="","",$AN$2)</f>
        <v/>
      </c>
      <c r="AO169" s="122">
        <f>IF(N169="","",IF(N169&gt;=$AO$1/100,"O","X"))</f>
        <v/>
      </c>
      <c r="AP169" s="122">
        <f>IF(I169="","",IF(I169&lt;=$AP$1,"O","X"))</f>
        <v/>
      </c>
      <c r="AQ169" s="122">
        <f>IF(O169="","",IF(O169&lt;=$AQ$1,"O","X"))</f>
        <v/>
      </c>
      <c r="AR169" s="122">
        <f>IF(M169="","",IF(M169&lt;=$AR$1,"O","X"))</f>
        <v/>
      </c>
      <c r="AS169" s="122" t="inlineStr">
        <is>
          <t>X</t>
        </is>
      </c>
      <c r="AT169" s="122">
        <f>IF(OR(F169="",AI169=""),"",IF(AND((F169&lt;=85),(AI169&gt;=15)),"O","X"))</f>
        <v/>
      </c>
      <c r="AU169" s="122">
        <f>IF(C169="","",IF(C169&gt;=$AU$1,"O","X"))</f>
        <v/>
      </c>
      <c r="AV169" s="122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1" t="n">
        <v>275</v>
      </c>
      <c r="D170" s="132" t="n">
        <v>140.8</v>
      </c>
      <c r="E170" s="133" t="n">
        <v>43</v>
      </c>
      <c r="F170" s="132" t="n">
        <v>116.6</v>
      </c>
      <c r="G170" s="17" t="n">
        <v>35</v>
      </c>
      <c r="H170" s="134" t="n">
        <v>79</v>
      </c>
      <c r="I170" s="135" t="n"/>
      <c r="J170" s="135" t="n"/>
      <c r="K170" s="135" t="n"/>
      <c r="L170" s="135" t="n"/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22" t="n">
        <v>4</v>
      </c>
      <c r="R170" s="122" t="n">
        <v>2</v>
      </c>
      <c r="S170" s="122" t="inlineStr">
        <is>
          <t>계</t>
        </is>
      </c>
      <c r="T170" s="5" t="n">
        <v>140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22">
        <f>S170</f>
        <v/>
      </c>
      <c r="AF170" s="122">
        <f>Q170&amp;"/"&amp;R170</f>
        <v/>
      </c>
      <c r="AH170" s="20">
        <f>IF(A170="","",A170)</f>
        <v/>
      </c>
      <c r="AI170" s="133">
        <f>IF(E170="","",E170)</f>
        <v/>
      </c>
      <c r="AJ170" s="122">
        <f>IF(AI170="","",$AJ$2)</f>
        <v/>
      </c>
      <c r="AK170" s="122" t="inlineStr">
        <is>
          <t>A</t>
        </is>
      </c>
      <c r="AL170" s="122" t="inlineStr">
        <is>
          <t>A+</t>
        </is>
      </c>
      <c r="AM170" s="122" t="inlineStr">
        <is>
          <t>B+</t>
        </is>
      </c>
      <c r="AN170" s="122">
        <f>IF(AI170="","",$AN$2)</f>
        <v/>
      </c>
      <c r="AO170" s="122">
        <f>IF(N170="","",IF(N170&gt;=$AO$1/100,"O","X"))</f>
        <v/>
      </c>
      <c r="AP170" s="122">
        <f>IF(I170="","",IF(I170&lt;=$AP$1,"O","X"))</f>
        <v/>
      </c>
      <c r="AQ170" s="122">
        <f>IF(O170="","",IF(O170&lt;=$AQ$1,"O","X"))</f>
        <v/>
      </c>
      <c r="AR170" s="122">
        <f>IF(M170="","",IF(M170&lt;=$AR$1,"O","X"))</f>
        <v/>
      </c>
      <c r="AS170" s="122" t="inlineStr">
        <is>
          <t>X</t>
        </is>
      </c>
      <c r="AT170" s="122">
        <f>IF(OR(F170="",AI170=""),"",IF(AND((F170&lt;=85),(AI170&gt;=15)),"O","X"))</f>
        <v/>
      </c>
      <c r="AU170" s="122">
        <f>IF(C170="","",IF(C170&gt;=$AU$1,"O","X"))</f>
        <v/>
      </c>
      <c r="AV170" s="122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1" t="n">
        <v>614</v>
      </c>
      <c r="D171" s="132" t="n">
        <v>110.6</v>
      </c>
      <c r="E171" s="133" t="n">
        <v>33</v>
      </c>
      <c r="F171" s="132" t="n">
        <v>84.90000000000001</v>
      </c>
      <c r="G171" s="17" t="n">
        <v>26</v>
      </c>
      <c r="H171" s="134" t="n">
        <v>203</v>
      </c>
      <c r="I171" s="135" t="n">
        <v>43000</v>
      </c>
      <c r="J171" s="135" t="inlineStr">
        <is>
          <t>고</t>
        </is>
      </c>
      <c r="K171" s="135" t="n">
        <v>32000</v>
      </c>
      <c r="L171" s="135" t="inlineStr">
        <is>
          <t>고</t>
        </is>
      </c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22" t="n">
        <v>3</v>
      </c>
      <c r="R171" s="122" t="n">
        <v>2</v>
      </c>
      <c r="S171" s="122" t="inlineStr">
        <is>
          <t>계</t>
        </is>
      </c>
      <c r="T171" s="5" t="inlineStr">
        <is>
          <t>110A</t>
        </is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22">
        <f>S171</f>
        <v/>
      </c>
      <c r="AF171" s="122">
        <f>Q171&amp;"/"&amp;R171</f>
        <v/>
      </c>
      <c r="AH171" s="20">
        <f>IF(A171="","",A171)</f>
        <v/>
      </c>
      <c r="AI171" s="133">
        <f>IF(E171="","",E171)</f>
        <v/>
      </c>
      <c r="AJ171" s="122">
        <f>IF(AI171="","",$AJ$2)</f>
        <v/>
      </c>
      <c r="AK171" s="122" t="inlineStr">
        <is>
          <t>A</t>
        </is>
      </c>
      <c r="AL171" s="122" t="inlineStr">
        <is>
          <t>A+</t>
        </is>
      </c>
      <c r="AM171" s="122" t="inlineStr">
        <is>
          <t>B+</t>
        </is>
      </c>
      <c r="AN171" s="122">
        <f>IF(AI171="","",$AN$2)</f>
        <v/>
      </c>
      <c r="AO171" s="122">
        <f>IF(N171="","",IF(N171&gt;=$AO$1/100,"O","X"))</f>
        <v/>
      </c>
      <c r="AP171" s="122">
        <f>IF(I171="","",IF(I171&lt;=$AP$1,"O","X"))</f>
        <v/>
      </c>
      <c r="AQ171" s="122">
        <f>IF(O171="","",IF(O171&lt;=$AQ$1,"O","X"))</f>
        <v/>
      </c>
      <c r="AR171" s="122">
        <f>IF(M171="","",IF(M171&lt;=$AR$1,"O","X"))</f>
        <v/>
      </c>
      <c r="AS171" s="122" t="inlineStr">
        <is>
          <t>X</t>
        </is>
      </c>
      <c r="AT171" s="122">
        <f>IF(OR(F171="",AI171=""),"",IF(AND((F171&lt;=85),(AI171&gt;=15)),"O","X"))</f>
        <v/>
      </c>
      <c r="AU171" s="122">
        <f>IF(C171="","",IF(C171&gt;=$AU$1,"O","X"))</f>
        <v/>
      </c>
      <c r="AV171" s="122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1" t="n">
        <v>614</v>
      </c>
      <c r="D172" s="132" t="n">
        <v>110.2</v>
      </c>
      <c r="E172" s="133" t="n">
        <v>33</v>
      </c>
      <c r="F172" s="132" t="n">
        <v>84.8</v>
      </c>
      <c r="G172" s="17" t="n">
        <v>26</v>
      </c>
      <c r="H172" s="134" t="n">
        <v>89</v>
      </c>
      <c r="I172" s="135" t="n">
        <v>41000</v>
      </c>
      <c r="J172" s="135" t="inlineStr">
        <is>
          <t>15</t>
        </is>
      </c>
      <c r="K172" s="135" t="n">
        <v>30000</v>
      </c>
      <c r="L172" s="135" t="inlineStr">
        <is>
          <t>16</t>
        </is>
      </c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22" t="n">
        <v>3</v>
      </c>
      <c r="R172" s="122" t="n">
        <v>2</v>
      </c>
      <c r="S172" s="122" t="inlineStr">
        <is>
          <t>계</t>
        </is>
      </c>
      <c r="T172" s="5" t="inlineStr">
        <is>
          <t>110C</t>
        </is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22">
        <f>S172</f>
        <v/>
      </c>
      <c r="AF172" s="122">
        <f>Q172&amp;"/"&amp;R172</f>
        <v/>
      </c>
      <c r="AH172" s="20">
        <f>IF(A172="","",A172)</f>
        <v/>
      </c>
      <c r="AI172" s="133">
        <f>IF(E172="","",E172)</f>
        <v/>
      </c>
      <c r="AJ172" s="122">
        <f>IF(AI172="","",$AJ$2)</f>
        <v/>
      </c>
      <c r="AK172" s="122" t="inlineStr">
        <is>
          <t>A</t>
        </is>
      </c>
      <c r="AL172" s="122" t="inlineStr">
        <is>
          <t>A+</t>
        </is>
      </c>
      <c r="AM172" s="122" t="inlineStr">
        <is>
          <t>B+</t>
        </is>
      </c>
      <c r="AN172" s="122">
        <f>IF(AI172="","",$AN$2)</f>
        <v/>
      </c>
      <c r="AO172" s="122">
        <f>IF(N172="","",IF(N172&gt;=$AO$1/100,"O","X"))</f>
        <v/>
      </c>
      <c r="AP172" s="122">
        <f>IF(I172="","",IF(I172&lt;=$AP$1,"O","X"))</f>
        <v/>
      </c>
      <c r="AQ172" s="122">
        <f>IF(O172="","",IF(O172&lt;=$AQ$1,"O","X"))</f>
        <v/>
      </c>
      <c r="AR172" s="122">
        <f>IF(M172="","",IF(M172&lt;=$AR$1,"O","X"))</f>
        <v/>
      </c>
      <c r="AS172" s="122" t="inlineStr">
        <is>
          <t>X</t>
        </is>
      </c>
      <c r="AT172" s="122">
        <f>IF(OR(F172="",AI172=""),"",IF(AND((F172&lt;=85),(AI172&gt;=15)),"O","X"))</f>
        <v/>
      </c>
      <c r="AU172" s="122">
        <f>IF(C172="","",IF(C172&gt;=$AU$1,"O","X"))</f>
        <v/>
      </c>
      <c r="AV172" s="122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1" t="n">
        <v>614</v>
      </c>
      <c r="D173" s="132" t="n">
        <v>111.9</v>
      </c>
      <c r="E173" s="133" t="n">
        <v>34</v>
      </c>
      <c r="F173" s="132" t="n">
        <v>84.90000000000001</v>
      </c>
      <c r="G173" s="17" t="n">
        <v>26</v>
      </c>
      <c r="H173" s="134" t="n">
        <v>115</v>
      </c>
      <c r="I173" s="135" t="n">
        <v>42000</v>
      </c>
      <c r="J173" s="135" t="inlineStr">
        <is>
          <t>7</t>
        </is>
      </c>
      <c r="K173" s="135" t="n">
        <v>34000</v>
      </c>
      <c r="L173" s="135" t="inlineStr">
        <is>
          <t>5</t>
        </is>
      </c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22" t="n">
        <v>3</v>
      </c>
      <c r="R173" s="122" t="n">
        <v>2</v>
      </c>
      <c r="S173" s="122" t="inlineStr">
        <is>
          <t>계</t>
        </is>
      </c>
      <c r="T173" s="5" t="inlineStr">
        <is>
          <t>111B</t>
        </is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22">
        <f>S173</f>
        <v/>
      </c>
      <c r="AF173" s="122">
        <f>Q173&amp;"/"&amp;R173</f>
        <v/>
      </c>
      <c r="AH173" s="20">
        <f>IF(A173="","",A173)</f>
        <v/>
      </c>
      <c r="AI173" s="133">
        <f>IF(E173="","",E173)</f>
        <v/>
      </c>
      <c r="AJ173" s="122">
        <f>IF(AI173="","",$AJ$2)</f>
        <v/>
      </c>
      <c r="AK173" s="122" t="inlineStr">
        <is>
          <t>A</t>
        </is>
      </c>
      <c r="AL173" s="122" t="inlineStr">
        <is>
          <t>A+</t>
        </is>
      </c>
      <c r="AM173" s="122" t="inlineStr">
        <is>
          <t>B+</t>
        </is>
      </c>
      <c r="AN173" s="122">
        <f>IF(AI173="","",$AN$2)</f>
        <v/>
      </c>
      <c r="AO173" s="122">
        <f>IF(N173="","",IF(N173&gt;=$AO$1/100,"O","X"))</f>
        <v/>
      </c>
      <c r="AP173" s="122">
        <f>IF(I173="","",IF(I173&lt;=$AP$1,"O","X"))</f>
        <v/>
      </c>
      <c r="AQ173" s="122">
        <f>IF(O173="","",IF(O173&lt;=$AQ$1,"O","X"))</f>
        <v/>
      </c>
      <c r="AR173" s="122">
        <f>IF(M173="","",IF(M173&lt;=$AR$1,"O","X"))</f>
        <v/>
      </c>
      <c r="AS173" s="122" t="inlineStr">
        <is>
          <t>X</t>
        </is>
      </c>
      <c r="AT173" s="122">
        <f>IF(OR(F173="",AI173=""),"",IF(AND((F173&lt;=85),(AI173&gt;=15)),"O","X"))</f>
        <v/>
      </c>
      <c r="AU173" s="122">
        <f>IF(C173="","",IF(C173&gt;=$AU$1,"O","X"))</f>
        <v/>
      </c>
      <c r="AV173" s="122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1" t="n">
        <v>614</v>
      </c>
      <c r="D174" s="132" t="n">
        <v>131.3</v>
      </c>
      <c r="E174" s="133" t="n">
        <v>40</v>
      </c>
      <c r="F174" s="132" t="n">
        <v>105.6</v>
      </c>
      <c r="G174" s="17" t="n">
        <v>32</v>
      </c>
      <c r="H174" s="134" t="n">
        <v>198</v>
      </c>
      <c r="I174" s="135" t="n"/>
      <c r="J174" s="135" t="n"/>
      <c r="K174" s="135" t="n"/>
      <c r="L174" s="135" t="n"/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22" t="n">
        <v>3</v>
      </c>
      <c r="R174" s="122" t="n">
        <v>2</v>
      </c>
      <c r="S174" s="122" t="inlineStr">
        <is>
          <t>계</t>
        </is>
      </c>
      <c r="T174" s="5" t="n">
        <v>131</v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22">
        <f>S174</f>
        <v/>
      </c>
      <c r="AF174" s="122">
        <f>Q174&amp;"/"&amp;R174</f>
        <v/>
      </c>
      <c r="AH174" s="20">
        <f>IF(A174="","",A174)</f>
        <v/>
      </c>
      <c r="AI174" s="133">
        <f>IF(E174="","",E174)</f>
        <v/>
      </c>
      <c r="AJ174" s="122">
        <f>IF(AI174="","",$AJ$2)</f>
        <v/>
      </c>
      <c r="AK174" s="122" t="inlineStr">
        <is>
          <t>A</t>
        </is>
      </c>
      <c r="AL174" s="122" t="inlineStr">
        <is>
          <t>A+</t>
        </is>
      </c>
      <c r="AM174" s="122" t="inlineStr">
        <is>
          <t>B+</t>
        </is>
      </c>
      <c r="AN174" s="122">
        <f>IF(AI174="","",$AN$2)</f>
        <v/>
      </c>
      <c r="AO174" s="122">
        <f>IF(N174="","",IF(N174&gt;=$AO$1/100,"O","X"))</f>
        <v/>
      </c>
      <c r="AP174" s="122">
        <f>IF(I174="","",IF(I174&lt;=$AP$1,"O","X"))</f>
        <v/>
      </c>
      <c r="AQ174" s="122">
        <f>IF(O174="","",IF(O174&lt;=$AQ$1,"O","X"))</f>
        <v/>
      </c>
      <c r="AR174" s="122">
        <f>IF(M174="","",IF(M174&lt;=$AR$1,"O","X"))</f>
        <v/>
      </c>
      <c r="AS174" s="122" t="inlineStr">
        <is>
          <t>X</t>
        </is>
      </c>
      <c r="AT174" s="122">
        <f>IF(OR(F174="",AI174=""),"",IF(AND((F174&lt;=85),(AI174&gt;=15)),"O","X"))</f>
        <v/>
      </c>
      <c r="AU174" s="122">
        <f>IF(C174="","",IF(C174&gt;=$AU$1,"O","X"))</f>
        <v/>
      </c>
      <c r="AV174" s="122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1" t="n">
        <v>614</v>
      </c>
      <c r="D175" s="132" t="n">
        <v>163.7</v>
      </c>
      <c r="E175" s="133" t="n">
        <v>50</v>
      </c>
      <c r="F175" s="132" t="n">
        <v>131</v>
      </c>
      <c r="G175" s="17" t="n">
        <v>40</v>
      </c>
      <c r="H175" s="134" t="n">
        <v>9</v>
      </c>
      <c r="I175" s="135" t="n"/>
      <c r="J175" s="135" t="n"/>
      <c r="K175" s="135" t="n"/>
      <c r="L175" s="135" t="n"/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22" t="n">
        <v>5</v>
      </c>
      <c r="R175" s="122" t="n">
        <v>4</v>
      </c>
      <c r="S175" s="122" t="inlineStr">
        <is>
          <t>계</t>
        </is>
      </c>
      <c r="T175" s="5" t="n">
        <v>163</v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22">
        <f>S175</f>
        <v/>
      </c>
      <c r="AF175" s="122">
        <f>Q175&amp;"/"&amp;R175</f>
        <v/>
      </c>
      <c r="AH175" s="20">
        <f>IF(A175="","",A175)</f>
        <v/>
      </c>
      <c r="AI175" s="133">
        <f>IF(E175="","",E175)</f>
        <v/>
      </c>
      <c r="AJ175" s="122">
        <f>IF(AI175="","",$AJ$2)</f>
        <v/>
      </c>
      <c r="AK175" s="122" t="inlineStr">
        <is>
          <t>A</t>
        </is>
      </c>
      <c r="AL175" s="122" t="inlineStr">
        <is>
          <t>A+</t>
        </is>
      </c>
      <c r="AM175" s="122" t="inlineStr">
        <is>
          <t>B+</t>
        </is>
      </c>
      <c r="AN175" s="122">
        <f>IF(AI175="","",$AN$2)</f>
        <v/>
      </c>
      <c r="AO175" s="122">
        <f>IF(N175="","",IF(N175&gt;=$AO$1/100,"O","X"))</f>
        <v/>
      </c>
      <c r="AP175" s="122">
        <f>IF(I175="","",IF(I175&lt;=$AP$1,"O","X"))</f>
        <v/>
      </c>
      <c r="AQ175" s="122">
        <f>IF(O175="","",IF(O175&lt;=$AQ$1,"O","X"))</f>
        <v/>
      </c>
      <c r="AR175" s="122">
        <f>IF(M175="","",IF(M175&lt;=$AR$1,"O","X"))</f>
        <v/>
      </c>
      <c r="AS175" s="122" t="inlineStr">
        <is>
          <t>X</t>
        </is>
      </c>
      <c r="AT175" s="122">
        <f>IF(OR(F175="",AI175=""),"",IF(AND((F175&lt;=85),(AI175&gt;=15)),"O","X"))</f>
        <v/>
      </c>
      <c r="AU175" s="122">
        <f>IF(C175="","",IF(C175&gt;=$AU$1,"O","X"))</f>
        <v/>
      </c>
      <c r="AV175" s="122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1" t="n">
        <v>218</v>
      </c>
      <c r="D176" s="132" t="n">
        <v>84.5</v>
      </c>
      <c r="E176" s="133" t="n">
        <v>26</v>
      </c>
      <c r="F176" s="132" t="n">
        <v>70.8</v>
      </c>
      <c r="G176" s="17" t="n">
        <v>21</v>
      </c>
      <c r="H176" s="134" t="n">
        <v>72</v>
      </c>
      <c r="I176" s="135" t="n"/>
      <c r="J176" s="135" t="n"/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22" t="n">
        <v>3</v>
      </c>
      <c r="R176" s="122" t="n">
        <v>1</v>
      </c>
      <c r="S176" s="122" t="inlineStr">
        <is>
          <t>계</t>
        </is>
      </c>
      <c r="T176" s="5" t="n">
        <v>84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22">
        <f>S176</f>
        <v/>
      </c>
      <c r="AF176" s="122">
        <f>Q176&amp;"/"&amp;R176</f>
        <v/>
      </c>
      <c r="AH176" s="20">
        <f>IF(A176="","",A176)</f>
        <v/>
      </c>
      <c r="AI176" s="133">
        <f>IF(E176="","",E176)</f>
        <v/>
      </c>
      <c r="AJ176" s="122">
        <f>IF(AI176="","",$AJ$2)</f>
        <v/>
      </c>
      <c r="AK176" s="122" t="inlineStr">
        <is>
          <t>A</t>
        </is>
      </c>
      <c r="AL176" s="122" t="inlineStr">
        <is>
          <t>A+</t>
        </is>
      </c>
      <c r="AM176" s="122" t="inlineStr">
        <is>
          <t>B+</t>
        </is>
      </c>
      <c r="AN176" s="122">
        <f>IF(AI176="","",$AN$2)</f>
        <v/>
      </c>
      <c r="AO176" s="122">
        <f>IF(N176="","",IF(N176&gt;=$AO$1/100,"O","X"))</f>
        <v/>
      </c>
      <c r="AP176" s="122">
        <f>IF(I176="","",IF(I176&lt;=$AP$1,"O","X"))</f>
        <v/>
      </c>
      <c r="AQ176" s="122">
        <f>IF(O176="","",IF(O176&lt;=$AQ$1,"O","X"))</f>
        <v/>
      </c>
      <c r="AR176" s="122">
        <f>IF(M176="","",IF(M176&lt;=$AR$1,"O","X"))</f>
        <v/>
      </c>
      <c r="AS176" s="122" t="inlineStr">
        <is>
          <t>X</t>
        </is>
      </c>
      <c r="AT176" s="122">
        <f>IF(OR(F176="",AI176=""),"",IF(AND((F176&lt;=85),(AI176&gt;=15)),"O","X"))</f>
        <v/>
      </c>
      <c r="AU176" s="122">
        <f>IF(C176="","",IF(C176&gt;=$AU$1,"O","X"))</f>
        <v/>
      </c>
      <c r="AV176" s="122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1" t="n">
        <v>218</v>
      </c>
      <c r="D177" s="132" t="n">
        <v>85.8</v>
      </c>
      <c r="E177" s="133" t="n">
        <v>26</v>
      </c>
      <c r="F177" s="132" t="n">
        <v>72.40000000000001</v>
      </c>
      <c r="G177" s="17" t="n">
        <v>22</v>
      </c>
      <c r="H177" s="134" t="n">
        <v>146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22" t="n">
        <v>3</v>
      </c>
      <c r="R177" s="122" t="n">
        <v>1</v>
      </c>
      <c r="S177" s="122" t="inlineStr">
        <is>
          <t>계</t>
        </is>
      </c>
      <c r="T177" s="5" t="n">
        <v>85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22">
        <f>S177</f>
        <v/>
      </c>
      <c r="AF177" s="122">
        <f>Q177&amp;"/"&amp;R177</f>
        <v/>
      </c>
      <c r="AH177" s="20">
        <f>IF(A177="","",A177)</f>
        <v/>
      </c>
      <c r="AI177" s="133">
        <f>IF(E177="","",E177)</f>
        <v/>
      </c>
      <c r="AJ177" s="122">
        <f>IF(AI177="","",$AJ$2)</f>
        <v/>
      </c>
      <c r="AK177" s="122" t="inlineStr">
        <is>
          <t>A</t>
        </is>
      </c>
      <c r="AL177" s="122" t="inlineStr">
        <is>
          <t>A+</t>
        </is>
      </c>
      <c r="AM177" s="122" t="inlineStr">
        <is>
          <t>B+</t>
        </is>
      </c>
      <c r="AN177" s="122">
        <f>IF(AI177="","",$AN$2)</f>
        <v/>
      </c>
      <c r="AO177" s="122">
        <f>IF(N177="","",IF(N177&gt;=$AO$1/100,"O","X"))</f>
        <v/>
      </c>
      <c r="AP177" s="122">
        <f>IF(I177="","",IF(I177&lt;=$AP$1,"O","X"))</f>
        <v/>
      </c>
      <c r="AQ177" s="122">
        <f>IF(O177="","",IF(O177&lt;=$AQ$1,"O","X"))</f>
        <v/>
      </c>
      <c r="AR177" s="122">
        <f>IF(M177="","",IF(M177&lt;=$AR$1,"O","X"))</f>
        <v/>
      </c>
      <c r="AS177" s="122" t="inlineStr">
        <is>
          <t>X</t>
        </is>
      </c>
      <c r="AT177" s="122">
        <f>IF(OR(F177="",AI177=""),"",IF(AND((F177&lt;=85),(AI177&gt;=15)),"O","X"))</f>
        <v/>
      </c>
      <c r="AU177" s="122">
        <f>IF(C177="","",IF(C177&gt;=$AU$1,"O","X"))</f>
        <v/>
      </c>
      <c r="AV177" s="122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1" t="n">
        <v>489</v>
      </c>
      <c r="D178" s="132" t="n">
        <v>69.2</v>
      </c>
      <c r="E178" s="133" t="n">
        <v>21</v>
      </c>
      <c r="F178" s="132" t="n">
        <v>59.8</v>
      </c>
      <c r="G178" s="17" t="n">
        <v>18</v>
      </c>
      <c r="H178" s="134" t="n">
        <v>176</v>
      </c>
      <c r="I178" s="135" t="n">
        <v>17000</v>
      </c>
      <c r="J178" s="135" t="inlineStr">
        <is>
          <t>12</t>
        </is>
      </c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22" t="n">
        <v>3</v>
      </c>
      <c r="R178" s="122" t="n">
        <v>1</v>
      </c>
      <c r="S178" s="122" t="inlineStr">
        <is>
          <t>계</t>
        </is>
      </c>
      <c r="T178" s="5" t="n">
        <v>69</v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22">
        <f>S178</f>
        <v/>
      </c>
      <c r="AF178" s="122">
        <f>Q178&amp;"/"&amp;R178</f>
        <v/>
      </c>
      <c r="AH178" s="20">
        <f>IF(A178="","",A178)</f>
        <v/>
      </c>
      <c r="AI178" s="133">
        <f>IF(E178="","",E178)</f>
        <v/>
      </c>
      <c r="AJ178" s="122">
        <f>IF(AI178="","",$AJ$2)</f>
        <v/>
      </c>
      <c r="AK178" s="122" t="inlineStr">
        <is>
          <t>A</t>
        </is>
      </c>
      <c r="AL178" s="122" t="inlineStr">
        <is>
          <t>A+</t>
        </is>
      </c>
      <c r="AM178" s="122" t="inlineStr">
        <is>
          <t>B+</t>
        </is>
      </c>
      <c r="AN178" s="122">
        <f>IF(AI178="","",$AN$2)</f>
        <v/>
      </c>
      <c r="AO178" s="122">
        <f>IF(N178="","",IF(N178&gt;=$AO$1/100,"O","X"))</f>
        <v/>
      </c>
      <c r="AP178" s="122">
        <f>IF(I178="","",IF(I178&lt;=$AP$1,"O","X"))</f>
        <v/>
      </c>
      <c r="AQ178" s="122">
        <f>IF(O178="","",IF(O178&lt;=$AQ$1,"O","X"))</f>
        <v/>
      </c>
      <c r="AR178" s="122">
        <f>IF(M178="","",IF(M178&lt;=$AR$1,"O","X"))</f>
        <v/>
      </c>
      <c r="AS178" s="122" t="inlineStr">
        <is>
          <t>X</t>
        </is>
      </c>
      <c r="AT178" s="122">
        <f>IF(OR(F178="",AI178=""),"",IF(AND((F178&lt;=85),(AI178&gt;=15)),"O","X"))</f>
        <v/>
      </c>
      <c r="AU178" s="122">
        <f>IF(C178="","",IF(C178&gt;=$AU$1,"O","X"))</f>
        <v/>
      </c>
      <c r="AV178" s="122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1" t="n">
        <v>489</v>
      </c>
      <c r="D179" s="132" t="n">
        <v>97.59999999999999</v>
      </c>
      <c r="E179" s="133" t="n">
        <v>30</v>
      </c>
      <c r="F179" s="132" t="n">
        <v>84.40000000000001</v>
      </c>
      <c r="G179" s="17" t="n">
        <v>26</v>
      </c>
      <c r="H179" s="134" t="n">
        <v>228</v>
      </c>
      <c r="I179" s="135" t="n">
        <v>21000</v>
      </c>
      <c r="J179" s="135" t="inlineStr">
        <is>
          <t>7</t>
        </is>
      </c>
      <c r="K179" s="135" t="n"/>
      <c r="L179" s="135" t="n"/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22" t="n">
        <v>3</v>
      </c>
      <c r="R179" s="122" t="n">
        <v>2</v>
      </c>
      <c r="S179" s="122" t="inlineStr">
        <is>
          <t>계</t>
        </is>
      </c>
      <c r="T179" s="5" t="n">
        <v>97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22">
        <f>S179</f>
        <v/>
      </c>
      <c r="AF179" s="122">
        <f>Q179&amp;"/"&amp;R179</f>
        <v/>
      </c>
      <c r="AH179" s="20">
        <f>IF(A179="","",A179)</f>
        <v/>
      </c>
      <c r="AI179" s="133">
        <f>IF(E179="","",E179)</f>
        <v/>
      </c>
      <c r="AJ179" s="122">
        <f>IF(AI179="","",$AJ$2)</f>
        <v/>
      </c>
      <c r="AK179" s="122" t="inlineStr">
        <is>
          <t>A</t>
        </is>
      </c>
      <c r="AL179" s="122" t="inlineStr">
        <is>
          <t>A+</t>
        </is>
      </c>
      <c r="AM179" s="122" t="inlineStr">
        <is>
          <t>B+</t>
        </is>
      </c>
      <c r="AN179" s="122">
        <f>IF(AI179="","",$AN$2)</f>
        <v/>
      </c>
      <c r="AO179" s="122">
        <f>IF(N179="","",IF(N179&gt;=$AO$1/100,"O","X"))</f>
        <v/>
      </c>
      <c r="AP179" s="122">
        <f>IF(I179="","",IF(I179&lt;=$AP$1,"O","X"))</f>
        <v/>
      </c>
      <c r="AQ179" s="122">
        <f>IF(O179="","",IF(O179&lt;=$AQ$1,"O","X"))</f>
        <v/>
      </c>
      <c r="AR179" s="122">
        <f>IF(M179="","",IF(M179&lt;=$AR$1,"O","X"))</f>
        <v/>
      </c>
      <c r="AS179" s="122" t="inlineStr">
        <is>
          <t>X</t>
        </is>
      </c>
      <c r="AT179" s="122">
        <f>IF(OR(F179="",AI179=""),"",IF(AND((F179&lt;=85),(AI179&gt;=15)),"O","X"))</f>
        <v/>
      </c>
      <c r="AU179" s="122">
        <f>IF(C179="","",IF(C179&gt;=$AU$1,"O","X"))</f>
        <v/>
      </c>
      <c r="AV179" s="122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1" t="n">
        <v>489</v>
      </c>
      <c r="D180" s="132" t="n">
        <v>154.8</v>
      </c>
      <c r="E180" s="133" t="n">
        <v>47</v>
      </c>
      <c r="F180" s="132" t="n">
        <v>133.8</v>
      </c>
      <c r="G180" s="17" t="n">
        <v>40</v>
      </c>
      <c r="H180" s="134" t="n">
        <v>85</v>
      </c>
      <c r="I180" s="135" t="n">
        <v>34000</v>
      </c>
      <c r="J180" s="135" t="inlineStr">
        <is>
          <t>5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22" t="n">
        <v>4</v>
      </c>
      <c r="R180" s="122" t="n">
        <v>2</v>
      </c>
      <c r="S180" s="122" t="inlineStr">
        <is>
          <t>계</t>
        </is>
      </c>
      <c r="T180" s="5" t="n">
        <v>154</v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22">
        <f>S180</f>
        <v/>
      </c>
      <c r="AF180" s="122">
        <f>Q180&amp;"/"&amp;R180</f>
        <v/>
      </c>
      <c r="AH180" s="20">
        <f>IF(A180="","",A180)</f>
        <v/>
      </c>
      <c r="AI180" s="133">
        <f>IF(E180="","",E180)</f>
        <v/>
      </c>
      <c r="AJ180" s="122">
        <f>IF(AI180="","",$AJ$2)</f>
        <v/>
      </c>
      <c r="AK180" s="122" t="inlineStr">
        <is>
          <t>A</t>
        </is>
      </c>
      <c r="AL180" s="122" t="inlineStr">
        <is>
          <t>A+</t>
        </is>
      </c>
      <c r="AM180" s="122" t="inlineStr">
        <is>
          <t>B+</t>
        </is>
      </c>
      <c r="AN180" s="122">
        <f>IF(AI180="","",$AN$2)</f>
        <v/>
      </c>
      <c r="AO180" s="122">
        <f>IF(N180="","",IF(N180&gt;=$AO$1/100,"O","X"))</f>
        <v/>
      </c>
      <c r="AP180" s="122">
        <f>IF(I180="","",IF(I180&lt;=$AP$1,"O","X"))</f>
        <v/>
      </c>
      <c r="AQ180" s="122">
        <f>IF(O180="","",IF(O180&lt;=$AQ$1,"O","X"))</f>
        <v/>
      </c>
      <c r="AR180" s="122">
        <f>IF(M180="","",IF(M180&lt;=$AR$1,"O","X"))</f>
        <v/>
      </c>
      <c r="AS180" s="122" t="inlineStr">
        <is>
          <t>X</t>
        </is>
      </c>
      <c r="AT180" s="122">
        <f>IF(OR(F180="",AI180=""),"",IF(AND((F180&lt;=85),(AI180&gt;=15)),"O","X"))</f>
        <v/>
      </c>
      <c r="AU180" s="122">
        <f>IF(C180="","",IF(C180&gt;=$AU$1,"O","X"))</f>
        <v/>
      </c>
      <c r="AV180" s="122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1" t="n">
        <v>252</v>
      </c>
      <c r="D181" s="132" t="n">
        <v>51.9</v>
      </c>
      <c r="E181" s="133" t="n">
        <v>16</v>
      </c>
      <c r="F181" s="132" t="n">
        <v>26.6</v>
      </c>
      <c r="G181" s="17" t="n">
        <v>8</v>
      </c>
      <c r="H181" s="134" t="n">
        <v>15</v>
      </c>
      <c r="I181" s="135" t="n"/>
      <c r="J181" s="135" t="n"/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22" t="n">
        <v>2</v>
      </c>
      <c r="R181" s="122" t="n">
        <v>1</v>
      </c>
      <c r="S181" s="122" t="inlineStr">
        <is>
          <t>계</t>
        </is>
      </c>
      <c r="T181" s="5" t="n">
        <v>51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22">
        <f>S181</f>
        <v/>
      </c>
      <c r="AF181" s="122">
        <f>Q181&amp;"/"&amp;R181</f>
        <v/>
      </c>
      <c r="AH181" s="20">
        <f>IF(A181="","",A181)</f>
        <v/>
      </c>
      <c r="AI181" s="133">
        <f>IF(E181="","",E181)</f>
        <v/>
      </c>
      <c r="AJ181" s="122">
        <f>IF(AI181="","",$AJ$2)</f>
        <v/>
      </c>
      <c r="AK181" s="122" t="inlineStr">
        <is>
          <t>A</t>
        </is>
      </c>
      <c r="AL181" s="122" t="inlineStr">
        <is>
          <t>A+</t>
        </is>
      </c>
      <c r="AM181" s="122" t="inlineStr">
        <is>
          <t>B+</t>
        </is>
      </c>
      <c r="AN181" s="122">
        <f>IF(AI181="","",$AN$2)</f>
        <v/>
      </c>
      <c r="AO181" s="122">
        <f>IF(N181="","",IF(N181&gt;=$AO$1/100,"O","X"))</f>
        <v/>
      </c>
      <c r="AP181" s="122">
        <f>IF(I181="","",IF(I181&lt;=$AP$1,"O","X"))</f>
        <v/>
      </c>
      <c r="AQ181" s="122">
        <f>IF(O181="","",IF(O181&lt;=$AQ$1,"O","X"))</f>
        <v/>
      </c>
      <c r="AR181" s="122">
        <f>IF(M181="","",IF(M181&lt;=$AR$1,"O","X"))</f>
        <v/>
      </c>
      <c r="AS181" s="122" t="inlineStr">
        <is>
          <t>X</t>
        </is>
      </c>
      <c r="AT181" s="122">
        <f>IF(OR(F181="",AI181=""),"",IF(AND((F181&lt;=85),(AI181&gt;=15)),"O","X"))</f>
        <v/>
      </c>
      <c r="AU181" s="122">
        <f>IF(C181="","",IF(C181&gt;=$AU$1,"O","X"))</f>
        <v/>
      </c>
      <c r="AV181" s="122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1" t="n">
        <v>252</v>
      </c>
      <c r="D182" s="132" t="n">
        <v>59.7</v>
      </c>
      <c r="E182" s="133" t="n">
        <v>18</v>
      </c>
      <c r="F182" s="132" t="n">
        <v>30.6</v>
      </c>
      <c r="G182" s="17" t="n">
        <v>9</v>
      </c>
      <c r="H182" s="134" t="n">
        <v>228</v>
      </c>
      <c r="I182" s="135" t="n"/>
      <c r="J182" s="135" t="n"/>
      <c r="K182" s="135" t="n"/>
      <c r="L182" s="135" t="n"/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22" t="n">
        <v>2</v>
      </c>
      <c r="R182" s="122" t="n">
        <v>1</v>
      </c>
      <c r="S182" s="122" t="inlineStr">
        <is>
          <t>계</t>
        </is>
      </c>
      <c r="T182" s="5" t="n">
        <v>59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22">
        <f>S182</f>
        <v/>
      </c>
      <c r="AF182" s="122">
        <f>Q182&amp;"/"&amp;R182</f>
        <v/>
      </c>
      <c r="AH182" s="20">
        <f>IF(A182="","",A182)</f>
        <v/>
      </c>
      <c r="AI182" s="133">
        <f>IF(E182="","",E182)</f>
        <v/>
      </c>
      <c r="AJ182" s="122">
        <f>IF(AI182="","",$AJ$2)</f>
        <v/>
      </c>
      <c r="AK182" s="122" t="inlineStr">
        <is>
          <t>A</t>
        </is>
      </c>
      <c r="AL182" s="122" t="inlineStr">
        <is>
          <t>A+</t>
        </is>
      </c>
      <c r="AM182" s="122" t="inlineStr">
        <is>
          <t>B+</t>
        </is>
      </c>
      <c r="AN182" s="122">
        <f>IF(AI182="","",$AN$2)</f>
        <v/>
      </c>
      <c r="AO182" s="122">
        <f>IF(N182="","",IF(N182&gt;=$AO$1/100,"O","X"))</f>
        <v/>
      </c>
      <c r="AP182" s="122">
        <f>IF(I182="","",IF(I182&lt;=$AP$1,"O","X"))</f>
        <v/>
      </c>
      <c r="AQ182" s="122">
        <f>IF(O182="","",IF(O182&lt;=$AQ$1,"O","X"))</f>
        <v/>
      </c>
      <c r="AR182" s="122">
        <f>IF(M182="","",IF(M182&lt;=$AR$1,"O","X"))</f>
        <v/>
      </c>
      <c r="AS182" s="122" t="inlineStr">
        <is>
          <t>X</t>
        </is>
      </c>
      <c r="AT182" s="122">
        <f>IF(OR(F182="",AI182=""),"",IF(AND((F182&lt;=85),(AI182&gt;=15)),"O","X"))</f>
        <v/>
      </c>
      <c r="AU182" s="122">
        <f>IF(C182="","",IF(C182&gt;=$AU$1,"O","X"))</f>
        <v/>
      </c>
      <c r="AV182" s="122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1" t="n">
        <v>252</v>
      </c>
      <c r="D183" s="132" t="n">
        <v>62</v>
      </c>
      <c r="E183" s="133" t="n">
        <v>19</v>
      </c>
      <c r="F183" s="132" t="n">
        <v>31.8</v>
      </c>
      <c r="G183" s="17" t="n">
        <v>10</v>
      </c>
      <c r="H183" s="134" t="n">
        <v>7</v>
      </c>
      <c r="I183" s="135" t="n"/>
      <c r="J183" s="135" t="n"/>
      <c r="K183" s="135" t="n"/>
      <c r="L183" s="135" t="n"/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22" t="n">
        <v>2</v>
      </c>
      <c r="R183" s="122" t="n">
        <v>1</v>
      </c>
      <c r="S183" s="122" t="inlineStr">
        <is>
          <t>계</t>
        </is>
      </c>
      <c r="T183" s="5" t="n">
        <v>62</v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22">
        <f>S183</f>
        <v/>
      </c>
      <c r="AF183" s="122">
        <f>Q183&amp;"/"&amp;R183</f>
        <v/>
      </c>
      <c r="AH183" s="20">
        <f>IF(A183="","",A183)</f>
        <v/>
      </c>
      <c r="AI183" s="133">
        <f>IF(E183="","",E183)</f>
        <v/>
      </c>
      <c r="AJ183" s="122">
        <f>IF(AI183="","",$AJ$2)</f>
        <v/>
      </c>
      <c r="AK183" s="122" t="inlineStr">
        <is>
          <t>A</t>
        </is>
      </c>
      <c r="AL183" s="122" t="inlineStr">
        <is>
          <t>A+</t>
        </is>
      </c>
      <c r="AM183" s="122" t="inlineStr">
        <is>
          <t>B+</t>
        </is>
      </c>
      <c r="AN183" s="122">
        <f>IF(AI183="","",$AN$2)</f>
        <v/>
      </c>
      <c r="AO183" s="122">
        <f>IF(N183="","",IF(N183&gt;=$AO$1/100,"O","X"))</f>
        <v/>
      </c>
      <c r="AP183" s="122">
        <f>IF(I183="","",IF(I183&lt;=$AP$1,"O","X"))</f>
        <v/>
      </c>
      <c r="AQ183" s="122">
        <f>IF(O183="","",IF(O183&lt;=$AQ$1,"O","X"))</f>
        <v/>
      </c>
      <c r="AR183" s="122">
        <f>IF(M183="","",IF(M183&lt;=$AR$1,"O","X"))</f>
        <v/>
      </c>
      <c r="AS183" s="122" t="inlineStr">
        <is>
          <t>X</t>
        </is>
      </c>
      <c r="AT183" s="122">
        <f>IF(OR(F183="",AI183=""),"",IF(AND((F183&lt;=85),(AI183&gt;=15)),"O","X"))</f>
        <v/>
      </c>
      <c r="AU183" s="122">
        <f>IF(C183="","",IF(C183&gt;=$AU$1,"O","X"))</f>
        <v/>
      </c>
      <c r="AV183" s="122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1" t="n">
        <v>252</v>
      </c>
      <c r="D184" s="132" t="n">
        <v>84.90000000000001</v>
      </c>
      <c r="E184" s="133" t="n">
        <v>26</v>
      </c>
      <c r="F184" s="132" t="n">
        <v>43.5</v>
      </c>
      <c r="G184" s="17" t="n">
        <v>13</v>
      </c>
      <c r="H184" s="134" t="n">
        <v>2</v>
      </c>
      <c r="I184" s="135" t="n"/>
      <c r="J184" s="135" t="n"/>
      <c r="K184" s="135" t="n"/>
      <c r="L184" s="135" t="n"/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22" t="n">
        <v>3</v>
      </c>
      <c r="R184" s="122" t="n">
        <v>1</v>
      </c>
      <c r="S184" s="122" t="inlineStr">
        <is>
          <t>계</t>
        </is>
      </c>
      <c r="T184" s="5" t="n">
        <v>84</v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22">
        <f>S184</f>
        <v/>
      </c>
      <c r="AF184" s="122">
        <f>Q184&amp;"/"&amp;R184</f>
        <v/>
      </c>
      <c r="AH184" s="20">
        <f>IF(A184="","",A184)</f>
        <v/>
      </c>
      <c r="AI184" s="133">
        <f>IF(E184="","",E184)</f>
        <v/>
      </c>
      <c r="AJ184" s="122">
        <f>IF(AI184="","",$AJ$2)</f>
        <v/>
      </c>
      <c r="AK184" s="122" t="inlineStr">
        <is>
          <t>A</t>
        </is>
      </c>
      <c r="AL184" s="122" t="inlineStr">
        <is>
          <t>A+</t>
        </is>
      </c>
      <c r="AM184" s="122" t="inlineStr">
        <is>
          <t>B+</t>
        </is>
      </c>
      <c r="AN184" s="122">
        <f>IF(AI184="","",$AN$2)</f>
        <v/>
      </c>
      <c r="AO184" s="122">
        <f>IF(N184="","",IF(N184&gt;=$AO$1/100,"O","X"))</f>
        <v/>
      </c>
      <c r="AP184" s="122">
        <f>IF(I184="","",IF(I184&lt;=$AP$1,"O","X"))</f>
        <v/>
      </c>
      <c r="AQ184" s="122">
        <f>IF(O184="","",IF(O184&lt;=$AQ$1,"O","X"))</f>
        <v/>
      </c>
      <c r="AR184" s="122">
        <f>IF(M184="","",IF(M184&lt;=$AR$1,"O","X"))</f>
        <v/>
      </c>
      <c r="AS184" s="122" t="inlineStr">
        <is>
          <t>X</t>
        </is>
      </c>
      <c r="AT184" s="122">
        <f>IF(OR(F184="",AI184=""),"",IF(AND((F184&lt;=85),(AI184&gt;=15)),"O","X"))</f>
        <v/>
      </c>
      <c r="AU184" s="122">
        <f>IF(C184="","",IF(C184&gt;=$AU$1,"O","X"))</f>
        <v/>
      </c>
      <c r="AV184" s="122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1" t="n">
        <v>244</v>
      </c>
      <c r="D185" s="132" t="n">
        <v>32.9</v>
      </c>
      <c r="E185" s="133" t="n">
        <v>10</v>
      </c>
      <c r="F185" s="132" t="n">
        <v>24.4</v>
      </c>
      <c r="G185" s="17" t="n">
        <v>7</v>
      </c>
      <c r="H185" s="134" t="n">
        <v>31</v>
      </c>
      <c r="I185" s="135" t="n"/>
      <c r="J185" s="135" t="n"/>
      <c r="K185" s="135" t="n"/>
      <c r="L185" s="135" t="n"/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22" t="n">
        <v>1</v>
      </c>
      <c r="R185" s="122" t="n">
        <v>1</v>
      </c>
      <c r="S185" s="122" t="inlineStr">
        <is>
          <t>복</t>
        </is>
      </c>
      <c r="T185" s="5" t="n">
        <v>32</v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22">
        <f>S185</f>
        <v/>
      </c>
      <c r="AF185" s="122">
        <f>Q185&amp;"/"&amp;R185</f>
        <v/>
      </c>
      <c r="AH185" s="20">
        <f>IF(A185="","",A185)</f>
        <v/>
      </c>
      <c r="AI185" s="133">
        <f>IF(E185="","",E185)</f>
        <v/>
      </c>
      <c r="AJ185" s="122">
        <f>IF(AI185="","",$AJ$2)</f>
        <v/>
      </c>
      <c r="AK185" s="122" t="inlineStr">
        <is>
          <t>A</t>
        </is>
      </c>
      <c r="AL185" s="122" t="inlineStr">
        <is>
          <t>A+</t>
        </is>
      </c>
      <c r="AM185" s="122" t="inlineStr">
        <is>
          <t>B+</t>
        </is>
      </c>
      <c r="AN185" s="122">
        <f>IF(AI185="","",$AN$2)</f>
        <v/>
      </c>
      <c r="AO185" s="122">
        <f>IF(N185="","",IF(N185&gt;=$AO$1/100,"O","X"))</f>
        <v/>
      </c>
      <c r="AP185" s="122">
        <f>IF(I185="","",IF(I185&lt;=$AP$1,"O","X"))</f>
        <v/>
      </c>
      <c r="AQ185" s="122">
        <f>IF(O185="","",IF(O185&lt;=$AQ$1,"O","X"))</f>
        <v/>
      </c>
      <c r="AR185" s="122">
        <f>IF(M185="","",IF(M185&lt;=$AR$1,"O","X"))</f>
        <v/>
      </c>
      <c r="AS185" s="122" t="inlineStr">
        <is>
          <t>X</t>
        </is>
      </c>
      <c r="AT185" s="122">
        <f>IF(OR(F185="",AI185=""),"",IF(AND((F185&lt;=85),(AI185&gt;=15)),"O","X"))</f>
        <v/>
      </c>
      <c r="AU185" s="122">
        <f>IF(C185="","",IF(C185&gt;=$AU$1,"O","X"))</f>
        <v/>
      </c>
      <c r="AV185" s="122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1" t="n">
        <v>244</v>
      </c>
      <c r="D186" s="132" t="n">
        <v>36</v>
      </c>
      <c r="E186" s="133" t="n">
        <v>11</v>
      </c>
      <c r="F186" s="132" t="n">
        <v>26.7</v>
      </c>
      <c r="G186" s="17" t="n">
        <v>8</v>
      </c>
      <c r="H186" s="134" t="n">
        <v>12</v>
      </c>
      <c r="I186" s="135" t="n"/>
      <c r="J186" s="135" t="n"/>
      <c r="K186" s="135" t="n"/>
      <c r="L186" s="135" t="n"/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22" t="n">
        <v>1</v>
      </c>
      <c r="R186" s="122" t="n">
        <v>1</v>
      </c>
      <c r="S186" s="122" t="inlineStr">
        <is>
          <t>복</t>
        </is>
      </c>
      <c r="T186" s="5" t="n">
        <v>35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22">
        <f>S186</f>
        <v/>
      </c>
      <c r="AF186" s="122">
        <f>Q186&amp;"/"&amp;R186</f>
        <v/>
      </c>
      <c r="AH186" s="20">
        <f>IF(A186="","",A186)</f>
        <v/>
      </c>
      <c r="AI186" s="133">
        <f>IF(E186="","",E186)</f>
        <v/>
      </c>
      <c r="AJ186" s="122">
        <f>IF(AI186="","",$AJ$2)</f>
        <v/>
      </c>
      <c r="AK186" s="122" t="inlineStr">
        <is>
          <t>A</t>
        </is>
      </c>
      <c r="AL186" s="122" t="inlineStr">
        <is>
          <t>A+</t>
        </is>
      </c>
      <c r="AM186" s="122" t="inlineStr">
        <is>
          <t>B+</t>
        </is>
      </c>
      <c r="AN186" s="122">
        <f>IF(AI186="","",$AN$2)</f>
        <v/>
      </c>
      <c r="AO186" s="122">
        <f>IF(N186="","",IF(N186&gt;=$AO$1/100,"O","X"))</f>
        <v/>
      </c>
      <c r="AP186" s="122">
        <f>IF(I186="","",IF(I186&lt;=$AP$1,"O","X"))</f>
        <v/>
      </c>
      <c r="AQ186" s="122">
        <f>IF(O186="","",IF(O186&lt;=$AQ$1,"O","X"))</f>
        <v/>
      </c>
      <c r="AR186" s="122">
        <f>IF(M186="","",IF(M186&lt;=$AR$1,"O","X"))</f>
        <v/>
      </c>
      <c r="AS186" s="122" t="inlineStr">
        <is>
          <t>X</t>
        </is>
      </c>
      <c r="AT186" s="122">
        <f>IF(OR(F186="",AI186=""),"",IF(AND((F186&lt;=85),(AI186&gt;=15)),"O","X"))</f>
        <v/>
      </c>
      <c r="AU186" s="122">
        <f>IF(C186="","",IF(C186&gt;=$AU$1,"O","X"))</f>
        <v/>
      </c>
      <c r="AV186" s="122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1" t="n">
        <v>244</v>
      </c>
      <c r="D187" s="132" t="n">
        <v>39.1</v>
      </c>
      <c r="E187" s="133" t="n">
        <v>12</v>
      </c>
      <c r="F187" s="132" t="n">
        <v>29.1</v>
      </c>
      <c r="G187" s="17" t="n">
        <v>9</v>
      </c>
      <c r="H187" s="134" t="n">
        <v>201</v>
      </c>
      <c r="I187" s="135" t="n"/>
      <c r="J187" s="135" t="n"/>
      <c r="K187" s="135" t="n"/>
      <c r="L187" s="135" t="n"/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22" t="n">
        <v>1</v>
      </c>
      <c r="R187" s="122" t="n">
        <v>1</v>
      </c>
      <c r="S187" s="122" t="inlineStr">
        <is>
          <t>복</t>
        </is>
      </c>
      <c r="T187" s="5" t="n">
        <v>39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22">
        <f>S187</f>
        <v/>
      </c>
      <c r="AF187" s="122">
        <f>Q187&amp;"/"&amp;R187</f>
        <v/>
      </c>
      <c r="AH187" s="20">
        <f>IF(A187="","",A187)</f>
        <v/>
      </c>
      <c r="AI187" s="133">
        <f>IF(E187="","",E187)</f>
        <v/>
      </c>
      <c r="AJ187" s="122">
        <f>IF(AI187="","",$AJ$2)</f>
        <v/>
      </c>
      <c r="AK187" s="122" t="inlineStr">
        <is>
          <t>A</t>
        </is>
      </c>
      <c r="AL187" s="122" t="inlineStr">
        <is>
          <t>A+</t>
        </is>
      </c>
      <c r="AM187" s="122" t="inlineStr">
        <is>
          <t>B+</t>
        </is>
      </c>
      <c r="AN187" s="122">
        <f>IF(AI187="","",$AN$2)</f>
        <v/>
      </c>
      <c r="AO187" s="122">
        <f>IF(N187="","",IF(N187&gt;=$AO$1/100,"O","X"))</f>
        <v/>
      </c>
      <c r="AP187" s="122">
        <f>IF(I187="","",IF(I187&lt;=$AP$1,"O","X"))</f>
        <v/>
      </c>
      <c r="AQ187" s="122">
        <f>IF(O187="","",IF(O187&lt;=$AQ$1,"O","X"))</f>
        <v/>
      </c>
      <c r="AR187" s="122">
        <f>IF(M187="","",IF(M187&lt;=$AR$1,"O","X"))</f>
        <v/>
      </c>
      <c r="AS187" s="122" t="inlineStr">
        <is>
          <t>X</t>
        </is>
      </c>
      <c r="AT187" s="122">
        <f>IF(OR(F187="",AI187=""),"",IF(AND((F187&lt;=85),(AI187&gt;=15)),"O","X"))</f>
        <v/>
      </c>
      <c r="AU187" s="122">
        <f>IF(C187="","",IF(C187&gt;=$AU$1,"O","X"))</f>
        <v/>
      </c>
      <c r="AV187" s="122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1" t="n">
        <v>690</v>
      </c>
      <c r="D188" s="132" t="n">
        <v>93.8</v>
      </c>
      <c r="E188" s="133" t="n">
        <v>28</v>
      </c>
      <c r="F188" s="132" t="n">
        <v>76.5</v>
      </c>
      <c r="G188" s="17" t="n">
        <v>23</v>
      </c>
      <c r="H188" s="134" t="n">
        <v>210</v>
      </c>
      <c r="I188" s="135" t="n">
        <v>17500</v>
      </c>
      <c r="J188" s="135" t="inlineStr">
        <is>
          <t>7</t>
        </is>
      </c>
      <c r="K188" s="135" t="n"/>
      <c r="L188" s="135" t="n"/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22" t="n">
        <v>3</v>
      </c>
      <c r="R188" s="122" t="n">
        <v>1</v>
      </c>
      <c r="S188" s="122" t="inlineStr">
        <is>
          <t>계</t>
        </is>
      </c>
      <c r="T188" s="5" t="n">
        <v>93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22">
        <f>S188</f>
        <v/>
      </c>
      <c r="AF188" s="122">
        <f>Q188&amp;"/"&amp;R188</f>
        <v/>
      </c>
      <c r="AH188" s="20">
        <f>IF(A188="","",A188)</f>
        <v/>
      </c>
      <c r="AI188" s="133">
        <f>IF(E188="","",E188)</f>
        <v/>
      </c>
      <c r="AJ188" s="122">
        <f>IF(AI188="","",$AJ$2)</f>
        <v/>
      </c>
      <c r="AK188" s="122" t="inlineStr">
        <is>
          <t>A</t>
        </is>
      </c>
      <c r="AL188" s="122" t="inlineStr">
        <is>
          <t>A+</t>
        </is>
      </c>
      <c r="AM188" s="122" t="inlineStr">
        <is>
          <t>B+</t>
        </is>
      </c>
      <c r="AN188" s="122">
        <f>IF(AI188="","",$AN$2)</f>
        <v/>
      </c>
      <c r="AO188" s="122">
        <f>IF(N188="","",IF(N188&gt;=$AO$1/100,"O","X"))</f>
        <v/>
      </c>
      <c r="AP188" s="122">
        <f>IF(I188="","",IF(I188&lt;=$AP$1,"O","X"))</f>
        <v/>
      </c>
      <c r="AQ188" s="122">
        <f>IF(O188="","",IF(O188&lt;=$AQ$1,"O","X"))</f>
        <v/>
      </c>
      <c r="AR188" s="122">
        <f>IF(M188="","",IF(M188&lt;=$AR$1,"O","X"))</f>
        <v/>
      </c>
      <c r="AS188" s="122" t="inlineStr">
        <is>
          <t>X</t>
        </is>
      </c>
      <c r="AT188" s="122">
        <f>IF(OR(F188="",AI188=""),"",IF(AND((F188&lt;=85),(AI188&gt;=15)),"O","X"))</f>
        <v/>
      </c>
      <c r="AU188" s="122">
        <f>IF(C188="","",IF(C188&gt;=$AU$1,"O","X"))</f>
        <v/>
      </c>
      <c r="AV188" s="122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1" t="n">
        <v>690</v>
      </c>
      <c r="D189" s="132" t="n">
        <v>102.7</v>
      </c>
      <c r="E189" s="133" t="n">
        <v>31</v>
      </c>
      <c r="F189" s="132" t="n">
        <v>85</v>
      </c>
      <c r="G189" s="17" t="n">
        <v>26</v>
      </c>
      <c r="H189" s="134" t="n">
        <v>480</v>
      </c>
      <c r="I189" s="135" t="n">
        <v>19300</v>
      </c>
      <c r="J189" s="135" t="inlineStr">
        <is>
          <t>12</t>
        </is>
      </c>
      <c r="K189" s="135" t="n">
        <v>16000</v>
      </c>
      <c r="L189" s="135" t="inlineStr">
        <is>
          <t>13</t>
        </is>
      </c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22" t="n">
        <v>3</v>
      </c>
      <c r="R189" s="122" t="n">
        <v>2</v>
      </c>
      <c r="S189" s="122" t="inlineStr">
        <is>
          <t>계</t>
        </is>
      </c>
      <c r="T189" s="5" t="n">
        <v>102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22">
        <f>S189</f>
        <v/>
      </c>
      <c r="AF189" s="122">
        <f>Q189&amp;"/"&amp;R189</f>
        <v/>
      </c>
      <c r="AH189" s="20">
        <f>IF(A189="","",A189)</f>
        <v/>
      </c>
      <c r="AI189" s="133">
        <f>IF(E189="","",E189)</f>
        <v/>
      </c>
      <c r="AJ189" s="122">
        <f>IF(AI189="","",$AJ$2)</f>
        <v/>
      </c>
      <c r="AK189" s="122" t="inlineStr">
        <is>
          <t>A</t>
        </is>
      </c>
      <c r="AL189" s="122" t="inlineStr">
        <is>
          <t>A+</t>
        </is>
      </c>
      <c r="AM189" s="122" t="inlineStr">
        <is>
          <t>B+</t>
        </is>
      </c>
      <c r="AN189" s="122">
        <f>IF(AI189="","",$AN$2)</f>
        <v/>
      </c>
      <c r="AO189" s="122">
        <f>IF(N189="","",IF(N189&gt;=$AO$1/100,"O","X"))</f>
        <v/>
      </c>
      <c r="AP189" s="122">
        <f>IF(I189="","",IF(I189&lt;=$AP$1,"O","X"))</f>
        <v/>
      </c>
      <c r="AQ189" s="122">
        <f>IF(O189="","",IF(O189&lt;=$AQ$1,"O","X"))</f>
        <v/>
      </c>
      <c r="AR189" s="122">
        <f>IF(M189="","",IF(M189&lt;=$AR$1,"O","X"))</f>
        <v/>
      </c>
      <c r="AS189" s="122" t="inlineStr">
        <is>
          <t>X</t>
        </is>
      </c>
      <c r="AT189" s="122">
        <f>IF(OR(F189="",AI189=""),"",IF(AND((F189&lt;=85),(AI189&gt;=15)),"O","X"))</f>
        <v/>
      </c>
      <c r="AU189" s="122">
        <f>IF(C189="","",IF(C189&gt;=$AU$1,"O","X"))</f>
        <v/>
      </c>
      <c r="AV189" s="122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1" t="n">
        <v>365</v>
      </c>
      <c r="D190" s="132" t="n">
        <v>75.2</v>
      </c>
      <c r="E190" s="133" t="n">
        <v>23</v>
      </c>
      <c r="F190" s="132" t="n">
        <v>59.7</v>
      </c>
      <c r="G190" s="17" t="n">
        <v>18</v>
      </c>
      <c r="H190" s="134" t="n">
        <v>140</v>
      </c>
      <c r="I190" s="135" t="n">
        <v>16700</v>
      </c>
      <c r="J190" s="135" t="inlineStr">
        <is>
          <t>7</t>
        </is>
      </c>
      <c r="K190" s="135" t="n">
        <v>15000</v>
      </c>
      <c r="L190" s="135" t="inlineStr">
        <is>
          <t>5</t>
        </is>
      </c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22" t="n">
        <v>3</v>
      </c>
      <c r="R190" s="122" t="n">
        <v>1</v>
      </c>
      <c r="S190" s="122" t="inlineStr">
        <is>
          <t>계</t>
        </is>
      </c>
      <c r="T190" s="5" t="n">
        <v>75</v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22">
        <f>S190</f>
        <v/>
      </c>
      <c r="AF190" s="122">
        <f>Q190&amp;"/"&amp;R190</f>
        <v/>
      </c>
      <c r="AH190" s="20">
        <f>IF(A190="","",A190)</f>
        <v/>
      </c>
      <c r="AI190" s="133">
        <f>IF(E190="","",E190)</f>
        <v/>
      </c>
      <c r="AJ190" s="122">
        <f>IF(AI190="","",$AJ$2)</f>
        <v/>
      </c>
      <c r="AK190" s="122" t="inlineStr">
        <is>
          <t>A</t>
        </is>
      </c>
      <c r="AL190" s="122" t="inlineStr">
        <is>
          <t>A+</t>
        </is>
      </c>
      <c r="AM190" s="122" t="inlineStr">
        <is>
          <t>B+</t>
        </is>
      </c>
      <c r="AN190" s="122">
        <f>IF(AI190="","",$AN$2)</f>
        <v/>
      </c>
      <c r="AO190" s="122">
        <f>IF(N190="","",IF(N190&gt;=$AO$1/100,"O","X"))</f>
        <v/>
      </c>
      <c r="AP190" s="122">
        <f>IF(I190="","",IF(I190&lt;=$AP$1,"O","X"))</f>
        <v/>
      </c>
      <c r="AQ190" s="122">
        <f>IF(O190="","",IF(O190&lt;=$AQ$1,"O","X"))</f>
        <v/>
      </c>
      <c r="AR190" s="122">
        <f>IF(M190="","",IF(M190&lt;=$AR$1,"O","X"))</f>
        <v/>
      </c>
      <c r="AS190" s="122" t="inlineStr">
        <is>
          <t>X</t>
        </is>
      </c>
      <c r="AT190" s="122">
        <f>IF(OR(F190="",AI190=""),"",IF(AND((F190&lt;=85),(AI190&gt;=15)),"O","X"))</f>
        <v/>
      </c>
      <c r="AU190" s="122">
        <f>IF(C190="","",IF(C190&gt;=$AU$1,"O","X"))</f>
        <v/>
      </c>
      <c r="AV190" s="122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1" t="n">
        <v>365</v>
      </c>
      <c r="D191" s="132" t="n">
        <v>103</v>
      </c>
      <c r="E191" s="133" t="n">
        <v>31</v>
      </c>
      <c r="F191" s="132" t="n">
        <v>84.90000000000001</v>
      </c>
      <c r="G191" s="17" t="n">
        <v>26</v>
      </c>
      <c r="H191" s="134" t="n">
        <v>225</v>
      </c>
      <c r="I191" s="135" t="n">
        <v>19500</v>
      </c>
      <c r="J191" s="135" t="inlineStr">
        <is>
          <t>13</t>
        </is>
      </c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22" t="n">
        <v>3</v>
      </c>
      <c r="R191" s="122" t="n">
        <v>2</v>
      </c>
      <c r="S191" s="122" t="inlineStr">
        <is>
          <t>계</t>
        </is>
      </c>
      <c r="T191" s="5" t="n">
        <v>103</v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22">
        <f>S191</f>
        <v/>
      </c>
      <c r="AF191" s="122">
        <f>Q191&amp;"/"&amp;R191</f>
        <v/>
      </c>
      <c r="AH191" s="20">
        <f>IF(A191="","",A191)</f>
        <v/>
      </c>
      <c r="AI191" s="133">
        <f>IF(E191="","",E191)</f>
        <v/>
      </c>
      <c r="AJ191" s="122">
        <f>IF(AI191="","",$AJ$2)</f>
        <v/>
      </c>
      <c r="AK191" s="122" t="inlineStr">
        <is>
          <t>A</t>
        </is>
      </c>
      <c r="AL191" s="122" t="inlineStr">
        <is>
          <t>A+</t>
        </is>
      </c>
      <c r="AM191" s="122" t="inlineStr">
        <is>
          <t>B+</t>
        </is>
      </c>
      <c r="AN191" s="122">
        <f>IF(AI191="","",$AN$2)</f>
        <v/>
      </c>
      <c r="AO191" s="122">
        <f>IF(N191="","",IF(N191&gt;=$AO$1/100,"O","X"))</f>
        <v/>
      </c>
      <c r="AP191" s="122">
        <f>IF(I191="","",IF(I191&lt;=$AP$1,"O","X"))</f>
        <v/>
      </c>
      <c r="AQ191" s="122">
        <f>IF(O191="","",IF(O191&lt;=$AQ$1,"O","X"))</f>
        <v/>
      </c>
      <c r="AR191" s="122">
        <f>IF(M191="","",IF(M191&lt;=$AR$1,"O","X"))</f>
        <v/>
      </c>
      <c r="AS191" s="122" t="inlineStr">
        <is>
          <t>X</t>
        </is>
      </c>
      <c r="AT191" s="122">
        <f>IF(OR(F191="",AI191=""),"",IF(AND((F191&lt;=85),(AI191&gt;=15)),"O","X"))</f>
        <v/>
      </c>
      <c r="AU191" s="122">
        <f>IF(C191="","",IF(C191&gt;=$AU$1,"O","X"))</f>
        <v/>
      </c>
      <c r="AV191" s="122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1" t="n">
        <v>523</v>
      </c>
      <c r="D192" s="132" t="n">
        <v>40.9</v>
      </c>
      <c r="E192" s="133" t="n">
        <v>12</v>
      </c>
      <c r="F192" s="132" t="n">
        <v>30.3</v>
      </c>
      <c r="G192" s="17" t="n">
        <v>9</v>
      </c>
      <c r="H192" s="134" t="n">
        <v>299</v>
      </c>
      <c r="I192" s="135" t="n">
        <v>4500</v>
      </c>
      <c r="J192" s="135" t="inlineStr">
        <is>
          <t>7</t>
        </is>
      </c>
      <c r="K192" s="135" t="n">
        <v>3100</v>
      </c>
      <c r="L192" s="135" t="inlineStr">
        <is>
          <t>중</t>
        </is>
      </c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22" t="n">
        <v>1</v>
      </c>
      <c r="R192" s="122" t="n">
        <v>1</v>
      </c>
      <c r="S192" s="122" t="inlineStr">
        <is>
          <t>복</t>
        </is>
      </c>
      <c r="T192" s="5" t="n">
        <v>40</v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22">
        <f>S192</f>
        <v/>
      </c>
      <c r="AF192" s="122">
        <f>Q192&amp;"/"&amp;R192</f>
        <v/>
      </c>
      <c r="AH192" s="20">
        <f>IF(A192="","",A192)</f>
        <v/>
      </c>
      <c r="AI192" s="133">
        <f>IF(E192="","",E192)</f>
        <v/>
      </c>
      <c r="AJ192" s="122">
        <f>IF(AI192="","",$AJ$2)</f>
        <v/>
      </c>
      <c r="AK192" s="122" t="inlineStr">
        <is>
          <t>A</t>
        </is>
      </c>
      <c r="AL192" s="122" t="inlineStr">
        <is>
          <t>A+</t>
        </is>
      </c>
      <c r="AM192" s="122" t="inlineStr">
        <is>
          <t>B+</t>
        </is>
      </c>
      <c r="AN192" s="122">
        <f>IF(AI192="","",$AN$2)</f>
        <v/>
      </c>
      <c r="AO192" s="122">
        <f>IF(N192="","",IF(N192&gt;=$AO$1/100,"O","X"))</f>
        <v/>
      </c>
      <c r="AP192" s="122">
        <f>IF(I192="","",IF(I192&lt;=$AP$1,"O","X"))</f>
        <v/>
      </c>
      <c r="AQ192" s="122">
        <f>IF(O192="","",IF(O192&lt;=$AQ$1,"O","X"))</f>
        <v/>
      </c>
      <c r="AR192" s="122">
        <f>IF(M192="","",IF(M192&lt;=$AR$1,"O","X"))</f>
        <v/>
      </c>
      <c r="AS192" s="122" t="inlineStr">
        <is>
          <t>X</t>
        </is>
      </c>
      <c r="AT192" s="122">
        <f>IF(OR(F192="",AI192=""),"",IF(AND((F192&lt;=85),(AI192&gt;=15)),"O","X"))</f>
        <v/>
      </c>
      <c r="AU192" s="122">
        <f>IF(C192="","",IF(C192&gt;=$AU$1,"O","X"))</f>
        <v/>
      </c>
      <c r="AV192" s="122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1" t="n">
        <v>523</v>
      </c>
      <c r="D193" s="132" t="n">
        <v>62</v>
      </c>
      <c r="E193" s="133" t="n">
        <v>19</v>
      </c>
      <c r="F193" s="132" t="n">
        <v>45.4</v>
      </c>
      <c r="G193" s="17" t="n">
        <v>14</v>
      </c>
      <c r="H193" s="134" t="n">
        <v>224</v>
      </c>
      <c r="I193" s="135" t="n">
        <v>9300</v>
      </c>
      <c r="J193" s="135" t="inlineStr">
        <is>
          <t>9</t>
        </is>
      </c>
      <c r="K193" s="135" t="n">
        <v>7500</v>
      </c>
      <c r="L193" s="135" t="inlineStr">
        <is>
          <t>12</t>
        </is>
      </c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22" t="n">
        <v>2</v>
      </c>
      <c r="R193" s="122" t="n">
        <v>1</v>
      </c>
      <c r="S193" s="122" t="inlineStr">
        <is>
          <t>복</t>
        </is>
      </c>
      <c r="T193" s="5" t="n">
        <v>62</v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22">
        <f>S193</f>
        <v/>
      </c>
      <c r="AF193" s="122">
        <f>Q193&amp;"/"&amp;R193</f>
        <v/>
      </c>
      <c r="AH193" s="20">
        <f>IF(A193="","",A193)</f>
        <v/>
      </c>
      <c r="AI193" s="133">
        <f>IF(E193="","",E193)</f>
        <v/>
      </c>
      <c r="AJ193" s="122">
        <f>IF(AI193="","",$AJ$2)</f>
        <v/>
      </c>
      <c r="AK193" s="122" t="inlineStr">
        <is>
          <t>A</t>
        </is>
      </c>
      <c r="AL193" s="122" t="inlineStr">
        <is>
          <t>A+</t>
        </is>
      </c>
      <c r="AM193" s="122" t="inlineStr">
        <is>
          <t>B+</t>
        </is>
      </c>
      <c r="AN193" s="122">
        <f>IF(AI193="","",$AN$2)</f>
        <v/>
      </c>
      <c r="AO193" s="122">
        <f>IF(N193="","",IF(N193&gt;=$AO$1/100,"O","X"))</f>
        <v/>
      </c>
      <c r="AP193" s="122">
        <f>IF(I193="","",IF(I193&lt;=$AP$1,"O","X"))</f>
        <v/>
      </c>
      <c r="AQ193" s="122">
        <f>IF(O193="","",IF(O193&lt;=$AQ$1,"O","X"))</f>
        <v/>
      </c>
      <c r="AR193" s="122">
        <f>IF(M193="","",IF(M193&lt;=$AR$1,"O","X"))</f>
        <v/>
      </c>
      <c r="AS193" s="122" t="inlineStr">
        <is>
          <t>X</t>
        </is>
      </c>
      <c r="AT193" s="122">
        <f>IF(OR(F193="",AI193=""),"",IF(AND((F193&lt;=85),(AI193&gt;=15)),"O","X"))</f>
        <v/>
      </c>
      <c r="AU193" s="122">
        <f>IF(C193="","",IF(C193&gt;=$AU$1,"O","X"))</f>
        <v/>
      </c>
      <c r="AV193" s="122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1" t="n">
        <v>330</v>
      </c>
      <c r="D194" s="132" t="n">
        <v>93.5</v>
      </c>
      <c r="E194" s="133" t="n">
        <v>28</v>
      </c>
      <c r="F194" s="132" t="n">
        <v>75.09999999999999</v>
      </c>
      <c r="G194" s="17" t="n">
        <v>23</v>
      </c>
      <c r="H194" s="134" t="n">
        <v>150</v>
      </c>
      <c r="I194" s="135" t="n">
        <v>17000</v>
      </c>
      <c r="J194" s="135" t="inlineStr">
        <is>
          <t>7</t>
        </is>
      </c>
      <c r="K194" s="135" t="n">
        <v>15000</v>
      </c>
      <c r="L194" s="135" t="inlineStr">
        <is>
          <t>15</t>
        </is>
      </c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22" t="n">
        <v>3</v>
      </c>
      <c r="R194" s="122" t="n">
        <v>1</v>
      </c>
      <c r="S194" s="122" t="inlineStr">
        <is>
          <t>계</t>
        </is>
      </c>
      <c r="T194" s="5" t="n">
        <v>93</v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22">
        <f>S194</f>
        <v/>
      </c>
      <c r="AF194" s="122">
        <f>Q194&amp;"/"&amp;R194</f>
        <v/>
      </c>
      <c r="AH194" s="20">
        <f>IF(A194="","",A194)</f>
        <v/>
      </c>
      <c r="AI194" s="133">
        <f>IF(E194="","",E194)</f>
        <v/>
      </c>
      <c r="AJ194" s="122">
        <f>IF(AI194="","",$AJ$2)</f>
        <v/>
      </c>
      <c r="AK194" s="122" t="inlineStr">
        <is>
          <t>A</t>
        </is>
      </c>
      <c r="AL194" s="122" t="inlineStr">
        <is>
          <t>A+</t>
        </is>
      </c>
      <c r="AM194" s="122" t="inlineStr">
        <is>
          <t>B+</t>
        </is>
      </c>
      <c r="AN194" s="122">
        <f>IF(AI194="","",$AN$2)</f>
        <v/>
      </c>
      <c r="AO194" s="122">
        <f>IF(N194="","",IF(N194&gt;=$AO$1/100,"O","X"))</f>
        <v/>
      </c>
      <c r="AP194" s="122">
        <f>IF(I194="","",IF(I194&lt;=$AP$1,"O","X"))</f>
        <v/>
      </c>
      <c r="AQ194" s="122">
        <f>IF(O194="","",IF(O194&lt;=$AQ$1,"O","X"))</f>
        <v/>
      </c>
      <c r="AR194" s="122">
        <f>IF(M194="","",IF(M194&lt;=$AR$1,"O","X"))</f>
        <v/>
      </c>
      <c r="AS194" s="122" t="inlineStr">
        <is>
          <t>X</t>
        </is>
      </c>
      <c r="AT194" s="122">
        <f>IF(OR(F194="",AI194=""),"",IF(AND((F194&lt;=85),(AI194&gt;=15)),"O","X"))</f>
        <v/>
      </c>
      <c r="AU194" s="122">
        <f>IF(C194="","",IF(C194&gt;=$AU$1,"O","X"))</f>
        <v/>
      </c>
      <c r="AV194" s="122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1" t="n">
        <v>330</v>
      </c>
      <c r="D195" s="132" t="n">
        <v>104.8</v>
      </c>
      <c r="E195" s="133" t="n">
        <v>32</v>
      </c>
      <c r="F195" s="132" t="n">
        <v>84.90000000000001</v>
      </c>
      <c r="G195" s="17" t="n">
        <v>26</v>
      </c>
      <c r="H195" s="134" t="n">
        <v>120</v>
      </c>
      <c r="I195" s="135" t="n">
        <v>16000</v>
      </c>
      <c r="J195" s="135" t="inlineStr">
        <is>
          <t>15</t>
        </is>
      </c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22" t="n">
        <v>3</v>
      </c>
      <c r="R195" s="122" t="n">
        <v>2</v>
      </c>
      <c r="S195" s="122" t="inlineStr">
        <is>
          <t>계</t>
        </is>
      </c>
      <c r="T195" s="5" t="n">
        <v>104</v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22">
        <f>S195</f>
        <v/>
      </c>
      <c r="AF195" s="122">
        <f>Q195&amp;"/"&amp;R195</f>
        <v/>
      </c>
      <c r="AH195" s="20">
        <f>IF(A195="","",A195)</f>
        <v/>
      </c>
      <c r="AI195" s="133">
        <f>IF(E195="","",E195)</f>
        <v/>
      </c>
      <c r="AJ195" s="122">
        <f>IF(AI195="","",$AJ$2)</f>
        <v/>
      </c>
      <c r="AK195" s="122" t="inlineStr">
        <is>
          <t>A</t>
        </is>
      </c>
      <c r="AL195" s="122" t="inlineStr">
        <is>
          <t>A+</t>
        </is>
      </c>
      <c r="AM195" s="122" t="inlineStr">
        <is>
          <t>B+</t>
        </is>
      </c>
      <c r="AN195" s="122">
        <f>IF(AI195="","",$AN$2)</f>
        <v/>
      </c>
      <c r="AO195" s="122">
        <f>IF(N195="","",IF(N195&gt;=$AO$1/100,"O","X"))</f>
        <v/>
      </c>
      <c r="AP195" s="122">
        <f>IF(I195="","",IF(I195&lt;=$AP$1,"O","X"))</f>
        <v/>
      </c>
      <c r="AQ195" s="122">
        <f>IF(O195="","",IF(O195&lt;=$AQ$1,"O","X"))</f>
        <v/>
      </c>
      <c r="AR195" s="122">
        <f>IF(M195="","",IF(M195&lt;=$AR$1,"O","X"))</f>
        <v/>
      </c>
      <c r="AS195" s="122" t="inlineStr">
        <is>
          <t>X</t>
        </is>
      </c>
      <c r="AT195" s="122">
        <f>IF(OR(F195="",AI195=""),"",IF(AND((F195&lt;=85),(AI195&gt;=15)),"O","X"))</f>
        <v/>
      </c>
      <c r="AU195" s="122">
        <f>IF(C195="","",IF(C195&gt;=$AU$1,"O","X"))</f>
        <v/>
      </c>
      <c r="AV195" s="122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1" t="n">
        <v>330</v>
      </c>
      <c r="D196" s="132" t="n">
        <v>159.1</v>
      </c>
      <c r="E196" s="133" t="n">
        <v>48</v>
      </c>
      <c r="F196" s="132" t="n">
        <v>134.5</v>
      </c>
      <c r="G196" s="17" t="n">
        <v>41</v>
      </c>
      <c r="H196" s="134" t="n">
        <v>60</v>
      </c>
      <c r="I196" s="135" t="n">
        <v>20500</v>
      </c>
      <c r="J196" s="135" t="inlineStr">
        <is>
          <t>10</t>
        </is>
      </c>
      <c r="K196" s="135" t="n">
        <v>21000</v>
      </c>
      <c r="L196" s="135" t="inlineStr">
        <is>
          <t>9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22" t="n">
        <v>4</v>
      </c>
      <c r="R196" s="122" t="n">
        <v>2</v>
      </c>
      <c r="S196" s="122" t="inlineStr">
        <is>
          <t>계</t>
        </is>
      </c>
      <c r="T196" s="5" t="n">
        <v>159</v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22">
        <f>S196</f>
        <v/>
      </c>
      <c r="AF196" s="122">
        <f>Q196&amp;"/"&amp;R196</f>
        <v/>
      </c>
      <c r="AH196" s="20">
        <f>IF(A196="","",A196)</f>
        <v/>
      </c>
      <c r="AI196" s="133">
        <f>IF(E196="","",E196)</f>
        <v/>
      </c>
      <c r="AJ196" s="122">
        <f>IF(AI196="","",$AJ$2)</f>
        <v/>
      </c>
      <c r="AK196" s="122" t="inlineStr">
        <is>
          <t>A</t>
        </is>
      </c>
      <c r="AL196" s="122" t="inlineStr">
        <is>
          <t>A+</t>
        </is>
      </c>
      <c r="AM196" s="122" t="inlineStr">
        <is>
          <t>B+</t>
        </is>
      </c>
      <c r="AN196" s="122">
        <f>IF(AI196="","",$AN$2)</f>
        <v/>
      </c>
      <c r="AO196" s="122">
        <f>IF(N196="","",IF(N196&gt;=$AO$1/100,"O","X"))</f>
        <v/>
      </c>
      <c r="AP196" s="122">
        <f>IF(I196="","",IF(I196&lt;=$AP$1,"O","X"))</f>
        <v/>
      </c>
      <c r="AQ196" s="122">
        <f>IF(O196="","",IF(O196&lt;=$AQ$1,"O","X"))</f>
        <v/>
      </c>
      <c r="AR196" s="122">
        <f>IF(M196="","",IF(M196&lt;=$AR$1,"O","X"))</f>
        <v/>
      </c>
      <c r="AS196" s="122" t="inlineStr">
        <is>
          <t>X</t>
        </is>
      </c>
      <c r="AT196" s="122">
        <f>IF(OR(F196="",AI196=""),"",IF(AND((F196&lt;=85),(AI196&gt;=15)),"O","X"))</f>
        <v/>
      </c>
      <c r="AU196" s="122">
        <f>IF(C196="","",IF(C196&gt;=$AU$1,"O","X"))</f>
        <v/>
      </c>
      <c r="AV196" s="122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1" t="n">
        <v>748</v>
      </c>
      <c r="D197" s="132" t="n">
        <v>79.8</v>
      </c>
      <c r="E197" s="133" t="n">
        <v>24</v>
      </c>
      <c r="F197" s="132" t="n">
        <v>59.9</v>
      </c>
      <c r="G197" s="17" t="n">
        <v>18</v>
      </c>
      <c r="H197" s="134" t="n">
        <v>152</v>
      </c>
      <c r="I197" s="135" t="n">
        <v>29773</v>
      </c>
      <c r="J197" s="135" t="inlineStr">
        <is>
          <t>중</t>
        </is>
      </c>
      <c r="K197" s="135" t="n">
        <v>26000</v>
      </c>
      <c r="L197" s="135" t="inlineStr">
        <is>
          <t>5</t>
        </is>
      </c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22" t="n">
        <v>3</v>
      </c>
      <c r="R197" s="122" t="n">
        <v>2</v>
      </c>
      <c r="S197" s="122" t="inlineStr">
        <is>
          <t>계</t>
        </is>
      </c>
      <c r="T197" s="5" t="inlineStr">
        <is>
          <t>79A</t>
        </is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22">
        <f>S197</f>
        <v/>
      </c>
      <c r="AF197" s="122">
        <f>Q197&amp;"/"&amp;R197</f>
        <v/>
      </c>
      <c r="AH197" s="20">
        <f>IF(A197="","",A197)</f>
        <v/>
      </c>
      <c r="AI197" s="133">
        <f>IF(E197="","",E197)</f>
        <v/>
      </c>
      <c r="AJ197" s="122">
        <f>IF(AI197="","",$AJ$2)</f>
        <v/>
      </c>
      <c r="AK197" s="122" t="inlineStr">
        <is>
          <t>A</t>
        </is>
      </c>
      <c r="AL197" s="122" t="inlineStr">
        <is>
          <t>A+</t>
        </is>
      </c>
      <c r="AM197" s="122" t="inlineStr">
        <is>
          <t>B+</t>
        </is>
      </c>
      <c r="AN197" s="122">
        <f>IF(AI197="","",$AN$2)</f>
        <v/>
      </c>
      <c r="AO197" s="122">
        <f>IF(N197="","",IF(N197&gt;=$AO$1/100,"O","X"))</f>
        <v/>
      </c>
      <c r="AP197" s="122">
        <f>IF(I197="","",IF(I197&lt;=$AP$1,"O","X"))</f>
        <v/>
      </c>
      <c r="AQ197" s="122">
        <f>IF(O197="","",IF(O197&lt;=$AQ$1,"O","X"))</f>
        <v/>
      </c>
      <c r="AR197" s="122">
        <f>IF(M197="","",IF(M197&lt;=$AR$1,"O","X"))</f>
        <v/>
      </c>
      <c r="AS197" s="122" t="inlineStr">
        <is>
          <t>X</t>
        </is>
      </c>
      <c r="AT197" s="122">
        <f>IF(OR(F197="",AI197=""),"",IF(AND((F197&lt;=85),(AI197&gt;=15)),"O","X"))</f>
        <v/>
      </c>
      <c r="AU197" s="122">
        <f>IF(C197="","",IF(C197&gt;=$AU$1,"O","X"))</f>
        <v/>
      </c>
      <c r="AV197" s="122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1" t="n">
        <v>748</v>
      </c>
      <c r="D198" s="132" t="n">
        <v>80.3</v>
      </c>
      <c r="E198" s="133" t="n">
        <v>24</v>
      </c>
      <c r="F198" s="132" t="n">
        <v>59.9</v>
      </c>
      <c r="G198" s="17" t="n">
        <v>18</v>
      </c>
      <c r="H198" s="134" t="n">
        <v>99</v>
      </c>
      <c r="I198" s="135" t="n"/>
      <c r="J198" s="135" t="n"/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22" t="n">
        <v>3</v>
      </c>
      <c r="R198" s="122" t="n">
        <v>2</v>
      </c>
      <c r="S198" s="122" t="inlineStr">
        <is>
          <t>계</t>
        </is>
      </c>
      <c r="T198" s="5" t="inlineStr">
        <is>
          <t>80B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22">
        <f>S198</f>
        <v/>
      </c>
      <c r="AF198" s="122">
        <f>Q198&amp;"/"&amp;R198</f>
        <v/>
      </c>
      <c r="AH198" s="20">
        <f>IF(A198="","",A198)</f>
        <v/>
      </c>
      <c r="AI198" s="133">
        <f>IF(E198="","",E198)</f>
        <v/>
      </c>
      <c r="AJ198" s="122">
        <f>IF(AI198="","",$AJ$2)</f>
        <v/>
      </c>
      <c r="AK198" s="122" t="inlineStr">
        <is>
          <t>A</t>
        </is>
      </c>
      <c r="AL198" s="122" t="inlineStr">
        <is>
          <t>A+</t>
        </is>
      </c>
      <c r="AM198" s="122" t="inlineStr">
        <is>
          <t>B+</t>
        </is>
      </c>
      <c r="AN198" s="122">
        <f>IF(AI198="","",$AN$2)</f>
        <v/>
      </c>
      <c r="AO198" s="122">
        <f>IF(N198="","",IF(N198&gt;=$AO$1/100,"O","X"))</f>
        <v/>
      </c>
      <c r="AP198" s="122">
        <f>IF(I198="","",IF(I198&lt;=$AP$1,"O","X"))</f>
        <v/>
      </c>
      <c r="AQ198" s="122">
        <f>IF(O198="","",IF(O198&lt;=$AQ$1,"O","X"))</f>
        <v/>
      </c>
      <c r="AR198" s="122">
        <f>IF(M198="","",IF(M198&lt;=$AR$1,"O","X"))</f>
        <v/>
      </c>
      <c r="AS198" s="122" t="inlineStr">
        <is>
          <t>X</t>
        </is>
      </c>
      <c r="AT198" s="122">
        <f>IF(OR(F198="",AI198=""),"",IF(AND((F198&lt;=85),(AI198&gt;=15)),"O","X"))</f>
        <v/>
      </c>
      <c r="AU198" s="122">
        <f>IF(C198="","",IF(C198&gt;=$AU$1,"O","X"))</f>
        <v/>
      </c>
      <c r="AV198" s="122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1" t="n">
        <v>748</v>
      </c>
      <c r="D199" s="132" t="n">
        <v>99.59999999999999</v>
      </c>
      <c r="E199" s="133" t="n">
        <v>30</v>
      </c>
      <c r="F199" s="132" t="n">
        <v>76</v>
      </c>
      <c r="G199" s="17" t="n">
        <v>23</v>
      </c>
      <c r="H199" s="134" t="n">
        <v>143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22" t="n">
        <v>3</v>
      </c>
      <c r="R199" s="122" t="n">
        <v>2</v>
      </c>
      <c r="S199" s="122" t="inlineStr">
        <is>
          <t>계</t>
        </is>
      </c>
      <c r="T199" s="5" t="inlineStr">
        <is>
          <t>99A</t>
        </is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22">
        <f>S199</f>
        <v/>
      </c>
      <c r="AF199" s="122">
        <f>Q199&amp;"/"&amp;R199</f>
        <v/>
      </c>
      <c r="AH199" s="20">
        <f>IF(A199="","",A199)</f>
        <v/>
      </c>
      <c r="AI199" s="133">
        <f>IF(E199="","",E199)</f>
        <v/>
      </c>
      <c r="AJ199" s="122">
        <f>IF(AI199="","",$AJ$2)</f>
        <v/>
      </c>
      <c r="AK199" s="122" t="inlineStr">
        <is>
          <t>A</t>
        </is>
      </c>
      <c r="AL199" s="122" t="inlineStr">
        <is>
          <t>A+</t>
        </is>
      </c>
      <c r="AM199" s="122" t="inlineStr">
        <is>
          <t>B+</t>
        </is>
      </c>
      <c r="AN199" s="122">
        <f>IF(AI199="","",$AN$2)</f>
        <v/>
      </c>
      <c r="AO199" s="122">
        <f>IF(N199="","",IF(N199&gt;=$AO$1/100,"O","X"))</f>
        <v/>
      </c>
      <c r="AP199" s="122">
        <f>IF(I199="","",IF(I199&lt;=$AP$1,"O","X"))</f>
        <v/>
      </c>
      <c r="AQ199" s="122">
        <f>IF(O199="","",IF(O199&lt;=$AQ$1,"O","X"))</f>
        <v/>
      </c>
      <c r="AR199" s="122">
        <f>IF(M199="","",IF(M199&lt;=$AR$1,"O","X"))</f>
        <v/>
      </c>
      <c r="AS199" s="122" t="inlineStr">
        <is>
          <t>X</t>
        </is>
      </c>
      <c r="AT199" s="122">
        <f>IF(OR(F199="",AI199=""),"",IF(AND((F199&lt;=85),(AI199&gt;=15)),"O","X"))</f>
        <v/>
      </c>
      <c r="AU199" s="122">
        <f>IF(C199="","",IF(C199&gt;=$AU$1,"O","X"))</f>
        <v/>
      </c>
      <c r="AV199" s="122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1" t="n">
        <v>748</v>
      </c>
      <c r="D200" s="132" t="n">
        <v>100.8</v>
      </c>
      <c r="E200" s="133" t="n">
        <v>31</v>
      </c>
      <c r="F200" s="132" t="n">
        <v>76</v>
      </c>
      <c r="G200" s="17" t="n">
        <v>23</v>
      </c>
      <c r="H200" s="134" t="n">
        <v>107</v>
      </c>
      <c r="I200" s="135" t="n">
        <v>35200</v>
      </c>
      <c r="J200" s="135" t="inlineStr">
        <is>
          <t>12</t>
        </is>
      </c>
      <c r="K200" s="135" t="n">
        <v>29000</v>
      </c>
      <c r="L200" s="135" t="inlineStr">
        <is>
          <t>13</t>
        </is>
      </c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22" t="n">
        <v>3</v>
      </c>
      <c r="R200" s="122" t="n">
        <v>2</v>
      </c>
      <c r="S200" s="122" t="inlineStr">
        <is>
          <t>계</t>
        </is>
      </c>
      <c r="T200" s="5" t="inlineStr">
        <is>
          <t>100B</t>
        </is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22">
        <f>S200</f>
        <v/>
      </c>
      <c r="AF200" s="122">
        <f>Q200&amp;"/"&amp;R200</f>
        <v/>
      </c>
      <c r="AH200" s="20">
        <f>IF(A200="","",A200)</f>
        <v/>
      </c>
      <c r="AI200" s="133">
        <f>IF(E200="","",E200)</f>
        <v/>
      </c>
      <c r="AJ200" s="122">
        <f>IF(AI200="","",$AJ$2)</f>
        <v/>
      </c>
      <c r="AK200" s="122" t="inlineStr">
        <is>
          <t>A</t>
        </is>
      </c>
      <c r="AL200" s="122" t="inlineStr">
        <is>
          <t>A+</t>
        </is>
      </c>
      <c r="AM200" s="122" t="inlineStr">
        <is>
          <t>B+</t>
        </is>
      </c>
      <c r="AN200" s="122">
        <f>IF(AI200="","",$AN$2)</f>
        <v/>
      </c>
      <c r="AO200" s="122">
        <f>IF(N200="","",IF(N200&gt;=$AO$1/100,"O","X"))</f>
        <v/>
      </c>
      <c r="AP200" s="122">
        <f>IF(I200="","",IF(I200&lt;=$AP$1,"O","X"))</f>
        <v/>
      </c>
      <c r="AQ200" s="122">
        <f>IF(O200="","",IF(O200&lt;=$AQ$1,"O","X"))</f>
        <v/>
      </c>
      <c r="AR200" s="122">
        <f>IF(M200="","",IF(M200&lt;=$AR$1,"O","X"))</f>
        <v/>
      </c>
      <c r="AS200" s="122" t="inlineStr">
        <is>
          <t>X</t>
        </is>
      </c>
      <c r="AT200" s="122">
        <f>IF(OR(F200="",AI200=""),"",IF(AND((F200&lt;=85),(AI200&gt;=15)),"O","X"))</f>
        <v/>
      </c>
      <c r="AU200" s="122">
        <f>IF(C200="","",IF(C200&gt;=$AU$1,"O","X"))</f>
        <v/>
      </c>
      <c r="AV200" s="122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1" t="n">
        <v>748</v>
      </c>
      <c r="D201" s="132" t="n">
        <v>111.2</v>
      </c>
      <c r="E201" s="133" t="n">
        <v>34</v>
      </c>
      <c r="F201" s="132" t="n">
        <v>85</v>
      </c>
      <c r="G201" s="17" t="n">
        <v>26</v>
      </c>
      <c r="H201" s="134" t="n">
        <v>149</v>
      </c>
      <c r="I201" s="135" t="n">
        <v>45000</v>
      </c>
      <c r="J201" s="135" t="inlineStr">
        <is>
          <t>고</t>
        </is>
      </c>
      <c r="K201" s="135" t="n">
        <v>28000</v>
      </c>
      <c r="L201" s="135" t="inlineStr">
        <is>
          <t>23</t>
        </is>
      </c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22" t="n">
        <v>3</v>
      </c>
      <c r="R201" s="122" t="n">
        <v>2</v>
      </c>
      <c r="S201" s="122" t="inlineStr">
        <is>
          <t>계</t>
        </is>
      </c>
      <c r="T201" s="5" t="inlineStr">
        <is>
          <t>111A</t>
        </is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22">
        <f>S201</f>
        <v/>
      </c>
      <c r="AF201" s="122">
        <f>Q201&amp;"/"&amp;R201</f>
        <v/>
      </c>
      <c r="AH201" s="20">
        <f>IF(A201="","",A201)</f>
        <v/>
      </c>
      <c r="AI201" s="133">
        <f>IF(E201="","",E201)</f>
        <v/>
      </c>
      <c r="AJ201" s="122">
        <f>IF(AI201="","",$AJ$2)</f>
        <v/>
      </c>
      <c r="AK201" s="122" t="inlineStr">
        <is>
          <t>A</t>
        </is>
      </c>
      <c r="AL201" s="122" t="inlineStr">
        <is>
          <t>A+</t>
        </is>
      </c>
      <c r="AM201" s="122" t="inlineStr">
        <is>
          <t>B+</t>
        </is>
      </c>
      <c r="AN201" s="122">
        <f>IF(AI201="","",$AN$2)</f>
        <v/>
      </c>
      <c r="AO201" s="122">
        <f>IF(N201="","",IF(N201&gt;=$AO$1/100,"O","X"))</f>
        <v/>
      </c>
      <c r="AP201" s="122">
        <f>IF(I201="","",IF(I201&lt;=$AP$1,"O","X"))</f>
        <v/>
      </c>
      <c r="AQ201" s="122">
        <f>IF(O201="","",IF(O201&lt;=$AQ$1,"O","X"))</f>
        <v/>
      </c>
      <c r="AR201" s="122">
        <f>IF(M201="","",IF(M201&lt;=$AR$1,"O","X"))</f>
        <v/>
      </c>
      <c r="AS201" s="122" t="inlineStr">
        <is>
          <t>X</t>
        </is>
      </c>
      <c r="AT201" s="122">
        <f>IF(OR(F201="",AI201=""),"",IF(AND((F201&lt;=85),(AI201&gt;=15)),"O","X"))</f>
        <v/>
      </c>
      <c r="AU201" s="122">
        <f>IF(C201="","",IF(C201&gt;=$AU$1,"O","X"))</f>
        <v/>
      </c>
      <c r="AV201" s="122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1" t="n">
        <v>748</v>
      </c>
      <c r="D202" s="132" t="n">
        <v>111.5</v>
      </c>
      <c r="E202" s="133" t="n">
        <v>34</v>
      </c>
      <c r="F202" s="132" t="n">
        <v>85</v>
      </c>
      <c r="G202" s="17" t="n">
        <v>26</v>
      </c>
      <c r="H202" s="134" t="n">
        <v>48</v>
      </c>
      <c r="I202" s="135" t="n">
        <v>46000</v>
      </c>
      <c r="J202" s="135" t="inlineStr">
        <is>
          <t>21</t>
        </is>
      </c>
      <c r="K202" s="135" t="n">
        <v>30000</v>
      </c>
      <c r="L202" s="135" t="inlineStr">
        <is>
          <t>18</t>
        </is>
      </c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22" t="n">
        <v>3</v>
      </c>
      <c r="R202" s="122" t="n">
        <v>2</v>
      </c>
      <c r="S202" s="122" t="inlineStr">
        <is>
          <t>계</t>
        </is>
      </c>
      <c r="T202" s="5" t="inlineStr">
        <is>
          <t>111B</t>
        </is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22">
        <f>S202</f>
        <v/>
      </c>
      <c r="AF202" s="122">
        <f>Q202&amp;"/"&amp;R202</f>
        <v/>
      </c>
      <c r="AH202" s="20">
        <f>IF(A202="","",A202)</f>
        <v/>
      </c>
      <c r="AI202" s="133">
        <f>IF(E202="","",E202)</f>
        <v/>
      </c>
      <c r="AJ202" s="122">
        <f>IF(AI202="","",$AJ$2)</f>
        <v/>
      </c>
      <c r="AK202" s="122" t="inlineStr">
        <is>
          <t>A</t>
        </is>
      </c>
      <c r="AL202" s="122" t="inlineStr">
        <is>
          <t>A+</t>
        </is>
      </c>
      <c r="AM202" s="122" t="inlineStr">
        <is>
          <t>B+</t>
        </is>
      </c>
      <c r="AN202" s="122">
        <f>IF(AI202="","",$AN$2)</f>
        <v/>
      </c>
      <c r="AO202" s="122">
        <f>IF(N202="","",IF(N202&gt;=$AO$1/100,"O","X"))</f>
        <v/>
      </c>
      <c r="AP202" s="122">
        <f>IF(I202="","",IF(I202&lt;=$AP$1,"O","X"))</f>
        <v/>
      </c>
      <c r="AQ202" s="122">
        <f>IF(O202="","",IF(O202&lt;=$AQ$1,"O","X"))</f>
        <v/>
      </c>
      <c r="AR202" s="122">
        <f>IF(M202="","",IF(M202&lt;=$AR$1,"O","X"))</f>
        <v/>
      </c>
      <c r="AS202" s="122" t="inlineStr">
        <is>
          <t>X</t>
        </is>
      </c>
      <c r="AT202" s="122">
        <f>IF(OR(F202="",AI202=""),"",IF(AND((F202&lt;=85),(AI202&gt;=15)),"O","X"))</f>
        <v/>
      </c>
      <c r="AU202" s="122">
        <f>IF(C202="","",IF(C202&gt;=$AU$1,"O","X"))</f>
        <v/>
      </c>
      <c r="AV202" s="122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1" t="n">
        <v>748</v>
      </c>
      <c r="D203" s="132" t="n">
        <v>113.6</v>
      </c>
      <c r="E203" s="133" t="n">
        <v>34</v>
      </c>
      <c r="F203" s="132" t="n">
        <v>85</v>
      </c>
      <c r="G203" s="17" t="n">
        <v>26</v>
      </c>
      <c r="H203" s="134" t="n">
        <v>28</v>
      </c>
      <c r="I203" s="135" t="n">
        <v>38000</v>
      </c>
      <c r="J203" s="135" t="inlineStr">
        <is>
          <t>23</t>
        </is>
      </c>
      <c r="K203" s="135" t="n">
        <v>28000</v>
      </c>
      <c r="L203" s="135" t="inlineStr">
        <is>
          <t>23</t>
        </is>
      </c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22" t="n">
        <v>3</v>
      </c>
      <c r="R203" s="122" t="n">
        <v>2</v>
      </c>
      <c r="S203" s="122" t="inlineStr">
        <is>
          <t>계</t>
        </is>
      </c>
      <c r="T203" s="5" t="inlineStr">
        <is>
          <t>113D</t>
        </is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22">
        <f>S203</f>
        <v/>
      </c>
      <c r="AF203" s="122">
        <f>Q203&amp;"/"&amp;R203</f>
        <v/>
      </c>
      <c r="AH203" s="20">
        <f>IF(A203="","",A203)</f>
        <v/>
      </c>
      <c r="AI203" s="133">
        <f>IF(E203="","",E203)</f>
        <v/>
      </c>
      <c r="AJ203" s="122">
        <f>IF(AI203="","",$AJ$2)</f>
        <v/>
      </c>
      <c r="AK203" s="122" t="inlineStr">
        <is>
          <t>A</t>
        </is>
      </c>
      <c r="AL203" s="122" t="inlineStr">
        <is>
          <t>A+</t>
        </is>
      </c>
      <c r="AM203" s="122" t="inlineStr">
        <is>
          <t>B+</t>
        </is>
      </c>
      <c r="AN203" s="122">
        <f>IF(AI203="","",$AN$2)</f>
        <v/>
      </c>
      <c r="AO203" s="122">
        <f>IF(N203="","",IF(N203&gt;=$AO$1/100,"O","X"))</f>
        <v/>
      </c>
      <c r="AP203" s="122">
        <f>IF(I203="","",IF(I203&lt;=$AP$1,"O","X"))</f>
        <v/>
      </c>
      <c r="AQ203" s="122">
        <f>IF(O203="","",IF(O203&lt;=$AQ$1,"O","X"))</f>
        <v/>
      </c>
      <c r="AR203" s="122">
        <f>IF(M203="","",IF(M203&lt;=$AR$1,"O","X"))</f>
        <v/>
      </c>
      <c r="AS203" s="122" t="inlineStr">
        <is>
          <t>X</t>
        </is>
      </c>
      <c r="AT203" s="122">
        <f>IF(OR(F203="",AI203=""),"",IF(AND((F203&lt;=85),(AI203&gt;=15)),"O","X"))</f>
        <v/>
      </c>
      <c r="AU203" s="122">
        <f>IF(C203="","",IF(C203&gt;=$AU$1,"O","X"))</f>
        <v/>
      </c>
      <c r="AV203" s="122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1" t="n">
        <v>748</v>
      </c>
      <c r="D204" s="132" t="n">
        <v>113.7</v>
      </c>
      <c r="E204" s="133" t="n">
        <v>34</v>
      </c>
      <c r="F204" s="132" t="n">
        <v>85</v>
      </c>
      <c r="G204" s="17" t="n">
        <v>26</v>
      </c>
      <c r="H204" s="134" t="n">
        <v>22</v>
      </c>
      <c r="I204" s="135" t="n"/>
      <c r="J204" s="135" t="n"/>
      <c r="K204" s="135" t="n">
        <v>32000</v>
      </c>
      <c r="L204" s="135" t="inlineStr">
        <is>
          <t>중</t>
        </is>
      </c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22" t="n">
        <v>3</v>
      </c>
      <c r="R204" s="122" t="n">
        <v>2</v>
      </c>
      <c r="S204" s="122" t="inlineStr">
        <is>
          <t>계</t>
        </is>
      </c>
      <c r="T204" s="5" t="inlineStr">
        <is>
          <t>113C</t>
        </is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22">
        <f>S204</f>
        <v/>
      </c>
      <c r="AF204" s="122">
        <f>Q204&amp;"/"&amp;R204</f>
        <v/>
      </c>
      <c r="AH204" s="20">
        <f>IF(A204="","",A204)</f>
        <v/>
      </c>
      <c r="AI204" s="133">
        <f>IF(E204="","",E204)</f>
        <v/>
      </c>
      <c r="AJ204" s="122">
        <f>IF(AI204="","",$AJ$2)</f>
        <v/>
      </c>
      <c r="AK204" s="122" t="inlineStr">
        <is>
          <t>A</t>
        </is>
      </c>
      <c r="AL204" s="122" t="inlineStr">
        <is>
          <t>A+</t>
        </is>
      </c>
      <c r="AM204" s="122" t="inlineStr">
        <is>
          <t>B+</t>
        </is>
      </c>
      <c r="AN204" s="122">
        <f>IF(AI204="","",$AN$2)</f>
        <v/>
      </c>
      <c r="AO204" s="122">
        <f>IF(N204="","",IF(N204&gt;=$AO$1/100,"O","X"))</f>
        <v/>
      </c>
      <c r="AP204" s="122">
        <f>IF(I204="","",IF(I204&lt;=$AP$1,"O","X"))</f>
        <v/>
      </c>
      <c r="AQ204" s="122">
        <f>IF(O204="","",IF(O204&lt;=$AQ$1,"O","X"))</f>
        <v/>
      </c>
      <c r="AR204" s="122">
        <f>IF(M204="","",IF(M204&lt;=$AR$1,"O","X"))</f>
        <v/>
      </c>
      <c r="AS204" s="122" t="inlineStr">
        <is>
          <t>X</t>
        </is>
      </c>
      <c r="AT204" s="122">
        <f>IF(OR(F204="",AI204=""),"",IF(AND((F204&lt;=85),(AI204&gt;=15)),"O","X"))</f>
        <v/>
      </c>
      <c r="AU204" s="122">
        <f>IF(C204="","",IF(C204&gt;=$AU$1,"O","X"))</f>
        <v/>
      </c>
      <c r="AV204" s="122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1" t="n">
        <v>270</v>
      </c>
      <c r="D205" s="132" t="n">
        <v>46.4</v>
      </c>
      <c r="E205" s="133" t="n">
        <v>14</v>
      </c>
      <c r="F205" s="132" t="n">
        <v>34.8</v>
      </c>
      <c r="G205" s="17" t="n">
        <v>11</v>
      </c>
      <c r="H205" s="134" t="n">
        <v>270</v>
      </c>
      <c r="I205" s="135" t="n"/>
      <c r="J205" s="135" t="n"/>
      <c r="K205" s="135" t="n"/>
      <c r="L205" s="135" t="n"/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22" t="n">
        <v>2</v>
      </c>
      <c r="R205" s="122" t="n">
        <v>1</v>
      </c>
      <c r="S205" s="122" t="inlineStr">
        <is>
          <t>계</t>
        </is>
      </c>
      <c r="T205" s="5" t="n">
        <v>46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22">
        <f>S205</f>
        <v/>
      </c>
      <c r="AF205" s="122">
        <f>Q205&amp;"/"&amp;R205</f>
        <v/>
      </c>
      <c r="AH205" s="20">
        <f>IF(A205="","",A205)</f>
        <v/>
      </c>
      <c r="AI205" s="133">
        <f>IF(E205="","",E205)</f>
        <v/>
      </c>
      <c r="AJ205" s="122">
        <f>IF(AI205="","",$AJ$2)</f>
        <v/>
      </c>
      <c r="AK205" s="122" t="inlineStr">
        <is>
          <t>A</t>
        </is>
      </c>
      <c r="AL205" s="122" t="inlineStr">
        <is>
          <t>A+</t>
        </is>
      </c>
      <c r="AM205" s="122" t="inlineStr">
        <is>
          <t>B+</t>
        </is>
      </c>
      <c r="AN205" s="122">
        <f>IF(AI205="","",$AN$2)</f>
        <v/>
      </c>
      <c r="AO205" s="122">
        <f>IF(N205="","",IF(N205&gt;=$AO$1/100,"O","X"))</f>
        <v/>
      </c>
      <c r="AP205" s="122">
        <f>IF(I205="","",IF(I205&lt;=$AP$1,"O","X"))</f>
        <v/>
      </c>
      <c r="AQ205" s="122">
        <f>IF(O205="","",IF(O205&lt;=$AQ$1,"O","X"))</f>
        <v/>
      </c>
      <c r="AR205" s="122">
        <f>IF(M205="","",IF(M205&lt;=$AR$1,"O","X"))</f>
        <v/>
      </c>
      <c r="AS205" s="122" t="inlineStr">
        <is>
          <t>X</t>
        </is>
      </c>
      <c r="AT205" s="122">
        <f>IF(OR(F205="",AI205=""),"",IF(AND((F205&lt;=85),(AI205&gt;=15)),"O","X"))</f>
        <v/>
      </c>
      <c r="AU205" s="122">
        <f>IF(C205="","",IF(C205&gt;=$AU$1,"O","X"))</f>
        <v/>
      </c>
      <c r="AV205" s="122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1" t="n">
        <v>608</v>
      </c>
      <c r="D206" s="132" t="n">
        <v>40.8</v>
      </c>
      <c r="E206" s="133" t="n">
        <v>12</v>
      </c>
      <c r="F206" s="132" t="n">
        <v>32.8</v>
      </c>
      <c r="G206" s="17" t="n">
        <v>10</v>
      </c>
      <c r="H206" s="134" t="n">
        <v>243</v>
      </c>
      <c r="I206" s="135" t="n">
        <v>5600</v>
      </c>
      <c r="J206" s="135" t="inlineStr">
        <is>
          <t>5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22" t="n">
        <v>1</v>
      </c>
      <c r="R206" s="122" t="n">
        <v>1</v>
      </c>
      <c r="S206" s="122" t="inlineStr">
        <is>
          <t>복</t>
        </is>
      </c>
      <c r="T206" s="5" t="n">
        <v>40</v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22">
        <f>S206</f>
        <v/>
      </c>
      <c r="AF206" s="122">
        <f>Q206&amp;"/"&amp;R206</f>
        <v/>
      </c>
      <c r="AH206" s="20">
        <f>IF(A206="","",A206)</f>
        <v/>
      </c>
      <c r="AI206" s="133">
        <f>IF(E206="","",E206)</f>
        <v/>
      </c>
      <c r="AJ206" s="122">
        <f>IF(AI206="","",$AJ$2)</f>
        <v/>
      </c>
      <c r="AK206" s="122" t="inlineStr">
        <is>
          <t>A</t>
        </is>
      </c>
      <c r="AL206" s="122" t="inlineStr">
        <is>
          <t>A+</t>
        </is>
      </c>
      <c r="AM206" s="122" t="inlineStr">
        <is>
          <t>B+</t>
        </is>
      </c>
      <c r="AN206" s="122">
        <f>IF(AI206="","",$AN$2)</f>
        <v/>
      </c>
      <c r="AO206" s="122">
        <f>IF(N206="","",IF(N206&gt;=$AO$1/100,"O","X"))</f>
        <v/>
      </c>
      <c r="AP206" s="122">
        <f>IF(I206="","",IF(I206&lt;=$AP$1,"O","X"))</f>
        <v/>
      </c>
      <c r="AQ206" s="122">
        <f>IF(O206="","",IF(O206&lt;=$AQ$1,"O","X"))</f>
        <v/>
      </c>
      <c r="AR206" s="122">
        <f>IF(M206="","",IF(M206&lt;=$AR$1,"O","X"))</f>
        <v/>
      </c>
      <c r="AS206" s="122" t="inlineStr">
        <is>
          <t>X</t>
        </is>
      </c>
      <c r="AT206" s="122">
        <f>IF(OR(F206="",AI206=""),"",IF(AND((F206&lt;=85),(AI206&gt;=15)),"O","X"))</f>
        <v/>
      </c>
      <c r="AU206" s="122">
        <f>IF(C206="","",IF(C206&gt;=$AU$1,"O","X"))</f>
        <v/>
      </c>
      <c r="AV206" s="122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1" t="n">
        <v>608</v>
      </c>
      <c r="D207" s="132" t="n">
        <v>74</v>
      </c>
      <c r="E207" s="133" t="n">
        <v>22</v>
      </c>
      <c r="F207" s="132" t="n">
        <v>59.4</v>
      </c>
      <c r="G207" s="17" t="n">
        <v>18</v>
      </c>
      <c r="H207" s="134" t="n">
        <v>147</v>
      </c>
      <c r="I207" s="135" t="n">
        <v>14300</v>
      </c>
      <c r="J207" s="135" t="inlineStr">
        <is>
          <t>5</t>
        </is>
      </c>
      <c r="K207" s="135" t="n">
        <v>12500</v>
      </c>
      <c r="L207" s="135" t="inlineStr">
        <is>
          <t>8</t>
        </is>
      </c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22" t="n">
        <v>3</v>
      </c>
      <c r="R207" s="122" t="n">
        <v>1</v>
      </c>
      <c r="S207" s="122" t="inlineStr">
        <is>
          <t>계</t>
        </is>
      </c>
      <c r="T207" s="5" t="n">
        <v>73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22">
        <f>S207</f>
        <v/>
      </c>
      <c r="AF207" s="122">
        <f>Q207&amp;"/"&amp;R207</f>
        <v/>
      </c>
      <c r="AH207" s="20">
        <f>IF(A207="","",A207)</f>
        <v/>
      </c>
      <c r="AI207" s="133">
        <f>IF(E207="","",E207)</f>
        <v/>
      </c>
      <c r="AJ207" s="122">
        <f>IF(AI207="","",$AJ$2)</f>
        <v/>
      </c>
      <c r="AK207" s="122" t="inlineStr">
        <is>
          <t>A</t>
        </is>
      </c>
      <c r="AL207" s="122" t="inlineStr">
        <is>
          <t>A+</t>
        </is>
      </c>
      <c r="AM207" s="122" t="inlineStr">
        <is>
          <t>B+</t>
        </is>
      </c>
      <c r="AN207" s="122">
        <f>IF(AI207="","",$AN$2)</f>
        <v/>
      </c>
      <c r="AO207" s="122">
        <f>IF(N207="","",IF(N207&gt;=$AO$1/100,"O","X"))</f>
        <v/>
      </c>
      <c r="AP207" s="122">
        <f>IF(I207="","",IF(I207&lt;=$AP$1,"O","X"))</f>
        <v/>
      </c>
      <c r="AQ207" s="122">
        <f>IF(O207="","",IF(O207&lt;=$AQ$1,"O","X"))</f>
        <v/>
      </c>
      <c r="AR207" s="122">
        <f>IF(M207="","",IF(M207&lt;=$AR$1,"O","X"))</f>
        <v/>
      </c>
      <c r="AS207" s="122" t="inlineStr">
        <is>
          <t>X</t>
        </is>
      </c>
      <c r="AT207" s="122">
        <f>IF(OR(F207="",AI207=""),"",IF(AND((F207&lt;=85),(AI207&gt;=15)),"O","X"))</f>
        <v/>
      </c>
      <c r="AU207" s="122">
        <f>IF(C207="","",IF(C207&gt;=$AU$1,"O","X"))</f>
        <v/>
      </c>
      <c r="AV207" s="122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1" t="n">
        <v>608</v>
      </c>
      <c r="D208" s="132" t="n">
        <v>105.8</v>
      </c>
      <c r="E208" s="133" t="n">
        <v>32</v>
      </c>
      <c r="F208" s="132" t="n">
        <v>85</v>
      </c>
      <c r="G208" s="17" t="n">
        <v>26</v>
      </c>
      <c r="H208" s="134" t="n">
        <v>163</v>
      </c>
      <c r="I208" s="135" t="n">
        <v>24000</v>
      </c>
      <c r="J208" s="135" t="inlineStr">
        <is>
          <t>10</t>
        </is>
      </c>
      <c r="K208" s="135" t="n"/>
      <c r="L208" s="135" t="n"/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22" t="n">
        <v>3</v>
      </c>
      <c r="R208" s="122" t="n">
        <v>2</v>
      </c>
      <c r="S208" s="122" t="inlineStr">
        <is>
          <t>계</t>
        </is>
      </c>
      <c r="T208" s="5" t="inlineStr">
        <is>
          <t>105B</t>
        </is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22">
        <f>S208</f>
        <v/>
      </c>
      <c r="AF208" s="122">
        <f>Q208&amp;"/"&amp;R208</f>
        <v/>
      </c>
      <c r="AH208" s="20">
        <f>IF(A208="","",A208)</f>
        <v/>
      </c>
      <c r="AI208" s="133">
        <f>IF(E208="","",E208)</f>
        <v/>
      </c>
      <c r="AJ208" s="122">
        <f>IF(AI208="","",$AJ$2)</f>
        <v/>
      </c>
      <c r="AK208" s="122" t="inlineStr">
        <is>
          <t>A</t>
        </is>
      </c>
      <c r="AL208" s="122" t="inlineStr">
        <is>
          <t>A+</t>
        </is>
      </c>
      <c r="AM208" s="122" t="inlineStr">
        <is>
          <t>B+</t>
        </is>
      </c>
      <c r="AN208" s="122">
        <f>IF(AI208="","",$AN$2)</f>
        <v/>
      </c>
      <c r="AO208" s="122">
        <f>IF(N208="","",IF(N208&gt;=$AO$1/100,"O","X"))</f>
        <v/>
      </c>
      <c r="AP208" s="122">
        <f>IF(I208="","",IF(I208&lt;=$AP$1,"O","X"))</f>
        <v/>
      </c>
      <c r="AQ208" s="122">
        <f>IF(O208="","",IF(O208&lt;=$AQ$1,"O","X"))</f>
        <v/>
      </c>
      <c r="AR208" s="122">
        <f>IF(M208="","",IF(M208&lt;=$AR$1,"O","X"))</f>
        <v/>
      </c>
      <c r="AS208" s="122" t="inlineStr">
        <is>
          <t>X</t>
        </is>
      </c>
      <c r="AT208" s="122">
        <f>IF(OR(F208="",AI208=""),"",IF(AND((F208&lt;=85),(AI208&gt;=15)),"O","X"))</f>
        <v/>
      </c>
      <c r="AU208" s="122">
        <f>IF(C208="","",IF(C208&gt;=$AU$1,"O","X"))</f>
        <v/>
      </c>
      <c r="AV208" s="122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1" t="n">
        <v>608</v>
      </c>
      <c r="D209" s="132" t="n">
        <v>105.6</v>
      </c>
      <c r="E209" s="133" t="n">
        <v>32</v>
      </c>
      <c r="F209" s="132" t="n">
        <v>84.8</v>
      </c>
      <c r="G209" s="17" t="n">
        <v>26</v>
      </c>
      <c r="H209" s="134" t="n">
        <v>5</v>
      </c>
      <c r="I209" s="135" t="n">
        <v>19000</v>
      </c>
      <c r="J209" s="135" t="inlineStr">
        <is>
          <t>13</t>
        </is>
      </c>
      <c r="K209" s="135" t="n"/>
      <c r="L209" s="135" t="n"/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22" t="n">
        <v>3</v>
      </c>
      <c r="R209" s="122" t="n">
        <v>2</v>
      </c>
      <c r="S209" s="122" t="inlineStr">
        <is>
          <t>계</t>
        </is>
      </c>
      <c r="T209" s="5" t="inlineStr">
        <is>
          <t>105A</t>
        </is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22">
        <f>S209</f>
        <v/>
      </c>
      <c r="AF209" s="122">
        <f>Q209&amp;"/"&amp;R209</f>
        <v/>
      </c>
      <c r="AH209" s="20">
        <f>IF(A209="","",A209)</f>
        <v/>
      </c>
      <c r="AI209" s="133">
        <f>IF(E209="","",E209)</f>
        <v/>
      </c>
      <c r="AJ209" s="122">
        <f>IF(AI209="","",$AJ$2)</f>
        <v/>
      </c>
      <c r="AK209" s="122" t="inlineStr">
        <is>
          <t>A</t>
        </is>
      </c>
      <c r="AL209" s="122" t="inlineStr">
        <is>
          <t>A+</t>
        </is>
      </c>
      <c r="AM209" s="122" t="inlineStr">
        <is>
          <t>B+</t>
        </is>
      </c>
      <c r="AN209" s="122">
        <f>IF(AI209="","",$AN$2)</f>
        <v/>
      </c>
      <c r="AO209" s="122">
        <f>IF(N209="","",IF(N209&gt;=$AO$1/100,"O","X"))</f>
        <v/>
      </c>
      <c r="AP209" s="122">
        <f>IF(I209="","",IF(I209&lt;=$AP$1,"O","X"))</f>
        <v/>
      </c>
      <c r="AQ209" s="122">
        <f>IF(O209="","",IF(O209&lt;=$AQ$1,"O","X"))</f>
        <v/>
      </c>
      <c r="AR209" s="122">
        <f>IF(M209="","",IF(M209&lt;=$AR$1,"O","X"))</f>
        <v/>
      </c>
      <c r="AS209" s="122" t="inlineStr">
        <is>
          <t>X</t>
        </is>
      </c>
      <c r="AT209" s="122">
        <f>IF(OR(F209="",AI209=""),"",IF(AND((F209&lt;=85),(AI209&gt;=15)),"O","X"))</f>
        <v/>
      </c>
      <c r="AU209" s="122">
        <f>IF(C209="","",IF(C209&gt;=$AU$1,"O","X"))</f>
        <v/>
      </c>
      <c r="AV209" s="122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1" t="n">
        <v>608</v>
      </c>
      <c r="D210" s="132" t="n">
        <v>160.7</v>
      </c>
      <c r="E210" s="133" t="n">
        <v>49</v>
      </c>
      <c r="F210" s="132" t="n">
        <v>129</v>
      </c>
      <c r="G210" s="17" t="n">
        <v>39</v>
      </c>
      <c r="H210" s="134" t="n">
        <v>50</v>
      </c>
      <c r="I210" s="135" t="n"/>
      <c r="J210" s="135" t="n"/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22" t="n">
        <v>4</v>
      </c>
      <c r="R210" s="122" t="n">
        <v>2</v>
      </c>
      <c r="S210" s="122" t="inlineStr">
        <is>
          <t>계</t>
        </is>
      </c>
      <c r="T210" s="5" t="n">
        <v>160</v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22">
        <f>S210</f>
        <v/>
      </c>
      <c r="AF210" s="122">
        <f>Q210&amp;"/"&amp;R210</f>
        <v/>
      </c>
      <c r="AH210" s="20">
        <f>IF(A210="","",A210)</f>
        <v/>
      </c>
      <c r="AI210" s="133">
        <f>IF(E210="","",E210)</f>
        <v/>
      </c>
      <c r="AJ210" s="122">
        <f>IF(AI210="","",$AJ$2)</f>
        <v/>
      </c>
      <c r="AK210" s="122" t="inlineStr">
        <is>
          <t>A</t>
        </is>
      </c>
      <c r="AL210" s="122" t="inlineStr">
        <is>
          <t>A+</t>
        </is>
      </c>
      <c r="AM210" s="122" t="inlineStr">
        <is>
          <t>B+</t>
        </is>
      </c>
      <c r="AN210" s="122">
        <f>IF(AI210="","",$AN$2)</f>
        <v/>
      </c>
      <c r="AO210" s="122">
        <f>IF(N210="","",IF(N210&gt;=$AO$1/100,"O","X"))</f>
        <v/>
      </c>
      <c r="AP210" s="122">
        <f>IF(I210="","",IF(I210&lt;=$AP$1,"O","X"))</f>
        <v/>
      </c>
      <c r="AQ210" s="122">
        <f>IF(O210="","",IF(O210&lt;=$AQ$1,"O","X"))</f>
        <v/>
      </c>
      <c r="AR210" s="122">
        <f>IF(M210="","",IF(M210&lt;=$AR$1,"O","X"))</f>
        <v/>
      </c>
      <c r="AS210" s="122" t="inlineStr">
        <is>
          <t>X</t>
        </is>
      </c>
      <c r="AT210" s="122">
        <f>IF(OR(F210="",AI210=""),"",IF(AND((F210&lt;=85),(AI210&gt;=15)),"O","X"))</f>
        <v/>
      </c>
      <c r="AU210" s="122">
        <f>IF(C210="","",IF(C210&gt;=$AU$1,"O","X"))</f>
        <v/>
      </c>
      <c r="AV210" s="122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1" t="n">
        <v>764</v>
      </c>
      <c r="D211" s="132" t="n">
        <v>95.2</v>
      </c>
      <c r="E211" s="133" t="n">
        <v>29</v>
      </c>
      <c r="F211" s="132" t="n">
        <v>75</v>
      </c>
      <c r="G211" s="17" t="n">
        <v>23</v>
      </c>
      <c r="H211" s="134" t="n">
        <v>224</v>
      </c>
      <c r="I211" s="135" t="n">
        <v>17000</v>
      </c>
      <c r="J211" s="135" t="inlineStr">
        <is>
          <t>5</t>
        </is>
      </c>
      <c r="K211" s="135" t="n"/>
      <c r="L211" s="135" t="n"/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22" t="n">
        <v>3</v>
      </c>
      <c r="R211" s="122" t="n">
        <v>1</v>
      </c>
      <c r="S211" s="122" t="inlineStr">
        <is>
          <t>계</t>
        </is>
      </c>
      <c r="T211" s="5" t="n">
        <v>95</v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22">
        <f>S211</f>
        <v/>
      </c>
      <c r="AF211" s="122">
        <f>Q211&amp;"/"&amp;R211</f>
        <v/>
      </c>
      <c r="AH211" s="20">
        <f>IF(A211="","",A211)</f>
        <v/>
      </c>
      <c r="AI211" s="133">
        <f>IF(E211="","",E211)</f>
        <v/>
      </c>
      <c r="AJ211" s="122">
        <f>IF(AI211="","",$AJ$2)</f>
        <v/>
      </c>
      <c r="AK211" s="122" t="inlineStr">
        <is>
          <t>A</t>
        </is>
      </c>
      <c r="AL211" s="122" t="inlineStr">
        <is>
          <t>A+</t>
        </is>
      </c>
      <c r="AM211" s="122" t="inlineStr">
        <is>
          <t>B+</t>
        </is>
      </c>
      <c r="AN211" s="122">
        <f>IF(AI211="","",$AN$2)</f>
        <v/>
      </c>
      <c r="AO211" s="122">
        <f>IF(N211="","",IF(N211&gt;=$AO$1/100,"O","X"))</f>
        <v/>
      </c>
      <c r="AP211" s="122">
        <f>IF(I211="","",IF(I211&lt;=$AP$1,"O","X"))</f>
        <v/>
      </c>
      <c r="AQ211" s="122">
        <f>IF(O211="","",IF(O211&lt;=$AQ$1,"O","X"))</f>
        <v/>
      </c>
      <c r="AR211" s="122">
        <f>IF(M211="","",IF(M211&lt;=$AR$1,"O","X"))</f>
        <v/>
      </c>
      <c r="AS211" s="122" t="inlineStr">
        <is>
          <t>X</t>
        </is>
      </c>
      <c r="AT211" s="122">
        <f>IF(OR(F211="",AI211=""),"",IF(AND((F211&lt;=85),(AI211&gt;=15)),"O","X"))</f>
        <v/>
      </c>
      <c r="AU211" s="122">
        <f>IF(C211="","",IF(C211&gt;=$AU$1,"O","X"))</f>
        <v/>
      </c>
      <c r="AV211" s="122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1" t="n">
        <v>764</v>
      </c>
      <c r="D212" s="132" t="n">
        <v>97.5</v>
      </c>
      <c r="E212" s="133" t="n">
        <v>29</v>
      </c>
      <c r="F212" s="132" t="n">
        <v>75.40000000000001</v>
      </c>
      <c r="G212" s="17" t="n">
        <v>23</v>
      </c>
      <c r="H212" s="134" t="n">
        <v>40</v>
      </c>
      <c r="I212" s="135" t="n"/>
      <c r="J212" s="135" t="n"/>
      <c r="K212" s="135" t="n"/>
      <c r="L212" s="135" t="n"/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22" t="n">
        <v>3</v>
      </c>
      <c r="R212" s="122" t="n">
        <v>1</v>
      </c>
      <c r="S212" s="122" t="inlineStr">
        <is>
          <t>계</t>
        </is>
      </c>
      <c r="T212" s="5" t="n">
        <v>97</v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22">
        <f>S212</f>
        <v/>
      </c>
      <c r="AF212" s="122">
        <f>Q212&amp;"/"&amp;R212</f>
        <v/>
      </c>
      <c r="AH212" s="20">
        <f>IF(A212="","",A212)</f>
        <v/>
      </c>
      <c r="AI212" s="133">
        <f>IF(E212="","",E212)</f>
        <v/>
      </c>
      <c r="AJ212" s="122">
        <f>IF(AI212="","",$AJ$2)</f>
        <v/>
      </c>
      <c r="AK212" s="122" t="inlineStr">
        <is>
          <t>A</t>
        </is>
      </c>
      <c r="AL212" s="122" t="inlineStr">
        <is>
          <t>A+</t>
        </is>
      </c>
      <c r="AM212" s="122" t="inlineStr">
        <is>
          <t>B+</t>
        </is>
      </c>
      <c r="AN212" s="122">
        <f>IF(AI212="","",$AN$2)</f>
        <v/>
      </c>
      <c r="AO212" s="122">
        <f>IF(N212="","",IF(N212&gt;=$AO$1/100,"O","X"))</f>
        <v/>
      </c>
      <c r="AP212" s="122">
        <f>IF(I212="","",IF(I212&lt;=$AP$1,"O","X"))</f>
        <v/>
      </c>
      <c r="AQ212" s="122">
        <f>IF(O212="","",IF(O212&lt;=$AQ$1,"O","X"))</f>
        <v/>
      </c>
      <c r="AR212" s="122">
        <f>IF(M212="","",IF(M212&lt;=$AR$1,"O","X"))</f>
        <v/>
      </c>
      <c r="AS212" s="122" t="inlineStr">
        <is>
          <t>X</t>
        </is>
      </c>
      <c r="AT212" s="122">
        <f>IF(OR(F212="",AI212=""),"",IF(AND((F212&lt;=85),(AI212&gt;=15)),"O","X"))</f>
        <v/>
      </c>
      <c r="AU212" s="122">
        <f>IF(C212="","",IF(C212&gt;=$AU$1,"O","X"))</f>
        <v/>
      </c>
      <c r="AV212" s="122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1" t="n">
        <v>764</v>
      </c>
      <c r="D213" s="132" t="n">
        <v>106.6</v>
      </c>
      <c r="E213" s="133" t="n">
        <v>32</v>
      </c>
      <c r="F213" s="132" t="n">
        <v>85</v>
      </c>
      <c r="G213" s="17" t="n">
        <v>26</v>
      </c>
      <c r="H213" s="134" t="n">
        <v>386</v>
      </c>
      <c r="I213" s="135" t="n">
        <v>19000</v>
      </c>
      <c r="J213" s="135" t="inlineStr">
        <is>
          <t>중</t>
        </is>
      </c>
      <c r="K213" s="135" t="n">
        <v>13000</v>
      </c>
      <c r="L213" s="135" t="inlineStr">
        <is>
          <t>중</t>
        </is>
      </c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22" t="n">
        <v>3</v>
      </c>
      <c r="R213" s="122" t="n">
        <v>2</v>
      </c>
      <c r="S213" s="122" t="inlineStr">
        <is>
          <t>계</t>
        </is>
      </c>
      <c r="T213" s="5" t="n">
        <v>106</v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22">
        <f>S213</f>
        <v/>
      </c>
      <c r="AF213" s="122">
        <f>Q213&amp;"/"&amp;R213</f>
        <v/>
      </c>
      <c r="AH213" s="20">
        <f>IF(A213="","",A213)</f>
        <v/>
      </c>
      <c r="AI213" s="133">
        <f>IF(E213="","",E213)</f>
        <v/>
      </c>
      <c r="AJ213" s="122">
        <f>IF(AI213="","",$AJ$2)</f>
        <v/>
      </c>
      <c r="AK213" s="122" t="inlineStr">
        <is>
          <t>A</t>
        </is>
      </c>
      <c r="AL213" s="122" t="inlineStr">
        <is>
          <t>A+</t>
        </is>
      </c>
      <c r="AM213" s="122" t="inlineStr">
        <is>
          <t>B+</t>
        </is>
      </c>
      <c r="AN213" s="122">
        <f>IF(AI213="","",$AN$2)</f>
        <v/>
      </c>
      <c r="AO213" s="122">
        <f>IF(N213="","",IF(N213&gt;=$AO$1/100,"O","X"))</f>
        <v/>
      </c>
      <c r="AP213" s="122">
        <f>IF(I213="","",IF(I213&lt;=$AP$1,"O","X"))</f>
        <v/>
      </c>
      <c r="AQ213" s="122">
        <f>IF(O213="","",IF(O213&lt;=$AQ$1,"O","X"))</f>
        <v/>
      </c>
      <c r="AR213" s="122">
        <f>IF(M213="","",IF(M213&lt;=$AR$1,"O","X"))</f>
        <v/>
      </c>
      <c r="AS213" s="122" t="inlineStr">
        <is>
          <t>X</t>
        </is>
      </c>
      <c r="AT213" s="122">
        <f>IF(OR(F213="",AI213=""),"",IF(AND((F213&lt;=85),(AI213&gt;=15)),"O","X"))</f>
        <v/>
      </c>
      <c r="AU213" s="122">
        <f>IF(C213="","",IF(C213&gt;=$AU$1,"O","X"))</f>
        <v/>
      </c>
      <c r="AV213" s="122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1" t="n">
        <v>764</v>
      </c>
      <c r="D214" s="132" t="n">
        <v>150.8</v>
      </c>
      <c r="E214" s="133" t="n">
        <v>46</v>
      </c>
      <c r="F214" s="132" t="n">
        <v>125.6</v>
      </c>
      <c r="G214" s="17" t="n">
        <v>38</v>
      </c>
      <c r="H214" s="134" t="n">
        <v>114</v>
      </c>
      <c r="I214" s="135" t="n">
        <v>27500</v>
      </c>
      <c r="J214" s="135" t="inlineStr">
        <is>
          <t>중</t>
        </is>
      </c>
      <c r="K214" s="135" t="n"/>
      <c r="L214" s="135" t="n"/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22" t="n">
        <v>4</v>
      </c>
      <c r="R214" s="122" t="n">
        <v>2</v>
      </c>
      <c r="S214" s="122" t="inlineStr">
        <is>
          <t>계</t>
        </is>
      </c>
      <c r="T214" s="5" t="n">
        <v>150</v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22">
        <f>S214</f>
        <v/>
      </c>
      <c r="AF214" s="122">
        <f>Q214&amp;"/"&amp;R214</f>
        <v/>
      </c>
      <c r="AH214" s="20">
        <f>IF(A214="","",A214)</f>
        <v/>
      </c>
      <c r="AI214" s="133">
        <f>IF(E214="","",E214)</f>
        <v/>
      </c>
      <c r="AJ214" s="122">
        <f>IF(AI214="","",$AJ$2)</f>
        <v/>
      </c>
      <c r="AK214" s="122" t="inlineStr">
        <is>
          <t>A</t>
        </is>
      </c>
      <c r="AL214" s="122" t="inlineStr">
        <is>
          <t>A+</t>
        </is>
      </c>
      <c r="AM214" s="122" t="inlineStr">
        <is>
          <t>B+</t>
        </is>
      </c>
      <c r="AN214" s="122">
        <f>IF(AI214="","",$AN$2)</f>
        <v/>
      </c>
      <c r="AO214" s="122">
        <f>IF(N214="","",IF(N214&gt;=$AO$1/100,"O","X"))</f>
        <v/>
      </c>
      <c r="AP214" s="122">
        <f>IF(I214="","",IF(I214&lt;=$AP$1,"O","X"))</f>
        <v/>
      </c>
      <c r="AQ214" s="122">
        <f>IF(O214="","",IF(O214&lt;=$AQ$1,"O","X"))</f>
        <v/>
      </c>
      <c r="AR214" s="122">
        <f>IF(M214="","",IF(M214&lt;=$AR$1,"O","X"))</f>
        <v/>
      </c>
      <c r="AS214" s="122" t="inlineStr">
        <is>
          <t>X</t>
        </is>
      </c>
      <c r="AT214" s="122">
        <f>IF(OR(F214="",AI214=""),"",IF(AND((F214&lt;=85),(AI214&gt;=15)),"O","X"))</f>
        <v/>
      </c>
      <c r="AU214" s="122">
        <f>IF(C214="","",IF(C214&gt;=$AU$1,"O","X"))</f>
        <v/>
      </c>
      <c r="AV214" s="122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1" t="n">
        <v>798</v>
      </c>
      <c r="D215" s="132" t="n">
        <v>77.40000000000001</v>
      </c>
      <c r="E215" s="133" t="n">
        <v>23</v>
      </c>
      <c r="F215" s="132" t="n">
        <v>59.6</v>
      </c>
      <c r="G215" s="17" t="n">
        <v>18</v>
      </c>
      <c r="H215" s="134" t="n">
        <v>412</v>
      </c>
      <c r="I215" s="135" t="n">
        <v>17200</v>
      </c>
      <c r="J215" s="135" t="inlineStr">
        <is>
          <t>5</t>
        </is>
      </c>
      <c r="K215" s="135" t="n"/>
      <c r="L215" s="135" t="n"/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22" t="n">
        <v>3</v>
      </c>
      <c r="R215" s="122" t="n">
        <v>1</v>
      </c>
      <c r="S215" s="122" t="inlineStr">
        <is>
          <t>계</t>
        </is>
      </c>
      <c r="T215" s="5" t="n">
        <v>77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22">
        <f>S215</f>
        <v/>
      </c>
      <c r="AF215" s="122">
        <f>Q215&amp;"/"&amp;R215</f>
        <v/>
      </c>
      <c r="AH215" s="20">
        <f>IF(A215="","",A215)</f>
        <v/>
      </c>
      <c r="AI215" s="133">
        <f>IF(E215="","",E215)</f>
        <v/>
      </c>
      <c r="AJ215" s="122">
        <f>IF(AI215="","",$AJ$2)</f>
        <v/>
      </c>
      <c r="AK215" s="122" t="inlineStr">
        <is>
          <t>A</t>
        </is>
      </c>
      <c r="AL215" s="122" t="inlineStr">
        <is>
          <t>A+</t>
        </is>
      </c>
      <c r="AM215" s="122" t="inlineStr">
        <is>
          <t>B+</t>
        </is>
      </c>
      <c r="AN215" s="122">
        <f>IF(AI215="","",$AN$2)</f>
        <v/>
      </c>
      <c r="AO215" s="122">
        <f>IF(N215="","",IF(N215&gt;=$AO$1/100,"O","X"))</f>
        <v/>
      </c>
      <c r="AP215" s="122">
        <f>IF(I215="","",IF(I215&lt;=$AP$1,"O","X"))</f>
        <v/>
      </c>
      <c r="AQ215" s="122">
        <f>IF(O215="","",IF(O215&lt;=$AQ$1,"O","X"))</f>
        <v/>
      </c>
      <c r="AR215" s="122">
        <f>IF(M215="","",IF(M215&lt;=$AR$1,"O","X"))</f>
        <v/>
      </c>
      <c r="AS215" s="122" t="inlineStr">
        <is>
          <t>X</t>
        </is>
      </c>
      <c r="AT215" s="122">
        <f>IF(OR(F215="",AI215=""),"",IF(AND((F215&lt;=85),(AI215&gt;=15)),"O","X"))</f>
        <v/>
      </c>
      <c r="AU215" s="122">
        <f>IF(C215="","",IF(C215&gt;=$AU$1,"O","X"))</f>
        <v/>
      </c>
      <c r="AV215" s="122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1" t="n">
        <v>798</v>
      </c>
      <c r="D216" s="132" t="n">
        <v>104.2</v>
      </c>
      <c r="E216" s="133" t="n">
        <v>32</v>
      </c>
      <c r="F216" s="132" t="n">
        <v>84.7</v>
      </c>
      <c r="G216" s="17" t="n">
        <v>26</v>
      </c>
      <c r="H216" s="134" t="n">
        <v>386</v>
      </c>
      <c r="I216" s="135" t="n">
        <v>21000</v>
      </c>
      <c r="J216" s="135" t="inlineStr">
        <is>
          <t>10</t>
        </is>
      </c>
      <c r="K216" s="135" t="n">
        <v>18000</v>
      </c>
      <c r="L216" s="135" t="inlineStr">
        <is>
          <t>11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22" t="n">
        <v>3</v>
      </c>
      <c r="R216" s="122" t="n">
        <v>2</v>
      </c>
      <c r="S216" s="122" t="inlineStr">
        <is>
          <t>계</t>
        </is>
      </c>
      <c r="T216" s="5" t="n">
        <v>104</v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22">
        <f>S216</f>
        <v/>
      </c>
      <c r="AF216" s="122">
        <f>Q216&amp;"/"&amp;R216</f>
        <v/>
      </c>
      <c r="AH216" s="20">
        <f>IF(A216="","",A216)</f>
        <v/>
      </c>
      <c r="AI216" s="133">
        <f>IF(E216="","",E216)</f>
        <v/>
      </c>
      <c r="AJ216" s="122">
        <f>IF(AI216="","",$AJ$2)</f>
        <v/>
      </c>
      <c r="AK216" s="122" t="inlineStr">
        <is>
          <t>A</t>
        </is>
      </c>
      <c r="AL216" s="122" t="inlineStr">
        <is>
          <t>A+</t>
        </is>
      </c>
      <c r="AM216" s="122" t="inlineStr">
        <is>
          <t>B+</t>
        </is>
      </c>
      <c r="AN216" s="122">
        <f>IF(AI216="","",$AN$2)</f>
        <v/>
      </c>
      <c r="AO216" s="122">
        <f>IF(N216="","",IF(N216&gt;=$AO$1/100,"O","X"))</f>
        <v/>
      </c>
      <c r="AP216" s="122">
        <f>IF(I216="","",IF(I216&lt;=$AP$1,"O","X"))</f>
        <v/>
      </c>
      <c r="AQ216" s="122">
        <f>IF(O216="","",IF(O216&lt;=$AQ$1,"O","X"))</f>
        <v/>
      </c>
      <c r="AR216" s="122">
        <f>IF(M216="","",IF(M216&lt;=$AR$1,"O","X"))</f>
        <v/>
      </c>
      <c r="AS216" s="122" t="inlineStr">
        <is>
          <t>X</t>
        </is>
      </c>
      <c r="AT216" s="122">
        <f>IF(OR(F216="",AI216=""),"",IF(AND((F216&lt;=85),(AI216&gt;=15)),"O","X"))</f>
        <v/>
      </c>
      <c r="AU216" s="122">
        <f>IF(C216="","",IF(C216&gt;=$AU$1,"O","X"))</f>
        <v/>
      </c>
      <c r="AV216" s="122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1" t="n">
        <v>422</v>
      </c>
      <c r="D217" s="132" t="n">
        <v>94.3</v>
      </c>
      <c r="E217" s="133" t="n">
        <v>29</v>
      </c>
      <c r="F217" s="132" t="n">
        <v>71.40000000000001</v>
      </c>
      <c r="G217" s="17" t="n">
        <v>22</v>
      </c>
      <c r="H217" s="134" t="n">
        <v>49</v>
      </c>
      <c r="I217" s="135" t="n">
        <v>34000</v>
      </c>
      <c r="J217" s="135" t="inlineStr">
        <is>
          <t>중</t>
        </is>
      </c>
      <c r="K217" s="135" t="n">
        <v>29000</v>
      </c>
      <c r="L217" s="135" t="inlineStr">
        <is>
          <t>중</t>
        </is>
      </c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22" t="n">
        <v>3</v>
      </c>
      <c r="R217" s="122" t="n">
        <v>2</v>
      </c>
      <c r="S217" s="122" t="inlineStr">
        <is>
          <t>계</t>
        </is>
      </c>
      <c r="T217" s="5" t="inlineStr">
        <is>
          <t>94B</t>
        </is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22">
        <f>S217</f>
        <v/>
      </c>
      <c r="AF217" s="122">
        <f>Q217&amp;"/"&amp;R217</f>
        <v/>
      </c>
      <c r="AH217" s="20">
        <f>IF(A217="","",A217)</f>
        <v/>
      </c>
      <c r="AI217" s="133">
        <f>IF(E217="","",E217)</f>
        <v/>
      </c>
      <c r="AJ217" s="122">
        <f>IF(AI217="","",$AJ$2)</f>
        <v/>
      </c>
      <c r="AK217" s="122" t="inlineStr">
        <is>
          <t>A</t>
        </is>
      </c>
      <c r="AL217" s="122" t="inlineStr">
        <is>
          <t>A+</t>
        </is>
      </c>
      <c r="AM217" s="122" t="inlineStr">
        <is>
          <t>B+</t>
        </is>
      </c>
      <c r="AN217" s="122">
        <f>IF(AI217="","",$AN$2)</f>
        <v/>
      </c>
      <c r="AO217" s="122">
        <f>IF(N217="","",IF(N217&gt;=$AO$1/100,"O","X"))</f>
        <v/>
      </c>
      <c r="AP217" s="122">
        <f>IF(I217="","",IF(I217&lt;=$AP$1,"O","X"))</f>
        <v/>
      </c>
      <c r="AQ217" s="122">
        <f>IF(O217="","",IF(O217&lt;=$AQ$1,"O","X"))</f>
        <v/>
      </c>
      <c r="AR217" s="122">
        <f>IF(M217="","",IF(M217&lt;=$AR$1,"O","X"))</f>
        <v/>
      </c>
      <c r="AS217" s="122" t="inlineStr">
        <is>
          <t>X</t>
        </is>
      </c>
      <c r="AT217" s="122">
        <f>IF(OR(F217="",AI217=""),"",IF(AND((F217&lt;=85),(AI217&gt;=15)),"O","X"))</f>
        <v/>
      </c>
      <c r="AU217" s="122">
        <f>IF(C217="","",IF(C217&gt;=$AU$1,"O","X"))</f>
        <v/>
      </c>
      <c r="AV217" s="122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1" t="n">
        <v>422</v>
      </c>
      <c r="D218" s="132" t="n">
        <v>94.7</v>
      </c>
      <c r="E218" s="133" t="n">
        <v>29</v>
      </c>
      <c r="F218" s="132" t="n">
        <v>71.40000000000001</v>
      </c>
      <c r="G218" s="17" t="n">
        <v>22</v>
      </c>
      <c r="H218" s="134" t="n">
        <v>48</v>
      </c>
      <c r="I218" s="135" t="n">
        <v>33500</v>
      </c>
      <c r="J218" s="135" t="inlineStr">
        <is>
          <t>10</t>
        </is>
      </c>
      <c r="K218" s="135" t="n">
        <v>27000</v>
      </c>
      <c r="L218" s="135" t="inlineStr">
        <is>
          <t>고</t>
        </is>
      </c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22" t="n">
        <v>3</v>
      </c>
      <c r="R218" s="122" t="n">
        <v>2</v>
      </c>
      <c r="S218" s="122" t="inlineStr">
        <is>
          <t>계</t>
        </is>
      </c>
      <c r="T218" s="5" t="inlineStr">
        <is>
          <t>94A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22">
        <f>S218</f>
        <v/>
      </c>
      <c r="AF218" s="122">
        <f>Q218&amp;"/"&amp;R218</f>
        <v/>
      </c>
      <c r="AH218" s="20">
        <f>IF(A218="","",A218)</f>
        <v/>
      </c>
      <c r="AI218" s="133">
        <f>IF(E218="","",E218)</f>
        <v/>
      </c>
      <c r="AJ218" s="122">
        <f>IF(AI218="","",$AJ$2)</f>
        <v/>
      </c>
      <c r="AK218" s="122" t="inlineStr">
        <is>
          <t>A</t>
        </is>
      </c>
      <c r="AL218" s="122" t="inlineStr">
        <is>
          <t>A+</t>
        </is>
      </c>
      <c r="AM218" s="122" t="inlineStr">
        <is>
          <t>B+</t>
        </is>
      </c>
      <c r="AN218" s="122">
        <f>IF(AI218="","",$AN$2)</f>
        <v/>
      </c>
      <c r="AO218" s="122">
        <f>IF(N218="","",IF(N218&gt;=$AO$1/100,"O","X"))</f>
        <v/>
      </c>
      <c r="AP218" s="122">
        <f>IF(I218="","",IF(I218&lt;=$AP$1,"O","X"))</f>
        <v/>
      </c>
      <c r="AQ218" s="122">
        <f>IF(O218="","",IF(O218&lt;=$AQ$1,"O","X"))</f>
        <v/>
      </c>
      <c r="AR218" s="122">
        <f>IF(M218="","",IF(M218&lt;=$AR$1,"O","X"))</f>
        <v/>
      </c>
      <c r="AS218" s="122" t="inlineStr">
        <is>
          <t>X</t>
        </is>
      </c>
      <c r="AT218" s="122">
        <f>IF(OR(F218="",AI218=""),"",IF(AND((F218&lt;=85),(AI218&gt;=15)),"O","X"))</f>
        <v/>
      </c>
      <c r="AU218" s="122">
        <f>IF(C218="","",IF(C218&gt;=$AU$1,"O","X"))</f>
        <v/>
      </c>
      <c r="AV218" s="122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1" t="n">
        <v>422</v>
      </c>
      <c r="D219" s="132" t="n">
        <v>110.9</v>
      </c>
      <c r="E219" s="133" t="n">
        <v>34</v>
      </c>
      <c r="F219" s="132" t="n">
        <v>84.8</v>
      </c>
      <c r="G219" s="17" t="n">
        <v>26</v>
      </c>
      <c r="H219" s="134" t="n">
        <v>276</v>
      </c>
      <c r="I219" s="135" t="n"/>
      <c r="J219" s="135" t="n"/>
      <c r="K219" s="135" t="n"/>
      <c r="L219" s="135" t="n"/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22" t="n">
        <v>3</v>
      </c>
      <c r="R219" s="122" t="n">
        <v>2</v>
      </c>
      <c r="S219" s="122" t="inlineStr">
        <is>
          <t>계</t>
        </is>
      </c>
      <c r="T219" s="5" t="inlineStr">
        <is>
          <t>110A</t>
        </is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22">
        <f>S219</f>
        <v/>
      </c>
      <c r="AF219" s="122">
        <f>Q219&amp;"/"&amp;R219</f>
        <v/>
      </c>
      <c r="AH219" s="20">
        <f>IF(A219="","",A219)</f>
        <v/>
      </c>
      <c r="AI219" s="133">
        <f>IF(E219="","",E219)</f>
        <v/>
      </c>
      <c r="AJ219" s="122">
        <f>IF(AI219="","",$AJ$2)</f>
        <v/>
      </c>
      <c r="AK219" s="122" t="inlineStr">
        <is>
          <t>A</t>
        </is>
      </c>
      <c r="AL219" s="122" t="inlineStr">
        <is>
          <t>A+</t>
        </is>
      </c>
      <c r="AM219" s="122" t="inlineStr">
        <is>
          <t>B+</t>
        </is>
      </c>
      <c r="AN219" s="122">
        <f>IF(AI219="","",$AN$2)</f>
        <v/>
      </c>
      <c r="AO219" s="122">
        <f>IF(N219="","",IF(N219&gt;=$AO$1/100,"O","X"))</f>
        <v/>
      </c>
      <c r="AP219" s="122">
        <f>IF(I219="","",IF(I219&lt;=$AP$1,"O","X"))</f>
        <v/>
      </c>
      <c r="AQ219" s="122">
        <f>IF(O219="","",IF(O219&lt;=$AQ$1,"O","X"))</f>
        <v/>
      </c>
      <c r="AR219" s="122">
        <f>IF(M219="","",IF(M219&lt;=$AR$1,"O","X"))</f>
        <v/>
      </c>
      <c r="AS219" s="122" t="inlineStr">
        <is>
          <t>X</t>
        </is>
      </c>
      <c r="AT219" s="122">
        <f>IF(OR(F219="",AI219=""),"",IF(AND((F219&lt;=85),(AI219&gt;=15)),"O","X"))</f>
        <v/>
      </c>
      <c r="AU219" s="122">
        <f>IF(C219="","",IF(C219&gt;=$AU$1,"O","X"))</f>
        <v/>
      </c>
      <c r="AV219" s="122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1" t="n">
        <v>422</v>
      </c>
      <c r="D220" s="132" t="n">
        <v>111.6</v>
      </c>
      <c r="E220" s="133" t="n">
        <v>34</v>
      </c>
      <c r="F220" s="132" t="n">
        <v>84.40000000000001</v>
      </c>
      <c r="G220" s="17" t="n">
        <v>26</v>
      </c>
      <c r="H220" s="134" t="n">
        <v>49</v>
      </c>
      <c r="I220" s="135" t="n">
        <v>36000</v>
      </c>
      <c r="J220" s="135" t="inlineStr">
        <is>
          <t>25</t>
        </is>
      </c>
      <c r="K220" s="135" t="n">
        <v>28000</v>
      </c>
      <c r="L220" s="135" t="inlineStr">
        <is>
          <t>25</t>
        </is>
      </c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22" t="n">
        <v>3</v>
      </c>
      <c r="R220" s="122" t="n">
        <v>2</v>
      </c>
      <c r="S220" s="122" t="inlineStr">
        <is>
          <t>계</t>
        </is>
      </c>
      <c r="T220" s="5" t="inlineStr">
        <is>
          <t>111B</t>
        </is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22">
        <f>S220</f>
        <v/>
      </c>
      <c r="AF220" s="122">
        <f>Q220&amp;"/"&amp;R220</f>
        <v/>
      </c>
      <c r="AH220" s="20">
        <f>IF(A220="","",A220)</f>
        <v/>
      </c>
      <c r="AI220" s="133">
        <f>IF(E220="","",E220)</f>
        <v/>
      </c>
      <c r="AJ220" s="122">
        <f>IF(AI220="","",$AJ$2)</f>
        <v/>
      </c>
      <c r="AK220" s="122" t="inlineStr">
        <is>
          <t>A</t>
        </is>
      </c>
      <c r="AL220" s="122" t="inlineStr">
        <is>
          <t>A+</t>
        </is>
      </c>
      <c r="AM220" s="122" t="inlineStr">
        <is>
          <t>B+</t>
        </is>
      </c>
      <c r="AN220" s="122">
        <f>IF(AI220="","",$AN$2)</f>
        <v/>
      </c>
      <c r="AO220" s="122">
        <f>IF(N220="","",IF(N220&gt;=$AO$1/100,"O","X"))</f>
        <v/>
      </c>
      <c r="AP220" s="122">
        <f>IF(I220="","",IF(I220&lt;=$AP$1,"O","X"))</f>
        <v/>
      </c>
      <c r="AQ220" s="122">
        <f>IF(O220="","",IF(O220&lt;=$AQ$1,"O","X"))</f>
        <v/>
      </c>
      <c r="AR220" s="122">
        <f>IF(M220="","",IF(M220&lt;=$AR$1,"O","X"))</f>
        <v/>
      </c>
      <c r="AS220" s="122" t="inlineStr">
        <is>
          <t>X</t>
        </is>
      </c>
      <c r="AT220" s="122">
        <f>IF(OR(F220="",AI220=""),"",IF(AND((F220&lt;=85),(AI220&gt;=15)),"O","X"))</f>
        <v/>
      </c>
      <c r="AU220" s="122">
        <f>IF(C220="","",IF(C220&gt;=$AU$1,"O","X"))</f>
        <v/>
      </c>
      <c r="AV220" s="122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1" t="n">
        <v>261</v>
      </c>
      <c r="D221" s="132" t="n">
        <v>67.7</v>
      </c>
      <c r="E221" s="133" t="n">
        <v>20</v>
      </c>
      <c r="F221" s="132" t="n">
        <v>49.5</v>
      </c>
      <c r="G221" s="17" t="n">
        <v>15</v>
      </c>
      <c r="H221" s="134" t="n">
        <v>225</v>
      </c>
      <c r="I221" s="135" t="n"/>
      <c r="J221" s="135" t="n"/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22" t="n">
        <v>2</v>
      </c>
      <c r="R221" s="122" t="n">
        <v>1</v>
      </c>
      <c r="S221" s="122" t="inlineStr">
        <is>
          <t>계</t>
        </is>
      </c>
      <c r="T221" s="5" t="n">
        <v>67</v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22">
        <f>S221</f>
        <v/>
      </c>
      <c r="AF221" s="122">
        <f>Q221&amp;"/"&amp;R221</f>
        <v/>
      </c>
      <c r="AH221" s="20">
        <f>IF(A221="","",A221)</f>
        <v/>
      </c>
      <c r="AI221" s="133">
        <f>IF(E221="","",E221)</f>
        <v/>
      </c>
      <c r="AJ221" s="122">
        <f>IF(AI221="","",$AJ$2)</f>
        <v/>
      </c>
      <c r="AK221" s="122" t="inlineStr">
        <is>
          <t>A</t>
        </is>
      </c>
      <c r="AL221" s="122" t="inlineStr">
        <is>
          <t>A+</t>
        </is>
      </c>
      <c r="AM221" s="122" t="inlineStr">
        <is>
          <t>B+</t>
        </is>
      </c>
      <c r="AN221" s="122">
        <f>IF(AI221="","",$AN$2)</f>
        <v/>
      </c>
      <c r="AO221" s="122">
        <f>IF(N221="","",IF(N221&gt;=$AO$1/100,"O","X"))</f>
        <v/>
      </c>
      <c r="AP221" s="122">
        <f>IF(I221="","",IF(I221&lt;=$AP$1,"O","X"))</f>
        <v/>
      </c>
      <c r="AQ221" s="122">
        <f>IF(O221="","",IF(O221&lt;=$AQ$1,"O","X"))</f>
        <v/>
      </c>
      <c r="AR221" s="122">
        <f>IF(M221="","",IF(M221&lt;=$AR$1,"O","X"))</f>
        <v/>
      </c>
      <c r="AS221" s="122" t="inlineStr">
        <is>
          <t>X</t>
        </is>
      </c>
      <c r="AT221" s="122">
        <f>IF(OR(F221="",AI221=""),"",IF(AND((F221&lt;=85),(AI221&gt;=15)),"O","X"))</f>
        <v/>
      </c>
      <c r="AU221" s="122">
        <f>IF(C221="","",IF(C221&gt;=$AU$1,"O","X"))</f>
        <v/>
      </c>
      <c r="AV221" s="122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1" t="n">
        <v>261</v>
      </c>
      <c r="D222" s="132" t="n">
        <v>70.3</v>
      </c>
      <c r="E222" s="133" t="n">
        <v>21</v>
      </c>
      <c r="F222" s="132" t="n">
        <v>49.5</v>
      </c>
      <c r="G222" s="17" t="n">
        <v>15</v>
      </c>
      <c r="H222" s="134" t="n">
        <v>36</v>
      </c>
      <c r="I222" s="135" t="n"/>
      <c r="J222" s="135" t="n"/>
      <c r="K222" s="135" t="n"/>
      <c r="L222" s="135" t="n"/>
      <c r="M222" s="136">
        <f>I222-K222</f>
        <v/>
      </c>
      <c r="N222" s="4">
        <f>IF(ISERROR(K222/I222),"",K222/I222)</f>
        <v/>
      </c>
      <c r="O222" s="137">
        <f>I222/E222</f>
        <v/>
      </c>
      <c r="P222" s="137">
        <f>K222/E222</f>
        <v/>
      </c>
      <c r="Q222" s="122" t="n">
        <v>2</v>
      </c>
      <c r="R222" s="122" t="n">
        <v>1</v>
      </c>
      <c r="S222" s="122" t="inlineStr">
        <is>
          <t>복</t>
        </is>
      </c>
      <c r="T222" s="5" t="n">
        <v>70</v>
      </c>
      <c r="U222" s="9" t="n"/>
      <c r="W222" s="132">
        <f>D222</f>
        <v/>
      </c>
      <c r="X222" s="133">
        <f>E222</f>
        <v/>
      </c>
      <c r="Y222" s="138">
        <f>H222</f>
        <v/>
      </c>
      <c r="Z222" s="136">
        <f>I222</f>
        <v/>
      </c>
      <c r="AA222" s="136">
        <f>K222</f>
        <v/>
      </c>
      <c r="AB222" s="136">
        <f>M222</f>
        <v/>
      </c>
      <c r="AC222" s="4">
        <f>N222</f>
        <v/>
      </c>
      <c r="AD222" s="137">
        <f>O222</f>
        <v/>
      </c>
      <c r="AE222" s="122">
        <f>S222</f>
        <v/>
      </c>
      <c r="AF222" s="122">
        <f>Q222&amp;"/"&amp;R222</f>
        <v/>
      </c>
      <c r="AH222" s="20">
        <f>IF(A222="","",A222)</f>
        <v/>
      </c>
      <c r="AI222" s="133">
        <f>IF(E222="","",E222)</f>
        <v/>
      </c>
      <c r="AJ222" s="122">
        <f>IF(AI222="","",$AJ$2)</f>
        <v/>
      </c>
      <c r="AK222" s="122" t="inlineStr">
        <is>
          <t>A</t>
        </is>
      </c>
      <c r="AL222" s="122" t="inlineStr">
        <is>
          <t>A+</t>
        </is>
      </c>
      <c r="AM222" s="122" t="inlineStr">
        <is>
          <t>B+</t>
        </is>
      </c>
      <c r="AN222" s="122">
        <f>IF(AI222="","",$AN$2)</f>
        <v/>
      </c>
      <c r="AO222" s="122">
        <f>IF(N222="","",IF(N222&gt;=$AO$1/100,"O","X"))</f>
        <v/>
      </c>
      <c r="AP222" s="122">
        <f>IF(I222="","",IF(I222&lt;=$AP$1,"O","X"))</f>
        <v/>
      </c>
      <c r="AQ222" s="122">
        <f>IF(O222="","",IF(O222&lt;=$AQ$1,"O","X"))</f>
        <v/>
      </c>
      <c r="AR222" s="122">
        <f>IF(M222="","",IF(M222&lt;=$AR$1,"O","X"))</f>
        <v/>
      </c>
      <c r="AS222" s="122" t="inlineStr">
        <is>
          <t>X</t>
        </is>
      </c>
      <c r="AT222" s="122">
        <f>IF(OR(F222="",AI222=""),"",IF(AND((F222&lt;=85),(AI222&gt;=15)),"O","X"))</f>
        <v/>
      </c>
      <c r="AU222" s="122">
        <f>IF(C222="","",IF(C222&gt;=$AU$1,"O","X"))</f>
        <v/>
      </c>
      <c r="AV222" s="122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1" t="n">
        <v>440</v>
      </c>
      <c r="D223" s="132" t="n">
        <v>63.5</v>
      </c>
      <c r="E223" s="133" t="n">
        <v>19</v>
      </c>
      <c r="F223" s="132" t="n">
        <v>45.3</v>
      </c>
      <c r="G223" s="17" t="n">
        <v>14</v>
      </c>
      <c r="H223" s="134" t="n">
        <v>178</v>
      </c>
      <c r="I223" s="135" t="n">
        <v>9500</v>
      </c>
      <c r="J223" s="135" t="inlineStr">
        <is>
          <t>고</t>
        </is>
      </c>
      <c r="K223" s="135" t="n"/>
      <c r="L223" s="135" t="n"/>
      <c r="M223" s="136">
        <f>I223-K223</f>
        <v/>
      </c>
      <c r="N223" s="4">
        <f>IF(ISERROR(K223/I223),"",K223/I223)</f>
        <v/>
      </c>
      <c r="O223" s="137">
        <f>I223/E223</f>
        <v/>
      </c>
      <c r="P223" s="137">
        <f>K223/E223</f>
        <v/>
      </c>
      <c r="Q223" s="122" t="n">
        <v>2</v>
      </c>
      <c r="R223" s="122" t="n">
        <v>1</v>
      </c>
      <c r="S223" s="122" t="inlineStr">
        <is>
          <t>복</t>
        </is>
      </c>
      <c r="T223" s="5" t="n">
        <v>63</v>
      </c>
      <c r="U223" s="9" t="n"/>
      <c r="W223" s="132">
        <f>D223</f>
        <v/>
      </c>
      <c r="X223" s="133">
        <f>E223</f>
        <v/>
      </c>
      <c r="Y223" s="138">
        <f>H223</f>
        <v/>
      </c>
      <c r="Z223" s="136">
        <f>I223</f>
        <v/>
      </c>
      <c r="AA223" s="136">
        <f>K223</f>
        <v/>
      </c>
      <c r="AB223" s="136">
        <f>M223</f>
        <v/>
      </c>
      <c r="AC223" s="4">
        <f>N223</f>
        <v/>
      </c>
      <c r="AD223" s="137">
        <f>O223</f>
        <v/>
      </c>
      <c r="AE223" s="122">
        <f>S223</f>
        <v/>
      </c>
      <c r="AF223" s="122">
        <f>Q223&amp;"/"&amp;R223</f>
        <v/>
      </c>
      <c r="AH223" s="20">
        <f>IF(A223="","",A223)</f>
        <v/>
      </c>
      <c r="AI223" s="133">
        <f>IF(E223="","",E223)</f>
        <v/>
      </c>
      <c r="AJ223" s="122">
        <f>IF(AI223="","",$AJ$2)</f>
        <v/>
      </c>
      <c r="AK223" s="122" t="inlineStr">
        <is>
          <t>A</t>
        </is>
      </c>
      <c r="AL223" s="122" t="inlineStr">
        <is>
          <t>A+</t>
        </is>
      </c>
      <c r="AM223" s="122" t="inlineStr">
        <is>
          <t>B+</t>
        </is>
      </c>
      <c r="AN223" s="122">
        <f>IF(AI223="","",$AN$2)</f>
        <v/>
      </c>
      <c r="AO223" s="122">
        <f>IF(N223="","",IF(N223&gt;=$AO$1/100,"O","X"))</f>
        <v/>
      </c>
      <c r="AP223" s="122">
        <f>IF(I223="","",IF(I223&lt;=$AP$1,"O","X"))</f>
        <v/>
      </c>
      <c r="AQ223" s="122">
        <f>IF(O223="","",IF(O223&lt;=$AQ$1,"O","X"))</f>
        <v/>
      </c>
      <c r="AR223" s="122">
        <f>IF(M223="","",IF(M223&lt;=$AR$1,"O","X"))</f>
        <v/>
      </c>
      <c r="AS223" s="122" t="inlineStr">
        <is>
          <t>X</t>
        </is>
      </c>
      <c r="AT223" s="122">
        <f>IF(OR(F223="",AI223=""),"",IF(AND((F223&lt;=85),(AI223&gt;=15)),"O","X"))</f>
        <v/>
      </c>
      <c r="AU223" s="122">
        <f>IF(C223="","",IF(C223&gt;=$AU$1,"O","X"))</f>
        <v/>
      </c>
      <c r="AV223" s="122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1" t="n">
        <v>440</v>
      </c>
      <c r="D224" s="132" t="n">
        <v>83</v>
      </c>
      <c r="E224" s="133" t="n">
        <v>25</v>
      </c>
      <c r="F224" s="132" t="n">
        <v>59.9</v>
      </c>
      <c r="G224" s="17" t="n">
        <v>18</v>
      </c>
      <c r="H224" s="134" t="n">
        <v>158</v>
      </c>
      <c r="I224" s="135" t="n">
        <v>14200</v>
      </c>
      <c r="J224" s="135" t="inlineStr">
        <is>
          <t>13</t>
        </is>
      </c>
      <c r="K224" s="135" t="n">
        <v>12300</v>
      </c>
      <c r="L224" s="135" t="inlineStr">
        <is>
          <t>10</t>
        </is>
      </c>
      <c r="M224" s="136">
        <f>I224-K224</f>
        <v/>
      </c>
      <c r="N224" s="4">
        <f>IF(ISERROR(K224/I224),"",K224/I224)</f>
        <v/>
      </c>
      <c r="O224" s="137">
        <f>I224/E224</f>
        <v/>
      </c>
      <c r="P224" s="137">
        <f>K224/E224</f>
        <v/>
      </c>
      <c r="Q224" s="122" t="n">
        <v>3</v>
      </c>
      <c r="R224" s="122" t="n">
        <v>1</v>
      </c>
      <c r="S224" s="122" t="inlineStr">
        <is>
          <t>복</t>
        </is>
      </c>
      <c r="T224" s="5" t="n">
        <v>83</v>
      </c>
      <c r="U224" s="9" t="n"/>
      <c r="W224" s="132">
        <f>D224</f>
        <v/>
      </c>
      <c r="X224" s="133">
        <f>E224</f>
        <v/>
      </c>
      <c r="Y224" s="138">
        <f>H224</f>
        <v/>
      </c>
      <c r="Z224" s="136">
        <f>I224</f>
        <v/>
      </c>
      <c r="AA224" s="136">
        <f>K224</f>
        <v/>
      </c>
      <c r="AB224" s="136">
        <f>M224</f>
        <v/>
      </c>
      <c r="AC224" s="4">
        <f>N224</f>
        <v/>
      </c>
      <c r="AD224" s="137">
        <f>O224</f>
        <v/>
      </c>
      <c r="AE224" s="122">
        <f>S224</f>
        <v/>
      </c>
      <c r="AF224" s="122">
        <f>Q224&amp;"/"&amp;R224</f>
        <v/>
      </c>
      <c r="AH224" s="20">
        <f>IF(A224="","",A224)</f>
        <v/>
      </c>
      <c r="AI224" s="133">
        <f>IF(E224="","",E224)</f>
        <v/>
      </c>
      <c r="AJ224" s="122">
        <f>IF(AI224="","",$AJ$2)</f>
        <v/>
      </c>
      <c r="AK224" s="122" t="inlineStr">
        <is>
          <t>A</t>
        </is>
      </c>
      <c r="AL224" s="122" t="inlineStr">
        <is>
          <t>A+</t>
        </is>
      </c>
      <c r="AM224" s="122" t="inlineStr">
        <is>
          <t>B+</t>
        </is>
      </c>
      <c r="AN224" s="122">
        <f>IF(AI224="","",$AN$2)</f>
        <v/>
      </c>
      <c r="AO224" s="122">
        <f>IF(N224="","",IF(N224&gt;=$AO$1/100,"O","X"))</f>
        <v/>
      </c>
      <c r="AP224" s="122">
        <f>IF(I224="","",IF(I224&lt;=$AP$1,"O","X"))</f>
        <v/>
      </c>
      <c r="AQ224" s="122">
        <f>IF(O224="","",IF(O224&lt;=$AQ$1,"O","X"))</f>
        <v/>
      </c>
      <c r="AR224" s="122">
        <f>IF(M224="","",IF(M224&lt;=$AR$1,"O","X"))</f>
        <v/>
      </c>
      <c r="AS224" s="122" t="inlineStr">
        <is>
          <t>X</t>
        </is>
      </c>
      <c r="AT224" s="122">
        <f>IF(OR(F224="",AI224=""),"",IF(AND((F224&lt;=85),(AI224&gt;=15)),"O","X"))</f>
        <v/>
      </c>
      <c r="AU224" s="122">
        <f>IF(C224="","",IF(C224&gt;=$AU$1,"O","X"))</f>
        <v/>
      </c>
      <c r="AV224" s="122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1" t="n">
        <v>440</v>
      </c>
      <c r="D225" s="132" t="n">
        <v>86.90000000000001</v>
      </c>
      <c r="E225" s="133" t="n">
        <v>26</v>
      </c>
      <c r="F225" s="132" t="n">
        <v>59.9</v>
      </c>
      <c r="G225" s="17" t="n">
        <v>18</v>
      </c>
      <c r="H225" s="134" t="n">
        <v>104</v>
      </c>
      <c r="I225" s="135" t="n">
        <v>13500</v>
      </c>
      <c r="J225" s="135" t="inlineStr">
        <is>
          <t>13</t>
        </is>
      </c>
      <c r="K225" s="135" t="n">
        <v>13500</v>
      </c>
      <c r="L225" s="135" t="inlineStr">
        <is>
          <t>13</t>
        </is>
      </c>
      <c r="M225" s="136">
        <f>I225-K225</f>
        <v/>
      </c>
      <c r="N225" s="4">
        <f>IF(ISERROR(K225/I225),"",K225/I225)</f>
        <v/>
      </c>
      <c r="O225" s="137">
        <f>I225/E225</f>
        <v/>
      </c>
      <c r="P225" s="137">
        <f>K225/E225</f>
        <v/>
      </c>
      <c r="Q225" s="122" t="n">
        <v>3</v>
      </c>
      <c r="R225" s="122" t="n">
        <v>1</v>
      </c>
      <c r="S225" s="122" t="inlineStr">
        <is>
          <t>복</t>
        </is>
      </c>
      <c r="T225" s="5" t="n">
        <v>86</v>
      </c>
      <c r="U225" s="9" t="n"/>
      <c r="W225" s="132">
        <f>D225</f>
        <v/>
      </c>
      <c r="X225" s="133">
        <f>E225</f>
        <v/>
      </c>
      <c r="Y225" s="138">
        <f>H225</f>
        <v/>
      </c>
      <c r="Z225" s="136">
        <f>I225</f>
        <v/>
      </c>
      <c r="AA225" s="136">
        <f>K225</f>
        <v/>
      </c>
      <c r="AB225" s="136">
        <f>M225</f>
        <v/>
      </c>
      <c r="AC225" s="4">
        <f>N225</f>
        <v/>
      </c>
      <c r="AD225" s="137">
        <f>O225</f>
        <v/>
      </c>
      <c r="AE225" s="122">
        <f>S225</f>
        <v/>
      </c>
      <c r="AF225" s="122">
        <f>Q225&amp;"/"&amp;R225</f>
        <v/>
      </c>
      <c r="AH225" s="20">
        <f>IF(A225="","",A225)</f>
        <v/>
      </c>
      <c r="AI225" s="133">
        <f>IF(E225="","",E225)</f>
        <v/>
      </c>
      <c r="AJ225" s="122">
        <f>IF(AI225="","",$AJ$2)</f>
        <v/>
      </c>
      <c r="AK225" s="122" t="inlineStr">
        <is>
          <t>A</t>
        </is>
      </c>
      <c r="AL225" s="122" t="inlineStr">
        <is>
          <t>A+</t>
        </is>
      </c>
      <c r="AM225" s="122" t="inlineStr">
        <is>
          <t>B+</t>
        </is>
      </c>
      <c r="AN225" s="122">
        <f>IF(AI225="","",$AN$2)</f>
        <v/>
      </c>
      <c r="AO225" s="122">
        <f>IF(N225="","",IF(N225&gt;=$AO$1/100,"O","X"))</f>
        <v/>
      </c>
      <c r="AP225" s="122">
        <f>IF(I225="","",IF(I225&lt;=$AP$1,"O","X"))</f>
        <v/>
      </c>
      <c r="AQ225" s="122">
        <f>IF(O225="","",IF(O225&lt;=$AQ$1,"O","X"))</f>
        <v/>
      </c>
      <c r="AR225" s="122">
        <f>IF(M225="","",IF(M225&lt;=$AR$1,"O","X"))</f>
        <v/>
      </c>
      <c r="AS225" s="122" t="inlineStr">
        <is>
          <t>X</t>
        </is>
      </c>
      <c r="AT225" s="122">
        <f>IF(OR(F225="",AI225=""),"",IF(AND((F225&lt;=85),(AI225&gt;=15)),"O","X"))</f>
        <v/>
      </c>
      <c r="AU225" s="122">
        <f>IF(C225="","",IF(C225&gt;=$AU$1,"O","X"))</f>
        <v/>
      </c>
      <c r="AV225" s="122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1" t="n">
        <v>321</v>
      </c>
      <c r="D226" s="132" t="n">
        <v>129.5</v>
      </c>
      <c r="E226" s="133" t="n">
        <v>39</v>
      </c>
      <c r="F226" s="132" t="n">
        <v>103.7</v>
      </c>
      <c r="G226" s="17" t="n">
        <v>31</v>
      </c>
      <c r="H226" s="134" t="n">
        <v>321</v>
      </c>
      <c r="I226" s="135" t="n">
        <v>48000</v>
      </c>
      <c r="J226" s="135" t="inlineStr">
        <is>
          <t>8</t>
        </is>
      </c>
      <c r="K226" s="135" t="n">
        <v>43000</v>
      </c>
      <c r="L226" s="135" t="inlineStr">
        <is>
          <t>13</t>
        </is>
      </c>
      <c r="M226" s="136">
        <f>I226-K226</f>
        <v/>
      </c>
      <c r="N226" s="4">
        <f>IF(ISERROR(K226/I226),"",K226/I226)</f>
        <v/>
      </c>
      <c r="O226" s="137">
        <f>I226/E226</f>
        <v/>
      </c>
      <c r="P226" s="137">
        <f>K226/E226</f>
        <v/>
      </c>
      <c r="Q226" s="122" t="n">
        <v>4</v>
      </c>
      <c r="R226" s="122" t="n">
        <v>2</v>
      </c>
      <c r="S226" s="122" t="inlineStr">
        <is>
          <t>계</t>
        </is>
      </c>
      <c r="T226" s="5" t="n">
        <v>129</v>
      </c>
      <c r="U226" s="9" t="n"/>
      <c r="W226" s="132">
        <f>D226</f>
        <v/>
      </c>
      <c r="X226" s="133">
        <f>E226</f>
        <v/>
      </c>
      <c r="Y226" s="138">
        <f>H226</f>
        <v/>
      </c>
      <c r="Z226" s="136">
        <f>I226</f>
        <v/>
      </c>
      <c r="AA226" s="136">
        <f>K226</f>
        <v/>
      </c>
      <c r="AB226" s="136">
        <f>M226</f>
        <v/>
      </c>
      <c r="AC226" s="4">
        <f>N226</f>
        <v/>
      </c>
      <c r="AD226" s="137">
        <f>O226</f>
        <v/>
      </c>
      <c r="AE226" s="122">
        <f>S226</f>
        <v/>
      </c>
      <c r="AF226" s="122">
        <f>Q226&amp;"/"&amp;R226</f>
        <v/>
      </c>
      <c r="AH226" s="20">
        <f>IF(A226="","",A226)</f>
        <v/>
      </c>
      <c r="AI226" s="133">
        <f>IF(E226="","",E226)</f>
        <v/>
      </c>
      <c r="AJ226" s="122">
        <f>IF(AI226="","",$AJ$2)</f>
        <v/>
      </c>
      <c r="AK226" s="122" t="inlineStr">
        <is>
          <t>A</t>
        </is>
      </c>
      <c r="AL226" s="122" t="inlineStr">
        <is>
          <t>A+</t>
        </is>
      </c>
      <c r="AM226" s="122" t="inlineStr">
        <is>
          <t>B+</t>
        </is>
      </c>
      <c r="AN226" s="122">
        <f>IF(AI226="","",$AN$2)</f>
        <v/>
      </c>
      <c r="AO226" s="122">
        <f>IF(N226="","",IF(N226&gt;=$AO$1/100,"O","X"))</f>
        <v/>
      </c>
      <c r="AP226" s="122">
        <f>IF(I226="","",IF(I226&lt;=$AP$1,"O","X"))</f>
        <v/>
      </c>
      <c r="AQ226" s="122">
        <f>IF(O226="","",IF(O226&lt;=$AQ$1,"O","X"))</f>
        <v/>
      </c>
      <c r="AR226" s="122">
        <f>IF(M226="","",IF(M226&lt;=$AR$1,"O","X"))</f>
        <v/>
      </c>
      <c r="AS226" s="122" t="inlineStr">
        <is>
          <t>X</t>
        </is>
      </c>
      <c r="AT226" s="122">
        <f>IF(OR(F226="",AI226=""),"",IF(AND((F226&lt;=85),(AI226&gt;=15)),"O","X"))</f>
        <v/>
      </c>
      <c r="AU226" s="122">
        <f>IF(C226="","",IF(C226&gt;=$AU$1,"O","X"))</f>
        <v/>
      </c>
      <c r="AV226" s="122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1" t="n">
        <v>300</v>
      </c>
      <c r="D227" s="132" t="n">
        <v>58.9</v>
      </c>
      <c r="E227" s="133" t="n">
        <v>18</v>
      </c>
      <c r="F227" s="132" t="n">
        <v>53.5</v>
      </c>
      <c r="G227" s="17" t="n">
        <v>16</v>
      </c>
      <c r="H227" s="134" t="n">
        <v>18</v>
      </c>
      <c r="I227" s="135" t="n"/>
      <c r="J227" s="135" t="n"/>
      <c r="K227" s="135" t="n"/>
      <c r="L227" s="135" t="n"/>
      <c r="M227" s="136">
        <f>I227-K227</f>
        <v/>
      </c>
      <c r="N227" s="4">
        <f>IF(ISERROR(K227/I227),"",K227/I227)</f>
        <v/>
      </c>
      <c r="O227" s="137">
        <f>I227/E227</f>
        <v/>
      </c>
      <c r="P227" s="137">
        <f>K227/E227</f>
        <v/>
      </c>
      <c r="Q227" s="122" t="n">
        <v>3</v>
      </c>
      <c r="R227" s="122" t="n">
        <v>1</v>
      </c>
      <c r="S227" s="122" t="inlineStr">
        <is>
          <t>계</t>
        </is>
      </c>
      <c r="T227" s="5" t="inlineStr">
        <is>
          <t>58A</t>
        </is>
      </c>
      <c r="U227" s="9" t="n"/>
      <c r="W227" s="132">
        <f>D227</f>
        <v/>
      </c>
      <c r="X227" s="133">
        <f>E227</f>
        <v/>
      </c>
      <c r="Y227" s="138">
        <f>H227</f>
        <v/>
      </c>
      <c r="Z227" s="136">
        <f>I227</f>
        <v/>
      </c>
      <c r="AA227" s="136">
        <f>K227</f>
        <v/>
      </c>
      <c r="AB227" s="136">
        <f>M227</f>
        <v/>
      </c>
      <c r="AC227" s="4">
        <f>N227</f>
        <v/>
      </c>
      <c r="AD227" s="137">
        <f>O227</f>
        <v/>
      </c>
      <c r="AE227" s="122">
        <f>S227</f>
        <v/>
      </c>
      <c r="AF227" s="122">
        <f>Q227&amp;"/"&amp;R227</f>
        <v/>
      </c>
      <c r="AH227" s="20">
        <f>IF(A227="","",A227)</f>
        <v/>
      </c>
      <c r="AI227" s="133">
        <f>IF(E227="","",E227)</f>
        <v/>
      </c>
      <c r="AJ227" s="122">
        <f>IF(AI227="","",$AJ$2)</f>
        <v/>
      </c>
      <c r="AK227" s="122" t="inlineStr">
        <is>
          <t>A</t>
        </is>
      </c>
      <c r="AL227" s="122" t="inlineStr">
        <is>
          <t>A+</t>
        </is>
      </c>
      <c r="AM227" s="122" t="inlineStr">
        <is>
          <t>B+</t>
        </is>
      </c>
      <c r="AN227" s="122">
        <f>IF(AI227="","",$AN$2)</f>
        <v/>
      </c>
      <c r="AO227" s="122">
        <f>IF(N227="","",IF(N227&gt;=$AO$1/100,"O","X"))</f>
        <v/>
      </c>
      <c r="AP227" s="122">
        <f>IF(I227="","",IF(I227&lt;=$AP$1,"O","X"))</f>
        <v/>
      </c>
      <c r="AQ227" s="122">
        <f>IF(O227="","",IF(O227&lt;=$AQ$1,"O","X"))</f>
        <v/>
      </c>
      <c r="AR227" s="122">
        <f>IF(M227="","",IF(M227&lt;=$AR$1,"O","X"))</f>
        <v/>
      </c>
      <c r="AS227" s="122" t="inlineStr">
        <is>
          <t>X</t>
        </is>
      </c>
      <c r="AT227" s="122">
        <f>IF(OR(F227="",AI227=""),"",IF(AND((F227&lt;=85),(AI227&gt;=15)),"O","X"))</f>
        <v/>
      </c>
      <c r="AU227" s="122">
        <f>IF(C227="","",IF(C227&gt;=$AU$1,"O","X"))</f>
        <v/>
      </c>
      <c r="AV227" s="122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1" t="n">
        <v>300</v>
      </c>
      <c r="D228" s="132" t="n">
        <v>59.1</v>
      </c>
      <c r="E228" s="133" t="n">
        <v>18</v>
      </c>
      <c r="F228" s="132" t="n">
        <v>53.9</v>
      </c>
      <c r="G228" s="17" t="n">
        <v>16</v>
      </c>
      <c r="H228" s="134" t="n">
        <v>81</v>
      </c>
      <c r="I228" s="135" t="n"/>
      <c r="J228" s="135" t="n"/>
      <c r="K228" s="135" t="n"/>
      <c r="L228" s="135" t="n"/>
      <c r="M228" s="136">
        <f>I228-K228</f>
        <v/>
      </c>
      <c r="N228" s="4">
        <f>IF(ISERROR(K228/I228),"",K228/I228)</f>
        <v/>
      </c>
      <c r="O228" s="137">
        <f>I228/E228</f>
        <v/>
      </c>
      <c r="P228" s="137">
        <f>K228/E228</f>
        <v/>
      </c>
      <c r="Q228" s="122" t="n">
        <v>3</v>
      </c>
      <c r="R228" s="122" t="n">
        <v>1</v>
      </c>
      <c r="S228" s="122" t="inlineStr">
        <is>
          <t>계</t>
        </is>
      </c>
      <c r="T228" s="5" t="inlineStr">
        <is>
          <t>59B</t>
        </is>
      </c>
      <c r="U228" s="9" t="n"/>
      <c r="W228" s="132">
        <f>D228</f>
        <v/>
      </c>
      <c r="X228" s="133">
        <f>E228</f>
        <v/>
      </c>
      <c r="Y228" s="138">
        <f>H228</f>
        <v/>
      </c>
      <c r="Z228" s="136">
        <f>I228</f>
        <v/>
      </c>
      <c r="AA228" s="136">
        <f>K228</f>
        <v/>
      </c>
      <c r="AB228" s="136">
        <f>M228</f>
        <v/>
      </c>
      <c r="AC228" s="4">
        <f>N228</f>
        <v/>
      </c>
      <c r="AD228" s="137">
        <f>O228</f>
        <v/>
      </c>
      <c r="AE228" s="122">
        <f>S228</f>
        <v/>
      </c>
      <c r="AF228" s="122">
        <f>Q228&amp;"/"&amp;R228</f>
        <v/>
      </c>
      <c r="AH228" s="20">
        <f>IF(A228="","",A228)</f>
        <v/>
      </c>
      <c r="AI228" s="133">
        <f>IF(E228="","",E228)</f>
        <v/>
      </c>
      <c r="AJ228" s="122">
        <f>IF(AI228="","",$AJ$2)</f>
        <v/>
      </c>
      <c r="AK228" s="122" t="inlineStr">
        <is>
          <t>A</t>
        </is>
      </c>
      <c r="AL228" s="122" t="inlineStr">
        <is>
          <t>A+</t>
        </is>
      </c>
      <c r="AM228" s="122" t="inlineStr">
        <is>
          <t>B+</t>
        </is>
      </c>
      <c r="AN228" s="122">
        <f>IF(AI228="","",$AN$2)</f>
        <v/>
      </c>
      <c r="AO228" s="122">
        <f>IF(N228="","",IF(N228&gt;=$AO$1/100,"O","X"))</f>
        <v/>
      </c>
      <c r="AP228" s="122">
        <f>IF(I228="","",IF(I228&lt;=$AP$1,"O","X"))</f>
        <v/>
      </c>
      <c r="AQ228" s="122">
        <f>IF(O228="","",IF(O228&lt;=$AQ$1,"O","X"))</f>
        <v/>
      </c>
      <c r="AR228" s="122">
        <f>IF(M228="","",IF(M228&lt;=$AR$1,"O","X"))</f>
        <v/>
      </c>
      <c r="AS228" s="122" t="inlineStr">
        <is>
          <t>X</t>
        </is>
      </c>
      <c r="AT228" s="122">
        <f>IF(OR(F228="",AI228=""),"",IF(AND((F228&lt;=85),(AI228&gt;=15)),"O","X"))</f>
        <v/>
      </c>
      <c r="AU228" s="122">
        <f>IF(C228="","",IF(C228&gt;=$AU$1,"O","X"))</f>
        <v/>
      </c>
      <c r="AV228" s="122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1" t="n">
        <v>300</v>
      </c>
      <c r="D229" s="132" t="n">
        <v>64.40000000000001</v>
      </c>
      <c r="E229" s="133" t="n">
        <v>19</v>
      </c>
      <c r="F229" s="132" t="n">
        <v>59</v>
      </c>
      <c r="G229" s="17" t="n">
        <v>18</v>
      </c>
      <c r="H229" s="134" t="n">
        <v>201</v>
      </c>
      <c r="I229" s="135" t="n"/>
      <c r="J229" s="135" t="n"/>
      <c r="K229" s="135" t="n"/>
      <c r="L229" s="135" t="n"/>
      <c r="M229" s="136">
        <f>I229-K229</f>
        <v/>
      </c>
      <c r="N229" s="4">
        <f>IF(ISERROR(K229/I229),"",K229/I229)</f>
        <v/>
      </c>
      <c r="O229" s="137">
        <f>I229/E229</f>
        <v/>
      </c>
      <c r="P229" s="137">
        <f>K229/E229</f>
        <v/>
      </c>
      <c r="Q229" s="122" t="n">
        <v>3</v>
      </c>
      <c r="R229" s="122" t="n">
        <v>1</v>
      </c>
      <c r="S229" s="122" t="inlineStr">
        <is>
          <t>계</t>
        </is>
      </c>
      <c r="T229" s="5" t="n">
        <v>64</v>
      </c>
      <c r="U229" s="9" t="n"/>
      <c r="W229" s="132">
        <f>D229</f>
        <v/>
      </c>
      <c r="X229" s="133">
        <f>E229</f>
        <v/>
      </c>
      <c r="Y229" s="138">
        <f>H229</f>
        <v/>
      </c>
      <c r="Z229" s="136">
        <f>I229</f>
        <v/>
      </c>
      <c r="AA229" s="136">
        <f>K229</f>
        <v/>
      </c>
      <c r="AB229" s="136">
        <f>M229</f>
        <v/>
      </c>
      <c r="AC229" s="4">
        <f>N229</f>
        <v/>
      </c>
      <c r="AD229" s="137">
        <f>O229</f>
        <v/>
      </c>
      <c r="AE229" s="122">
        <f>S229</f>
        <v/>
      </c>
      <c r="AF229" s="122">
        <f>Q229&amp;"/"&amp;R229</f>
        <v/>
      </c>
      <c r="AH229" s="20">
        <f>IF(A229="","",A229)</f>
        <v/>
      </c>
      <c r="AI229" s="133">
        <f>IF(E229="","",E229)</f>
        <v/>
      </c>
      <c r="AJ229" s="122">
        <f>IF(AI229="","",$AJ$2)</f>
        <v/>
      </c>
      <c r="AK229" s="122" t="inlineStr">
        <is>
          <t>A</t>
        </is>
      </c>
      <c r="AL229" s="122" t="inlineStr">
        <is>
          <t>A+</t>
        </is>
      </c>
      <c r="AM229" s="122" t="inlineStr">
        <is>
          <t>B+</t>
        </is>
      </c>
      <c r="AN229" s="122">
        <f>IF(AI229="","",$AN$2)</f>
        <v/>
      </c>
      <c r="AO229" s="122">
        <f>IF(N229="","",IF(N229&gt;=$AO$1/100,"O","X"))</f>
        <v/>
      </c>
      <c r="AP229" s="122">
        <f>IF(I229="","",IF(I229&lt;=$AP$1,"O","X"))</f>
        <v/>
      </c>
      <c r="AQ229" s="122">
        <f>IF(O229="","",IF(O229&lt;=$AQ$1,"O","X"))</f>
        <v/>
      </c>
      <c r="AR229" s="122">
        <f>IF(M229="","",IF(M229&lt;=$AR$1,"O","X"))</f>
        <v/>
      </c>
      <c r="AS229" s="122" t="inlineStr">
        <is>
          <t>X</t>
        </is>
      </c>
      <c r="AT229" s="122">
        <f>IF(OR(F229="",AI229=""),"",IF(AND((F229&lt;=85),(AI229&gt;=15)),"O","X"))</f>
        <v/>
      </c>
      <c r="AU229" s="122">
        <f>IF(C229="","",IF(C229&gt;=$AU$1,"O","X"))</f>
        <v/>
      </c>
      <c r="AV229" s="122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1" t="n">
        <v>417</v>
      </c>
      <c r="D230" s="132" t="n">
        <v>112.5</v>
      </c>
      <c r="E230" s="133" t="n">
        <v>34</v>
      </c>
      <c r="F230" s="132" t="n">
        <v>85</v>
      </c>
      <c r="G230" s="17" t="n">
        <v>26</v>
      </c>
      <c r="H230" s="134" t="n">
        <v>228</v>
      </c>
      <c r="I230" s="135" t="n">
        <v>42000</v>
      </c>
      <c r="J230" s="135" t="inlineStr">
        <is>
          <t>22</t>
        </is>
      </c>
      <c r="K230" s="135" t="n">
        <v>32000</v>
      </c>
      <c r="L230" s="135" t="inlineStr">
        <is>
          <t>중</t>
        </is>
      </c>
      <c r="M230" s="136">
        <f>I230-K230</f>
        <v/>
      </c>
      <c r="N230" s="4">
        <f>IF(ISERROR(K230/I230),"",K230/I230)</f>
        <v/>
      </c>
      <c r="O230" s="137">
        <f>I230/E230</f>
        <v/>
      </c>
      <c r="P230" s="137">
        <f>K230/E230</f>
        <v/>
      </c>
      <c r="Q230" s="122" t="n">
        <v>3</v>
      </c>
      <c r="R230" s="122" t="n">
        <v>2</v>
      </c>
      <c r="S230" s="122" t="inlineStr">
        <is>
          <t>계</t>
        </is>
      </c>
      <c r="T230" s="5" t="inlineStr">
        <is>
          <t>112A</t>
        </is>
      </c>
      <c r="U230" s="9" t="n"/>
      <c r="W230" s="132">
        <f>D230</f>
        <v/>
      </c>
      <c r="X230" s="133">
        <f>E230</f>
        <v/>
      </c>
      <c r="Y230" s="138">
        <f>H230</f>
        <v/>
      </c>
      <c r="Z230" s="136">
        <f>I230</f>
        <v/>
      </c>
      <c r="AA230" s="136">
        <f>K230</f>
        <v/>
      </c>
      <c r="AB230" s="136">
        <f>M230</f>
        <v/>
      </c>
      <c r="AC230" s="4">
        <f>N230</f>
        <v/>
      </c>
      <c r="AD230" s="137">
        <f>O230</f>
        <v/>
      </c>
      <c r="AE230" s="122">
        <f>S230</f>
        <v/>
      </c>
      <c r="AF230" s="122">
        <f>Q230&amp;"/"&amp;R230</f>
        <v/>
      </c>
      <c r="AH230" s="20">
        <f>IF(A230="","",A230)</f>
        <v/>
      </c>
      <c r="AI230" s="133">
        <f>IF(E230="","",E230)</f>
        <v/>
      </c>
      <c r="AJ230" s="122">
        <f>IF(AI230="","",$AJ$2)</f>
        <v/>
      </c>
      <c r="AK230" s="122" t="inlineStr">
        <is>
          <t>A</t>
        </is>
      </c>
      <c r="AL230" s="122" t="inlineStr">
        <is>
          <t>A+</t>
        </is>
      </c>
      <c r="AM230" s="122" t="inlineStr">
        <is>
          <t>B+</t>
        </is>
      </c>
      <c r="AN230" s="122">
        <f>IF(AI230="","",$AN$2)</f>
        <v/>
      </c>
      <c r="AO230" s="122">
        <f>IF(N230="","",IF(N230&gt;=$AO$1/100,"O","X"))</f>
        <v/>
      </c>
      <c r="AP230" s="122">
        <f>IF(I230="","",IF(I230&lt;=$AP$1,"O","X"))</f>
        <v/>
      </c>
      <c r="AQ230" s="122">
        <f>IF(O230="","",IF(O230&lt;=$AQ$1,"O","X"))</f>
        <v/>
      </c>
      <c r="AR230" s="122">
        <f>IF(M230="","",IF(M230&lt;=$AR$1,"O","X"))</f>
        <v/>
      </c>
      <c r="AS230" s="122" t="inlineStr">
        <is>
          <t>X</t>
        </is>
      </c>
      <c r="AT230" s="122">
        <f>IF(OR(F230="",AI230=""),"",IF(AND((F230&lt;=85),(AI230&gt;=15)),"O","X"))</f>
        <v/>
      </c>
      <c r="AU230" s="122">
        <f>IF(C230="","",IF(C230&gt;=$AU$1,"O","X"))</f>
        <v/>
      </c>
      <c r="AV230" s="122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1" t="n">
        <v>417</v>
      </c>
      <c r="D231" s="132" t="n">
        <v>112.5</v>
      </c>
      <c r="E231" s="133" t="n">
        <v>34</v>
      </c>
      <c r="F231" s="132" t="n">
        <v>85</v>
      </c>
      <c r="G231" s="17" t="n">
        <v>26</v>
      </c>
      <c r="H231" s="134" t="n">
        <v>123</v>
      </c>
      <c r="I231" s="135" t="n">
        <v>42000</v>
      </c>
      <c r="J231" s="135" t="inlineStr">
        <is>
          <t>22</t>
        </is>
      </c>
      <c r="K231" s="135" t="n">
        <v>32000</v>
      </c>
      <c r="L231" s="135" t="inlineStr">
        <is>
          <t>중</t>
        </is>
      </c>
      <c r="M231" s="136">
        <f>I231-K231</f>
        <v/>
      </c>
      <c r="N231" s="4">
        <f>IF(ISERROR(K231/I231),"",K231/I231)</f>
        <v/>
      </c>
      <c r="O231" s="137">
        <f>I231/E231</f>
        <v/>
      </c>
      <c r="P231" s="137">
        <f>K231/E231</f>
        <v/>
      </c>
      <c r="Q231" s="122" t="n">
        <v>3</v>
      </c>
      <c r="R231" s="122" t="n">
        <v>2</v>
      </c>
      <c r="S231" s="122" t="inlineStr">
        <is>
          <t>계</t>
        </is>
      </c>
      <c r="T231" s="5" t="inlineStr">
        <is>
          <t>112C</t>
        </is>
      </c>
      <c r="U231" s="9" t="n"/>
      <c r="W231" s="132">
        <f>D231</f>
        <v/>
      </c>
      <c r="X231" s="133">
        <f>E231</f>
        <v/>
      </c>
      <c r="Y231" s="138">
        <f>H231</f>
        <v/>
      </c>
      <c r="Z231" s="136">
        <f>I231</f>
        <v/>
      </c>
      <c r="AA231" s="136">
        <f>K231</f>
        <v/>
      </c>
      <c r="AB231" s="136">
        <f>M231</f>
        <v/>
      </c>
      <c r="AC231" s="4">
        <f>N231</f>
        <v/>
      </c>
      <c r="AD231" s="137">
        <f>O231</f>
        <v/>
      </c>
      <c r="AE231" s="122">
        <f>S231</f>
        <v/>
      </c>
      <c r="AF231" s="122">
        <f>Q231&amp;"/"&amp;R231</f>
        <v/>
      </c>
      <c r="AH231" s="20">
        <f>IF(A231="","",A231)</f>
        <v/>
      </c>
      <c r="AI231" s="133">
        <f>IF(E231="","",E231)</f>
        <v/>
      </c>
      <c r="AJ231" s="122">
        <f>IF(AI231="","",$AJ$2)</f>
        <v/>
      </c>
      <c r="AK231" s="122" t="inlineStr">
        <is>
          <t>A</t>
        </is>
      </c>
      <c r="AL231" s="122" t="inlineStr">
        <is>
          <t>A+</t>
        </is>
      </c>
      <c r="AM231" s="122" t="inlineStr">
        <is>
          <t>B+</t>
        </is>
      </c>
      <c r="AN231" s="122">
        <f>IF(AI231="","",$AN$2)</f>
        <v/>
      </c>
      <c r="AO231" s="122">
        <f>IF(N231="","",IF(N231&gt;=$AO$1/100,"O","X"))</f>
        <v/>
      </c>
      <c r="AP231" s="122">
        <f>IF(I231="","",IF(I231&lt;=$AP$1,"O","X"))</f>
        <v/>
      </c>
      <c r="AQ231" s="122">
        <f>IF(O231="","",IF(O231&lt;=$AQ$1,"O","X"))</f>
        <v/>
      </c>
      <c r="AR231" s="122">
        <f>IF(M231="","",IF(M231&lt;=$AR$1,"O","X"))</f>
        <v/>
      </c>
      <c r="AS231" s="122" t="inlineStr">
        <is>
          <t>X</t>
        </is>
      </c>
      <c r="AT231" s="122">
        <f>IF(OR(F231="",AI231=""),"",IF(AND((F231&lt;=85),(AI231&gt;=15)),"O","X"))</f>
        <v/>
      </c>
      <c r="AU231" s="122">
        <f>IF(C231="","",IF(C231&gt;=$AU$1,"O","X"))</f>
        <v/>
      </c>
      <c r="AV231" s="122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1" t="n">
        <v>417</v>
      </c>
      <c r="D232" s="132" t="n">
        <v>112.7</v>
      </c>
      <c r="E232" s="133" t="n">
        <v>34</v>
      </c>
      <c r="F232" s="132" t="n">
        <v>85</v>
      </c>
      <c r="G232" s="17" t="n">
        <v>26</v>
      </c>
      <c r="H232" s="134" t="n">
        <v>66</v>
      </c>
      <c r="I232" s="135" t="n">
        <v>42300</v>
      </c>
      <c r="J232" s="135" t="inlineStr">
        <is>
          <t>25</t>
        </is>
      </c>
      <c r="K232" s="135" t="n">
        <v>38000</v>
      </c>
      <c r="L232" s="135" t="inlineStr">
        <is>
          <t>고</t>
        </is>
      </c>
      <c r="M232" s="136">
        <f>I232-K232</f>
        <v/>
      </c>
      <c r="N232" s="4">
        <f>IF(ISERROR(K232/I232),"",K232/I232)</f>
        <v/>
      </c>
      <c r="O232" s="137">
        <f>I232/E232</f>
        <v/>
      </c>
      <c r="P232" s="137">
        <f>K232/E232</f>
        <v/>
      </c>
      <c r="Q232" s="122" t="n">
        <v>3</v>
      </c>
      <c r="R232" s="122" t="n">
        <v>2</v>
      </c>
      <c r="S232" s="122" t="inlineStr">
        <is>
          <t>계</t>
        </is>
      </c>
      <c r="T232" s="5" t="inlineStr">
        <is>
          <t>112B</t>
        </is>
      </c>
      <c r="U232" s="9" t="n"/>
      <c r="W232" s="132">
        <f>D232</f>
        <v/>
      </c>
      <c r="X232" s="133">
        <f>E232</f>
        <v/>
      </c>
      <c r="Y232" s="138">
        <f>H232</f>
        <v/>
      </c>
      <c r="Z232" s="136">
        <f>I232</f>
        <v/>
      </c>
      <c r="AA232" s="136">
        <f>K232</f>
        <v/>
      </c>
      <c r="AB232" s="136">
        <f>M232</f>
        <v/>
      </c>
      <c r="AC232" s="4">
        <f>N232</f>
        <v/>
      </c>
      <c r="AD232" s="137">
        <f>O232</f>
        <v/>
      </c>
      <c r="AE232" s="122">
        <f>S232</f>
        <v/>
      </c>
      <c r="AF232" s="122">
        <f>Q232&amp;"/"&amp;R232</f>
        <v/>
      </c>
      <c r="AH232" s="20">
        <f>IF(A232="","",A232)</f>
        <v/>
      </c>
      <c r="AI232" s="133">
        <f>IF(E232="","",E232)</f>
        <v/>
      </c>
      <c r="AJ232" s="122">
        <f>IF(AI232="","",$AJ$2)</f>
        <v/>
      </c>
      <c r="AK232" s="122" t="inlineStr">
        <is>
          <t>A</t>
        </is>
      </c>
      <c r="AL232" s="122" t="inlineStr">
        <is>
          <t>A+</t>
        </is>
      </c>
      <c r="AM232" s="122" t="inlineStr">
        <is>
          <t>B+</t>
        </is>
      </c>
      <c r="AN232" s="122">
        <f>IF(AI232="","",$AN$2)</f>
        <v/>
      </c>
      <c r="AO232" s="122">
        <f>IF(N232="","",IF(N232&gt;=$AO$1/100,"O","X"))</f>
        <v/>
      </c>
      <c r="AP232" s="122">
        <f>IF(I232="","",IF(I232&lt;=$AP$1,"O","X"))</f>
        <v/>
      </c>
      <c r="AQ232" s="122">
        <f>IF(O232="","",IF(O232&lt;=$AQ$1,"O","X"))</f>
        <v/>
      </c>
      <c r="AR232" s="122">
        <f>IF(M232="","",IF(M232&lt;=$AR$1,"O","X"))</f>
        <v/>
      </c>
      <c r="AS232" s="122" t="inlineStr">
        <is>
          <t>X</t>
        </is>
      </c>
      <c r="AT232" s="122">
        <f>IF(OR(F232="",AI232=""),"",IF(AND((F232&lt;=85),(AI232&gt;=15)),"O","X"))</f>
        <v/>
      </c>
      <c r="AU232" s="122">
        <f>IF(C232="","",IF(C232&gt;=$AU$1,"O","X"))</f>
        <v/>
      </c>
      <c r="AV232" s="122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1" t="n">
        <v>903</v>
      </c>
      <c r="D233" s="132" t="n">
        <v>108.8</v>
      </c>
      <c r="E233" s="133" t="n">
        <v>33</v>
      </c>
      <c r="F233" s="132" t="n">
        <v>84.8</v>
      </c>
      <c r="G233" s="17" t="n">
        <v>26</v>
      </c>
      <c r="H233" s="134" t="n">
        <v>475</v>
      </c>
      <c r="I233" s="135" t="n">
        <v>45000</v>
      </c>
      <c r="J233" s="135" t="inlineStr">
        <is>
          <t>14</t>
        </is>
      </c>
      <c r="K233" s="135" t="n">
        <v>30000</v>
      </c>
      <c r="L233" s="135" t="inlineStr">
        <is>
          <t>13</t>
        </is>
      </c>
      <c r="M233" s="136">
        <f>I233-K233</f>
        <v/>
      </c>
      <c r="N233" s="4">
        <f>IF(ISERROR(K233/I233),"",K233/I233)</f>
        <v/>
      </c>
      <c r="O233" s="137">
        <f>I233/E233</f>
        <v/>
      </c>
      <c r="P233" s="137">
        <f>K233/E233</f>
        <v/>
      </c>
      <c r="Q233" s="122" t="n">
        <v>3</v>
      </c>
      <c r="R233" s="122" t="n">
        <v>2</v>
      </c>
      <c r="S233" s="122" t="inlineStr">
        <is>
          <t>계</t>
        </is>
      </c>
      <c r="T233" s="5" t="inlineStr">
        <is>
          <t>108A</t>
        </is>
      </c>
      <c r="U233" s="9" t="n"/>
      <c r="W233" s="132">
        <f>D233</f>
        <v/>
      </c>
      <c r="X233" s="133">
        <f>E233</f>
        <v/>
      </c>
      <c r="Y233" s="138">
        <f>H233</f>
        <v/>
      </c>
      <c r="Z233" s="136">
        <f>I233</f>
        <v/>
      </c>
      <c r="AA233" s="136">
        <f>K233</f>
        <v/>
      </c>
      <c r="AB233" s="136">
        <f>M233</f>
        <v/>
      </c>
      <c r="AC233" s="4">
        <f>N233</f>
        <v/>
      </c>
      <c r="AD233" s="137">
        <f>O233</f>
        <v/>
      </c>
      <c r="AE233" s="122">
        <f>S233</f>
        <v/>
      </c>
      <c r="AF233" s="122">
        <f>Q233&amp;"/"&amp;R233</f>
        <v/>
      </c>
      <c r="AH233" s="20">
        <f>IF(A233="","",A233)</f>
        <v/>
      </c>
      <c r="AI233" s="133">
        <f>IF(E233="","",E233)</f>
        <v/>
      </c>
      <c r="AJ233" s="122">
        <f>IF(AI233="","",$AJ$2)</f>
        <v/>
      </c>
      <c r="AK233" s="122" t="inlineStr">
        <is>
          <t>A</t>
        </is>
      </c>
      <c r="AL233" s="122" t="inlineStr">
        <is>
          <t>A+</t>
        </is>
      </c>
      <c r="AM233" s="122" t="inlineStr">
        <is>
          <t>B+</t>
        </is>
      </c>
      <c r="AN233" s="122">
        <f>IF(AI233="","",$AN$2)</f>
        <v/>
      </c>
      <c r="AO233" s="122">
        <f>IF(N233="","",IF(N233&gt;=$AO$1/100,"O","X"))</f>
        <v/>
      </c>
      <c r="AP233" s="122">
        <f>IF(I233="","",IF(I233&lt;=$AP$1,"O","X"))</f>
        <v/>
      </c>
      <c r="AQ233" s="122">
        <f>IF(O233="","",IF(O233&lt;=$AQ$1,"O","X"))</f>
        <v/>
      </c>
      <c r="AR233" s="122">
        <f>IF(M233="","",IF(M233&lt;=$AR$1,"O","X"))</f>
        <v/>
      </c>
      <c r="AS233" s="122" t="inlineStr">
        <is>
          <t>X</t>
        </is>
      </c>
      <c r="AT233" s="122">
        <f>IF(OR(F233="",AI233=""),"",IF(AND((F233&lt;=85),(AI233&gt;=15)),"O","X"))</f>
        <v/>
      </c>
      <c r="AU233" s="122">
        <f>IF(C233="","",IF(C233&gt;=$AU$1,"O","X"))</f>
        <v/>
      </c>
      <c r="AV233" s="122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1" t="n">
        <v>903</v>
      </c>
      <c r="D234" s="132" t="n">
        <v>108.8</v>
      </c>
      <c r="E234" s="133" t="n">
        <v>33</v>
      </c>
      <c r="F234" s="132" t="n">
        <v>84.5</v>
      </c>
      <c r="G234" s="17" t="n">
        <v>26</v>
      </c>
      <c r="H234" s="134" t="n">
        <v>190</v>
      </c>
      <c r="I234" s="135" t="n">
        <v>44000</v>
      </c>
      <c r="J234" s="135" t="inlineStr">
        <is>
          <t>10</t>
        </is>
      </c>
      <c r="K234" s="135" t="n">
        <v>34000</v>
      </c>
      <c r="L234" s="135" t="inlineStr">
        <is>
          <t>9</t>
        </is>
      </c>
      <c r="M234" s="136">
        <f>I234-K234</f>
        <v/>
      </c>
      <c r="N234" s="4">
        <f>IF(ISERROR(K234/I234),"",K234/I234)</f>
        <v/>
      </c>
      <c r="O234" s="137">
        <f>I234/E234</f>
        <v/>
      </c>
      <c r="P234" s="137">
        <f>K234/E234</f>
        <v/>
      </c>
      <c r="Q234" s="122" t="n">
        <v>3</v>
      </c>
      <c r="R234" s="122" t="n">
        <v>2</v>
      </c>
      <c r="S234" s="122" t="inlineStr">
        <is>
          <t>계</t>
        </is>
      </c>
      <c r="T234" s="5" t="inlineStr">
        <is>
          <t>108C</t>
        </is>
      </c>
      <c r="U234" s="9" t="n"/>
      <c r="W234" s="132">
        <f>D234</f>
        <v/>
      </c>
      <c r="X234" s="133">
        <f>E234</f>
        <v/>
      </c>
      <c r="Y234" s="138">
        <f>H234</f>
        <v/>
      </c>
      <c r="Z234" s="136">
        <f>I234</f>
        <v/>
      </c>
      <c r="AA234" s="136">
        <f>K234</f>
        <v/>
      </c>
      <c r="AB234" s="136">
        <f>M234</f>
        <v/>
      </c>
      <c r="AC234" s="4">
        <f>N234</f>
        <v/>
      </c>
      <c r="AD234" s="137">
        <f>O234</f>
        <v/>
      </c>
      <c r="AE234" s="122">
        <f>S234</f>
        <v/>
      </c>
      <c r="AF234" s="122">
        <f>Q234&amp;"/"&amp;R234</f>
        <v/>
      </c>
      <c r="AH234" s="20">
        <f>IF(A234="","",A234)</f>
        <v/>
      </c>
      <c r="AI234" s="133">
        <f>IF(E234="","",E234)</f>
        <v/>
      </c>
      <c r="AJ234" s="122">
        <f>IF(AI234="","",$AJ$2)</f>
        <v/>
      </c>
      <c r="AK234" s="122" t="inlineStr">
        <is>
          <t>A</t>
        </is>
      </c>
      <c r="AL234" s="122" t="inlineStr">
        <is>
          <t>A+</t>
        </is>
      </c>
      <c r="AM234" s="122" t="inlineStr">
        <is>
          <t>B+</t>
        </is>
      </c>
      <c r="AN234" s="122">
        <f>IF(AI234="","",$AN$2)</f>
        <v/>
      </c>
      <c r="AO234" s="122">
        <f>IF(N234="","",IF(N234&gt;=$AO$1/100,"O","X"))</f>
        <v/>
      </c>
      <c r="AP234" s="122">
        <f>IF(I234="","",IF(I234&lt;=$AP$1,"O","X"))</f>
        <v/>
      </c>
      <c r="AQ234" s="122">
        <f>IF(O234="","",IF(O234&lt;=$AQ$1,"O","X"))</f>
        <v/>
      </c>
      <c r="AR234" s="122">
        <f>IF(M234="","",IF(M234&lt;=$AR$1,"O","X"))</f>
        <v/>
      </c>
      <c r="AS234" s="122" t="inlineStr">
        <is>
          <t>X</t>
        </is>
      </c>
      <c r="AT234" s="122">
        <f>IF(OR(F234="",AI234=""),"",IF(AND((F234&lt;=85),(AI234&gt;=15)),"O","X"))</f>
        <v/>
      </c>
      <c r="AU234" s="122">
        <f>IF(C234="","",IF(C234&gt;=$AU$1,"O","X"))</f>
        <v/>
      </c>
      <c r="AV234" s="122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1" t="n">
        <v>903</v>
      </c>
      <c r="D235" s="132" t="n">
        <v>109.4</v>
      </c>
      <c r="E235" s="133" t="n">
        <v>33</v>
      </c>
      <c r="F235" s="132" t="n">
        <v>84.40000000000001</v>
      </c>
      <c r="G235" s="17" t="n">
        <v>26</v>
      </c>
      <c r="H235" s="134" t="n">
        <v>238</v>
      </c>
      <c r="I235" s="135" t="n">
        <v>40500</v>
      </c>
      <c r="J235" s="135" t="inlineStr">
        <is>
          <t>5</t>
        </is>
      </c>
      <c r="K235" s="135" t="n">
        <v>33000</v>
      </c>
      <c r="L235" s="135" t="inlineStr">
        <is>
          <t>5</t>
        </is>
      </c>
      <c r="M235" s="136">
        <f>I235-K235</f>
        <v/>
      </c>
      <c r="N235" s="4">
        <f>IF(ISERROR(K235/I235),"",K235/I235)</f>
        <v/>
      </c>
      <c r="O235" s="137">
        <f>I235/E235</f>
        <v/>
      </c>
      <c r="P235" s="137">
        <f>K235/E235</f>
        <v/>
      </c>
      <c r="Q235" s="122" t="n">
        <v>3</v>
      </c>
      <c r="R235" s="122" t="n">
        <v>2</v>
      </c>
      <c r="S235" s="122" t="inlineStr">
        <is>
          <t>계</t>
        </is>
      </c>
      <c r="T235" s="5" t="inlineStr">
        <is>
          <t>109B</t>
        </is>
      </c>
      <c r="U235" s="9" t="n"/>
      <c r="W235" s="132">
        <f>D235</f>
        <v/>
      </c>
      <c r="X235" s="133">
        <f>E235</f>
        <v/>
      </c>
      <c r="Y235" s="138">
        <f>H235</f>
        <v/>
      </c>
      <c r="Z235" s="136">
        <f>I235</f>
        <v/>
      </c>
      <c r="AA235" s="136">
        <f>K235</f>
        <v/>
      </c>
      <c r="AB235" s="136">
        <f>M235</f>
        <v/>
      </c>
      <c r="AC235" s="4">
        <f>N235</f>
        <v/>
      </c>
      <c r="AD235" s="137">
        <f>O235</f>
        <v/>
      </c>
      <c r="AE235" s="122">
        <f>S235</f>
        <v/>
      </c>
      <c r="AF235" s="122">
        <f>Q235&amp;"/"&amp;R235</f>
        <v/>
      </c>
      <c r="AH235" s="20">
        <f>IF(A235="","",A235)</f>
        <v/>
      </c>
      <c r="AI235" s="133">
        <f>IF(E235="","",E235)</f>
        <v/>
      </c>
      <c r="AJ235" s="122">
        <f>IF(AI235="","",$AJ$2)</f>
        <v/>
      </c>
      <c r="AK235" s="122" t="inlineStr">
        <is>
          <t>A</t>
        </is>
      </c>
      <c r="AL235" s="122" t="inlineStr">
        <is>
          <t>A+</t>
        </is>
      </c>
      <c r="AM235" s="122" t="inlineStr">
        <is>
          <t>B+</t>
        </is>
      </c>
      <c r="AN235" s="122">
        <f>IF(AI235="","",$AN$2)</f>
        <v/>
      </c>
      <c r="AO235" s="122">
        <f>IF(N235="","",IF(N235&gt;=$AO$1/100,"O","X"))</f>
        <v/>
      </c>
      <c r="AP235" s="122">
        <f>IF(I235="","",IF(I235&lt;=$AP$1,"O","X"))</f>
        <v/>
      </c>
      <c r="AQ235" s="122">
        <f>IF(O235="","",IF(O235&lt;=$AQ$1,"O","X"))</f>
        <v/>
      </c>
      <c r="AR235" s="122">
        <f>IF(M235="","",IF(M235&lt;=$AR$1,"O","X"))</f>
        <v/>
      </c>
      <c r="AS235" s="122" t="inlineStr">
        <is>
          <t>X</t>
        </is>
      </c>
      <c r="AT235" s="122">
        <f>IF(OR(F235="",AI235=""),"",IF(AND((F235&lt;=85),(AI235&gt;=15)),"O","X"))</f>
        <v/>
      </c>
      <c r="AU235" s="122">
        <f>IF(C235="","",IF(C235&gt;=$AU$1,"O","X"))</f>
        <v/>
      </c>
      <c r="AV235" s="122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1" t="n">
        <v>789</v>
      </c>
      <c r="D236" s="132" t="n">
        <v>109.9</v>
      </c>
      <c r="E236" s="133" t="n">
        <v>33</v>
      </c>
      <c r="F236" s="132" t="n">
        <v>84.8</v>
      </c>
      <c r="G236" s="17" t="n">
        <v>26</v>
      </c>
      <c r="H236" s="134" t="n">
        <v>168</v>
      </c>
      <c r="I236" s="135" t="n">
        <v>49000</v>
      </c>
      <c r="J236" s="135" t="inlineStr">
        <is>
          <t>19</t>
        </is>
      </c>
      <c r="K236" s="135" t="n">
        <v>37000</v>
      </c>
      <c r="L236" s="135" t="inlineStr">
        <is>
          <t>7</t>
        </is>
      </c>
      <c r="M236" s="136">
        <f>I236-K236</f>
        <v/>
      </c>
      <c r="N236" s="4">
        <f>IF(ISERROR(K236/I236),"",K236/I236)</f>
        <v/>
      </c>
      <c r="O236" s="137">
        <f>I236/E236</f>
        <v/>
      </c>
      <c r="P236" s="137">
        <f>K236/E236</f>
        <v/>
      </c>
      <c r="Q236" s="122" t="n">
        <v>3</v>
      </c>
      <c r="R236" s="122" t="n">
        <v>2</v>
      </c>
      <c r="S236" s="122" t="inlineStr">
        <is>
          <t>계</t>
        </is>
      </c>
      <c r="T236" s="5" t="inlineStr">
        <is>
          <t>109A</t>
        </is>
      </c>
      <c r="U236" s="9" t="n"/>
      <c r="W236" s="132">
        <f>D236</f>
        <v/>
      </c>
      <c r="X236" s="133">
        <f>E236</f>
        <v/>
      </c>
      <c r="Y236" s="138">
        <f>H236</f>
        <v/>
      </c>
      <c r="Z236" s="136">
        <f>I236</f>
        <v/>
      </c>
      <c r="AA236" s="136">
        <f>K236</f>
        <v/>
      </c>
      <c r="AB236" s="136">
        <f>M236</f>
        <v/>
      </c>
      <c r="AC236" s="4">
        <f>N236</f>
        <v/>
      </c>
      <c r="AD236" s="137">
        <f>O236</f>
        <v/>
      </c>
      <c r="AE236" s="122">
        <f>S236</f>
        <v/>
      </c>
      <c r="AF236" s="122">
        <f>Q236&amp;"/"&amp;R236</f>
        <v/>
      </c>
      <c r="AH236" s="20">
        <f>IF(A236="","",A236)</f>
        <v/>
      </c>
      <c r="AI236" s="133">
        <f>IF(E236="","",E236)</f>
        <v/>
      </c>
      <c r="AJ236" s="122">
        <f>IF(AI236="","",$AJ$2)</f>
        <v/>
      </c>
      <c r="AK236" s="122" t="inlineStr">
        <is>
          <t>A</t>
        </is>
      </c>
      <c r="AL236" s="122" t="inlineStr">
        <is>
          <t>A+</t>
        </is>
      </c>
      <c r="AM236" s="122" t="inlineStr">
        <is>
          <t>B+</t>
        </is>
      </c>
      <c r="AN236" s="122">
        <f>IF(AI236="","",$AN$2)</f>
        <v/>
      </c>
      <c r="AO236" s="122">
        <f>IF(N236="","",IF(N236&gt;=$AO$1/100,"O","X"))</f>
        <v/>
      </c>
      <c r="AP236" s="122">
        <f>IF(I236="","",IF(I236&lt;=$AP$1,"O","X"))</f>
        <v/>
      </c>
      <c r="AQ236" s="122">
        <f>IF(O236="","",IF(O236&lt;=$AQ$1,"O","X"))</f>
        <v/>
      </c>
      <c r="AR236" s="122">
        <f>IF(M236="","",IF(M236&lt;=$AR$1,"O","X"))</f>
        <v/>
      </c>
      <c r="AS236" s="122" t="inlineStr">
        <is>
          <t>X</t>
        </is>
      </c>
      <c r="AT236" s="122">
        <f>IF(OR(F236="",AI236=""),"",IF(AND((F236&lt;=85),(AI236&gt;=15)),"O","X"))</f>
        <v/>
      </c>
      <c r="AU236" s="122">
        <f>IF(C236="","",IF(C236&gt;=$AU$1,"O","X"))</f>
        <v/>
      </c>
      <c r="AV236" s="122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1" t="n">
        <v>789</v>
      </c>
      <c r="D237" s="132" t="n">
        <v>109.9</v>
      </c>
      <c r="E237" s="133" t="n">
        <v>33</v>
      </c>
      <c r="F237" s="132" t="n">
        <v>84.40000000000001</v>
      </c>
      <c r="G237" s="17" t="n">
        <v>26</v>
      </c>
      <c r="H237" s="134" t="n">
        <v>118</v>
      </c>
      <c r="I237" s="135" t="n">
        <v>50000</v>
      </c>
      <c r="J237" s="135" t="inlineStr">
        <is>
          <t>22</t>
        </is>
      </c>
      <c r="K237" s="135" t="n"/>
      <c r="L237" s="135" t="n"/>
      <c r="M237" s="136">
        <f>I237-K237</f>
        <v/>
      </c>
      <c r="N237" s="4">
        <f>IF(ISERROR(K237/I237),"",K237/I237)</f>
        <v/>
      </c>
      <c r="O237" s="137">
        <f>I237/E237</f>
        <v/>
      </c>
      <c r="P237" s="137">
        <f>K237/E237</f>
        <v/>
      </c>
      <c r="Q237" s="122" t="n">
        <v>3</v>
      </c>
      <c r="R237" s="122" t="n">
        <v>2</v>
      </c>
      <c r="S237" s="122" t="inlineStr">
        <is>
          <t>계</t>
        </is>
      </c>
      <c r="T237" s="5" t="inlineStr">
        <is>
          <t>109C</t>
        </is>
      </c>
      <c r="U237" s="9" t="n"/>
      <c r="W237" s="132">
        <f>D237</f>
        <v/>
      </c>
      <c r="X237" s="133">
        <f>E237</f>
        <v/>
      </c>
      <c r="Y237" s="138">
        <f>H237</f>
        <v/>
      </c>
      <c r="Z237" s="136">
        <f>I237</f>
        <v/>
      </c>
      <c r="AA237" s="136">
        <f>K237</f>
        <v/>
      </c>
      <c r="AB237" s="136">
        <f>M237</f>
        <v/>
      </c>
      <c r="AC237" s="4">
        <f>N237</f>
        <v/>
      </c>
      <c r="AD237" s="137">
        <f>O237</f>
        <v/>
      </c>
      <c r="AE237" s="122">
        <f>S237</f>
        <v/>
      </c>
      <c r="AF237" s="122">
        <f>Q237&amp;"/"&amp;R237</f>
        <v/>
      </c>
      <c r="AH237" s="20">
        <f>IF(A237="","",A237)</f>
        <v/>
      </c>
      <c r="AI237" s="133">
        <f>IF(E237="","",E237)</f>
        <v/>
      </c>
      <c r="AJ237" s="122">
        <f>IF(AI237="","",$AJ$2)</f>
        <v/>
      </c>
      <c r="AK237" s="122" t="inlineStr">
        <is>
          <t>A</t>
        </is>
      </c>
      <c r="AL237" s="122" t="inlineStr">
        <is>
          <t>A+</t>
        </is>
      </c>
      <c r="AM237" s="122" t="inlineStr">
        <is>
          <t>B+</t>
        </is>
      </c>
      <c r="AN237" s="122">
        <f>IF(AI237="","",$AN$2)</f>
        <v/>
      </c>
      <c r="AO237" s="122">
        <f>IF(N237="","",IF(N237&gt;=$AO$1/100,"O","X"))</f>
        <v/>
      </c>
      <c r="AP237" s="122">
        <f>IF(I237="","",IF(I237&lt;=$AP$1,"O","X"))</f>
        <v/>
      </c>
      <c r="AQ237" s="122">
        <f>IF(O237="","",IF(O237&lt;=$AQ$1,"O","X"))</f>
        <v/>
      </c>
      <c r="AR237" s="122">
        <f>IF(M237="","",IF(M237&lt;=$AR$1,"O","X"))</f>
        <v/>
      </c>
      <c r="AS237" s="122" t="inlineStr">
        <is>
          <t>X</t>
        </is>
      </c>
      <c r="AT237" s="122">
        <f>IF(OR(F237="",AI237=""),"",IF(AND((F237&lt;=85),(AI237&gt;=15)),"O","X"))</f>
        <v/>
      </c>
      <c r="AU237" s="122">
        <f>IF(C237="","",IF(C237&gt;=$AU$1,"O","X"))</f>
        <v/>
      </c>
      <c r="AV237" s="122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1" t="n">
        <v>789</v>
      </c>
      <c r="D238" s="132" t="n">
        <v>111.2</v>
      </c>
      <c r="E238" s="133" t="n">
        <v>34</v>
      </c>
      <c r="F238" s="132" t="n">
        <v>85</v>
      </c>
      <c r="G238" s="17" t="n">
        <v>26</v>
      </c>
      <c r="H238" s="134" t="n">
        <v>94</v>
      </c>
      <c r="I238" s="135" t="n">
        <v>48000</v>
      </c>
      <c r="J238" s="135" t="inlineStr">
        <is>
          <t>7</t>
        </is>
      </c>
      <c r="K238" s="135" t="n">
        <v>36000</v>
      </c>
      <c r="L238" s="135" t="inlineStr">
        <is>
          <t>중</t>
        </is>
      </c>
      <c r="M238" s="136">
        <f>I238-K238</f>
        <v/>
      </c>
      <c r="N238" s="4">
        <f>IF(ISERROR(K238/I238),"",K238/I238)</f>
        <v/>
      </c>
      <c r="O238" s="137">
        <f>I238/E238</f>
        <v/>
      </c>
      <c r="P238" s="137">
        <f>K238/E238</f>
        <v/>
      </c>
      <c r="Q238" s="122" t="n">
        <v>3</v>
      </c>
      <c r="R238" s="122" t="n">
        <v>2</v>
      </c>
      <c r="S238" s="122" t="inlineStr">
        <is>
          <t>계</t>
        </is>
      </c>
      <c r="T238" s="5" t="inlineStr">
        <is>
          <t>111B</t>
        </is>
      </c>
      <c r="U238" s="9" t="n"/>
      <c r="W238" s="132">
        <f>D238</f>
        <v/>
      </c>
      <c r="X238" s="133">
        <f>E238</f>
        <v/>
      </c>
      <c r="Y238" s="138">
        <f>H238</f>
        <v/>
      </c>
      <c r="Z238" s="136">
        <f>I238</f>
        <v/>
      </c>
      <c r="AA238" s="136">
        <f>K238</f>
        <v/>
      </c>
      <c r="AB238" s="136">
        <f>M238</f>
        <v/>
      </c>
      <c r="AC238" s="4">
        <f>N238</f>
        <v/>
      </c>
      <c r="AD238" s="137">
        <f>O238</f>
        <v/>
      </c>
      <c r="AE238" s="122">
        <f>S238</f>
        <v/>
      </c>
      <c r="AF238" s="122">
        <f>Q238&amp;"/"&amp;R238</f>
        <v/>
      </c>
      <c r="AH238" s="20">
        <f>IF(A238="","",A238)</f>
        <v/>
      </c>
      <c r="AI238" s="133">
        <f>IF(E238="","",E238)</f>
        <v/>
      </c>
      <c r="AJ238" s="122">
        <f>IF(AI238="","",$AJ$2)</f>
        <v/>
      </c>
      <c r="AK238" s="122" t="inlineStr">
        <is>
          <t>A</t>
        </is>
      </c>
      <c r="AL238" s="122" t="inlineStr">
        <is>
          <t>A+</t>
        </is>
      </c>
      <c r="AM238" s="122" t="inlineStr">
        <is>
          <t>B+</t>
        </is>
      </c>
      <c r="AN238" s="122">
        <f>IF(AI238="","",$AN$2)</f>
        <v/>
      </c>
      <c r="AO238" s="122">
        <f>IF(N238="","",IF(N238&gt;=$AO$1/100,"O","X"))</f>
        <v/>
      </c>
      <c r="AP238" s="122">
        <f>IF(I238="","",IF(I238&lt;=$AP$1,"O","X"))</f>
        <v/>
      </c>
      <c r="AQ238" s="122">
        <f>IF(O238="","",IF(O238&lt;=$AQ$1,"O","X"))</f>
        <v/>
      </c>
      <c r="AR238" s="122">
        <f>IF(M238="","",IF(M238&lt;=$AR$1,"O","X"))</f>
        <v/>
      </c>
      <c r="AS238" s="122" t="inlineStr">
        <is>
          <t>X</t>
        </is>
      </c>
      <c r="AT238" s="122">
        <f>IF(OR(F238="",AI238=""),"",IF(AND((F238&lt;=85),(AI238&gt;=15)),"O","X"))</f>
        <v/>
      </c>
      <c r="AU238" s="122">
        <f>IF(C238="","",IF(C238&gt;=$AU$1,"O","X"))</f>
        <v/>
      </c>
      <c r="AV238" s="122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1" t="n">
        <v>789</v>
      </c>
      <c r="D239" s="132" t="n">
        <v>131.4</v>
      </c>
      <c r="E239" s="133" t="n">
        <v>40</v>
      </c>
      <c r="F239" s="132" t="n">
        <v>105.7</v>
      </c>
      <c r="G239" s="17" t="n">
        <v>32</v>
      </c>
      <c r="H239" s="134" t="n">
        <v>391</v>
      </c>
      <c r="I239" s="135" t="n">
        <v>60500</v>
      </c>
      <c r="J239" s="135" t="inlineStr">
        <is>
          <t>6</t>
        </is>
      </c>
      <c r="K239" s="135" t="n">
        <v>50000</v>
      </c>
      <c r="L239" s="135" t="inlineStr">
        <is>
          <t>23</t>
        </is>
      </c>
      <c r="M239" s="136">
        <f>I239-K239</f>
        <v/>
      </c>
      <c r="N239" s="4">
        <f>IF(ISERROR(K239/I239),"",K239/I239)</f>
        <v/>
      </c>
      <c r="O239" s="137">
        <f>I239/E239</f>
        <v/>
      </c>
      <c r="P239" s="137">
        <f>K239/E239</f>
        <v/>
      </c>
      <c r="Q239" s="122" t="n">
        <v>3</v>
      </c>
      <c r="R239" s="122" t="n">
        <v>2</v>
      </c>
      <c r="S239" s="122" t="inlineStr">
        <is>
          <t>계</t>
        </is>
      </c>
      <c r="T239" s="5" t="n">
        <v>131</v>
      </c>
      <c r="U239" s="9" t="n"/>
      <c r="W239" s="132">
        <f>D239</f>
        <v/>
      </c>
      <c r="X239" s="133">
        <f>E239</f>
        <v/>
      </c>
      <c r="Y239" s="138">
        <f>H239</f>
        <v/>
      </c>
      <c r="Z239" s="136">
        <f>I239</f>
        <v/>
      </c>
      <c r="AA239" s="136">
        <f>K239</f>
        <v/>
      </c>
      <c r="AB239" s="136">
        <f>M239</f>
        <v/>
      </c>
      <c r="AC239" s="4">
        <f>N239</f>
        <v/>
      </c>
      <c r="AD239" s="137">
        <f>O239</f>
        <v/>
      </c>
      <c r="AE239" s="122">
        <f>S239</f>
        <v/>
      </c>
      <c r="AF239" s="122">
        <f>Q239&amp;"/"&amp;R239</f>
        <v/>
      </c>
      <c r="AH239" s="20">
        <f>IF(A239="","",A239)</f>
        <v/>
      </c>
      <c r="AI239" s="133">
        <f>IF(E239="","",E239)</f>
        <v/>
      </c>
      <c r="AJ239" s="122">
        <f>IF(AI239="","",$AJ$2)</f>
        <v/>
      </c>
      <c r="AK239" s="122" t="inlineStr">
        <is>
          <t>A</t>
        </is>
      </c>
      <c r="AL239" s="122" t="inlineStr">
        <is>
          <t>A+</t>
        </is>
      </c>
      <c r="AM239" s="122" t="inlineStr">
        <is>
          <t>B+</t>
        </is>
      </c>
      <c r="AN239" s="122">
        <f>IF(AI239="","",$AN$2)</f>
        <v/>
      </c>
      <c r="AO239" s="122">
        <f>IF(N239="","",IF(N239&gt;=$AO$1/100,"O","X"))</f>
        <v/>
      </c>
      <c r="AP239" s="122">
        <f>IF(I239="","",IF(I239&lt;=$AP$1,"O","X"))</f>
        <v/>
      </c>
      <c r="AQ239" s="122">
        <f>IF(O239="","",IF(O239&lt;=$AQ$1,"O","X"))</f>
        <v/>
      </c>
      <c r="AR239" s="122">
        <f>IF(M239="","",IF(M239&lt;=$AR$1,"O","X"))</f>
        <v/>
      </c>
      <c r="AS239" s="122" t="inlineStr">
        <is>
          <t>X</t>
        </is>
      </c>
      <c r="AT239" s="122">
        <f>IF(OR(F239="",AI239=""),"",IF(AND((F239&lt;=85),(AI239&gt;=15)),"O","X"))</f>
        <v/>
      </c>
      <c r="AU239" s="122">
        <f>IF(C239="","",IF(C239&gt;=$AU$1,"O","X"))</f>
        <v/>
      </c>
      <c r="AV239" s="122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1" t="n">
        <v>789</v>
      </c>
      <c r="D240" s="132" t="n">
        <v>164.8</v>
      </c>
      <c r="E240" s="133" t="n">
        <v>50</v>
      </c>
      <c r="F240" s="132" t="n">
        <v>131.9</v>
      </c>
      <c r="G240" s="17" t="n">
        <v>40</v>
      </c>
      <c r="H240" s="134" t="n">
        <v>18</v>
      </c>
      <c r="I240" s="135" t="n"/>
      <c r="J240" s="135" t="n"/>
      <c r="K240" s="135" t="n"/>
      <c r="L240" s="135" t="n"/>
      <c r="M240" s="136">
        <f>I240-K240</f>
        <v/>
      </c>
      <c r="N240" s="4">
        <f>IF(ISERROR(K240/I240),"",K240/I240)</f>
        <v/>
      </c>
      <c r="O240" s="137">
        <f>I240/E240</f>
        <v/>
      </c>
      <c r="P240" s="137">
        <f>K240/E240</f>
        <v/>
      </c>
      <c r="Q240" s="122" t="n">
        <v>5</v>
      </c>
      <c r="R240" s="122" t="n">
        <v>3</v>
      </c>
      <c r="S240" s="122" t="inlineStr">
        <is>
          <t>계</t>
        </is>
      </c>
      <c r="T240" s="5" t="n">
        <v>164</v>
      </c>
      <c r="U240" s="9" t="n"/>
      <c r="W240" s="132">
        <f>D240</f>
        <v/>
      </c>
      <c r="X240" s="133">
        <f>E240</f>
        <v/>
      </c>
      <c r="Y240" s="138">
        <f>H240</f>
        <v/>
      </c>
      <c r="Z240" s="136">
        <f>I240</f>
        <v/>
      </c>
      <c r="AA240" s="136">
        <f>K240</f>
        <v/>
      </c>
      <c r="AB240" s="136">
        <f>M240</f>
        <v/>
      </c>
      <c r="AC240" s="4">
        <f>N240</f>
        <v/>
      </c>
      <c r="AD240" s="137">
        <f>O240</f>
        <v/>
      </c>
      <c r="AE240" s="122">
        <f>S240</f>
        <v/>
      </c>
      <c r="AF240" s="122">
        <f>Q240&amp;"/"&amp;R240</f>
        <v/>
      </c>
      <c r="AH240" s="20">
        <f>IF(A240="","",A240)</f>
        <v/>
      </c>
      <c r="AI240" s="133">
        <f>IF(E240="","",E240)</f>
        <v/>
      </c>
      <c r="AJ240" s="122">
        <f>IF(AI240="","",$AJ$2)</f>
        <v/>
      </c>
      <c r="AK240" s="122" t="inlineStr">
        <is>
          <t>A</t>
        </is>
      </c>
      <c r="AL240" s="122" t="inlineStr">
        <is>
          <t>A+</t>
        </is>
      </c>
      <c r="AM240" s="122" t="inlineStr">
        <is>
          <t>B+</t>
        </is>
      </c>
      <c r="AN240" s="122">
        <f>IF(AI240="","",$AN$2)</f>
        <v/>
      </c>
      <c r="AO240" s="122">
        <f>IF(N240="","",IF(N240&gt;=$AO$1/100,"O","X"))</f>
        <v/>
      </c>
      <c r="AP240" s="122">
        <f>IF(I240="","",IF(I240&lt;=$AP$1,"O","X"))</f>
        <v/>
      </c>
      <c r="AQ240" s="122">
        <f>IF(O240="","",IF(O240&lt;=$AQ$1,"O","X"))</f>
        <v/>
      </c>
      <c r="AR240" s="122">
        <f>IF(M240="","",IF(M240&lt;=$AR$1,"O","X"))</f>
        <v/>
      </c>
      <c r="AS240" s="122" t="inlineStr">
        <is>
          <t>X</t>
        </is>
      </c>
      <c r="AT240" s="122">
        <f>IF(OR(F240="",AI240=""),"",IF(AND((F240&lt;=85),(AI240&gt;=15)),"O","X"))</f>
        <v/>
      </c>
      <c r="AU240" s="122">
        <f>IF(C240="","",IF(C240&gt;=$AU$1,"O","X"))</f>
        <v/>
      </c>
      <c r="AV240" s="122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1" t="n">
        <v>780</v>
      </c>
      <c r="D241" s="132" t="n">
        <v>109.2</v>
      </c>
      <c r="E241" s="133" t="n">
        <v>33</v>
      </c>
      <c r="F241" s="132" t="n">
        <v>84.8</v>
      </c>
      <c r="G241" s="17" t="n">
        <v>26</v>
      </c>
      <c r="H241" s="134" t="n">
        <v>414</v>
      </c>
      <c r="I241" s="135" t="n">
        <v>44000</v>
      </c>
      <c r="J241" s="135" t="inlineStr">
        <is>
          <t>고</t>
        </is>
      </c>
      <c r="K241" s="135" t="n">
        <v>40000</v>
      </c>
      <c r="L241" s="135" t="inlineStr">
        <is>
          <t>23</t>
        </is>
      </c>
      <c r="M241" s="136">
        <f>I241-K241</f>
        <v/>
      </c>
      <c r="N241" s="4">
        <f>IF(ISERROR(K241/I241),"",K241/I241)</f>
        <v/>
      </c>
      <c r="O241" s="137">
        <f>I241/E241</f>
        <v/>
      </c>
      <c r="P241" s="137">
        <f>K241/E241</f>
        <v/>
      </c>
      <c r="Q241" s="122" t="n">
        <v>3</v>
      </c>
      <c r="R241" s="122" t="n">
        <v>2</v>
      </c>
      <c r="S241" s="122" t="inlineStr">
        <is>
          <t>계</t>
        </is>
      </c>
      <c r="T241" s="5" t="inlineStr">
        <is>
          <t>109A</t>
        </is>
      </c>
      <c r="U241" s="9" t="n"/>
      <c r="W241" s="132">
        <f>D241</f>
        <v/>
      </c>
      <c r="X241" s="133">
        <f>E241</f>
        <v/>
      </c>
      <c r="Y241" s="138">
        <f>H241</f>
        <v/>
      </c>
      <c r="Z241" s="136">
        <f>I241</f>
        <v/>
      </c>
      <c r="AA241" s="136">
        <f>K241</f>
        <v/>
      </c>
      <c r="AB241" s="136">
        <f>M241</f>
        <v/>
      </c>
      <c r="AC241" s="4">
        <f>N241</f>
        <v/>
      </c>
      <c r="AD241" s="137">
        <f>O241</f>
        <v/>
      </c>
      <c r="AE241" s="122">
        <f>S241</f>
        <v/>
      </c>
      <c r="AF241" s="122">
        <f>Q241&amp;"/"&amp;R241</f>
        <v/>
      </c>
      <c r="AH241" s="20">
        <f>IF(A241="","",A241)</f>
        <v/>
      </c>
      <c r="AI241" s="133">
        <f>IF(E241="","",E241)</f>
        <v/>
      </c>
      <c r="AJ241" s="122">
        <f>IF(AI241="","",$AJ$2)</f>
        <v/>
      </c>
      <c r="AK241" s="122" t="inlineStr">
        <is>
          <t>A</t>
        </is>
      </c>
      <c r="AL241" s="122" t="inlineStr">
        <is>
          <t>A+</t>
        </is>
      </c>
      <c r="AM241" s="122" t="inlineStr">
        <is>
          <t>B+</t>
        </is>
      </c>
      <c r="AN241" s="122">
        <f>IF(AI241="","",$AN$2)</f>
        <v/>
      </c>
      <c r="AO241" s="122">
        <f>IF(N241="","",IF(N241&gt;=$AO$1/100,"O","X"))</f>
        <v/>
      </c>
      <c r="AP241" s="122">
        <f>IF(I241="","",IF(I241&lt;=$AP$1,"O","X"))</f>
        <v/>
      </c>
      <c r="AQ241" s="122">
        <f>IF(O241="","",IF(O241&lt;=$AQ$1,"O","X"))</f>
        <v/>
      </c>
      <c r="AR241" s="122">
        <f>IF(M241="","",IF(M241&lt;=$AR$1,"O","X"))</f>
        <v/>
      </c>
      <c r="AS241" s="122" t="inlineStr">
        <is>
          <t>X</t>
        </is>
      </c>
      <c r="AT241" s="122">
        <f>IF(OR(F241="",AI241=""),"",IF(AND((F241&lt;=85),(AI241&gt;=15)),"O","X"))</f>
        <v/>
      </c>
      <c r="AU241" s="122">
        <f>IF(C241="","",IF(C241&gt;=$AU$1,"O","X"))</f>
        <v/>
      </c>
      <c r="AV241" s="122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1" t="n">
        <v>780</v>
      </c>
      <c r="D242" s="132" t="n">
        <v>109.9</v>
      </c>
      <c r="E242" s="133" t="n">
        <v>33</v>
      </c>
      <c r="F242" s="132" t="n">
        <v>84.40000000000001</v>
      </c>
      <c r="G242" s="17" t="n">
        <v>26</v>
      </c>
      <c r="H242" s="134" t="n">
        <v>207</v>
      </c>
      <c r="I242" s="135" t="n">
        <v>43000</v>
      </c>
      <c r="J242" s="135" t="inlineStr">
        <is>
          <t>25</t>
        </is>
      </c>
      <c r="K242" s="135" t="n">
        <v>37000</v>
      </c>
      <c r="L242" s="135" t="inlineStr">
        <is>
          <t>14</t>
        </is>
      </c>
      <c r="M242" s="136">
        <f>I242-K242</f>
        <v/>
      </c>
      <c r="N242" s="4">
        <f>IF(ISERROR(K242/I242),"",K242/I242)</f>
        <v/>
      </c>
      <c r="O242" s="137">
        <f>I242/E242</f>
        <v/>
      </c>
      <c r="P242" s="137">
        <f>K242/E242</f>
        <v/>
      </c>
      <c r="Q242" s="122" t="n">
        <v>3</v>
      </c>
      <c r="R242" s="122" t="n">
        <v>2</v>
      </c>
      <c r="S242" s="122" t="inlineStr">
        <is>
          <t>계</t>
        </is>
      </c>
      <c r="T242" s="5" t="inlineStr">
        <is>
          <t>109B</t>
        </is>
      </c>
      <c r="U242" s="9" t="n"/>
      <c r="W242" s="132">
        <f>D242</f>
        <v/>
      </c>
      <c r="X242" s="133">
        <f>E242</f>
        <v/>
      </c>
      <c r="Y242" s="138">
        <f>H242</f>
        <v/>
      </c>
      <c r="Z242" s="136">
        <f>I242</f>
        <v/>
      </c>
      <c r="AA242" s="136">
        <f>K242</f>
        <v/>
      </c>
      <c r="AB242" s="136">
        <f>M242</f>
        <v/>
      </c>
      <c r="AC242" s="4">
        <f>N242</f>
        <v/>
      </c>
      <c r="AD242" s="137">
        <f>O242</f>
        <v/>
      </c>
      <c r="AE242" s="122">
        <f>S242</f>
        <v/>
      </c>
      <c r="AF242" s="122">
        <f>Q242&amp;"/"&amp;R242</f>
        <v/>
      </c>
      <c r="AH242" s="20">
        <f>IF(A242="","",A242)</f>
        <v/>
      </c>
      <c r="AI242" s="133">
        <f>IF(E242="","",E242)</f>
        <v/>
      </c>
      <c r="AJ242" s="122">
        <f>IF(AI242="","",$AJ$2)</f>
        <v/>
      </c>
      <c r="AK242" s="122" t="inlineStr">
        <is>
          <t>A</t>
        </is>
      </c>
      <c r="AL242" s="122" t="inlineStr">
        <is>
          <t>A+</t>
        </is>
      </c>
      <c r="AM242" s="122" t="inlineStr">
        <is>
          <t>B+</t>
        </is>
      </c>
      <c r="AN242" s="122">
        <f>IF(AI242="","",$AN$2)</f>
        <v/>
      </c>
      <c r="AO242" s="122">
        <f>IF(N242="","",IF(N242&gt;=$AO$1/100,"O","X"))</f>
        <v/>
      </c>
      <c r="AP242" s="122">
        <f>IF(I242="","",IF(I242&lt;=$AP$1,"O","X"))</f>
        <v/>
      </c>
      <c r="AQ242" s="122">
        <f>IF(O242="","",IF(O242&lt;=$AQ$1,"O","X"))</f>
        <v/>
      </c>
      <c r="AR242" s="122">
        <f>IF(M242="","",IF(M242&lt;=$AR$1,"O","X"))</f>
        <v/>
      </c>
      <c r="AS242" s="122" t="inlineStr">
        <is>
          <t>X</t>
        </is>
      </c>
      <c r="AT242" s="122">
        <f>IF(OR(F242="",AI242=""),"",IF(AND((F242&lt;=85),(AI242&gt;=15)),"O","X"))</f>
        <v/>
      </c>
      <c r="AU242" s="122">
        <f>IF(C242="","",IF(C242&gt;=$AU$1,"O","X"))</f>
        <v/>
      </c>
      <c r="AV242" s="122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1" t="n">
        <v>780</v>
      </c>
      <c r="D243" s="132" t="n">
        <v>109.2</v>
      </c>
      <c r="E243" s="133" t="n">
        <v>33</v>
      </c>
      <c r="F243" s="132" t="n">
        <v>84.5</v>
      </c>
      <c r="G243" s="17" t="n">
        <v>26</v>
      </c>
      <c r="H243" s="134" t="n">
        <v>159</v>
      </c>
      <c r="I243" s="135" t="n">
        <v>45500</v>
      </c>
      <c r="J243" s="135" t="inlineStr">
        <is>
          <t>7</t>
        </is>
      </c>
      <c r="K243" s="135" t="n">
        <v>34000</v>
      </c>
      <c r="L243" s="135" t="inlineStr">
        <is>
          <t>21</t>
        </is>
      </c>
      <c r="M243" s="136">
        <f>I243-K243</f>
        <v/>
      </c>
      <c r="N243" s="4">
        <f>IF(ISERROR(K243/I243),"",K243/I243)</f>
        <v/>
      </c>
      <c r="O243" s="137">
        <f>I243/E243</f>
        <v/>
      </c>
      <c r="P243" s="137">
        <f>K243/E243</f>
        <v/>
      </c>
      <c r="Q243" s="122" t="n">
        <v>3</v>
      </c>
      <c r="R243" s="122" t="n">
        <v>2</v>
      </c>
      <c r="S243" s="122" t="inlineStr">
        <is>
          <t>계</t>
        </is>
      </c>
      <c r="T243" s="5" t="inlineStr">
        <is>
          <t>109C</t>
        </is>
      </c>
      <c r="U243" s="9" t="n"/>
      <c r="W243" s="132">
        <f>D243</f>
        <v/>
      </c>
      <c r="X243" s="133">
        <f>E243</f>
        <v/>
      </c>
      <c r="Y243" s="138">
        <f>H243</f>
        <v/>
      </c>
      <c r="Z243" s="136">
        <f>I243</f>
        <v/>
      </c>
      <c r="AA243" s="136">
        <f>K243</f>
        <v/>
      </c>
      <c r="AB243" s="136">
        <f>M243</f>
        <v/>
      </c>
      <c r="AC243" s="4">
        <f>N243</f>
        <v/>
      </c>
      <c r="AD243" s="137">
        <f>O243</f>
        <v/>
      </c>
      <c r="AE243" s="122">
        <f>S243</f>
        <v/>
      </c>
      <c r="AF243" s="122">
        <f>Q243&amp;"/"&amp;R243</f>
        <v/>
      </c>
      <c r="AH243" s="20">
        <f>IF(A243="","",A243)</f>
        <v/>
      </c>
      <c r="AI243" s="133">
        <f>IF(E243="","",E243)</f>
        <v/>
      </c>
      <c r="AJ243" s="122">
        <f>IF(AI243="","",$AJ$2)</f>
        <v/>
      </c>
      <c r="AK243" s="122" t="inlineStr">
        <is>
          <t>A</t>
        </is>
      </c>
      <c r="AL243" s="122" t="inlineStr">
        <is>
          <t>A+</t>
        </is>
      </c>
      <c r="AM243" s="122" t="inlineStr">
        <is>
          <t>B+</t>
        </is>
      </c>
      <c r="AN243" s="122">
        <f>IF(AI243="","",$AN$2)</f>
        <v/>
      </c>
      <c r="AO243" s="122">
        <f>IF(N243="","",IF(N243&gt;=$AO$1/100,"O","X"))</f>
        <v/>
      </c>
      <c r="AP243" s="122">
        <f>IF(I243="","",IF(I243&lt;=$AP$1,"O","X"))</f>
        <v/>
      </c>
      <c r="AQ243" s="122">
        <f>IF(O243="","",IF(O243&lt;=$AQ$1,"O","X"))</f>
        <v/>
      </c>
      <c r="AR243" s="122">
        <f>IF(M243="","",IF(M243&lt;=$AR$1,"O","X"))</f>
        <v/>
      </c>
      <c r="AS243" s="122" t="inlineStr">
        <is>
          <t>X</t>
        </is>
      </c>
      <c r="AT243" s="122">
        <f>IF(OR(F243="",AI243=""),"",IF(AND((F243&lt;=85),(AI243&gt;=15)),"O","X"))</f>
        <v/>
      </c>
      <c r="AU243" s="122">
        <f>IF(C243="","",IF(C243&gt;=$AU$1,"O","X"))</f>
        <v/>
      </c>
      <c r="AV243" s="122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9" t="n"/>
      <c r="AY244" s="139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9" t="n"/>
      <c r="AY245" s="139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9" t="n"/>
      <c r="AY246" s="139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9" t="n"/>
      <c r="AY247" s="139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9" t="n"/>
      <c r="AY248" s="139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9" t="n"/>
      <c r="AY249" s="139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9" t="n"/>
      <c r="AY250" s="139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9" t="n"/>
      <c r="AY251" s="139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9" t="n"/>
      <c r="AY252" s="139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9" t="n"/>
      <c r="AY253" s="139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9" t="n"/>
      <c r="AY254" s="139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9" t="n"/>
      <c r="AY255" s="139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9" t="n"/>
      <c r="AY256" s="139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9" t="n"/>
      <c r="AY257" s="139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9" t="n"/>
      <c r="AY258" s="139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9" t="n"/>
      <c r="AY259" s="139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9" t="n"/>
      <c r="AY260" s="139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9" t="n"/>
      <c r="AY261" s="139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9" t="n"/>
      <c r="AY262" s="139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9" t="n"/>
      <c r="AY263" s="139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9" t="n"/>
      <c r="AY264" s="139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9" t="n"/>
      <c r="AY265" s="139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9" t="n"/>
      <c r="AY266" s="139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9" t="n"/>
      <c r="AY267" s="139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9" t="n"/>
      <c r="AY268" s="139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9" t="n"/>
      <c r="AY269" s="139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9" t="n"/>
      <c r="AY270" s="139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9" t="n"/>
      <c r="AY271" s="139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9" t="n"/>
      <c r="AY272" s="139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9" t="n"/>
      <c r="AY273" s="139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9" t="n"/>
      <c r="AY274" s="139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9" t="n"/>
      <c r="AY275" s="139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9" t="n"/>
      <c r="AY276" s="139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9" t="n"/>
      <c r="AY277" s="139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9" t="n"/>
      <c r="AY278" s="139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9" t="n"/>
      <c r="AY279" s="139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9" t="n"/>
      <c r="AY280" s="139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9" t="n"/>
      <c r="AY281" s="139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9" t="n"/>
      <c r="AY282" s="139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9" t="n"/>
      <c r="AY283" s="139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9" t="n"/>
      <c r="AY284" s="139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9" t="n"/>
      <c r="AY285" s="139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9" t="n"/>
      <c r="AY286" s="139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9" t="n"/>
      <c r="AY287" s="139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9" t="n"/>
      <c r="AY288" s="139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9" t="n"/>
      <c r="AY289" s="139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9" t="n"/>
      <c r="AY290" s="139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9" t="n"/>
      <c r="AY291" s="139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9" t="n"/>
      <c r="AY292" s="139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9" t="n"/>
      <c r="AY293" s="139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9" t="n"/>
      <c r="AY294" s="139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9" t="n"/>
      <c r="AY295" s="139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9" t="n"/>
      <c r="AY296" s="139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9" t="n"/>
      <c r="AY297" s="139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9" t="n"/>
      <c r="AY298" s="139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9" t="n"/>
      <c r="AY299" s="139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9" t="n"/>
      <c r="AY300" s="139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9" t="n"/>
      <c r="AY301" s="139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9" t="n"/>
      <c r="AY302" s="139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9" t="n"/>
      <c r="AY303" s="139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9" t="n"/>
      <c r="AY304" s="139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9" t="n"/>
      <c r="AY305" s="139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9" t="n"/>
      <c r="AY306" s="139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9" t="n"/>
      <c r="AY307" s="139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9" t="n"/>
      <c r="AY308" s="139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9" t="n"/>
      <c r="AY309" s="139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9" t="n"/>
      <c r="AY310" s="139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9" t="n"/>
      <c r="AY311" s="139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9" t="n"/>
      <c r="AY312" s="139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9" t="n"/>
      <c r="AY313" s="139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9" t="n"/>
      <c r="AY314" s="139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9" t="n"/>
      <c r="AY315" s="139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9" t="n"/>
      <c r="AY316" s="139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9" t="n"/>
      <c r="AY317" s="139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9" t="n"/>
      <c r="AY318" s="139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9" t="n"/>
      <c r="AY319" s="139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9" t="n"/>
      <c r="AY320" s="139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9" t="n"/>
      <c r="AY321" s="139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9" t="n"/>
      <c r="AY322" s="139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9" t="n"/>
      <c r="AY323" s="139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9" t="n"/>
      <c r="AY324" s="139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9" t="n"/>
      <c r="AY325" s="139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9" t="n"/>
      <c r="AY326" s="139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9" t="n"/>
      <c r="AY327" s="139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9" t="n"/>
      <c r="AY328" s="139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9" t="n"/>
      <c r="AY329" s="139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9" t="n"/>
      <c r="AY330" s="139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9" t="n"/>
      <c r="AY331" s="139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9" t="n"/>
      <c r="AY332" s="139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9" t="n"/>
      <c r="AY333" s="139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9" t="n"/>
      <c r="AY334" s="139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9" t="n"/>
      <c r="AY335" s="139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9" t="n"/>
      <c r="AY336" s="139" t="n"/>
      <c r="AZ336" s="139" t="n"/>
      <c r="BA336" s="122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9" t="n"/>
      <c r="AY337" s="139" t="n"/>
      <c r="AZ337" s="139" t="n"/>
      <c r="BA337" s="122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9" t="n"/>
      <c r="AY338" s="139" t="n"/>
      <c r="AZ338" s="139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9" t="n"/>
      <c r="AY339" s="139" t="n"/>
      <c r="AZ339" s="139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9" t="n"/>
      <c r="AY340" s="139" t="n"/>
      <c r="AZ340" s="139" t="n"/>
      <c r="BA340" s="122" t="n"/>
      <c r="BB340" s="122" t="inlineStr">
        <is>
          <t>10년 이하</t>
        </is>
      </c>
      <c r="BC340" s="122" t="inlineStr">
        <is>
          <t>10~20년</t>
        </is>
      </c>
      <c r="BD340" s="122" t="inlineStr">
        <is>
          <t>20~30년</t>
        </is>
      </c>
      <c r="BE340" s="122" t="inlineStr">
        <is>
          <t>30년 이상</t>
        </is>
      </c>
      <c r="BF340" s="122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9" t="n"/>
      <c r="AY341" s="139" t="n"/>
      <c r="BA341" s="122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9" t="n"/>
      <c r="AY342" s="139" t="n"/>
      <c r="BA342" s="73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9" t="n"/>
      <c r="AY343" s="139" t="n"/>
      <c r="BA343" s="122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9" t="n"/>
      <c r="AY344" s="139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9" t="n"/>
      <c r="AY345" s="139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9" t="n"/>
      <c r="AY346" s="139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9" t="n"/>
      <c r="AY347" s="139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9" t="n"/>
      <c r="AY348" s="139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9" t="n"/>
      <c r="AY349" s="139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9" t="n"/>
      <c r="AY350" s="139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9" t="n"/>
      <c r="AY351" s="139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9" t="n"/>
      <c r="AY352" s="139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9" t="n"/>
      <c r="AY353" s="139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9" t="n"/>
      <c r="AY354" s="139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9" t="n"/>
      <c r="AY355" s="139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9" t="n"/>
      <c r="AY356" s="139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9" t="n"/>
      <c r="AY357" s="139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9" t="n"/>
      <c r="AY358" s="139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9" t="n"/>
      <c r="AY359" s="139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9" t="n"/>
      <c r="AY360" s="139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9" t="n"/>
      <c r="AY361" s="139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9" t="n"/>
      <c r="AY362" s="139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9" t="n"/>
      <c r="AY363" s="139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9" t="n"/>
      <c r="AY364" s="139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9" t="n"/>
      <c r="AY365" s="139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9" t="n"/>
      <c r="AY366" s="139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9" t="n"/>
      <c r="AY367" s="139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9" t="n"/>
      <c r="AY368" s="139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9" t="n"/>
      <c r="AY369" s="139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9" t="n"/>
      <c r="AY370" s="139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9" t="n"/>
      <c r="AY371" s="139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9" t="n"/>
      <c r="AY372" s="139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9" t="n"/>
      <c r="AY373" s="139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9" t="n"/>
      <c r="AY374" s="139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9" t="n"/>
      <c r="AY375" s="139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9" t="n"/>
      <c r="AY376" s="139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9" t="n"/>
      <c r="AY377" s="139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9" t="n"/>
      <c r="AY378" s="139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9" t="n"/>
      <c r="AY379" s="139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9" t="n"/>
      <c r="AY380" s="139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9" t="n"/>
      <c r="AY381" s="139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9" t="n"/>
      <c r="AY382" s="139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9" t="n"/>
      <c r="AY383" s="139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9" t="n"/>
      <c r="AY384" s="139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9" t="n"/>
      <c r="AY385" s="139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9" t="n"/>
      <c r="AY386" s="139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9" t="n"/>
      <c r="AY387" s="139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9" t="n"/>
      <c r="AY388" s="139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9" t="n"/>
      <c r="AY389" s="139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9" t="n"/>
      <c r="AY390" s="139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9" t="n"/>
      <c r="AY391" s="139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9" t="n"/>
      <c r="AY392" s="139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9" t="n"/>
      <c r="AY393" s="139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9" t="n"/>
      <c r="AY394" s="139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9" t="n"/>
      <c r="AY395" s="139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9" t="n"/>
      <c r="AY396" s="139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9" t="n"/>
      <c r="AY397" s="139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9" t="n"/>
      <c r="AY398" s="139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9" t="n"/>
      <c r="AY399" s="139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9" t="n"/>
      <c r="AY400" s="139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9" t="n"/>
      <c r="AY401" s="139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9" t="n"/>
      <c r="AY402" s="139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9" t="n"/>
      <c r="AY403" s="139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9" t="n"/>
      <c r="AY404" s="139" t="n"/>
      <c r="AZ404" s="139" t="n"/>
      <c r="BA404" s="122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9" t="n"/>
      <c r="AY405" s="139" t="n"/>
      <c r="AZ405" s="139" t="n"/>
      <c r="BA405" s="122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9" t="n"/>
      <c r="AY406" s="139" t="n"/>
      <c r="AZ406" s="139" t="n"/>
      <c r="BA406" s="122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9" t="n"/>
      <c r="AY407" s="139" t="n"/>
      <c r="AZ407" s="139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9" t="n"/>
      <c r="AY408" s="139" t="n"/>
      <c r="AZ408" s="139" t="n"/>
      <c r="BA408" s="122" t="n"/>
      <c r="BB408" s="122" t="inlineStr">
        <is>
          <t>10년 이하</t>
        </is>
      </c>
      <c r="BC408" s="122" t="inlineStr">
        <is>
          <t>10~20년</t>
        </is>
      </c>
      <c r="BD408" s="122" t="inlineStr">
        <is>
          <t>20~30년</t>
        </is>
      </c>
      <c r="BE408" s="122" t="inlineStr">
        <is>
          <t>30년 이상</t>
        </is>
      </c>
      <c r="BF408" s="122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9" t="n"/>
      <c r="AY409" s="139" t="n"/>
      <c r="BA409" s="122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9" t="n"/>
      <c r="AY410" s="139" t="n"/>
      <c r="BA410" s="122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9" t="n"/>
      <c r="AY411" s="139" t="n"/>
      <c r="BA411" s="122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9" t="n"/>
      <c r="AY412" s="139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9" t="n"/>
      <c r="AY413" s="139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9" t="n"/>
      <c r="AY414" s="139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9" t="n"/>
      <c r="AY415" s="139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9" t="n"/>
      <c r="AY416" s="139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9" t="n"/>
      <c r="AY417" s="139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9" t="n"/>
      <c r="AY418" s="139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9" t="n"/>
      <c r="AY419" s="139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9" t="n"/>
      <c r="AY420" s="139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9" t="n"/>
      <c r="AY421" s="139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9" t="n"/>
      <c r="AY422" s="139" t="n"/>
      <c r="AZ422" s="139" t="n"/>
      <c r="BA422" s="122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9" t="n"/>
      <c r="AY423" s="139" t="n"/>
      <c r="AZ423" s="139" t="n"/>
      <c r="BA423" s="122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9" t="n"/>
      <c r="AY424" s="139" t="n"/>
      <c r="AZ424" s="139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9" t="n"/>
      <c r="AY425" s="139" t="n"/>
      <c r="AZ425" s="139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9" t="n"/>
      <c r="AY426" s="139" t="n"/>
      <c r="AZ426" s="139" t="n"/>
      <c r="BA426" s="122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9" t="n"/>
      <c r="AY427" s="139" t="n"/>
      <c r="BA427" s="122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9" t="n"/>
      <c r="AY428" s="139" t="n"/>
      <c r="BA428" s="73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9" t="n"/>
      <c r="AY429" s="139" t="n"/>
      <c r="BA429" s="122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9" t="n"/>
      <c r="AY430" s="139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9" t="n"/>
      <c r="AY431" s="139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9" t="n"/>
      <c r="AY432" s="139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9" t="n"/>
      <c r="AY433" s="139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9" t="n"/>
      <c r="AY434" s="139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9" t="n"/>
      <c r="AY435" s="139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9" t="n"/>
      <c r="AY436" s="139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9" t="n"/>
      <c r="AY437" s="139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9" t="n"/>
      <c r="AY438" s="139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9" t="n"/>
      <c r="AY439" s="139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9" t="n"/>
      <c r="AY440" s="139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9" t="n"/>
      <c r="AY441" s="139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9" t="n"/>
      <c r="AY442" s="139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9" t="n"/>
      <c r="AY443" s="139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9" t="n"/>
      <c r="AY444" s="139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9" t="n"/>
      <c r="AY445" s="139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9" t="n"/>
      <c r="AY446" s="139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9" t="n"/>
      <c r="AY447" s="139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9" t="n"/>
      <c r="AY448" s="139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9" t="n"/>
      <c r="AY449" s="139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9" t="n"/>
      <c r="AY450" s="139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9" t="n"/>
      <c r="AY451" s="139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9" t="n"/>
      <c r="AY452" s="139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9" t="n"/>
      <c r="AY453" s="139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9" t="n"/>
      <c r="AY454" s="139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9" t="n"/>
      <c r="AY455" s="139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9" t="n"/>
      <c r="AY456" s="139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9" t="n"/>
      <c r="AY457" s="139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9" t="n"/>
      <c r="AY458" s="139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9" t="n"/>
      <c r="AY459" s="139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9" t="n"/>
      <c r="AY460" s="139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9" t="n"/>
      <c r="AY461" s="139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9" t="n"/>
      <c r="AY462" s="139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9" t="n"/>
      <c r="AY463" s="139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9" t="n"/>
      <c r="AY464" s="139" t="n"/>
      <c r="AZ464" s="139" t="n"/>
      <c r="BA464" s="122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9" t="n"/>
      <c r="AY465" s="139" t="n"/>
      <c r="AZ465" s="139" t="n"/>
      <c r="BA465" s="122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9" t="n"/>
      <c r="AY466" s="139" t="n"/>
      <c r="AZ466" s="139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9" t="n"/>
      <c r="AY467" s="139" t="n"/>
      <c r="AZ467" s="139" t="n"/>
      <c r="BA467" s="122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9" t="n"/>
      <c r="AY468" s="139" t="n"/>
      <c r="AZ468" s="139" t="n"/>
      <c r="BA468" s="122" t="n"/>
      <c r="BB468" s="122" t="inlineStr">
        <is>
          <t>10년 이하</t>
        </is>
      </c>
      <c r="BC468" s="122" t="inlineStr">
        <is>
          <t>10~20년</t>
        </is>
      </c>
      <c r="BD468" s="122" t="inlineStr">
        <is>
          <t>20~30년</t>
        </is>
      </c>
      <c r="BE468" s="122" t="inlineStr">
        <is>
          <t>30년 이상</t>
        </is>
      </c>
      <c r="BF468" s="122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9" t="n"/>
      <c r="AY469" s="139" t="n"/>
      <c r="AZ469" s="139" t="n"/>
      <c r="BA469" s="122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9" t="n"/>
      <c r="AY470" s="139" t="n"/>
      <c r="BA470" s="122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9" t="n"/>
      <c r="AY471" s="139" t="n"/>
      <c r="BA471" s="73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9" t="n"/>
      <c r="AY472" s="139" t="n"/>
      <c r="BA472" s="122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9" t="n"/>
      <c r="AY473" s="139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9" t="n"/>
      <c r="AY474" s="139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9" t="n"/>
      <c r="AY475" s="139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9" t="n"/>
      <c r="AY476" s="139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9" t="n"/>
      <c r="AY477" s="139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9" t="n"/>
      <c r="AY478" s="139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9" t="n"/>
      <c r="AY479" s="139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9" t="n"/>
      <c r="AY480" s="139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9" t="n"/>
      <c r="AY481" s="139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9" t="n"/>
      <c r="AY482" s="139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9" t="n"/>
      <c r="AY483" s="139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9" t="n"/>
      <c r="AY484" s="139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9" t="n"/>
      <c r="AY485" s="139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9" t="n"/>
      <c r="AY486" s="139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9" t="n"/>
      <c r="AY487" s="139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9" t="n"/>
      <c r="AY488" s="139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9" t="n"/>
      <c r="AY489" s="139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9" t="n"/>
      <c r="AY490" s="139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9" t="n"/>
      <c r="AY491" s="139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9" t="n"/>
      <c r="AY492" s="139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9" t="n"/>
      <c r="AY493" s="139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9" t="n"/>
      <c r="AY494" s="139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9" t="n"/>
      <c r="AY495" s="139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9" t="n"/>
      <c r="AY496" s="139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9" t="n"/>
      <c r="AY497" s="139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9" t="n"/>
      <c r="AY498" s="139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9" t="n"/>
      <c r="AY499" s="139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9" t="n"/>
      <c r="AY500" s="139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9" t="n"/>
      <c r="AY501" s="139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9" t="n"/>
      <c r="AY502" s="139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9" t="n"/>
      <c r="AY503" s="139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9" t="n"/>
      <c r="AY504" s="139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9" t="n"/>
      <c r="AY505" s="139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9" t="n"/>
      <c r="AY506" s="139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9" t="n"/>
      <c r="AY507" s="139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9" t="n"/>
      <c r="AY508" s="139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9" t="n"/>
      <c r="AY509" s="139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9" t="n"/>
      <c r="AY510" s="139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9" t="n"/>
      <c r="AY511" s="139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9" t="n"/>
      <c r="AY512" s="139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9" t="n"/>
      <c r="AY513" s="139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9" t="n"/>
      <c r="AY514" s="139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9" t="n"/>
      <c r="AY515" s="139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9" t="n"/>
      <c r="AY516" s="139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9" t="n"/>
      <c r="AY517" s="139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9" t="n"/>
      <c r="AY518" s="139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9" t="n"/>
      <c r="AY519" s="139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9" t="n"/>
      <c r="AY520" s="139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9" t="n"/>
      <c r="AY521" s="139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9" t="n"/>
      <c r="AY522" s="139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9" t="n"/>
      <c r="AY523" s="139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9" t="n"/>
      <c r="AY524" s="139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9" t="n"/>
      <c r="AY525" s="139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9" t="n"/>
      <c r="AY526" s="139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9" t="n"/>
      <c r="AY527" s="139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9" t="n"/>
      <c r="AY528" s="139" t="n"/>
      <c r="AZ528" s="139" t="n"/>
      <c r="BA528" s="122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9" t="n"/>
      <c r="AY529" s="139" t="n"/>
      <c r="AZ529" s="139" t="n"/>
      <c r="BA529" s="122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9" t="n"/>
      <c r="AY530" s="139" t="n"/>
      <c r="AZ530" s="139" t="n"/>
      <c r="BA530" s="122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9" t="n"/>
      <c r="AY531" s="139" t="n"/>
      <c r="AZ531" s="139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9" t="n"/>
      <c r="AY532" s="139" t="n"/>
      <c r="AZ532" s="139" t="n"/>
      <c r="BA532" s="122" t="n"/>
      <c r="BB532" s="122" t="inlineStr">
        <is>
          <t>10년 이하</t>
        </is>
      </c>
      <c r="BC532" s="122" t="inlineStr">
        <is>
          <t>10~20년</t>
        </is>
      </c>
      <c r="BD532" s="122" t="inlineStr">
        <is>
          <t>20~30년</t>
        </is>
      </c>
      <c r="BE532" s="122" t="inlineStr">
        <is>
          <t>30년 이상</t>
        </is>
      </c>
      <c r="BF532" s="122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9" t="n"/>
      <c r="AY533" s="139" t="n"/>
      <c r="BA533" s="122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9" t="n"/>
      <c r="AY534" s="139" t="n"/>
      <c r="BA534" s="122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9" t="n"/>
      <c r="AY535" s="139" t="n"/>
      <c r="BA535" s="122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9" t="n"/>
      <c r="AY536" s="139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9" t="n"/>
      <c r="AY537" s="139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9" t="n"/>
      <c r="AY538" s="139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4968" operator="lessThan" dxfId="2">
      <formula>15.1</formula>
    </cfRule>
    <cfRule type="cellIs" priority="104969" operator="lessThan" dxfId="9230">
      <formula>18.1</formula>
    </cfRule>
    <cfRule type="cellIs" priority="104970" operator="lessThan" dxfId="9229">
      <formula>21.1</formula>
    </cfRule>
    <cfRule type="cellIs" priority="104971" operator="lessThan" dxfId="9228">
      <formula>24.1</formula>
    </cfRule>
    <cfRule type="cellIs" priority="104972" operator="lessThan" dxfId="1">
      <formula>30</formula>
    </cfRule>
    <cfRule type="cellIs" priority="104973" operator="lessThan" dxfId="9226">
      <formula>34.1</formula>
    </cfRule>
  </conditionalFormatting>
  <conditionalFormatting sqref="Z3">
    <cfRule type="colorScale" priority="10496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4965" operator="greaterThan" dxfId="17">
      <formula>0.9</formula>
    </cfRule>
    <cfRule type="cellIs" priority="104966" operator="greaterThan" dxfId="16">
      <formula>0.85</formula>
    </cfRule>
  </conditionalFormatting>
  <conditionalFormatting sqref="N2">
    <cfRule type="cellIs" priority="104963" operator="greaterThan" dxfId="17">
      <formula>0.9</formula>
    </cfRule>
    <cfRule type="cellIs" priority="104964" operator="greaterThan" dxfId="16">
      <formula>0.85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Z56" sqref="Z56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O</t>
        </is>
      </c>
      <c r="M1" s="0" t="n"/>
      <c r="N1" s="116" t="inlineStr">
        <is>
          <t>추출기준세대수</t>
        </is>
      </c>
      <c r="O1" s="115" t="n"/>
      <c r="P1" s="126" t="n">
        <v>30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</row>
    <row r="4" ht="12" customFormat="1" customHeight="1" s="37">
      <c r="A4" s="75" t="inlineStr">
        <is>
          <t>내덕동 청주힐즈파크푸르지오</t>
        </is>
      </c>
      <c r="B4" s="76" t="inlineStr">
        <is>
          <t>20.11.</t>
        </is>
      </c>
      <c r="C4" s="131" t="n">
        <v>777</v>
      </c>
      <c r="D4" s="132" t="n">
        <v>132</v>
      </c>
      <c r="E4" s="133" t="n">
        <v>40</v>
      </c>
      <c r="F4" s="132" t="n">
        <v>101.9</v>
      </c>
      <c r="G4" s="17" t="n">
        <v>31</v>
      </c>
      <c r="H4" s="134" t="n">
        <v>46</v>
      </c>
      <c r="I4" s="135" t="n">
        <v>65000</v>
      </c>
      <c r="J4" s="135" t="inlineStr">
        <is>
          <t>중</t>
        </is>
      </c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4</v>
      </c>
      <c r="R4" s="122" t="n">
        <v>2</v>
      </c>
      <c r="S4" s="122" t="inlineStr">
        <is>
          <t>계</t>
        </is>
      </c>
      <c r="T4" s="5" t="n">
        <v>132</v>
      </c>
      <c r="U4" s="9" t="n"/>
    </row>
    <row r="5" ht="12" customFormat="1" customHeight="1" s="37">
      <c r="A5" s="75" t="inlineStr">
        <is>
          <t>주성동 대원칸타빌3차</t>
        </is>
      </c>
      <c r="B5" s="76" t="inlineStr">
        <is>
          <t>15.03.</t>
        </is>
      </c>
      <c r="C5" s="131" t="n">
        <v>789</v>
      </c>
      <c r="D5" s="132" t="n">
        <v>131.4</v>
      </c>
      <c r="E5" s="133" t="n">
        <v>40</v>
      </c>
      <c r="F5" s="132" t="n">
        <v>105.7</v>
      </c>
      <c r="G5" s="17" t="n">
        <v>32</v>
      </c>
      <c r="H5" s="134" t="n">
        <v>391</v>
      </c>
      <c r="I5" s="135" t="n">
        <v>60500</v>
      </c>
      <c r="J5" s="135" t="inlineStr">
        <is>
          <t>6</t>
        </is>
      </c>
      <c r="K5" s="135" t="n">
        <v>50000</v>
      </c>
      <c r="L5" s="135" t="inlineStr">
        <is>
          <t>23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3</v>
      </c>
      <c r="R5" s="122" t="n">
        <v>2</v>
      </c>
      <c r="S5" s="122" t="inlineStr">
        <is>
          <t>계</t>
        </is>
      </c>
      <c r="T5" s="5" t="n">
        <v>131</v>
      </c>
      <c r="U5" s="9" t="n"/>
    </row>
    <row r="6" ht="12" customFormat="1" customHeight="1" s="37">
      <c r="A6" s="75" t="inlineStr">
        <is>
          <t>사천동 남광하우스토리B단지</t>
        </is>
      </c>
      <c r="B6" s="76" t="inlineStr">
        <is>
          <t>11.01.</t>
        </is>
      </c>
      <c r="C6" s="131" t="n">
        <v>478</v>
      </c>
      <c r="D6" s="132" t="n">
        <v>193.7</v>
      </c>
      <c r="E6" s="133" t="n">
        <v>59</v>
      </c>
      <c r="F6" s="132" t="n">
        <v>157.4</v>
      </c>
      <c r="G6" s="17" t="n">
        <v>48</v>
      </c>
      <c r="H6" s="134" t="n">
        <v>72</v>
      </c>
      <c r="I6" s="135" t="n">
        <v>60000</v>
      </c>
      <c r="J6" s="135" t="inlineStr">
        <is>
          <t>18</t>
        </is>
      </c>
      <c r="K6" s="135" t="n">
        <v>43000</v>
      </c>
      <c r="L6" s="135" t="inlineStr">
        <is>
          <t>고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4</v>
      </c>
      <c r="R6" s="122" t="n">
        <v>2</v>
      </c>
      <c r="S6" s="122" t="inlineStr">
        <is>
          <t>계</t>
        </is>
      </c>
      <c r="T6" s="5" t="n">
        <v>193</v>
      </c>
      <c r="U6" s="9" t="n"/>
    </row>
    <row r="7" ht="12" customFormat="1" customHeight="1" s="37">
      <c r="A7" s="75" t="inlineStr">
        <is>
          <t>오창읍 중앙하이츠빌</t>
        </is>
      </c>
      <c r="B7" s="76" t="inlineStr">
        <is>
          <t>06.05.</t>
        </is>
      </c>
      <c r="C7" s="131" t="n">
        <v>1338</v>
      </c>
      <c r="D7" s="132" t="n">
        <v>186.1</v>
      </c>
      <c r="E7" s="133" t="n">
        <v>56</v>
      </c>
      <c r="F7" s="132" t="n">
        <v>147.8</v>
      </c>
      <c r="G7" s="17" t="n">
        <v>45</v>
      </c>
      <c r="H7" s="134" t="n">
        <v>72</v>
      </c>
      <c r="I7" s="135" t="n">
        <v>60000</v>
      </c>
      <c r="J7" s="135" t="inlineStr">
        <is>
          <t>17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4</v>
      </c>
      <c r="R7" s="122" t="n">
        <v>2</v>
      </c>
      <c r="S7" s="122" t="inlineStr">
        <is>
          <t>계</t>
        </is>
      </c>
      <c r="T7" s="5" t="n">
        <v>186</v>
      </c>
      <c r="U7" s="9" t="n"/>
    </row>
    <row r="8" ht="12" customFormat="1" customHeight="1" s="37">
      <c r="A8" s="75" t="inlineStr">
        <is>
          <t>내덕동 청주힐즈파크푸르지오</t>
        </is>
      </c>
      <c r="B8" s="76" t="inlineStr">
        <is>
          <t>20.11.</t>
        </is>
      </c>
      <c r="C8" s="131" t="n">
        <v>777</v>
      </c>
      <c r="D8" s="132" t="n">
        <v>110.4</v>
      </c>
      <c r="E8" s="133" t="n">
        <v>33</v>
      </c>
      <c r="F8" s="132" t="n">
        <v>85</v>
      </c>
      <c r="G8" s="17" t="n">
        <v>26</v>
      </c>
      <c r="H8" s="134" t="n">
        <v>304</v>
      </c>
      <c r="I8" s="135" t="n">
        <v>54000</v>
      </c>
      <c r="J8" s="135" t="inlineStr">
        <is>
          <t>고</t>
        </is>
      </c>
      <c r="K8" s="135" t="n">
        <v>40000</v>
      </c>
      <c r="L8" s="135" t="inlineStr">
        <is>
          <t>16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110A</t>
        </is>
      </c>
      <c r="U8" s="9" t="n"/>
    </row>
    <row r="9" ht="12" customFormat="1" customHeight="1" s="37">
      <c r="A9" s="75" t="inlineStr">
        <is>
          <t>오창읍 우림필유2차</t>
        </is>
      </c>
      <c r="B9" s="76" t="inlineStr">
        <is>
          <t>06.11.</t>
        </is>
      </c>
      <c r="C9" s="131" t="n">
        <v>1602</v>
      </c>
      <c r="D9" s="132" t="n">
        <v>202.1</v>
      </c>
      <c r="E9" s="133" t="n">
        <v>61</v>
      </c>
      <c r="F9" s="132" t="n">
        <v>166.8</v>
      </c>
      <c r="G9" s="17" t="n">
        <v>50</v>
      </c>
      <c r="H9" s="134" t="n">
        <v>72</v>
      </c>
      <c r="I9" s="135" t="n">
        <v>53000</v>
      </c>
      <c r="J9" s="135" t="inlineStr">
        <is>
          <t>13</t>
        </is>
      </c>
      <c r="K9" s="135" t="n">
        <v>40000</v>
      </c>
      <c r="L9" s="135" t="inlineStr">
        <is>
          <t>18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4</v>
      </c>
      <c r="R9" s="122" t="n">
        <v>2</v>
      </c>
      <c r="S9" s="122" t="inlineStr">
        <is>
          <t>계</t>
        </is>
      </c>
      <c r="T9" s="5" t="n">
        <v>202</v>
      </c>
      <c r="U9" s="9" t="n"/>
    </row>
    <row r="10" ht="12" customFormat="1" customHeight="1" s="37">
      <c r="A10" s="75" t="inlineStr">
        <is>
          <t>오창읍 한라비발디</t>
        </is>
      </c>
      <c r="B10" s="76" t="inlineStr">
        <is>
          <t>06.05.</t>
        </is>
      </c>
      <c r="C10" s="131" t="n">
        <v>1529</v>
      </c>
      <c r="D10" s="132" t="n">
        <v>189.3</v>
      </c>
      <c r="E10" s="133" t="n">
        <v>57</v>
      </c>
      <c r="F10" s="132" t="n">
        <v>161.9</v>
      </c>
      <c r="G10" s="17" t="n">
        <v>49</v>
      </c>
      <c r="H10" s="134" t="n">
        <v>34</v>
      </c>
      <c r="I10" s="135" t="n">
        <v>53000</v>
      </c>
      <c r="J10" s="135" t="inlineStr">
        <is>
          <t>고</t>
        </is>
      </c>
      <c r="K10" s="135" t="n">
        <v>40000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4</v>
      </c>
      <c r="R10" s="122" t="n">
        <v>2</v>
      </c>
      <c r="S10" s="122" t="inlineStr">
        <is>
          <t>계</t>
        </is>
      </c>
      <c r="T10" s="5" t="n">
        <v>189</v>
      </c>
      <c r="U10" s="9" t="n"/>
    </row>
    <row r="11" ht="12" customFormat="1" customHeight="1" s="37">
      <c r="A11" s="75" t="inlineStr">
        <is>
          <t>내덕동 청주힐즈파크푸르지오</t>
        </is>
      </c>
      <c r="B11" s="76" t="inlineStr">
        <is>
          <t>20.11.</t>
        </is>
      </c>
      <c r="C11" s="131" t="n">
        <v>777</v>
      </c>
      <c r="D11" s="132" t="n">
        <v>99.7</v>
      </c>
      <c r="E11" s="133" t="n">
        <v>30</v>
      </c>
      <c r="F11" s="132" t="n">
        <v>76</v>
      </c>
      <c r="G11" s="17" t="n">
        <v>23</v>
      </c>
      <c r="H11" s="134" t="n">
        <v>98</v>
      </c>
      <c r="I11" s="135" t="n">
        <v>52000</v>
      </c>
      <c r="J11" s="135" t="inlineStr">
        <is>
          <t>23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99B</t>
        </is>
      </c>
      <c r="U11" s="9" t="n"/>
    </row>
    <row r="12" ht="12" customFormat="1" customHeight="1" s="37">
      <c r="A12" s="75" t="inlineStr">
        <is>
          <t>사천동 남광하우스토리A단지</t>
        </is>
      </c>
      <c r="B12" s="76" t="inlineStr">
        <is>
          <t>11.01.</t>
        </is>
      </c>
      <c r="C12" s="131" t="n">
        <v>333</v>
      </c>
      <c r="D12" s="132" t="n">
        <v>193.3</v>
      </c>
      <c r="E12" s="133" t="n">
        <v>58</v>
      </c>
      <c r="F12" s="132" t="n">
        <v>157.4</v>
      </c>
      <c r="G12" s="17" t="n">
        <v>48</v>
      </c>
      <c r="H12" s="134" t="n">
        <v>70</v>
      </c>
      <c r="I12" s="135" t="n">
        <v>52000</v>
      </c>
      <c r="J12" s="135" t="inlineStr">
        <is>
          <t>6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3</v>
      </c>
      <c r="S12" s="122" t="inlineStr">
        <is>
          <t>계</t>
        </is>
      </c>
      <c r="T12" s="5" t="n">
        <v>193</v>
      </c>
      <c r="U12" s="9" t="n"/>
    </row>
    <row r="13" ht="12" customFormat="1" customHeight="1" s="37">
      <c r="A13" s="75" t="inlineStr">
        <is>
          <t>주성동 대원칸타빌3차</t>
        </is>
      </c>
      <c r="B13" s="76" t="inlineStr">
        <is>
          <t>15.03.</t>
        </is>
      </c>
      <c r="C13" s="131" t="n">
        <v>789</v>
      </c>
      <c r="D13" s="132" t="n">
        <v>109.9</v>
      </c>
      <c r="E13" s="133" t="n">
        <v>33</v>
      </c>
      <c r="F13" s="132" t="n">
        <v>84.8</v>
      </c>
      <c r="G13" s="17" t="n">
        <v>26</v>
      </c>
      <c r="H13" s="134" t="n">
        <v>168</v>
      </c>
      <c r="I13" s="135" t="n">
        <v>49000</v>
      </c>
      <c r="J13" s="135" t="inlineStr">
        <is>
          <t>19</t>
        </is>
      </c>
      <c r="K13" s="135" t="n">
        <v>37000</v>
      </c>
      <c r="L13" s="135" t="inlineStr">
        <is>
          <t>7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inlineStr">
        <is>
          <t>109A</t>
        </is>
      </c>
      <c r="U13" s="9" t="n"/>
    </row>
    <row r="14" ht="12" customFormat="1" customHeight="1" s="37">
      <c r="A14" s="75" t="inlineStr">
        <is>
          <t>율량동 율량7단지선광로즈웰1차</t>
        </is>
      </c>
      <c r="B14" s="76" t="inlineStr">
        <is>
          <t>14.05.</t>
        </is>
      </c>
      <c r="C14" s="131" t="n">
        <v>321</v>
      </c>
      <c r="D14" s="132" t="n">
        <v>129.5</v>
      </c>
      <c r="E14" s="133" t="n">
        <v>39</v>
      </c>
      <c r="F14" s="132" t="n">
        <v>103.7</v>
      </c>
      <c r="G14" s="17" t="n">
        <v>31</v>
      </c>
      <c r="H14" s="134" t="n">
        <v>321</v>
      </c>
      <c r="I14" s="135" t="n">
        <v>48000</v>
      </c>
      <c r="J14" s="135" t="inlineStr">
        <is>
          <t>8</t>
        </is>
      </c>
      <c r="K14" s="135" t="n">
        <v>43000</v>
      </c>
      <c r="L14" s="135" t="inlineStr">
        <is>
          <t>13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4</v>
      </c>
      <c r="R14" s="122" t="n">
        <v>2</v>
      </c>
      <c r="S14" s="122" t="inlineStr">
        <is>
          <t>계</t>
        </is>
      </c>
      <c r="T14" s="5" t="n">
        <v>129</v>
      </c>
      <c r="U14" s="9" t="n"/>
    </row>
    <row r="15" ht="12" customFormat="1" customHeight="1" s="37">
      <c r="A15" s="75" t="inlineStr">
        <is>
          <t>오창읍 우림필유2차</t>
        </is>
      </c>
      <c r="B15" s="76" t="inlineStr">
        <is>
          <t>06.11.</t>
        </is>
      </c>
      <c r="C15" s="131" t="n">
        <v>1602</v>
      </c>
      <c r="D15" s="132" t="n">
        <v>156.1</v>
      </c>
      <c r="E15" s="133" t="n">
        <v>47</v>
      </c>
      <c r="F15" s="132" t="n">
        <v>122.6</v>
      </c>
      <c r="G15" s="17" t="n">
        <v>37</v>
      </c>
      <c r="H15" s="134" t="n">
        <v>280</v>
      </c>
      <c r="I15" s="135" t="n">
        <v>47000</v>
      </c>
      <c r="J15" s="135" t="inlineStr">
        <is>
          <t>14</t>
        </is>
      </c>
      <c r="K15" s="135" t="n">
        <v>38000</v>
      </c>
      <c r="L15" s="135" t="inlineStr">
        <is>
          <t>13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4</v>
      </c>
      <c r="R15" s="122" t="n">
        <v>2</v>
      </c>
      <c r="S15" s="122" t="inlineStr">
        <is>
          <t>계</t>
        </is>
      </c>
      <c r="T15" s="5" t="n">
        <v>156</v>
      </c>
      <c r="U15" s="9" t="n"/>
    </row>
    <row r="16" ht="12" customFormat="1" customHeight="1" s="37">
      <c r="A16" s="75" t="inlineStr">
        <is>
          <t>사천동 청주사천푸르지오</t>
        </is>
      </c>
      <c r="B16" s="76" t="inlineStr">
        <is>
          <t>18.08.</t>
        </is>
      </c>
      <c r="C16" s="131" t="n">
        <v>729</v>
      </c>
      <c r="D16" s="132" t="n">
        <v>99</v>
      </c>
      <c r="E16" s="133" t="n">
        <v>30</v>
      </c>
      <c r="F16" s="132" t="n">
        <v>74.40000000000001</v>
      </c>
      <c r="G16" s="17" t="n">
        <v>23</v>
      </c>
      <c r="H16" s="134" t="n">
        <v>119</v>
      </c>
      <c r="I16" s="135" t="n">
        <v>46000</v>
      </c>
      <c r="J16" s="135" t="inlineStr">
        <is>
          <t>고</t>
        </is>
      </c>
      <c r="K16" s="135" t="n">
        <v>32000</v>
      </c>
      <c r="L16" s="135" t="inlineStr">
        <is>
          <t>11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n">
        <v>98</v>
      </c>
      <c r="U16" s="9" t="n"/>
    </row>
    <row r="17" ht="12" customFormat="1" customHeight="1" s="37">
      <c r="A17" s="75" t="inlineStr">
        <is>
          <t>오창읍 중앙하이츠빌</t>
        </is>
      </c>
      <c r="B17" s="76" t="inlineStr">
        <is>
          <t>06.05.</t>
        </is>
      </c>
      <c r="C17" s="131" t="n">
        <v>1338</v>
      </c>
      <c r="D17" s="132" t="n">
        <v>160.6</v>
      </c>
      <c r="E17" s="133" t="n">
        <v>49</v>
      </c>
      <c r="F17" s="132" t="n">
        <v>129.2</v>
      </c>
      <c r="G17" s="17" t="n">
        <v>39</v>
      </c>
      <c r="H17" s="134" t="n">
        <v>144</v>
      </c>
      <c r="I17" s="135" t="n">
        <v>46000</v>
      </c>
      <c r="J17" s="135" t="inlineStr">
        <is>
          <t>5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4</v>
      </c>
      <c r="R17" s="122" t="n">
        <v>2</v>
      </c>
      <c r="S17" s="122" t="inlineStr">
        <is>
          <t>계</t>
        </is>
      </c>
      <c r="T17" s="5" t="n">
        <v>160</v>
      </c>
      <c r="U17" s="9" t="n"/>
    </row>
    <row r="18" ht="12" customFormat="1" customHeight="1" s="37">
      <c r="A18" s="75" t="inlineStr">
        <is>
          <t>사천동 남광하우스토리A단지</t>
        </is>
      </c>
      <c r="B18" s="76" t="inlineStr">
        <is>
          <t>11.01.</t>
        </is>
      </c>
      <c r="C18" s="131" t="n">
        <v>333</v>
      </c>
      <c r="D18" s="132" t="n">
        <v>153.5</v>
      </c>
      <c r="E18" s="133" t="n">
        <v>46</v>
      </c>
      <c r="F18" s="132" t="n">
        <v>124.6</v>
      </c>
      <c r="G18" s="17" t="n">
        <v>38</v>
      </c>
      <c r="H18" s="134" t="n">
        <v>64</v>
      </c>
      <c r="I18" s="135" t="n">
        <v>45000</v>
      </c>
      <c r="J18" s="135" t="inlineStr">
        <is>
          <t>8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4</v>
      </c>
      <c r="R18" s="122" t="n">
        <v>2</v>
      </c>
      <c r="S18" s="122" t="inlineStr">
        <is>
          <t>계</t>
        </is>
      </c>
      <c r="T18" s="5" t="n">
        <v>153</v>
      </c>
      <c r="U18" s="9" t="n"/>
    </row>
    <row r="19" ht="12" customFormat="1" customHeight="1" s="37">
      <c r="A19" s="75" t="inlineStr">
        <is>
          <t>오창읍 오창롯데캐슬더하이스트</t>
        </is>
      </c>
      <c r="B19" s="76" t="inlineStr">
        <is>
          <t>18.08.</t>
        </is>
      </c>
      <c r="C19" s="131" t="n">
        <v>2500</v>
      </c>
      <c r="D19" s="132" t="n">
        <v>120</v>
      </c>
      <c r="E19" s="133" t="n">
        <v>36</v>
      </c>
      <c r="F19" s="132" t="n">
        <v>85</v>
      </c>
      <c r="G19" s="17" t="n">
        <v>26</v>
      </c>
      <c r="H19" s="134" t="n">
        <v>438</v>
      </c>
      <c r="I19" s="135" t="n">
        <v>45000</v>
      </c>
      <c r="J19" s="135" t="inlineStr">
        <is>
          <t>34</t>
        </is>
      </c>
      <c r="K19" s="135" t="n">
        <v>35000</v>
      </c>
      <c r="L19" s="135" t="inlineStr">
        <is>
          <t>13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120A</t>
        </is>
      </c>
      <c r="U19" s="9" t="n"/>
    </row>
    <row r="20" ht="12" customFormat="1" customHeight="1" s="37">
      <c r="A20" s="75" t="inlineStr">
        <is>
          <t>율량동 율량금호어울림센트로</t>
        </is>
      </c>
      <c r="B20" s="76" t="inlineStr">
        <is>
          <t>22.01.</t>
        </is>
      </c>
      <c r="C20" s="131" t="n">
        <v>748</v>
      </c>
      <c r="D20" s="132" t="n">
        <v>111.2</v>
      </c>
      <c r="E20" s="133" t="n">
        <v>34</v>
      </c>
      <c r="F20" s="132" t="n">
        <v>85</v>
      </c>
      <c r="G20" s="17" t="n">
        <v>26</v>
      </c>
      <c r="H20" s="134" t="n">
        <v>149</v>
      </c>
      <c r="I20" s="135" t="n">
        <v>45000</v>
      </c>
      <c r="J20" s="135" t="inlineStr">
        <is>
          <t>고</t>
        </is>
      </c>
      <c r="K20" s="135" t="n">
        <v>28000</v>
      </c>
      <c r="L20" s="135" t="inlineStr">
        <is>
          <t>23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inlineStr">
        <is>
          <t>111A</t>
        </is>
      </c>
      <c r="U20" s="9" t="n"/>
    </row>
    <row r="21" ht="12" customFormat="1" customHeight="1" s="37">
      <c r="A21" s="75" t="inlineStr">
        <is>
          <t>주성동 대원칸타빌1차</t>
        </is>
      </c>
      <c r="B21" s="76" t="inlineStr">
        <is>
          <t>13.03.</t>
        </is>
      </c>
      <c r="C21" s="131" t="n">
        <v>903</v>
      </c>
      <c r="D21" s="132" t="n">
        <v>108.8</v>
      </c>
      <c r="E21" s="133" t="n">
        <v>33</v>
      </c>
      <c r="F21" s="132" t="n">
        <v>84.8</v>
      </c>
      <c r="G21" s="17" t="n">
        <v>26</v>
      </c>
      <c r="H21" s="134" t="n">
        <v>475</v>
      </c>
      <c r="I21" s="135" t="n">
        <v>45000</v>
      </c>
      <c r="J21" s="135" t="inlineStr">
        <is>
          <t>14</t>
        </is>
      </c>
      <c r="K21" s="135" t="n">
        <v>30000</v>
      </c>
      <c r="L21" s="135" t="inlineStr">
        <is>
          <t>13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inlineStr">
        <is>
          <t>108A</t>
        </is>
      </c>
      <c r="U21" s="9" t="n"/>
    </row>
    <row r="22" ht="12" customFormat="1" customHeight="1" s="37">
      <c r="A22" s="75" t="inlineStr">
        <is>
          <t>주중동 대원칸타빌2차</t>
        </is>
      </c>
      <c r="B22" s="76" t="inlineStr">
        <is>
          <t>14.04.</t>
        </is>
      </c>
      <c r="C22" s="131" t="n">
        <v>780</v>
      </c>
      <c r="D22" s="132" t="n">
        <v>109.2</v>
      </c>
      <c r="E22" s="133" t="n">
        <v>33</v>
      </c>
      <c r="F22" s="132" t="n">
        <v>84.8</v>
      </c>
      <c r="G22" s="17" t="n">
        <v>26</v>
      </c>
      <c r="H22" s="134" t="n">
        <v>414</v>
      </c>
      <c r="I22" s="135" t="n">
        <v>44000</v>
      </c>
      <c r="J22" s="135" t="inlineStr">
        <is>
          <t>고</t>
        </is>
      </c>
      <c r="K22" s="135" t="n">
        <v>40000</v>
      </c>
      <c r="L22" s="135" t="inlineStr">
        <is>
          <t>23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5" t="inlineStr">
        <is>
          <t>내덕동 율량서희스타힐스</t>
        </is>
      </c>
      <c r="B23" s="76" t="inlineStr">
        <is>
          <t>16.06.</t>
        </is>
      </c>
      <c r="C23" s="131" t="n">
        <v>508</v>
      </c>
      <c r="D23" s="132" t="n">
        <v>110.1</v>
      </c>
      <c r="E23" s="133" t="n">
        <v>33</v>
      </c>
      <c r="F23" s="132" t="n">
        <v>84.90000000000001</v>
      </c>
      <c r="G23" s="17" t="n">
        <v>26</v>
      </c>
      <c r="H23" s="134" t="n">
        <v>154</v>
      </c>
      <c r="I23" s="135" t="n">
        <v>43000</v>
      </c>
      <c r="J23" s="135" t="inlineStr">
        <is>
          <t>23</t>
        </is>
      </c>
      <c r="K23" s="135" t="n">
        <v>35000</v>
      </c>
      <c r="L23" s="135" t="inlineStr">
        <is>
          <t>중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n">
        <v>110</v>
      </c>
      <c r="U23" s="9" t="n"/>
    </row>
    <row r="24" ht="12" customFormat="1" customHeight="1" s="37">
      <c r="A24" s="75" t="inlineStr">
        <is>
          <t>사천동 남광하우스토리B단지</t>
        </is>
      </c>
      <c r="B24" s="76" t="inlineStr">
        <is>
          <t>11.01.</t>
        </is>
      </c>
      <c r="C24" s="131" t="n">
        <v>478</v>
      </c>
      <c r="D24" s="132" t="n">
        <v>154.1</v>
      </c>
      <c r="E24" s="133" t="n">
        <v>47</v>
      </c>
      <c r="F24" s="132" t="n">
        <v>124.6</v>
      </c>
      <c r="G24" s="17" t="n">
        <v>38</v>
      </c>
      <c r="H24" s="134" t="n">
        <v>88</v>
      </c>
      <c r="I24" s="135" t="n">
        <v>43000</v>
      </c>
      <c r="J24" s="135" t="inlineStr">
        <is>
          <t>중</t>
        </is>
      </c>
      <c r="K24" s="135" t="n">
        <v>35000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4</v>
      </c>
      <c r="R24" s="122" t="n">
        <v>2</v>
      </c>
      <c r="S24" s="122" t="inlineStr">
        <is>
          <t>계</t>
        </is>
      </c>
      <c r="T24" s="5" t="n">
        <v>154</v>
      </c>
      <c r="U24" s="9" t="n"/>
    </row>
    <row r="25" ht="12" customFormat="1" customHeight="1" s="37">
      <c r="A25" s="75" t="inlineStr">
        <is>
          <t>율량동 대원칸타빌4차</t>
        </is>
      </c>
      <c r="B25" s="76" t="inlineStr">
        <is>
          <t>15.12.</t>
        </is>
      </c>
      <c r="C25" s="131" t="n">
        <v>614</v>
      </c>
      <c r="D25" s="132" t="n">
        <v>110.6</v>
      </c>
      <c r="E25" s="133" t="n">
        <v>33</v>
      </c>
      <c r="F25" s="132" t="n">
        <v>84.90000000000001</v>
      </c>
      <c r="G25" s="17" t="n">
        <v>26</v>
      </c>
      <c r="H25" s="134" t="n">
        <v>203</v>
      </c>
      <c r="I25" s="135" t="n">
        <v>43000</v>
      </c>
      <c r="J25" s="135" t="inlineStr">
        <is>
          <t>고</t>
        </is>
      </c>
      <c r="K25" s="135" t="n">
        <v>32000</v>
      </c>
      <c r="L25" s="135" t="inlineStr">
        <is>
          <t>고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2</v>
      </c>
      <c r="S25" s="122" t="inlineStr">
        <is>
          <t>계</t>
        </is>
      </c>
      <c r="T25" s="5" t="inlineStr">
        <is>
          <t>110A</t>
        </is>
      </c>
      <c r="U25" s="9" t="n"/>
    </row>
    <row r="26" ht="12" customFormat="1" customHeight="1" s="37">
      <c r="A26" s="75" t="inlineStr">
        <is>
          <t>오창읍 코아루</t>
        </is>
      </c>
      <c r="B26" s="76" t="inlineStr">
        <is>
          <t>06.06.</t>
        </is>
      </c>
      <c r="C26" s="131" t="n">
        <v>948</v>
      </c>
      <c r="D26" s="132" t="n">
        <v>156.7</v>
      </c>
      <c r="E26" s="133" t="n">
        <v>47</v>
      </c>
      <c r="F26" s="132" t="n">
        <v>127.9</v>
      </c>
      <c r="G26" s="17" t="n">
        <v>39</v>
      </c>
      <c r="H26" s="134" t="n">
        <v>142</v>
      </c>
      <c r="I26" s="135" t="n">
        <v>42000</v>
      </c>
      <c r="J26" s="135" t="inlineStr">
        <is>
          <t>6</t>
        </is>
      </c>
      <c r="K26" s="135" t="n">
        <v>38000</v>
      </c>
      <c r="L26" s="135" t="inlineStr">
        <is>
          <t>고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4</v>
      </c>
      <c r="R26" s="122" t="n">
        <v>2</v>
      </c>
      <c r="S26" s="122" t="inlineStr">
        <is>
          <t>계</t>
        </is>
      </c>
      <c r="T26" s="5" t="n">
        <v>156</v>
      </c>
      <c r="U26" s="9" t="n"/>
    </row>
    <row r="27" ht="12" customFormat="1" customHeight="1" s="37">
      <c r="A27" s="75" t="inlineStr">
        <is>
          <t>주성동 율량5단지선광로즈웰2차</t>
        </is>
      </c>
      <c r="B27" s="76" t="inlineStr">
        <is>
          <t>14.11.</t>
        </is>
      </c>
      <c r="C27" s="131" t="n">
        <v>417</v>
      </c>
      <c r="D27" s="132" t="n">
        <v>112.5</v>
      </c>
      <c r="E27" s="133" t="n">
        <v>34</v>
      </c>
      <c r="F27" s="132" t="n">
        <v>85</v>
      </c>
      <c r="G27" s="17" t="n">
        <v>26</v>
      </c>
      <c r="H27" s="134" t="n">
        <v>228</v>
      </c>
      <c r="I27" s="135" t="n">
        <v>42000</v>
      </c>
      <c r="J27" s="135" t="inlineStr">
        <is>
          <t>22</t>
        </is>
      </c>
      <c r="K27" s="135" t="n">
        <v>32000</v>
      </c>
      <c r="L27" s="135" t="inlineStr">
        <is>
          <t>중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inlineStr">
        <is>
          <t>112A</t>
        </is>
      </c>
      <c r="U27" s="9" t="n"/>
    </row>
    <row r="28" ht="12" customFormat="1" customHeight="1" s="37">
      <c r="A28" s="75" t="inlineStr">
        <is>
          <t>오창읍 우림필유1차</t>
        </is>
      </c>
      <c r="B28" s="76" t="inlineStr">
        <is>
          <t>06.05.</t>
        </is>
      </c>
      <c r="C28" s="131" t="n">
        <v>1120</v>
      </c>
      <c r="D28" s="132" t="n">
        <v>151</v>
      </c>
      <c r="E28" s="133" t="n">
        <v>46</v>
      </c>
      <c r="F28" s="132" t="n">
        <v>120.1</v>
      </c>
      <c r="G28" s="17" t="n">
        <v>36</v>
      </c>
      <c r="H28" s="134" t="n">
        <v>248</v>
      </c>
      <c r="I28" s="135" t="n">
        <v>41000</v>
      </c>
      <c r="J28" s="135" t="inlineStr">
        <is>
          <t>7</t>
        </is>
      </c>
      <c r="K28" s="135" t="n">
        <v>35000</v>
      </c>
      <c r="L28" s="135" t="inlineStr">
        <is>
          <t>15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4</v>
      </c>
      <c r="R28" s="122" t="n">
        <v>2</v>
      </c>
      <c r="S28" s="122" t="inlineStr">
        <is>
          <t>계</t>
        </is>
      </c>
      <c r="T28" s="5" t="n">
        <v>150</v>
      </c>
      <c r="U28" s="9" t="n"/>
    </row>
    <row r="29" ht="12" customFormat="1" customHeight="1" s="37">
      <c r="A29" s="75" t="inlineStr">
        <is>
          <t>오창읍 오창롯데캐슬더하이스트</t>
        </is>
      </c>
      <c r="B29" s="76" t="inlineStr">
        <is>
          <t>18.08.</t>
        </is>
      </c>
      <c r="C29" s="131" t="n">
        <v>2500</v>
      </c>
      <c r="D29" s="132" t="n">
        <v>100.7</v>
      </c>
      <c r="E29" s="133" t="n">
        <v>30</v>
      </c>
      <c r="F29" s="132" t="n">
        <v>71</v>
      </c>
      <c r="G29" s="17" t="n">
        <v>21</v>
      </c>
      <c r="H29" s="134" t="n">
        <v>226</v>
      </c>
      <c r="I29" s="135" t="n">
        <v>40000</v>
      </c>
      <c r="J29" s="135" t="inlineStr">
        <is>
          <t>25</t>
        </is>
      </c>
      <c r="K29" s="135" t="n">
        <v>32000</v>
      </c>
      <c r="L29" s="135" t="inlineStr">
        <is>
          <t>20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2</v>
      </c>
      <c r="S29" s="122" t="inlineStr">
        <is>
          <t>계</t>
        </is>
      </c>
      <c r="T29" s="5" t="inlineStr">
        <is>
          <t>100B</t>
        </is>
      </c>
      <c r="U29" s="9" t="n"/>
    </row>
    <row r="30" ht="12" customFormat="1" customHeight="1" s="37">
      <c r="A30" s="75" t="inlineStr">
        <is>
          <t>사천동 남광하우스토리B단지</t>
        </is>
      </c>
      <c r="B30" s="76" t="inlineStr">
        <is>
          <t>11.01.</t>
        </is>
      </c>
      <c r="C30" s="131" t="n">
        <v>478</v>
      </c>
      <c r="D30" s="132" t="n">
        <v>130</v>
      </c>
      <c r="E30" s="133" t="n">
        <v>39</v>
      </c>
      <c r="F30" s="132" t="n">
        <v>102.2</v>
      </c>
      <c r="G30" s="17" t="n">
        <v>31</v>
      </c>
      <c r="H30" s="134" t="n">
        <v>108</v>
      </c>
      <c r="I30" s="135" t="n">
        <v>39000</v>
      </c>
      <c r="J30" s="135" t="inlineStr">
        <is>
          <t>고</t>
        </is>
      </c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n">
        <v>130</v>
      </c>
      <c r="U30" s="9" t="n"/>
    </row>
    <row r="31" ht="12" customFormat="1" customHeight="1" s="37">
      <c r="A31" s="75" t="inlineStr">
        <is>
          <t>사천동 남광하우스토리A단지</t>
        </is>
      </c>
      <c r="B31" s="76" t="inlineStr">
        <is>
          <t>11.01.</t>
        </is>
      </c>
      <c r="C31" s="131" t="n">
        <v>333</v>
      </c>
      <c r="D31" s="132" t="n">
        <v>131.7</v>
      </c>
      <c r="E31" s="133" t="n">
        <v>40</v>
      </c>
      <c r="F31" s="132" t="n">
        <v>102.2</v>
      </c>
      <c r="G31" s="17" t="n">
        <v>31</v>
      </c>
      <c r="H31" s="134" t="n">
        <v>98</v>
      </c>
      <c r="I31" s="135" t="n">
        <v>38000</v>
      </c>
      <c r="J31" s="135" t="inlineStr">
        <is>
          <t>중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2</v>
      </c>
      <c r="S31" s="122" t="inlineStr">
        <is>
          <t>계</t>
        </is>
      </c>
      <c r="T31" s="5" t="n">
        <v>131</v>
      </c>
      <c r="U31" s="9" t="n"/>
    </row>
    <row r="32" ht="12" customFormat="1" customHeight="1" s="37">
      <c r="A32" s="75" t="inlineStr">
        <is>
          <t>오창읍 오창쌍용스윗닷홈예가</t>
        </is>
      </c>
      <c r="B32" s="76" t="inlineStr">
        <is>
          <t>06.05.</t>
        </is>
      </c>
      <c r="C32" s="131" t="n">
        <v>622</v>
      </c>
      <c r="D32" s="132" t="n">
        <v>151.7</v>
      </c>
      <c r="E32" s="133" t="n">
        <v>46</v>
      </c>
      <c r="F32" s="132" t="n">
        <v>121.5</v>
      </c>
      <c r="G32" s="17" t="n">
        <v>37</v>
      </c>
      <c r="H32" s="134" t="n">
        <v>180</v>
      </c>
      <c r="I32" s="135" t="n">
        <v>38000</v>
      </c>
      <c r="J32" s="135" t="inlineStr">
        <is>
          <t>15</t>
        </is>
      </c>
      <c r="K32" s="135" t="n">
        <v>33000</v>
      </c>
      <c r="L32" s="135" t="inlineStr">
        <is>
          <t>중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4</v>
      </c>
      <c r="R32" s="122" t="n">
        <v>2</v>
      </c>
      <c r="S32" s="122" t="inlineStr">
        <is>
          <t>계</t>
        </is>
      </c>
      <c r="T32" s="5" t="n">
        <v>151</v>
      </c>
      <c r="U32" s="9" t="n"/>
    </row>
    <row r="33" ht="12" customFormat="1" customHeight="1" s="37">
      <c r="A33" s="75" t="inlineStr">
        <is>
          <t>사천동 청주사천푸르지오</t>
        </is>
      </c>
      <c r="B33" s="76" t="inlineStr">
        <is>
          <t>18.08.</t>
        </is>
      </c>
      <c r="C33" s="131" t="n">
        <v>729</v>
      </c>
      <c r="D33" s="132" t="n">
        <v>84.8</v>
      </c>
      <c r="E33" s="133" t="n">
        <v>26</v>
      </c>
      <c r="F33" s="132" t="n">
        <v>60</v>
      </c>
      <c r="G33" s="17" t="n">
        <v>18</v>
      </c>
      <c r="H33" s="134" t="n">
        <v>204</v>
      </c>
      <c r="I33" s="135" t="n">
        <v>37000</v>
      </c>
      <c r="J33" s="135" t="inlineStr">
        <is>
          <t>5</t>
        </is>
      </c>
      <c r="K33" s="135" t="n">
        <v>28000</v>
      </c>
      <c r="L33" s="135" t="inlineStr">
        <is>
          <t>26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2</v>
      </c>
      <c r="S33" s="122" t="inlineStr">
        <is>
          <t>계</t>
        </is>
      </c>
      <c r="T33" s="5" t="n">
        <v>84</v>
      </c>
      <c r="U33" s="9" t="n"/>
    </row>
    <row r="34" ht="12" customFormat="1" customHeight="1" s="37">
      <c r="A34" s="75" t="inlineStr">
        <is>
          <t>오창읍 대원칸타빌(2블럭)</t>
        </is>
      </c>
      <c r="B34" s="76" t="inlineStr">
        <is>
          <t>17.02.</t>
        </is>
      </c>
      <c r="C34" s="131" t="n">
        <v>592</v>
      </c>
      <c r="D34" s="132" t="n">
        <v>111.5</v>
      </c>
      <c r="E34" s="133" t="n">
        <v>34</v>
      </c>
      <c r="F34" s="132" t="n">
        <v>85</v>
      </c>
      <c r="G34" s="17" t="n">
        <v>26</v>
      </c>
      <c r="H34" s="134" t="n">
        <v>408</v>
      </c>
      <c r="I34" s="135" t="n">
        <v>37000</v>
      </c>
      <c r="J34" s="135" t="inlineStr">
        <is>
          <t>고</t>
        </is>
      </c>
      <c r="K34" s="135" t="n">
        <v>28000</v>
      </c>
      <c r="L34" s="135" t="inlineStr">
        <is>
          <t>8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2</v>
      </c>
      <c r="S34" s="122" t="inlineStr">
        <is>
          <t>계</t>
        </is>
      </c>
      <c r="T34" s="5" t="inlineStr">
        <is>
          <t>111A</t>
        </is>
      </c>
      <c r="U34" s="9" t="n"/>
    </row>
    <row r="35" ht="12" customFormat="1" customHeight="1" s="37">
      <c r="A35" s="75" t="inlineStr">
        <is>
          <t>오창읍 오창모아미래도와이드시티</t>
        </is>
      </c>
      <c r="B35" s="76" t="inlineStr">
        <is>
          <t>16.01.</t>
        </is>
      </c>
      <c r="C35" s="131" t="n">
        <v>472</v>
      </c>
      <c r="D35" s="132" t="n">
        <v>110.5</v>
      </c>
      <c r="E35" s="133" t="n">
        <v>33</v>
      </c>
      <c r="F35" s="132" t="n">
        <v>85</v>
      </c>
      <c r="G35" s="17" t="n">
        <v>26</v>
      </c>
      <c r="H35" s="134" t="n">
        <v>401</v>
      </c>
      <c r="I35" s="135" t="n">
        <v>37000</v>
      </c>
      <c r="J35" s="135" t="inlineStr">
        <is>
          <t>9</t>
        </is>
      </c>
      <c r="K35" s="135" t="n">
        <v>29000</v>
      </c>
      <c r="L35" s="135" t="inlineStr">
        <is>
          <t>중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2</v>
      </c>
      <c r="S35" s="122" t="inlineStr">
        <is>
          <t>계</t>
        </is>
      </c>
      <c r="T35" s="5" t="n">
        <v>110</v>
      </c>
      <c r="U35" s="9" t="n"/>
    </row>
    <row r="36" ht="12" customFormat="1" customHeight="1" s="37">
      <c r="A36" s="75" t="inlineStr">
        <is>
          <t>오창읍 한라비발디</t>
        </is>
      </c>
      <c r="B36" s="76" t="inlineStr">
        <is>
          <t>06.05.</t>
        </is>
      </c>
      <c r="C36" s="131" t="n">
        <v>1529</v>
      </c>
      <c r="D36" s="132" t="n">
        <v>133</v>
      </c>
      <c r="E36" s="133" t="n">
        <v>40</v>
      </c>
      <c r="F36" s="132" t="n">
        <v>108.5</v>
      </c>
      <c r="G36" s="17" t="n">
        <v>33</v>
      </c>
      <c r="H36" s="134" t="n">
        <v>142</v>
      </c>
      <c r="I36" s="135" t="n">
        <v>37000</v>
      </c>
      <c r="J36" s="135" t="inlineStr">
        <is>
          <t>고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2</v>
      </c>
      <c r="S36" s="122" t="inlineStr">
        <is>
          <t>계</t>
        </is>
      </c>
      <c r="T36" s="5" t="n">
        <v>132</v>
      </c>
      <c r="U36" s="9" t="n"/>
    </row>
    <row r="37" ht="12" customFormat="1" customHeight="1" s="37">
      <c r="A37" s="75" t="inlineStr">
        <is>
          <t>내덕동 율량서희스타힐스</t>
        </is>
      </c>
      <c r="B37" s="76" t="inlineStr">
        <is>
          <t>16.06.</t>
        </is>
      </c>
      <c r="C37" s="131" t="n">
        <v>508</v>
      </c>
      <c r="D37" s="132" t="n">
        <v>100.5</v>
      </c>
      <c r="E37" s="133" t="n">
        <v>30</v>
      </c>
      <c r="F37" s="132" t="n">
        <v>77.5</v>
      </c>
      <c r="G37" s="17" t="n">
        <v>23</v>
      </c>
      <c r="H37" s="134" t="n">
        <v>200</v>
      </c>
      <c r="I37" s="135" t="n">
        <v>36000</v>
      </c>
      <c r="J37" s="135" t="inlineStr">
        <is>
          <t>고</t>
        </is>
      </c>
      <c r="K37" s="135" t="n">
        <v>28000</v>
      </c>
      <c r="L37" s="135" t="inlineStr">
        <is>
          <t>중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2</v>
      </c>
      <c r="S37" s="122" t="inlineStr">
        <is>
          <t>계</t>
        </is>
      </c>
      <c r="T37" s="5" t="n">
        <v>100</v>
      </c>
      <c r="U37" s="9" t="n"/>
    </row>
    <row r="38" ht="12" customFormat="1" customHeight="1" s="37">
      <c r="A38" s="75" t="inlineStr">
        <is>
          <t>오창읍 오창대성베르힐</t>
        </is>
      </c>
      <c r="B38" s="76" t="inlineStr">
        <is>
          <t>15.07.</t>
        </is>
      </c>
      <c r="C38" s="131" t="n">
        <v>587</v>
      </c>
      <c r="D38" s="132" t="n">
        <v>97.8</v>
      </c>
      <c r="E38" s="133" t="n">
        <v>30</v>
      </c>
      <c r="F38" s="132" t="n">
        <v>72.90000000000001</v>
      </c>
      <c r="G38" s="17" t="n">
        <v>22</v>
      </c>
      <c r="H38" s="134" t="n">
        <v>132</v>
      </c>
      <c r="I38" s="135" t="n">
        <v>36000</v>
      </c>
      <c r="J38" s="135" t="inlineStr">
        <is>
          <t>16</t>
        </is>
      </c>
      <c r="K38" s="135" t="n">
        <v>28000</v>
      </c>
      <c r="L38" s="135" t="inlineStr">
        <is>
          <t>11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n">
        <v>97</v>
      </c>
      <c r="U38" s="9" t="n"/>
    </row>
    <row r="39" ht="12" customFormat="1" customHeight="1" s="37">
      <c r="A39" s="75" t="inlineStr">
        <is>
          <t>오창읍 오창이안</t>
        </is>
      </c>
      <c r="B39" s="76" t="inlineStr">
        <is>
          <t>06.02.</t>
        </is>
      </c>
      <c r="C39" s="131" t="n">
        <v>818</v>
      </c>
      <c r="D39" s="132" t="n">
        <v>146.1</v>
      </c>
      <c r="E39" s="133" t="n">
        <v>44</v>
      </c>
      <c r="F39" s="132" t="n">
        <v>119.3</v>
      </c>
      <c r="G39" s="17" t="n">
        <v>36</v>
      </c>
      <c r="H39" s="134" t="n">
        <v>180</v>
      </c>
      <c r="I39" s="135" t="n">
        <v>36000</v>
      </c>
      <c r="J39" s="135" t="inlineStr">
        <is>
          <t>10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4</v>
      </c>
      <c r="R39" s="122" t="n">
        <v>2</v>
      </c>
      <c r="S39" s="122" t="inlineStr">
        <is>
          <t>계</t>
        </is>
      </c>
      <c r="T39" s="5" t="n">
        <v>146</v>
      </c>
      <c r="U39" s="9" t="n"/>
    </row>
    <row r="40" ht="12" customFormat="1" customHeight="1" s="37">
      <c r="A40" s="75" t="inlineStr">
        <is>
          <t>오창읍 중앙하이츠빌</t>
        </is>
      </c>
      <c r="B40" s="76" t="inlineStr">
        <is>
          <t>06.05.</t>
        </is>
      </c>
      <c r="C40" s="131" t="n">
        <v>1338</v>
      </c>
      <c r="D40" s="132" t="n">
        <v>130.6</v>
      </c>
      <c r="E40" s="133" t="n">
        <v>39</v>
      </c>
      <c r="F40" s="132" t="n">
        <v>102.2</v>
      </c>
      <c r="G40" s="17" t="n">
        <v>31</v>
      </c>
      <c r="H40" s="134" t="n">
        <v>142</v>
      </c>
      <c r="I40" s="135" t="n">
        <v>35800</v>
      </c>
      <c r="J40" s="135" t="inlineStr">
        <is>
          <t>16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2</v>
      </c>
      <c r="S40" s="122" t="inlineStr">
        <is>
          <t>계</t>
        </is>
      </c>
      <c r="T40" s="5" t="n">
        <v>130</v>
      </c>
      <c r="U40" s="9" t="n"/>
    </row>
    <row r="41" ht="12" customFormat="1" customHeight="1" s="37">
      <c r="A41" s="75" t="inlineStr">
        <is>
          <t>사천동 남광하우스토리A단지</t>
        </is>
      </c>
      <c r="B41" s="76" t="inlineStr">
        <is>
          <t>11.01.</t>
        </is>
      </c>
      <c r="C41" s="131" t="n">
        <v>333</v>
      </c>
      <c r="D41" s="132" t="n">
        <v>110.5</v>
      </c>
      <c r="E41" s="133" t="n">
        <v>33</v>
      </c>
      <c r="F41" s="132" t="n">
        <v>84.5</v>
      </c>
      <c r="G41" s="17" t="n">
        <v>26</v>
      </c>
      <c r="H41" s="134" t="n">
        <v>87</v>
      </c>
      <c r="I41" s="135" t="n">
        <v>35000</v>
      </c>
      <c r="J41" s="135" t="inlineStr">
        <is>
          <t>13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n">
        <v>110</v>
      </c>
      <c r="U41" s="9" t="n"/>
    </row>
    <row r="42" ht="12" customFormat="1" customHeight="1" s="37">
      <c r="A42" s="75" t="inlineStr">
        <is>
          <t>오창읍 오창모아미래도와이드시티</t>
        </is>
      </c>
      <c r="B42" s="76" t="inlineStr">
        <is>
          <t>16.01.</t>
        </is>
      </c>
      <c r="C42" s="131" t="n">
        <v>472</v>
      </c>
      <c r="D42" s="132" t="n">
        <v>99.09999999999999</v>
      </c>
      <c r="E42" s="133" t="n">
        <v>30</v>
      </c>
      <c r="F42" s="132" t="n">
        <v>74.8</v>
      </c>
      <c r="G42" s="17" t="n">
        <v>23</v>
      </c>
      <c r="H42" s="134" t="n">
        <v>71</v>
      </c>
      <c r="I42" s="135" t="n">
        <v>34000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3</v>
      </c>
      <c r="R42" s="122" t="n">
        <v>2</v>
      </c>
      <c r="S42" s="122" t="inlineStr">
        <is>
          <t>계</t>
        </is>
      </c>
      <c r="T42" s="5" t="n">
        <v>99</v>
      </c>
      <c r="U42" s="9" t="n"/>
    </row>
    <row r="43" ht="12" customFormat="1" customHeight="1" s="37">
      <c r="A43" s="75" t="inlineStr">
        <is>
          <t>오창읍 오창롯데캐슬더하이스트</t>
        </is>
      </c>
      <c r="B43" s="76" t="inlineStr">
        <is>
          <t>18.08.</t>
        </is>
      </c>
      <c r="C43" s="131" t="n">
        <v>2500</v>
      </c>
      <c r="D43" s="132" t="n">
        <v>85.59999999999999</v>
      </c>
      <c r="E43" s="133" t="n">
        <v>26</v>
      </c>
      <c r="F43" s="132" t="n">
        <v>60</v>
      </c>
      <c r="G43" s="17" t="n">
        <v>18</v>
      </c>
      <c r="H43" s="134" t="n">
        <v>483</v>
      </c>
      <c r="I43" s="135" t="n">
        <v>34000</v>
      </c>
      <c r="J43" s="135" t="inlineStr">
        <is>
          <t>5</t>
        </is>
      </c>
      <c r="K43" s="135" t="n">
        <v>24000</v>
      </c>
      <c r="L43" s="135" t="inlineStr">
        <is>
          <t>7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inlineStr">
        <is>
          <t>85A</t>
        </is>
      </c>
      <c r="U43" s="9" t="n"/>
    </row>
    <row r="44" ht="12" customFormat="1" customHeight="1" s="37">
      <c r="A44" s="75" t="inlineStr">
        <is>
          <t>율량동 현대</t>
        </is>
      </c>
      <c r="B44" s="76" t="inlineStr">
        <is>
          <t>92.10.</t>
        </is>
      </c>
      <c r="C44" s="131" t="n">
        <v>489</v>
      </c>
      <c r="D44" s="132" t="n">
        <v>154.8</v>
      </c>
      <c r="E44" s="133" t="n">
        <v>47</v>
      </c>
      <c r="F44" s="132" t="n">
        <v>133.8</v>
      </c>
      <c r="G44" s="17" t="n">
        <v>40</v>
      </c>
      <c r="H44" s="134" t="n">
        <v>85</v>
      </c>
      <c r="I44" s="135" t="n">
        <v>34000</v>
      </c>
      <c r="J44" s="135" t="inlineStr">
        <is>
          <t>5</t>
        </is>
      </c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4</v>
      </c>
      <c r="R44" s="122" t="n">
        <v>2</v>
      </c>
      <c r="S44" s="122" t="inlineStr">
        <is>
          <t>계</t>
        </is>
      </c>
      <c r="T44" s="5" t="n">
        <v>154</v>
      </c>
      <c r="U44" s="9" t="n"/>
    </row>
    <row r="45" ht="12" customFormat="1" customHeight="1" s="37">
      <c r="A45" s="75" t="inlineStr">
        <is>
          <t>율량동 제일풍경채</t>
        </is>
      </c>
      <c r="B45" s="76" t="inlineStr">
        <is>
          <t>16.07.</t>
        </is>
      </c>
      <c r="C45" s="131" t="n">
        <v>422</v>
      </c>
      <c r="D45" s="132" t="n">
        <v>94.3</v>
      </c>
      <c r="E45" s="133" t="n">
        <v>29</v>
      </c>
      <c r="F45" s="132" t="n">
        <v>71.40000000000001</v>
      </c>
      <c r="G45" s="17" t="n">
        <v>22</v>
      </c>
      <c r="H45" s="134" t="n">
        <v>49</v>
      </c>
      <c r="I45" s="135" t="n">
        <v>34000</v>
      </c>
      <c r="J45" s="135" t="inlineStr">
        <is>
          <t>중</t>
        </is>
      </c>
      <c r="K45" s="135" t="n">
        <v>29000</v>
      </c>
      <c r="L45" s="135" t="inlineStr">
        <is>
          <t>중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94B</t>
        </is>
      </c>
      <c r="U45" s="9" t="n"/>
    </row>
    <row r="46" ht="12" customFormat="1" customHeight="1" s="37">
      <c r="A46" s="75" t="inlineStr">
        <is>
          <t>오창읍 코아루</t>
        </is>
      </c>
      <c r="B46" s="76" t="inlineStr">
        <is>
          <t>06.06.</t>
        </is>
      </c>
      <c r="C46" s="131" t="n">
        <v>948</v>
      </c>
      <c r="D46" s="132" t="n">
        <v>116.4</v>
      </c>
      <c r="E46" s="133" t="n">
        <v>35</v>
      </c>
      <c r="F46" s="132" t="n">
        <v>85</v>
      </c>
      <c r="G46" s="17" t="n">
        <v>26</v>
      </c>
      <c r="H46" s="134" t="n">
        <v>314</v>
      </c>
      <c r="I46" s="135" t="n">
        <v>33500</v>
      </c>
      <c r="J46" s="135" t="inlineStr">
        <is>
          <t>중</t>
        </is>
      </c>
      <c r="K46" s="135" t="n">
        <v>28500</v>
      </c>
      <c r="L46" s="135" t="inlineStr">
        <is>
          <t>중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inlineStr">
        <is>
          <t>116A</t>
        </is>
      </c>
      <c r="U46" s="9" t="n"/>
    </row>
    <row r="47" ht="12" customFormat="1" customHeight="1" s="37">
      <c r="A47" s="75" t="inlineStr">
        <is>
          <t>사천동 남광하우스토리B단지</t>
        </is>
      </c>
      <c r="B47" s="76" t="inlineStr">
        <is>
          <t>11.01.</t>
        </is>
      </c>
      <c r="C47" s="131" t="n">
        <v>478</v>
      </c>
      <c r="D47" s="132" t="n">
        <v>112.8</v>
      </c>
      <c r="E47" s="133" t="n">
        <v>34</v>
      </c>
      <c r="F47" s="132" t="n">
        <v>84.5</v>
      </c>
      <c r="G47" s="17" t="n">
        <v>26</v>
      </c>
      <c r="H47" s="134" t="n">
        <v>155</v>
      </c>
      <c r="I47" s="135" t="n">
        <v>33000</v>
      </c>
      <c r="J47" s="135" t="inlineStr">
        <is>
          <t>5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2</v>
      </c>
      <c r="S47" s="122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5" t="inlineStr">
        <is>
          <t>오창읍 중앙하이츠빌</t>
        </is>
      </c>
      <c r="B48" s="76" t="inlineStr">
        <is>
          <t>06.05.</t>
        </is>
      </c>
      <c r="C48" s="131" t="n">
        <v>1338</v>
      </c>
      <c r="D48" s="132" t="n">
        <v>115.5</v>
      </c>
      <c r="E48" s="133" t="n">
        <v>35</v>
      </c>
      <c r="F48" s="132" t="n">
        <v>84.7</v>
      </c>
      <c r="G48" s="17" t="n">
        <v>26</v>
      </c>
      <c r="H48" s="134" t="n">
        <v>498</v>
      </c>
      <c r="I48" s="135" t="n">
        <v>33000</v>
      </c>
      <c r="J48" s="135" t="inlineStr">
        <is>
          <t>16</t>
        </is>
      </c>
      <c r="K48" s="135" t="n">
        <v>28000</v>
      </c>
      <c r="L48" s="135" t="inlineStr">
        <is>
          <t>12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inlineStr">
        <is>
          <t>115A</t>
        </is>
      </c>
      <c r="U48" s="9" t="n"/>
    </row>
    <row r="49" ht="12" customFormat="1" customHeight="1" s="37">
      <c r="A49" s="75" t="inlineStr">
        <is>
          <t>오창읍 우림필유2차</t>
        </is>
      </c>
      <c r="B49" s="76" t="inlineStr">
        <is>
          <t>06.11.</t>
        </is>
      </c>
      <c r="C49" s="131" t="n">
        <v>1602</v>
      </c>
      <c r="D49" s="132" t="n">
        <v>113.1</v>
      </c>
      <c r="E49" s="133" t="n">
        <v>34</v>
      </c>
      <c r="F49" s="132" t="n">
        <v>85</v>
      </c>
      <c r="G49" s="17" t="n">
        <v>26</v>
      </c>
      <c r="H49" s="134" t="n">
        <v>685</v>
      </c>
      <c r="I49" s="135" t="n">
        <v>32000</v>
      </c>
      <c r="J49" s="135" t="inlineStr">
        <is>
          <t>12</t>
        </is>
      </c>
      <c r="K49" s="135" t="n">
        <v>27000</v>
      </c>
      <c r="L49" s="135" t="inlineStr">
        <is>
          <t>고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2</v>
      </c>
      <c r="S49" s="122" t="inlineStr">
        <is>
          <t>계</t>
        </is>
      </c>
      <c r="T49" s="5" t="inlineStr">
        <is>
          <t>113A</t>
        </is>
      </c>
      <c r="U49" s="9" t="n"/>
    </row>
    <row r="50" ht="12" customFormat="1" customHeight="1" s="37">
      <c r="A50" s="75" t="inlineStr">
        <is>
          <t>사천동 사천동아1차</t>
        </is>
      </c>
      <c r="B50" s="76" t="inlineStr">
        <is>
          <t>94.05.</t>
        </is>
      </c>
      <c r="C50" s="131" t="n">
        <v>461</v>
      </c>
      <c r="D50" s="132" t="n">
        <v>189</v>
      </c>
      <c r="E50" s="133" t="n">
        <v>57</v>
      </c>
      <c r="F50" s="132" t="n">
        <v>164.6</v>
      </c>
      <c r="G50" s="17" t="n">
        <v>50</v>
      </c>
      <c r="H50" s="134" t="n">
        <v>84</v>
      </c>
      <c r="I50" s="135" t="n">
        <v>31000</v>
      </c>
      <c r="J50" s="135" t="inlineStr">
        <is>
          <t>15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4</v>
      </c>
      <c r="R50" s="122" t="n">
        <v>2</v>
      </c>
      <c r="S50" s="122" t="inlineStr">
        <is>
          <t>계</t>
        </is>
      </c>
      <c r="T50" s="5" t="inlineStr">
        <is>
          <t>189B</t>
        </is>
      </c>
      <c r="U50" s="9" t="n"/>
    </row>
    <row r="51" ht="12" customFormat="1" customHeight="1" s="37">
      <c r="A51" s="75" t="inlineStr">
        <is>
          <t>오창읍 오창쌍용스윗닷홈예가</t>
        </is>
      </c>
      <c r="B51" s="76" t="inlineStr">
        <is>
          <t>06.05.</t>
        </is>
      </c>
      <c r="C51" s="131" t="n">
        <v>622</v>
      </c>
      <c r="D51" s="132" t="n">
        <v>109.7</v>
      </c>
      <c r="E51" s="133" t="n">
        <v>33</v>
      </c>
      <c r="F51" s="132" t="n">
        <v>85</v>
      </c>
      <c r="G51" s="17" t="n">
        <v>26</v>
      </c>
      <c r="H51" s="134" t="n">
        <v>270</v>
      </c>
      <c r="I51" s="135" t="n">
        <v>31000</v>
      </c>
      <c r="J51" s="135" t="inlineStr">
        <is>
          <t>13</t>
        </is>
      </c>
      <c r="K51" s="135" t="n">
        <v>28000</v>
      </c>
      <c r="L51" s="135" t="inlineStr">
        <is>
          <t>15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n">
        <v>109</v>
      </c>
      <c r="U51" s="9" t="n"/>
    </row>
    <row r="52" ht="12" customFormat="1" customHeight="1" s="37">
      <c r="A52" s="75" t="inlineStr">
        <is>
          <t>사천동 사천동아1차</t>
        </is>
      </c>
      <c r="B52" s="76" t="inlineStr">
        <is>
          <t>94.05.</t>
        </is>
      </c>
      <c r="C52" s="131" t="n">
        <v>461</v>
      </c>
      <c r="D52" s="132" t="n">
        <v>156</v>
      </c>
      <c r="E52" s="133" t="n">
        <v>47</v>
      </c>
      <c r="F52" s="132" t="n">
        <v>134.1</v>
      </c>
      <c r="G52" s="17" t="n">
        <v>41</v>
      </c>
      <c r="H52" s="134" t="n">
        <v>57</v>
      </c>
      <c r="I52" s="135" t="n">
        <v>30000</v>
      </c>
      <c r="J52" s="135" t="inlineStr">
        <is>
          <t>12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4</v>
      </c>
      <c r="R52" s="122" t="n">
        <v>2</v>
      </c>
      <c r="S52" s="122" t="inlineStr">
        <is>
          <t>계</t>
        </is>
      </c>
      <c r="T52" s="5" t="n">
        <v>156</v>
      </c>
      <c r="U52" s="9" t="n"/>
    </row>
    <row r="53" ht="12" customFormat="1" customHeight="1" s="37">
      <c r="A53" s="75" t="inlineStr">
        <is>
          <t>오창읍 우림필유1차</t>
        </is>
      </c>
      <c r="B53" s="76" t="inlineStr">
        <is>
          <t>06.05.</t>
        </is>
      </c>
      <c r="C53" s="131" t="n">
        <v>1120</v>
      </c>
      <c r="D53" s="132" t="n">
        <v>113.2</v>
      </c>
      <c r="E53" s="133" t="n">
        <v>34</v>
      </c>
      <c r="F53" s="132" t="n">
        <v>84.90000000000001</v>
      </c>
      <c r="G53" s="17" t="n">
        <v>26</v>
      </c>
      <c r="H53" s="134" t="n">
        <v>552</v>
      </c>
      <c r="I53" s="135" t="n">
        <v>30000</v>
      </c>
      <c r="J53" s="135" t="inlineStr">
        <is>
          <t>14</t>
        </is>
      </c>
      <c r="K53" s="135" t="n">
        <v>26000</v>
      </c>
      <c r="L53" s="135" t="inlineStr">
        <is>
          <t>6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2</v>
      </c>
      <c r="S53" s="122" t="inlineStr">
        <is>
          <t>계</t>
        </is>
      </c>
      <c r="T53" s="5" t="n">
        <v>113</v>
      </c>
      <c r="U53" s="9" t="n"/>
    </row>
    <row r="54" ht="12" customFormat="1" customHeight="1" s="37">
      <c r="A54" s="75" t="inlineStr">
        <is>
          <t>율량동 율량금호어울림센트로</t>
        </is>
      </c>
      <c r="B54" s="76" t="inlineStr">
        <is>
          <t>22.01.</t>
        </is>
      </c>
      <c r="C54" s="131" t="n">
        <v>748</v>
      </c>
      <c r="D54" s="132" t="n">
        <v>79.8</v>
      </c>
      <c r="E54" s="133" t="n">
        <v>24</v>
      </c>
      <c r="F54" s="132" t="n">
        <v>59.9</v>
      </c>
      <c r="G54" s="17" t="n">
        <v>18</v>
      </c>
      <c r="H54" s="134" t="n">
        <v>152</v>
      </c>
      <c r="I54" s="135" t="n">
        <v>29773</v>
      </c>
      <c r="J54" s="135" t="inlineStr">
        <is>
          <t>중</t>
        </is>
      </c>
      <c r="K54" s="135" t="n">
        <v>26000</v>
      </c>
      <c r="L54" s="135" t="inlineStr">
        <is>
          <t>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inlineStr">
        <is>
          <t>79A</t>
        </is>
      </c>
      <c r="U54" s="9" t="n"/>
    </row>
    <row r="55" ht="12" customFormat="1" customHeight="1" s="37">
      <c r="A55" s="75" t="inlineStr">
        <is>
          <t>오창읍 대원칸타빌</t>
        </is>
      </c>
      <c r="B55" s="76" t="inlineStr">
        <is>
          <t>06.07.</t>
        </is>
      </c>
      <c r="C55" s="131" t="n">
        <v>464</v>
      </c>
      <c r="D55" s="132" t="n">
        <v>118.2</v>
      </c>
      <c r="E55" s="133" t="n">
        <v>36</v>
      </c>
      <c r="F55" s="132" t="n">
        <v>85</v>
      </c>
      <c r="G55" s="17" t="n">
        <v>26</v>
      </c>
      <c r="H55" s="134" t="n">
        <v>294</v>
      </c>
      <c r="I55" s="135" t="n">
        <v>29000</v>
      </c>
      <c r="J55" s="135" t="inlineStr">
        <is>
          <t>8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n">
        <v>118</v>
      </c>
      <c r="U55" s="9" t="n"/>
    </row>
    <row r="56" ht="12" customFormat="1" customHeight="1" s="37">
      <c r="A56" s="75" t="inlineStr">
        <is>
          <t>오창읍 한라비발디</t>
        </is>
      </c>
      <c r="B56" s="76" t="inlineStr">
        <is>
          <t>06.05.</t>
        </is>
      </c>
      <c r="C56" s="131" t="n">
        <v>1529</v>
      </c>
      <c r="D56" s="132" t="n">
        <v>111</v>
      </c>
      <c r="E56" s="133" t="n">
        <v>34</v>
      </c>
      <c r="F56" s="132" t="n">
        <v>84.59999999999999</v>
      </c>
      <c r="G56" s="17" t="n">
        <v>26</v>
      </c>
      <c r="H56" s="134" t="n">
        <v>776</v>
      </c>
      <c r="I56" s="135" t="n">
        <v>28000</v>
      </c>
      <c r="J56" s="135" t="inlineStr">
        <is>
          <t>중</t>
        </is>
      </c>
      <c r="K56" s="135" t="n">
        <v>26500</v>
      </c>
      <c r="L56" s="135" t="inlineStr">
        <is>
          <t>13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2</v>
      </c>
      <c r="S56" s="122" t="inlineStr">
        <is>
          <t>계</t>
        </is>
      </c>
      <c r="T56" s="5" t="n">
        <v>111</v>
      </c>
      <c r="U56" s="9" t="n"/>
    </row>
    <row r="57" ht="12" customFormat="1" customHeight="1" s="37">
      <c r="A57" s="75" t="inlineStr">
        <is>
          <t>율량동 율량현대</t>
        </is>
      </c>
      <c r="B57" s="76" t="inlineStr">
        <is>
          <t>91.12.</t>
        </is>
      </c>
      <c r="C57" s="131" t="n">
        <v>764</v>
      </c>
      <c r="D57" s="132" t="n">
        <v>150.8</v>
      </c>
      <c r="E57" s="133" t="n">
        <v>46</v>
      </c>
      <c r="F57" s="132" t="n">
        <v>125.6</v>
      </c>
      <c r="G57" s="17" t="n">
        <v>38</v>
      </c>
      <c r="H57" s="134" t="n">
        <v>114</v>
      </c>
      <c r="I57" s="135" t="n">
        <v>27500</v>
      </c>
      <c r="J57" s="135" t="inlineStr">
        <is>
          <t>중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4</v>
      </c>
      <c r="R57" s="122" t="n">
        <v>2</v>
      </c>
      <c r="S57" s="122" t="inlineStr">
        <is>
          <t>계</t>
        </is>
      </c>
      <c r="T57" s="5" t="n">
        <v>150</v>
      </c>
      <c r="U57" s="9" t="n"/>
    </row>
    <row r="58" ht="12" customFormat="1" customHeight="1" s="37">
      <c r="A58" s="75" t="inlineStr">
        <is>
          <t>오창읍 오창모아미래도와이드파크(3블럭)</t>
        </is>
      </c>
      <c r="B58" s="76" t="inlineStr">
        <is>
          <t>16.01.</t>
        </is>
      </c>
      <c r="C58" s="131" t="n">
        <v>630</v>
      </c>
      <c r="D58" s="132" t="n">
        <v>84</v>
      </c>
      <c r="E58" s="133" t="n">
        <v>25</v>
      </c>
      <c r="F58" s="132" t="n">
        <v>60</v>
      </c>
      <c r="G58" s="17" t="n">
        <v>18</v>
      </c>
      <c r="H58" s="134" t="n">
        <v>506</v>
      </c>
      <c r="I58" s="135" t="n">
        <v>26500</v>
      </c>
      <c r="J58" s="135" t="inlineStr">
        <is>
          <t>중</t>
        </is>
      </c>
      <c r="K58" s="135" t="n">
        <v>24000</v>
      </c>
      <c r="L58" s="135" t="inlineStr">
        <is>
          <t>중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inlineStr">
        <is>
          <t>83A</t>
        </is>
      </c>
      <c r="U58" s="9" t="n"/>
    </row>
    <row r="59" ht="12" customFormat="1" customHeight="1" s="37">
      <c r="A59" s="75" t="inlineStr">
        <is>
          <t>오창읍 오창이안</t>
        </is>
      </c>
      <c r="B59" s="76" t="inlineStr">
        <is>
          <t>06.02.</t>
        </is>
      </c>
      <c r="C59" s="131" t="n">
        <v>818</v>
      </c>
      <c r="D59" s="132" t="n">
        <v>106.2</v>
      </c>
      <c r="E59" s="133" t="n">
        <v>32</v>
      </c>
      <c r="F59" s="132" t="n">
        <v>84.8</v>
      </c>
      <c r="G59" s="17" t="n">
        <v>26</v>
      </c>
      <c r="H59" s="134" t="n">
        <v>351</v>
      </c>
      <c r="I59" s="135" t="n">
        <v>25500</v>
      </c>
      <c r="J59" s="135" t="inlineStr">
        <is>
          <t>11</t>
        </is>
      </c>
      <c r="K59" s="135" t="n">
        <v>25500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2</v>
      </c>
      <c r="S59" s="122" t="inlineStr">
        <is>
          <t>계</t>
        </is>
      </c>
      <c r="T59" s="5" t="inlineStr">
        <is>
          <t>106A</t>
        </is>
      </c>
      <c r="U59" s="9" t="n"/>
    </row>
    <row r="60" ht="12" customFormat="1" customHeight="1" s="37">
      <c r="A60" s="75" t="inlineStr">
        <is>
          <t>오창읍 대원칸타빌</t>
        </is>
      </c>
      <c r="B60" s="76" t="inlineStr">
        <is>
          <t>06.07.</t>
        </is>
      </c>
      <c r="C60" s="131" t="n">
        <v>464</v>
      </c>
      <c r="D60" s="132" t="n">
        <v>81.2</v>
      </c>
      <c r="E60" s="133" t="n">
        <v>25</v>
      </c>
      <c r="F60" s="132" t="n">
        <v>60</v>
      </c>
      <c r="G60" s="17" t="n">
        <v>18</v>
      </c>
      <c r="H60" s="134" t="n">
        <v>170</v>
      </c>
      <c r="I60" s="135" t="n">
        <v>25000</v>
      </c>
      <c r="J60" s="135" t="inlineStr">
        <is>
          <t>14</t>
        </is>
      </c>
      <c r="K60" s="135" t="n">
        <v>22000</v>
      </c>
      <c r="L60" s="135" t="inlineStr">
        <is>
          <t>14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2</v>
      </c>
      <c r="S60" s="122" t="inlineStr">
        <is>
          <t>계</t>
        </is>
      </c>
      <c r="T60" s="5" t="n">
        <v>81</v>
      </c>
      <c r="U60" s="9" t="n"/>
    </row>
    <row r="61" ht="12" customFormat="1" customHeight="1" s="37">
      <c r="A61" s="75" t="inlineStr">
        <is>
          <t>율량동 두진백로그린타운</t>
        </is>
      </c>
      <c r="B61" s="76" t="inlineStr">
        <is>
          <t>96.06.</t>
        </is>
      </c>
      <c r="C61" s="131" t="n">
        <v>608</v>
      </c>
      <c r="D61" s="132" t="n">
        <v>105.8</v>
      </c>
      <c r="E61" s="133" t="n">
        <v>32</v>
      </c>
      <c r="F61" s="132" t="n">
        <v>85</v>
      </c>
      <c r="G61" s="17" t="n">
        <v>26</v>
      </c>
      <c r="H61" s="134" t="n">
        <v>163</v>
      </c>
      <c r="I61" s="135" t="n">
        <v>24000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3</v>
      </c>
      <c r="R61" s="122" t="n">
        <v>2</v>
      </c>
      <c r="S61" s="122" t="inlineStr">
        <is>
          <t>계</t>
        </is>
      </c>
      <c r="T61" s="5" t="inlineStr">
        <is>
          <t>105B</t>
        </is>
      </c>
      <c r="U61" s="9" t="n"/>
    </row>
    <row r="62" ht="12" customFormat="1" customHeight="1" s="37">
      <c r="A62" s="75" t="inlineStr">
        <is>
          <t>오창읍 코아루</t>
        </is>
      </c>
      <c r="B62" s="76" t="inlineStr">
        <is>
          <t>06.06.</t>
        </is>
      </c>
      <c r="C62" s="131" t="n">
        <v>948</v>
      </c>
      <c r="D62" s="132" t="n">
        <v>86.40000000000001</v>
      </c>
      <c r="E62" s="133" t="n">
        <v>26</v>
      </c>
      <c r="F62" s="132" t="n">
        <v>60</v>
      </c>
      <c r="G62" s="17" t="n">
        <v>18</v>
      </c>
      <c r="H62" s="134" t="n">
        <v>315</v>
      </c>
      <c r="I62" s="135" t="n">
        <v>23500</v>
      </c>
      <c r="J62" s="135" t="inlineStr">
        <is>
          <t>10</t>
        </is>
      </c>
      <c r="K62" s="135" t="n">
        <v>22000</v>
      </c>
      <c r="L62" s="135" t="inlineStr">
        <is>
          <t>중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3</v>
      </c>
      <c r="R62" s="122" t="n">
        <v>2</v>
      </c>
      <c r="S62" s="122" t="inlineStr">
        <is>
          <t>계</t>
        </is>
      </c>
      <c r="T62" s="5" t="n">
        <v>86</v>
      </c>
      <c r="U62" s="9" t="n"/>
    </row>
    <row r="63" ht="12" customFormat="1" customHeight="1" s="37">
      <c r="A63" s="75" t="inlineStr">
        <is>
          <t>오창읍 우림필유1차</t>
        </is>
      </c>
      <c r="B63" s="76" t="inlineStr">
        <is>
          <t>06.05.</t>
        </is>
      </c>
      <c r="C63" s="131" t="n">
        <v>1120</v>
      </c>
      <c r="D63" s="132" t="n">
        <v>84.7</v>
      </c>
      <c r="E63" s="133" t="n">
        <v>26</v>
      </c>
      <c r="F63" s="132" t="n">
        <v>59.9</v>
      </c>
      <c r="G63" s="17" t="n">
        <v>18</v>
      </c>
      <c r="H63" s="134" t="n">
        <v>284</v>
      </c>
      <c r="I63" s="135" t="n">
        <v>23500</v>
      </c>
      <c r="J63" s="135" t="inlineStr">
        <is>
          <t>고</t>
        </is>
      </c>
      <c r="K63" s="135" t="n">
        <v>21000</v>
      </c>
      <c r="L63" s="135" t="inlineStr">
        <is>
          <t>고</t>
        </is>
      </c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3</v>
      </c>
      <c r="R63" s="122" t="n">
        <v>2</v>
      </c>
      <c r="S63" s="122" t="inlineStr">
        <is>
          <t>계</t>
        </is>
      </c>
      <c r="T63" s="5" t="inlineStr">
        <is>
          <t>84A</t>
        </is>
      </c>
      <c r="U63" s="9" t="n"/>
    </row>
    <row r="64" ht="12" customFormat="1" customHeight="1" s="37">
      <c r="A64" s="75" t="inlineStr">
        <is>
          <t>오창읍 오창쌍용스윗닷홈예가</t>
        </is>
      </c>
      <c r="B64" s="76" t="inlineStr">
        <is>
          <t>06.05.</t>
        </is>
      </c>
      <c r="C64" s="131" t="n">
        <v>622</v>
      </c>
      <c r="D64" s="132" t="n">
        <v>83.8</v>
      </c>
      <c r="E64" s="133" t="n">
        <v>25</v>
      </c>
      <c r="F64" s="132" t="n">
        <v>59.9</v>
      </c>
      <c r="G64" s="17" t="n">
        <v>18</v>
      </c>
      <c r="H64" s="134" t="n">
        <v>172</v>
      </c>
      <c r="I64" s="135" t="n">
        <v>23000</v>
      </c>
      <c r="J64" s="135" t="inlineStr">
        <is>
          <t>7</t>
        </is>
      </c>
      <c r="K64" s="135" t="n">
        <v>22000</v>
      </c>
      <c r="L64" s="135" t="inlineStr">
        <is>
          <t>7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3</v>
      </c>
      <c r="R64" s="122" t="n">
        <v>2</v>
      </c>
      <c r="S64" s="122" t="inlineStr">
        <is>
          <t>계</t>
        </is>
      </c>
      <c r="T64" s="5" t="n">
        <v>83</v>
      </c>
      <c r="U64" s="9" t="n"/>
    </row>
    <row r="65" ht="12" customFormat="1" customHeight="1" s="37">
      <c r="A65" s="75" t="inlineStr">
        <is>
          <t>오창읍 중앙하이츠빌</t>
        </is>
      </c>
      <c r="B65" s="76" t="inlineStr">
        <is>
          <t>06.05.</t>
        </is>
      </c>
      <c r="C65" s="131" t="n">
        <v>1338</v>
      </c>
      <c r="D65" s="132" t="n">
        <v>85.7</v>
      </c>
      <c r="E65" s="133" t="n">
        <v>26</v>
      </c>
      <c r="F65" s="132" t="n">
        <v>59.9</v>
      </c>
      <c r="G65" s="17" t="n">
        <v>18</v>
      </c>
      <c r="H65" s="134" t="n">
        <v>396</v>
      </c>
      <c r="I65" s="135" t="n">
        <v>23000</v>
      </c>
      <c r="J65" s="135" t="inlineStr">
        <is>
          <t>5</t>
        </is>
      </c>
      <c r="K65" s="135" t="n">
        <v>20000</v>
      </c>
      <c r="L65" s="135" t="inlineStr">
        <is>
          <t>10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2" t="n">
        <v>3</v>
      </c>
      <c r="R65" s="122" t="n">
        <v>2</v>
      </c>
      <c r="S65" s="122" t="inlineStr">
        <is>
          <t>계</t>
        </is>
      </c>
      <c r="T65" s="5" t="n">
        <v>85</v>
      </c>
      <c r="U65" s="9" t="n"/>
    </row>
    <row r="66" ht="12" customFormat="1" customHeight="1" s="37">
      <c r="A66" s="75" t="inlineStr">
        <is>
          <t>오창읍 오창이안</t>
        </is>
      </c>
      <c r="B66" s="76" t="inlineStr">
        <is>
          <t>06.02.</t>
        </is>
      </c>
      <c r="C66" s="131" t="n">
        <v>818</v>
      </c>
      <c r="D66" s="132" t="n">
        <v>77.59999999999999</v>
      </c>
      <c r="E66" s="133" t="n">
        <v>23</v>
      </c>
      <c r="F66" s="132" t="n">
        <v>59.4</v>
      </c>
      <c r="G66" s="17" t="n">
        <v>18</v>
      </c>
      <c r="H66" s="134" t="n">
        <v>227</v>
      </c>
      <c r="I66" s="135" t="n">
        <v>22500</v>
      </c>
      <c r="J66" s="135" t="inlineStr">
        <is>
          <t>6</t>
        </is>
      </c>
      <c r="K66" s="135" t="n">
        <v>20500</v>
      </c>
      <c r="L66" s="135" t="inlineStr">
        <is>
          <t>14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2</v>
      </c>
      <c r="S66" s="122" t="inlineStr">
        <is>
          <t>계</t>
        </is>
      </c>
      <c r="T66" s="5" t="n">
        <v>77</v>
      </c>
      <c r="U66" s="9" t="n"/>
    </row>
    <row r="67" ht="12" customFormat="1" customHeight="1" s="37">
      <c r="A67" s="75" t="inlineStr">
        <is>
          <t>오창읍 한라비발디</t>
        </is>
      </c>
      <c r="B67" s="76" t="inlineStr">
        <is>
          <t>06.05.</t>
        </is>
      </c>
      <c r="C67" s="131" t="n">
        <v>1529</v>
      </c>
      <c r="D67" s="132" t="n">
        <v>85.09999999999999</v>
      </c>
      <c r="E67" s="133" t="n">
        <v>26</v>
      </c>
      <c r="F67" s="132" t="n">
        <v>60</v>
      </c>
      <c r="G67" s="17" t="n">
        <v>18</v>
      </c>
      <c r="H67" s="134" t="n">
        <v>406</v>
      </c>
      <c r="I67" s="135" t="n">
        <v>22000</v>
      </c>
      <c r="J67" s="135" t="inlineStr">
        <is>
          <t>6</t>
        </is>
      </c>
      <c r="K67" s="135" t="n">
        <v>21000</v>
      </c>
      <c r="L67" s="135" t="inlineStr">
        <is>
          <t>14</t>
        </is>
      </c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3</v>
      </c>
      <c r="R67" s="122" t="n">
        <v>2</v>
      </c>
      <c r="S67" s="122" t="inlineStr">
        <is>
          <t>계</t>
        </is>
      </c>
      <c r="T67" s="5" t="n">
        <v>85</v>
      </c>
      <c r="U67" s="9" t="n"/>
    </row>
    <row r="68" ht="12" customFormat="1" customHeight="1" s="37">
      <c r="A68" s="75" t="inlineStr">
        <is>
          <t>오창읍 우림필유2차</t>
        </is>
      </c>
      <c r="B68" s="76" t="inlineStr">
        <is>
          <t>06.11.</t>
        </is>
      </c>
      <c r="C68" s="131" t="n">
        <v>1602</v>
      </c>
      <c r="D68" s="132" t="n">
        <v>86.59999999999999</v>
      </c>
      <c r="E68" s="133" t="n">
        <v>26</v>
      </c>
      <c r="F68" s="132" t="n">
        <v>59.9</v>
      </c>
      <c r="G68" s="17" t="n">
        <v>18</v>
      </c>
      <c r="H68" s="134" t="n">
        <v>391</v>
      </c>
      <c r="I68" s="135" t="n">
        <v>21500</v>
      </c>
      <c r="J68" s="135" t="inlineStr">
        <is>
          <t>11</t>
        </is>
      </c>
      <c r="K68" s="135" t="n">
        <v>21000</v>
      </c>
      <c r="L68" s="135" t="inlineStr">
        <is>
          <t>17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2" t="n">
        <v>3</v>
      </c>
      <c r="R68" s="122" t="n">
        <v>2</v>
      </c>
      <c r="S68" s="122" t="inlineStr">
        <is>
          <t>계</t>
        </is>
      </c>
      <c r="T68" s="5" t="inlineStr">
        <is>
          <t>86A</t>
        </is>
      </c>
      <c r="U68" s="9" t="n"/>
    </row>
    <row r="69" ht="12" customFormat="1" customHeight="1" s="37">
      <c r="A69" s="75" t="inlineStr">
        <is>
          <t>내덕동 신화</t>
        </is>
      </c>
      <c r="B69" s="76" t="inlineStr">
        <is>
          <t>90.10.</t>
        </is>
      </c>
      <c r="C69" s="131" t="n">
        <v>432</v>
      </c>
      <c r="D69" s="132" t="n">
        <v>162.1</v>
      </c>
      <c r="E69" s="133" t="n">
        <v>49</v>
      </c>
      <c r="F69" s="132" t="n">
        <v>133.7</v>
      </c>
      <c r="G69" s="17" t="n">
        <v>40</v>
      </c>
      <c r="H69" s="134" t="n">
        <v>80</v>
      </c>
      <c r="I69" s="135" t="n">
        <v>21000</v>
      </c>
      <c r="J69" s="135" t="inlineStr">
        <is>
          <t>5</t>
        </is>
      </c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4</v>
      </c>
      <c r="R69" s="122" t="n">
        <v>2</v>
      </c>
      <c r="S69" s="122" t="inlineStr">
        <is>
          <t>계</t>
        </is>
      </c>
      <c r="T69" s="5" t="n">
        <v>162</v>
      </c>
      <c r="U69" s="9" t="n"/>
    </row>
    <row r="70" ht="12" customFormat="1" customHeight="1" s="37">
      <c r="A70" s="75" t="inlineStr">
        <is>
          <t>율량동 현대</t>
        </is>
      </c>
      <c r="B70" s="76" t="inlineStr">
        <is>
          <t>92.10.</t>
        </is>
      </c>
      <c r="C70" s="131" t="n">
        <v>489</v>
      </c>
      <c r="D70" s="132" t="n">
        <v>97.59999999999999</v>
      </c>
      <c r="E70" s="133" t="n">
        <v>30</v>
      </c>
      <c r="F70" s="132" t="n">
        <v>84.40000000000001</v>
      </c>
      <c r="G70" s="17" t="n">
        <v>26</v>
      </c>
      <c r="H70" s="134" t="n">
        <v>228</v>
      </c>
      <c r="I70" s="135" t="n">
        <v>21000</v>
      </c>
      <c r="J70" s="135" t="inlineStr">
        <is>
          <t>7</t>
        </is>
      </c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3</v>
      </c>
      <c r="R70" s="122" t="n">
        <v>2</v>
      </c>
      <c r="S70" s="122" t="inlineStr">
        <is>
          <t>계</t>
        </is>
      </c>
      <c r="T70" s="5" t="n">
        <v>97</v>
      </c>
      <c r="U70" s="9" t="n"/>
    </row>
    <row r="71" ht="12" customFormat="1" customHeight="1" s="37">
      <c r="A71" s="75" t="inlineStr">
        <is>
          <t>율량동 삼성</t>
        </is>
      </c>
      <c r="B71" s="76" t="inlineStr">
        <is>
          <t>96.05.</t>
        </is>
      </c>
      <c r="C71" s="131" t="n">
        <v>798</v>
      </c>
      <c r="D71" s="132" t="n">
        <v>104.2</v>
      </c>
      <c r="E71" s="133" t="n">
        <v>32</v>
      </c>
      <c r="F71" s="132" t="n">
        <v>84.7</v>
      </c>
      <c r="G71" s="17" t="n">
        <v>26</v>
      </c>
      <c r="H71" s="134" t="n">
        <v>386</v>
      </c>
      <c r="I71" s="135" t="n">
        <v>21000</v>
      </c>
      <c r="J71" s="135" t="inlineStr">
        <is>
          <t>10</t>
        </is>
      </c>
      <c r="K71" s="135" t="n">
        <v>18000</v>
      </c>
      <c r="L71" s="135" t="inlineStr">
        <is>
          <t>11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2" t="n">
        <v>3</v>
      </c>
      <c r="R71" s="122" t="n">
        <v>2</v>
      </c>
      <c r="S71" s="122" t="inlineStr">
        <is>
          <t>계</t>
        </is>
      </c>
      <c r="T71" s="5" t="n">
        <v>104</v>
      </c>
      <c r="U71" s="9" t="n"/>
    </row>
    <row r="72" ht="12" customFormat="1" customHeight="1" s="37">
      <c r="A72" s="75" t="inlineStr">
        <is>
          <t>율량동 동아</t>
        </is>
      </c>
      <c r="B72" s="76" t="inlineStr">
        <is>
          <t>90.11.</t>
        </is>
      </c>
      <c r="C72" s="131" t="n">
        <v>330</v>
      </c>
      <c r="D72" s="132" t="n">
        <v>159.1</v>
      </c>
      <c r="E72" s="133" t="n">
        <v>48</v>
      </c>
      <c r="F72" s="132" t="n">
        <v>134.5</v>
      </c>
      <c r="G72" s="17" t="n">
        <v>41</v>
      </c>
      <c r="H72" s="134" t="n">
        <v>60</v>
      </c>
      <c r="I72" s="135" t="n">
        <v>20500</v>
      </c>
      <c r="J72" s="135" t="inlineStr">
        <is>
          <t>10</t>
        </is>
      </c>
      <c r="K72" s="135" t="n">
        <v>21000</v>
      </c>
      <c r="L72" s="135" t="inlineStr">
        <is>
          <t>9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4</v>
      </c>
      <c r="R72" s="122" t="n">
        <v>2</v>
      </c>
      <c r="S72" s="122" t="inlineStr">
        <is>
          <t>계</t>
        </is>
      </c>
      <c r="T72" s="5" t="n">
        <v>159</v>
      </c>
      <c r="U72" s="9" t="n"/>
    </row>
    <row r="73" ht="12" customFormat="1" customHeight="1" s="37">
      <c r="A73" s="75" t="inlineStr">
        <is>
          <t>율량동 성원</t>
        </is>
      </c>
      <c r="B73" s="76" t="inlineStr">
        <is>
          <t>95.07.</t>
        </is>
      </c>
      <c r="C73" s="131" t="n">
        <v>365</v>
      </c>
      <c r="D73" s="132" t="n">
        <v>103</v>
      </c>
      <c r="E73" s="133" t="n">
        <v>31</v>
      </c>
      <c r="F73" s="132" t="n">
        <v>84.90000000000001</v>
      </c>
      <c r="G73" s="17" t="n">
        <v>26</v>
      </c>
      <c r="H73" s="134" t="n">
        <v>225</v>
      </c>
      <c r="I73" s="135" t="n">
        <v>19500</v>
      </c>
      <c r="J73" s="135" t="inlineStr">
        <is>
          <t>13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2" t="n">
        <v>3</v>
      </c>
      <c r="R73" s="122" t="n">
        <v>2</v>
      </c>
      <c r="S73" s="122" t="inlineStr">
        <is>
          <t>계</t>
        </is>
      </c>
      <c r="T73" s="5" t="n">
        <v>103</v>
      </c>
      <c r="U73" s="9" t="n"/>
    </row>
    <row r="74" ht="12" customFormat="1" customHeight="1" s="37">
      <c r="A74" s="75" t="inlineStr">
        <is>
          <t>율량동 율량럭키</t>
        </is>
      </c>
      <c r="B74" s="76" t="inlineStr">
        <is>
          <t>91.03.</t>
        </is>
      </c>
      <c r="C74" s="131" t="n">
        <v>690</v>
      </c>
      <c r="D74" s="132" t="n">
        <v>102.7</v>
      </c>
      <c r="E74" s="133" t="n">
        <v>31</v>
      </c>
      <c r="F74" s="132" t="n">
        <v>85</v>
      </c>
      <c r="G74" s="17" t="n">
        <v>26</v>
      </c>
      <c r="H74" s="134" t="n">
        <v>480</v>
      </c>
      <c r="I74" s="135" t="n">
        <v>19300</v>
      </c>
      <c r="J74" s="135" t="inlineStr">
        <is>
          <t>12</t>
        </is>
      </c>
      <c r="K74" s="135" t="n">
        <v>16000</v>
      </c>
      <c r="L74" s="135" t="inlineStr">
        <is>
          <t>13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3</v>
      </c>
      <c r="R74" s="122" t="n">
        <v>2</v>
      </c>
      <c r="S74" s="122" t="inlineStr">
        <is>
          <t>계</t>
        </is>
      </c>
      <c r="T74" s="5" t="n">
        <v>102</v>
      </c>
      <c r="U74" s="9" t="n"/>
    </row>
    <row r="75" ht="12" customFormat="1" customHeight="1" s="37">
      <c r="A75" s="75" t="inlineStr">
        <is>
          <t>율량동 율량현대</t>
        </is>
      </c>
      <c r="B75" s="76" t="inlineStr">
        <is>
          <t>91.12.</t>
        </is>
      </c>
      <c r="C75" s="131" t="n">
        <v>764</v>
      </c>
      <c r="D75" s="132" t="n">
        <v>106.6</v>
      </c>
      <c r="E75" s="133" t="n">
        <v>32</v>
      </c>
      <c r="F75" s="132" t="n">
        <v>85</v>
      </c>
      <c r="G75" s="17" t="n">
        <v>26</v>
      </c>
      <c r="H75" s="134" t="n">
        <v>386</v>
      </c>
      <c r="I75" s="135" t="n">
        <v>19000</v>
      </c>
      <c r="J75" s="135" t="inlineStr">
        <is>
          <t>중</t>
        </is>
      </c>
      <c r="K75" s="135" t="n">
        <v>13000</v>
      </c>
      <c r="L75" s="135" t="inlineStr">
        <is>
          <t>중</t>
        </is>
      </c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3</v>
      </c>
      <c r="R75" s="122" t="n">
        <v>2</v>
      </c>
      <c r="S75" s="122" t="inlineStr">
        <is>
          <t>계</t>
        </is>
      </c>
      <c r="T75" s="5" t="n">
        <v>106</v>
      </c>
      <c r="U75" s="9" t="n"/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1" t="n">
        <v>958</v>
      </c>
      <c r="D76" s="132" t="n">
        <v>103</v>
      </c>
      <c r="E76" s="133" t="n">
        <v>31</v>
      </c>
      <c r="F76" s="132" t="n">
        <v>84.8</v>
      </c>
      <c r="G76" s="17" t="n">
        <v>26</v>
      </c>
      <c r="H76" s="134" t="n">
        <v>544</v>
      </c>
      <c r="I76" s="135" t="n">
        <v>18500</v>
      </c>
      <c r="J76" s="135" t="inlineStr">
        <is>
          <t>10</t>
        </is>
      </c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2" t="n">
        <v>3</v>
      </c>
      <c r="R76" s="122" t="n">
        <v>2</v>
      </c>
      <c r="S76" s="122" t="inlineStr">
        <is>
          <t>계</t>
        </is>
      </c>
      <c r="T76" s="5" t="n">
        <v>103</v>
      </c>
      <c r="U76" s="9" t="n"/>
    </row>
    <row r="77" ht="12" customFormat="1" customHeight="1" s="37">
      <c r="A77" s="75" t="inlineStr">
        <is>
          <t>사천동 사천동아2차</t>
        </is>
      </c>
      <c r="B77" s="76" t="inlineStr">
        <is>
          <t>96.02.</t>
        </is>
      </c>
      <c r="C77" s="131" t="n">
        <v>398</v>
      </c>
      <c r="D77" s="132" t="n">
        <v>104</v>
      </c>
      <c r="E77" s="133" t="n">
        <v>31</v>
      </c>
      <c r="F77" s="132" t="n">
        <v>85</v>
      </c>
      <c r="G77" s="17" t="n">
        <v>26</v>
      </c>
      <c r="H77" s="134" t="n">
        <v>239</v>
      </c>
      <c r="I77" s="135" t="n">
        <v>17800</v>
      </c>
      <c r="J77" s="135" t="inlineStr">
        <is>
          <t>11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2" t="n">
        <v>3</v>
      </c>
      <c r="R77" s="122" t="n">
        <v>2</v>
      </c>
      <c r="S77" s="122" t="inlineStr">
        <is>
          <t>계</t>
        </is>
      </c>
      <c r="T77" s="5" t="n">
        <v>104</v>
      </c>
      <c r="U77" s="9" t="n"/>
    </row>
    <row r="78" ht="12" customFormat="1" customHeight="1" s="37">
      <c r="A78" s="75" t="inlineStr">
        <is>
          <t>율량동 율량럭키</t>
        </is>
      </c>
      <c r="B78" s="76" t="inlineStr">
        <is>
          <t>91.03.</t>
        </is>
      </c>
      <c r="C78" s="131" t="n">
        <v>690</v>
      </c>
      <c r="D78" s="132" t="n">
        <v>93.8</v>
      </c>
      <c r="E78" s="133" t="n">
        <v>28</v>
      </c>
      <c r="F78" s="132" t="n">
        <v>76.5</v>
      </c>
      <c r="G78" s="17" t="n">
        <v>23</v>
      </c>
      <c r="H78" s="134" t="n">
        <v>210</v>
      </c>
      <c r="I78" s="135" t="n">
        <v>17500</v>
      </c>
      <c r="J78" s="135" t="inlineStr">
        <is>
          <t>7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1</v>
      </c>
      <c r="S78" s="122" t="inlineStr">
        <is>
          <t>계</t>
        </is>
      </c>
      <c r="T78" s="5" t="n">
        <v>93</v>
      </c>
      <c r="U78" s="9" t="n"/>
    </row>
    <row r="79" ht="12" customFormat="1" customHeight="1" s="37">
      <c r="A79" s="75" t="inlineStr">
        <is>
          <t>율량동 삼성</t>
        </is>
      </c>
      <c r="B79" s="76" t="inlineStr">
        <is>
          <t>96.05.</t>
        </is>
      </c>
      <c r="C79" s="131" t="n">
        <v>798</v>
      </c>
      <c r="D79" s="132" t="n">
        <v>77.40000000000001</v>
      </c>
      <c r="E79" s="133" t="n">
        <v>23</v>
      </c>
      <c r="F79" s="132" t="n">
        <v>59.6</v>
      </c>
      <c r="G79" s="17" t="n">
        <v>18</v>
      </c>
      <c r="H79" s="134" t="n">
        <v>412</v>
      </c>
      <c r="I79" s="135" t="n">
        <v>17200</v>
      </c>
      <c r="J79" s="135" t="inlineStr">
        <is>
          <t>5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1</v>
      </c>
      <c r="S79" s="122" t="inlineStr">
        <is>
          <t>계</t>
        </is>
      </c>
      <c r="T79" s="5" t="n">
        <v>77</v>
      </c>
      <c r="U79" s="9" t="n"/>
    </row>
    <row r="80" ht="12" customFormat="1" customHeight="1" s="37">
      <c r="A80" s="75" t="inlineStr">
        <is>
          <t>내덕동 신화</t>
        </is>
      </c>
      <c r="B80" s="76" t="inlineStr">
        <is>
          <t>90.10.</t>
        </is>
      </c>
      <c r="C80" s="131" t="n">
        <v>432</v>
      </c>
      <c r="D80" s="132" t="n">
        <v>112.4</v>
      </c>
      <c r="E80" s="133" t="n">
        <v>34</v>
      </c>
      <c r="F80" s="132" t="n">
        <v>85</v>
      </c>
      <c r="G80" s="17" t="n">
        <v>26</v>
      </c>
      <c r="H80" s="134" t="n">
        <v>283</v>
      </c>
      <c r="I80" s="135" t="n">
        <v>17000</v>
      </c>
      <c r="J80" s="135" t="inlineStr">
        <is>
          <t>5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2" t="n">
        <v>3</v>
      </c>
      <c r="R80" s="122" t="n">
        <v>2</v>
      </c>
      <c r="S80" s="122" t="inlineStr">
        <is>
          <t>계</t>
        </is>
      </c>
      <c r="T80" s="5" t="n">
        <v>112</v>
      </c>
      <c r="U80" s="9" t="n"/>
    </row>
    <row r="81" ht="12" customFormat="1" customHeight="1" s="37">
      <c r="A81" s="75" t="inlineStr">
        <is>
          <t>율량동 현대</t>
        </is>
      </c>
      <c r="B81" s="76" t="inlineStr">
        <is>
          <t>92.10.</t>
        </is>
      </c>
      <c r="C81" s="131" t="n">
        <v>489</v>
      </c>
      <c r="D81" s="132" t="n">
        <v>69.2</v>
      </c>
      <c r="E81" s="133" t="n">
        <v>21</v>
      </c>
      <c r="F81" s="132" t="n">
        <v>59.8</v>
      </c>
      <c r="G81" s="17" t="n">
        <v>18</v>
      </c>
      <c r="H81" s="134" t="n">
        <v>176</v>
      </c>
      <c r="I81" s="135" t="n">
        <v>17000</v>
      </c>
      <c r="J81" s="135" t="inlineStr">
        <is>
          <t>12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3</v>
      </c>
      <c r="R81" s="122" t="n">
        <v>1</v>
      </c>
      <c r="S81" s="122" t="inlineStr">
        <is>
          <t>계</t>
        </is>
      </c>
      <c r="T81" s="5" t="n">
        <v>69</v>
      </c>
      <c r="U81" s="9" t="n"/>
    </row>
    <row r="82" ht="12" customFormat="1" customHeight="1" s="37">
      <c r="A82" s="75" t="inlineStr">
        <is>
          <t>율량동 동아</t>
        </is>
      </c>
      <c r="B82" s="76" t="inlineStr">
        <is>
          <t>90.11.</t>
        </is>
      </c>
      <c r="C82" s="131" t="n">
        <v>330</v>
      </c>
      <c r="D82" s="132" t="n">
        <v>93.5</v>
      </c>
      <c r="E82" s="133" t="n">
        <v>28</v>
      </c>
      <c r="F82" s="132" t="n">
        <v>75.09999999999999</v>
      </c>
      <c r="G82" s="17" t="n">
        <v>23</v>
      </c>
      <c r="H82" s="134" t="n">
        <v>150</v>
      </c>
      <c r="I82" s="135" t="n">
        <v>17000</v>
      </c>
      <c r="J82" s="135" t="inlineStr">
        <is>
          <t>7</t>
        </is>
      </c>
      <c r="K82" s="135" t="n">
        <v>15000</v>
      </c>
      <c r="L82" s="135" t="inlineStr">
        <is>
          <t>15</t>
        </is>
      </c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2" t="n">
        <v>3</v>
      </c>
      <c r="R82" s="122" t="n">
        <v>1</v>
      </c>
      <c r="S82" s="122" t="inlineStr">
        <is>
          <t>계</t>
        </is>
      </c>
      <c r="T82" s="5" t="n">
        <v>93</v>
      </c>
      <c r="U82" s="9" t="n"/>
    </row>
    <row r="83" ht="12" customFormat="1" customHeight="1" s="37">
      <c r="A83" s="75" t="inlineStr">
        <is>
          <t>율량동 율량현대</t>
        </is>
      </c>
      <c r="B83" s="76" t="inlineStr">
        <is>
          <t>91.12.</t>
        </is>
      </c>
      <c r="C83" s="131" t="n">
        <v>764</v>
      </c>
      <c r="D83" s="132" t="n">
        <v>95.2</v>
      </c>
      <c r="E83" s="133" t="n">
        <v>29</v>
      </c>
      <c r="F83" s="132" t="n">
        <v>75</v>
      </c>
      <c r="G83" s="17" t="n">
        <v>23</v>
      </c>
      <c r="H83" s="134" t="n">
        <v>224</v>
      </c>
      <c r="I83" s="135" t="n">
        <v>17000</v>
      </c>
      <c r="J83" s="135" t="inlineStr">
        <is>
          <t>5</t>
        </is>
      </c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3</v>
      </c>
      <c r="R83" s="122" t="n">
        <v>1</v>
      </c>
      <c r="S83" s="122" t="inlineStr">
        <is>
          <t>계</t>
        </is>
      </c>
      <c r="T83" s="5" t="n">
        <v>95</v>
      </c>
      <c r="U83" s="9" t="n"/>
    </row>
    <row r="84" ht="12" customFormat="1" customHeight="1" s="37">
      <c r="A84" s="75" t="inlineStr">
        <is>
          <t>율량동 성원</t>
        </is>
      </c>
      <c r="B84" s="76" t="inlineStr">
        <is>
          <t>95.07.</t>
        </is>
      </c>
      <c r="C84" s="131" t="n">
        <v>365</v>
      </c>
      <c r="D84" s="132" t="n">
        <v>75.2</v>
      </c>
      <c r="E84" s="133" t="n">
        <v>23</v>
      </c>
      <c r="F84" s="132" t="n">
        <v>59.7</v>
      </c>
      <c r="G84" s="17" t="n">
        <v>18</v>
      </c>
      <c r="H84" s="134" t="n">
        <v>140</v>
      </c>
      <c r="I84" s="135" t="n">
        <v>16700</v>
      </c>
      <c r="J84" s="135" t="inlineStr">
        <is>
          <t>7</t>
        </is>
      </c>
      <c r="K84" s="135" t="n">
        <v>15000</v>
      </c>
      <c r="L84" s="135" t="inlineStr">
        <is>
          <t>5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1</v>
      </c>
      <c r="S84" s="122" t="inlineStr">
        <is>
          <t>계</t>
        </is>
      </c>
      <c r="T84" s="5" t="n">
        <v>75</v>
      </c>
      <c r="U84" s="9" t="n"/>
    </row>
    <row r="85" ht="12" customFormat="1" customHeight="1" s="37">
      <c r="A85" s="75" t="inlineStr">
        <is>
          <t>율량동 동아</t>
        </is>
      </c>
      <c r="B85" s="76" t="inlineStr">
        <is>
          <t>90.11.</t>
        </is>
      </c>
      <c r="C85" s="131" t="n">
        <v>330</v>
      </c>
      <c r="D85" s="132" t="n">
        <v>104.8</v>
      </c>
      <c r="E85" s="133" t="n">
        <v>32</v>
      </c>
      <c r="F85" s="132" t="n">
        <v>84.90000000000001</v>
      </c>
      <c r="G85" s="17" t="n">
        <v>26</v>
      </c>
      <c r="H85" s="134" t="n">
        <v>120</v>
      </c>
      <c r="I85" s="135" t="n">
        <v>16000</v>
      </c>
      <c r="J85" s="135" t="inlineStr">
        <is>
          <t>15</t>
        </is>
      </c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2</v>
      </c>
      <c r="S85" s="122" t="inlineStr">
        <is>
          <t>계</t>
        </is>
      </c>
      <c r="T85" s="5" t="n">
        <v>104</v>
      </c>
      <c r="U85" s="9" t="n"/>
    </row>
    <row r="86" ht="12" customFormat="1" customHeight="1" s="37">
      <c r="A86" s="75" t="inlineStr">
        <is>
          <t>사천동 신동아</t>
        </is>
      </c>
      <c r="B86" s="76" t="inlineStr">
        <is>
          <t>93.05.</t>
        </is>
      </c>
      <c r="C86" s="131" t="n">
        <v>958</v>
      </c>
      <c r="D86" s="132" t="n">
        <v>88.7</v>
      </c>
      <c r="E86" s="133" t="n">
        <v>27</v>
      </c>
      <c r="F86" s="132" t="n">
        <v>72.8</v>
      </c>
      <c r="G86" s="17" t="n">
        <v>22</v>
      </c>
      <c r="H86" s="134" t="n">
        <v>191</v>
      </c>
      <c r="I86" s="135" t="n">
        <v>15000</v>
      </c>
      <c r="J86" s="135" t="inlineStr">
        <is>
          <t>10</t>
        </is>
      </c>
      <c r="K86" s="135" t="n">
        <v>14500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2" t="n">
        <v>3</v>
      </c>
      <c r="R86" s="122" t="n">
        <v>1</v>
      </c>
      <c r="S86" s="122" t="inlineStr">
        <is>
          <t>계</t>
        </is>
      </c>
      <c r="T86" s="5" t="inlineStr">
        <is>
          <t>88B</t>
        </is>
      </c>
      <c r="U86" s="9" t="n"/>
    </row>
    <row r="87" ht="12" customFormat="1" customHeight="1" s="37">
      <c r="A87" s="75" t="inlineStr">
        <is>
          <t>율량동 두진백로그린타운</t>
        </is>
      </c>
      <c r="B87" s="76" t="inlineStr">
        <is>
          <t>96.06.</t>
        </is>
      </c>
      <c r="C87" s="131" t="n">
        <v>608</v>
      </c>
      <c r="D87" s="132" t="n">
        <v>74</v>
      </c>
      <c r="E87" s="133" t="n">
        <v>22</v>
      </c>
      <c r="F87" s="132" t="n">
        <v>59.4</v>
      </c>
      <c r="G87" s="17" t="n">
        <v>18</v>
      </c>
      <c r="H87" s="134" t="n">
        <v>147</v>
      </c>
      <c r="I87" s="135" t="n">
        <v>14300</v>
      </c>
      <c r="J87" s="135" t="inlineStr">
        <is>
          <t>5</t>
        </is>
      </c>
      <c r="K87" s="135" t="n">
        <v>12500</v>
      </c>
      <c r="L87" s="135" t="inlineStr">
        <is>
          <t>8</t>
        </is>
      </c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2" t="n">
        <v>3</v>
      </c>
      <c r="R87" s="122" t="n">
        <v>1</v>
      </c>
      <c r="S87" s="122" t="inlineStr">
        <is>
          <t>계</t>
        </is>
      </c>
      <c r="T87" s="5" t="n">
        <v>73</v>
      </c>
      <c r="U87" s="9" t="n"/>
    </row>
    <row r="88" ht="12" customFormat="1" customHeight="1" s="37">
      <c r="A88" s="75" t="inlineStr">
        <is>
          <t>율량동 율량효성2차</t>
        </is>
      </c>
      <c r="B88" s="76" t="inlineStr">
        <is>
          <t>97.01.</t>
        </is>
      </c>
      <c r="C88" s="131" t="n">
        <v>440</v>
      </c>
      <c r="D88" s="132" t="n">
        <v>83</v>
      </c>
      <c r="E88" s="133" t="n">
        <v>25</v>
      </c>
      <c r="F88" s="132" t="n">
        <v>59.9</v>
      </c>
      <c r="G88" s="17" t="n">
        <v>18</v>
      </c>
      <c r="H88" s="134" t="n">
        <v>158</v>
      </c>
      <c r="I88" s="135" t="n">
        <v>14200</v>
      </c>
      <c r="J88" s="135" t="inlineStr">
        <is>
          <t>13</t>
        </is>
      </c>
      <c r="K88" s="135" t="n">
        <v>12300</v>
      </c>
      <c r="L88" s="135" t="inlineStr">
        <is>
          <t>10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2" t="n">
        <v>3</v>
      </c>
      <c r="R88" s="122" t="n">
        <v>1</v>
      </c>
      <c r="S88" s="122" t="inlineStr">
        <is>
          <t>복</t>
        </is>
      </c>
      <c r="T88" s="5" t="n">
        <v>83</v>
      </c>
      <c r="U88" s="9" t="n"/>
    </row>
    <row r="89" ht="12" customFormat="1" customHeight="1" s="37">
      <c r="A89" s="75" t="inlineStr">
        <is>
          <t>내덕동 신화</t>
        </is>
      </c>
      <c r="B89" s="76" t="inlineStr">
        <is>
          <t>90.10.</t>
        </is>
      </c>
      <c r="C89" s="131" t="n">
        <v>432</v>
      </c>
      <c r="D89" s="132" t="n">
        <v>95.5</v>
      </c>
      <c r="E89" s="133" t="n">
        <v>29</v>
      </c>
      <c r="F89" s="132" t="n">
        <v>73.59999999999999</v>
      </c>
      <c r="G89" s="17" t="n">
        <v>22</v>
      </c>
      <c r="H89" s="134" t="n">
        <v>69</v>
      </c>
      <c r="I89" s="135" t="n">
        <v>14000</v>
      </c>
      <c r="J89" s="135" t="inlineStr">
        <is>
          <t>6</t>
        </is>
      </c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2" t="n">
        <v>3</v>
      </c>
      <c r="R89" s="122" t="n">
        <v>1</v>
      </c>
      <c r="S89" s="122" t="inlineStr">
        <is>
          <t>계</t>
        </is>
      </c>
      <c r="T89" s="5" t="n">
        <v>95</v>
      </c>
      <c r="U89" s="9" t="n"/>
    </row>
    <row r="90" ht="12" customFormat="1" customHeight="1" s="37">
      <c r="A90" s="75" t="inlineStr">
        <is>
          <t>사천동 대창1차</t>
        </is>
      </c>
      <c r="B90" s="76" t="inlineStr">
        <is>
          <t>98.04.</t>
        </is>
      </c>
      <c r="C90" s="131" t="n">
        <v>356</v>
      </c>
      <c r="D90" s="132" t="n">
        <v>81.3</v>
      </c>
      <c r="E90" s="133" t="n">
        <v>25</v>
      </c>
      <c r="F90" s="132" t="n">
        <v>59.5</v>
      </c>
      <c r="G90" s="17" t="n">
        <v>18</v>
      </c>
      <c r="H90" s="134" t="n">
        <v>226</v>
      </c>
      <c r="I90" s="135" t="n">
        <v>13500</v>
      </c>
      <c r="J90" s="135" t="inlineStr">
        <is>
          <t>중</t>
        </is>
      </c>
      <c r="K90" s="135" t="n">
        <v>12500</v>
      </c>
      <c r="L90" s="135" t="inlineStr">
        <is>
          <t>11</t>
        </is>
      </c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2" t="n">
        <v>3</v>
      </c>
      <c r="R90" s="122" t="n">
        <v>1</v>
      </c>
      <c r="S90" s="122" t="inlineStr">
        <is>
          <t>계</t>
        </is>
      </c>
      <c r="T90" s="5" t="n">
        <v>81</v>
      </c>
      <c r="U90" s="9" t="n"/>
    </row>
    <row r="91" ht="12" customFormat="1" customHeight="1" s="37">
      <c r="A91" s="75" t="inlineStr">
        <is>
          <t>사천동 대창1차</t>
        </is>
      </c>
      <c r="B91" s="76" t="inlineStr">
        <is>
          <t>98.04.</t>
        </is>
      </c>
      <c r="C91" s="131" t="n">
        <v>356</v>
      </c>
      <c r="D91" s="132" t="n">
        <v>67.7</v>
      </c>
      <c r="E91" s="133" t="n">
        <v>20</v>
      </c>
      <c r="F91" s="132" t="n">
        <v>49.5</v>
      </c>
      <c r="G91" s="17" t="n">
        <v>15</v>
      </c>
      <c r="H91" s="134" t="n">
        <v>105</v>
      </c>
      <c r="I91" s="135" t="n">
        <v>11000</v>
      </c>
      <c r="J91" s="135" t="inlineStr">
        <is>
          <t>12</t>
        </is>
      </c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2" t="n">
        <v>2</v>
      </c>
      <c r="R91" s="122" t="n">
        <v>1</v>
      </c>
      <c r="S91" s="122" t="inlineStr">
        <is>
          <t>계</t>
        </is>
      </c>
      <c r="T91" s="5" t="n">
        <v>67</v>
      </c>
      <c r="U91" s="9" t="n"/>
    </row>
    <row r="92" ht="12" customFormat="1" customHeight="1" s="37">
      <c r="A92" s="75" t="inlineStr">
        <is>
          <t>율량동 율량효성2차</t>
        </is>
      </c>
      <c r="B92" s="76" t="inlineStr">
        <is>
          <t>97.01.</t>
        </is>
      </c>
      <c r="C92" s="131" t="n">
        <v>440</v>
      </c>
      <c r="D92" s="132" t="n">
        <v>63.5</v>
      </c>
      <c r="E92" s="133" t="n">
        <v>19</v>
      </c>
      <c r="F92" s="132" t="n">
        <v>45.3</v>
      </c>
      <c r="G92" s="17" t="n">
        <v>14</v>
      </c>
      <c r="H92" s="134" t="n">
        <v>178</v>
      </c>
      <c r="I92" s="135" t="n">
        <v>9500</v>
      </c>
      <c r="J92" s="135" t="inlineStr">
        <is>
          <t>고</t>
        </is>
      </c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2" t="n">
        <v>2</v>
      </c>
      <c r="R92" s="122" t="n">
        <v>1</v>
      </c>
      <c r="S92" s="122" t="inlineStr">
        <is>
          <t>복</t>
        </is>
      </c>
      <c r="T92" s="5" t="n">
        <v>63</v>
      </c>
      <c r="U92" s="9" t="n"/>
    </row>
    <row r="93" ht="12" customFormat="1" customHeight="1" s="37">
      <c r="A93" s="75" t="inlineStr">
        <is>
          <t>율량동 한울3차</t>
        </is>
      </c>
      <c r="B93" s="76" t="inlineStr">
        <is>
          <t>98.12.</t>
        </is>
      </c>
      <c r="C93" s="131" t="n">
        <v>523</v>
      </c>
      <c r="D93" s="132" t="n">
        <v>62</v>
      </c>
      <c r="E93" s="133" t="n">
        <v>19</v>
      </c>
      <c r="F93" s="132" t="n">
        <v>45.4</v>
      </c>
      <c r="G93" s="17" t="n">
        <v>14</v>
      </c>
      <c r="H93" s="134" t="n">
        <v>224</v>
      </c>
      <c r="I93" s="135" t="n">
        <v>9300</v>
      </c>
      <c r="J93" s="135" t="inlineStr">
        <is>
          <t>9</t>
        </is>
      </c>
      <c r="K93" s="135" t="n">
        <v>7500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2" t="n">
        <v>2</v>
      </c>
      <c r="R93" s="122" t="n">
        <v>1</v>
      </c>
      <c r="S93" s="122" t="inlineStr">
        <is>
          <t>복</t>
        </is>
      </c>
      <c r="T93" s="5" t="n">
        <v>62</v>
      </c>
      <c r="U93" s="9" t="n"/>
    </row>
    <row r="94" ht="12" customFormat="1" customHeight="1" s="37">
      <c r="A94" s="75" t="inlineStr">
        <is>
          <t>내수읍 삼일</t>
        </is>
      </c>
      <c r="B94" s="76" t="inlineStr">
        <is>
          <t>96.10.</t>
        </is>
      </c>
      <c r="C94" s="131" t="n">
        <v>883</v>
      </c>
      <c r="D94" s="132" t="n">
        <v>78.09999999999999</v>
      </c>
      <c r="E94" s="133" t="n">
        <v>24</v>
      </c>
      <c r="F94" s="132" t="n">
        <v>59.7</v>
      </c>
      <c r="G94" s="17" t="n">
        <v>18</v>
      </c>
      <c r="H94" s="134" t="n">
        <v>750</v>
      </c>
      <c r="I94" s="135" t="n">
        <v>7900</v>
      </c>
      <c r="J94" s="135" t="inlineStr">
        <is>
          <t>중</t>
        </is>
      </c>
      <c r="K94" s="135" t="n">
        <v>8000</v>
      </c>
      <c r="L94" s="135" t="inlineStr">
        <is>
          <t>중</t>
        </is>
      </c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2" t="n">
        <v>3</v>
      </c>
      <c r="R94" s="122" t="n">
        <v>1</v>
      </c>
      <c r="S94" s="122" t="inlineStr">
        <is>
          <t>복</t>
        </is>
      </c>
      <c r="T94" s="5" t="inlineStr">
        <is>
          <t>78A</t>
        </is>
      </c>
      <c r="U94" s="9" t="n"/>
    </row>
    <row r="95" ht="12" customFormat="1" customHeight="1" s="37">
      <c r="A95" s="75" t="inlineStr">
        <is>
          <t>내수읍 진흥1차</t>
        </is>
      </c>
      <c r="B95" s="76" t="inlineStr">
        <is>
          <t>90.12.</t>
        </is>
      </c>
      <c r="C95" s="131" t="n">
        <v>425</v>
      </c>
      <c r="D95" s="132" t="n">
        <v>67.5</v>
      </c>
      <c r="E95" s="133" t="n">
        <v>20</v>
      </c>
      <c r="F95" s="132" t="n">
        <v>59.9</v>
      </c>
      <c r="G95" s="17" t="n">
        <v>18</v>
      </c>
      <c r="H95" s="134" t="n">
        <v>358</v>
      </c>
      <c r="I95" s="135" t="n">
        <v>6500</v>
      </c>
      <c r="J95" s="135" t="inlineStr">
        <is>
          <t>5</t>
        </is>
      </c>
      <c r="K95" s="135" t="n">
        <v>4000</v>
      </c>
      <c r="L95" s="135" t="inlineStr">
        <is>
          <t>6</t>
        </is>
      </c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2" t="n">
        <v>2</v>
      </c>
      <c r="R95" s="122" t="n">
        <v>1</v>
      </c>
      <c r="S95" s="122" t="inlineStr">
        <is>
          <t>계</t>
        </is>
      </c>
      <c r="T95" s="5" t="inlineStr">
        <is>
          <t>67A</t>
        </is>
      </c>
      <c r="U95" s="9" t="n"/>
    </row>
    <row r="96" ht="12" customFormat="1" customHeight="1" s="37">
      <c r="A96" s="75" t="inlineStr">
        <is>
          <t>율량동 두진백로그린타운</t>
        </is>
      </c>
      <c r="B96" s="76" t="inlineStr">
        <is>
          <t>96.06.</t>
        </is>
      </c>
      <c r="C96" s="131" t="n">
        <v>608</v>
      </c>
      <c r="D96" s="132" t="n">
        <v>40.8</v>
      </c>
      <c r="E96" s="133" t="n">
        <v>12</v>
      </c>
      <c r="F96" s="132" t="n">
        <v>32.8</v>
      </c>
      <c r="G96" s="17" t="n">
        <v>10</v>
      </c>
      <c r="H96" s="134" t="n">
        <v>243</v>
      </c>
      <c r="I96" s="135" t="n">
        <v>5600</v>
      </c>
      <c r="J96" s="135" t="inlineStr">
        <is>
          <t>5</t>
        </is>
      </c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2" t="n">
        <v>1</v>
      </c>
      <c r="R96" s="122" t="n">
        <v>1</v>
      </c>
      <c r="S96" s="122" t="inlineStr">
        <is>
          <t>복</t>
        </is>
      </c>
      <c r="T96" s="5" t="n">
        <v>40</v>
      </c>
      <c r="U96" s="9" t="n"/>
    </row>
    <row r="97" ht="12" customFormat="1" customHeight="1" s="37">
      <c r="A97" s="75" t="inlineStr">
        <is>
          <t>사천동 덕성그린</t>
        </is>
      </c>
      <c r="B97" s="76" t="inlineStr">
        <is>
          <t>97.11.</t>
        </is>
      </c>
      <c r="C97" s="131" t="n">
        <v>411</v>
      </c>
      <c r="D97" s="132" t="n">
        <v>50.4</v>
      </c>
      <c r="E97" s="133" t="n">
        <v>15</v>
      </c>
      <c r="F97" s="132" t="n">
        <v>35.9</v>
      </c>
      <c r="G97" s="17" t="n">
        <v>11</v>
      </c>
      <c r="H97" s="134" t="n">
        <v>56</v>
      </c>
      <c r="I97" s="135" t="n">
        <v>5500</v>
      </c>
      <c r="J97" s="135" t="inlineStr">
        <is>
          <t>12</t>
        </is>
      </c>
      <c r="K97" s="135" t="n">
        <v>3600</v>
      </c>
      <c r="L97" s="135" t="inlineStr">
        <is>
          <t>12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2" t="n">
        <v>2</v>
      </c>
      <c r="R97" s="122" t="n">
        <v>1</v>
      </c>
      <c r="S97" s="122" t="inlineStr">
        <is>
          <t>복</t>
        </is>
      </c>
      <c r="T97" s="5" t="n">
        <v>50</v>
      </c>
      <c r="U97" s="9" t="n"/>
    </row>
    <row r="98" ht="12" customFormat="1" customHeight="1" s="37">
      <c r="A98" s="75" t="inlineStr">
        <is>
          <t>사천동 정도드림-빌</t>
        </is>
      </c>
      <c r="B98" s="76" t="inlineStr">
        <is>
          <t>99.11.</t>
        </is>
      </c>
      <c r="C98" s="131" t="n">
        <v>499</v>
      </c>
      <c r="D98" s="132" t="n">
        <v>41.1</v>
      </c>
      <c r="E98" s="133" t="n">
        <v>12</v>
      </c>
      <c r="F98" s="132" t="n">
        <v>29.9</v>
      </c>
      <c r="G98" s="17" t="n">
        <v>9</v>
      </c>
      <c r="H98" s="134" t="n">
        <v>499</v>
      </c>
      <c r="I98" s="135" t="n">
        <v>5500</v>
      </c>
      <c r="J98" s="135" t="inlineStr">
        <is>
          <t>10</t>
        </is>
      </c>
      <c r="K98" s="135" t="n">
        <v>5000</v>
      </c>
      <c r="L98" s="135" t="inlineStr">
        <is>
          <t>9</t>
        </is>
      </c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2" t="n">
        <v>1</v>
      </c>
      <c r="R98" s="122" t="n">
        <v>1</v>
      </c>
      <c r="S98" s="122" t="inlineStr">
        <is>
          <t>복</t>
        </is>
      </c>
      <c r="T98" s="5" t="n">
        <v>41</v>
      </c>
      <c r="U98" s="9" t="n"/>
    </row>
    <row r="99" ht="12" customFormat="1" customHeight="1" s="37">
      <c r="A99" s="75" t="inlineStr">
        <is>
          <t>사천동 덕성그린</t>
        </is>
      </c>
      <c r="B99" s="76" t="inlineStr">
        <is>
          <t>97.11.</t>
        </is>
      </c>
      <c r="C99" s="131" t="n">
        <v>411</v>
      </c>
      <c r="D99" s="132" t="n">
        <v>46.8</v>
      </c>
      <c r="E99" s="133" t="n">
        <v>14</v>
      </c>
      <c r="F99" s="132" t="n">
        <v>33.3</v>
      </c>
      <c r="G99" s="17" t="n">
        <v>10</v>
      </c>
      <c r="H99" s="134" t="n">
        <v>355</v>
      </c>
      <c r="I99" s="135" t="n">
        <v>5000</v>
      </c>
      <c r="J99" s="135" t="inlineStr">
        <is>
          <t>14</t>
        </is>
      </c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2" t="n">
        <v>2</v>
      </c>
      <c r="R99" s="122" t="n">
        <v>1</v>
      </c>
      <c r="S99" s="122" t="inlineStr">
        <is>
          <t>복</t>
        </is>
      </c>
      <c r="T99" s="5" t="n">
        <v>46</v>
      </c>
      <c r="U99" s="9" t="n"/>
    </row>
    <row r="100" ht="12" customFormat="1" customHeight="1" s="37">
      <c r="A100" s="75" t="inlineStr">
        <is>
          <t>우암동 덕일한마음</t>
        </is>
      </c>
      <c r="B100" s="76" t="inlineStr">
        <is>
          <t>96.11.</t>
        </is>
      </c>
      <c r="C100" s="131" t="n">
        <v>345</v>
      </c>
      <c r="D100" s="132" t="n">
        <v>33.6</v>
      </c>
      <c r="E100" s="133" t="n">
        <v>10</v>
      </c>
      <c r="F100" s="132" t="n">
        <v>26.1</v>
      </c>
      <c r="G100" s="17" t="n">
        <v>8</v>
      </c>
      <c r="H100" s="134" t="n">
        <v>179</v>
      </c>
      <c r="I100" s="135" t="n">
        <v>4900</v>
      </c>
      <c r="J100" s="135" t="inlineStr">
        <is>
          <t>15</t>
        </is>
      </c>
      <c r="K100" s="135" t="n">
        <v>5000</v>
      </c>
      <c r="L100" s="135" t="inlineStr">
        <is>
          <t>고</t>
        </is>
      </c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2" t="n">
        <v>1</v>
      </c>
      <c r="R100" s="122" t="n">
        <v>1</v>
      </c>
      <c r="S100" s="122" t="inlineStr">
        <is>
          <t>계</t>
        </is>
      </c>
      <c r="T100" s="5" t="n">
        <v>33</v>
      </c>
      <c r="U100" s="9" t="n"/>
    </row>
    <row r="101" ht="12" customFormat="1" customHeight="1" s="37">
      <c r="A101" s="75" t="inlineStr">
        <is>
          <t>내수읍 덕일한마음</t>
        </is>
      </c>
      <c r="B101" s="76" t="inlineStr">
        <is>
          <t>97.10.</t>
        </is>
      </c>
      <c r="C101" s="131" t="n">
        <v>910</v>
      </c>
      <c r="D101" s="132" t="n">
        <v>61</v>
      </c>
      <c r="E101" s="133" t="n">
        <v>18</v>
      </c>
      <c r="F101" s="132" t="n">
        <v>45.3</v>
      </c>
      <c r="G101" s="17" t="n">
        <v>14</v>
      </c>
      <c r="H101" s="134" t="n">
        <v>360</v>
      </c>
      <c r="I101" s="135" t="n">
        <v>4800</v>
      </c>
      <c r="J101" s="135" t="inlineStr">
        <is>
          <t>9</t>
        </is>
      </c>
      <c r="K101" s="135" t="n">
        <v>3000</v>
      </c>
      <c r="L101" s="135" t="inlineStr">
        <is>
          <t>6</t>
        </is>
      </c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2" t="n">
        <v>2</v>
      </c>
      <c r="R101" s="122" t="n">
        <v>1</v>
      </c>
      <c r="S101" s="122" t="inlineStr">
        <is>
          <t>복</t>
        </is>
      </c>
      <c r="T101" s="5" t="n">
        <v>61</v>
      </c>
      <c r="U101" s="9" t="n"/>
    </row>
    <row r="102" ht="12" customFormat="1" customHeight="1" s="37">
      <c r="A102" s="75" t="inlineStr">
        <is>
          <t>율량동 한울3차</t>
        </is>
      </c>
      <c r="B102" s="76" t="inlineStr">
        <is>
          <t>98.12.</t>
        </is>
      </c>
      <c r="C102" s="131" t="n">
        <v>523</v>
      </c>
      <c r="D102" s="132" t="n">
        <v>40.9</v>
      </c>
      <c r="E102" s="133" t="n">
        <v>12</v>
      </c>
      <c r="F102" s="132" t="n">
        <v>30.3</v>
      </c>
      <c r="G102" s="17" t="n">
        <v>9</v>
      </c>
      <c r="H102" s="134" t="n">
        <v>299</v>
      </c>
      <c r="I102" s="135" t="n">
        <v>4500</v>
      </c>
      <c r="J102" s="135" t="inlineStr">
        <is>
          <t>7</t>
        </is>
      </c>
      <c r="K102" s="135" t="n">
        <v>3100</v>
      </c>
      <c r="L102" s="135" t="inlineStr">
        <is>
          <t>중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2" t="n">
        <v>1</v>
      </c>
      <c r="R102" s="122" t="n">
        <v>1</v>
      </c>
      <c r="S102" s="122" t="inlineStr">
        <is>
          <t>복</t>
        </is>
      </c>
      <c r="T102" s="5" t="n">
        <v>40</v>
      </c>
      <c r="U102" s="9" t="n"/>
    </row>
    <row r="103" ht="12" customFormat="1" customHeight="1" s="37">
      <c r="A103" s="75" t="inlineStr">
        <is>
          <t>내수읍 은곡무지개</t>
        </is>
      </c>
      <c r="B103" s="76" t="inlineStr">
        <is>
          <t>00.05.</t>
        </is>
      </c>
      <c r="C103" s="131" t="n">
        <v>700</v>
      </c>
      <c r="D103" s="132" t="n">
        <v>52.2</v>
      </c>
      <c r="E103" s="133" t="n">
        <v>16</v>
      </c>
      <c r="F103" s="132" t="n">
        <v>39.8</v>
      </c>
      <c r="G103" s="17" t="n">
        <v>12</v>
      </c>
      <c r="H103" s="134" t="n">
        <v>460</v>
      </c>
      <c r="I103" s="135" t="n">
        <v>4200</v>
      </c>
      <c r="J103" s="135" t="inlineStr">
        <is>
          <t>10</t>
        </is>
      </c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2" t="n">
        <v>2</v>
      </c>
      <c r="R103" s="122" t="n">
        <v>1</v>
      </c>
      <c r="S103" s="122" t="inlineStr">
        <is>
          <t>계</t>
        </is>
      </c>
      <c r="T103" s="5" t="n">
        <v>52</v>
      </c>
      <c r="U103" s="9" t="n"/>
    </row>
    <row r="104" ht="12" customFormat="1" customHeight="1" s="37">
      <c r="A104" s="75" t="inlineStr">
        <is>
          <t>내수읍 덕일한마음</t>
        </is>
      </c>
      <c r="B104" s="76" t="inlineStr">
        <is>
          <t>97.10.</t>
        </is>
      </c>
      <c r="C104" s="131" t="n">
        <v>910</v>
      </c>
      <c r="D104" s="132" t="n">
        <v>50.2</v>
      </c>
      <c r="E104" s="133" t="n">
        <v>15</v>
      </c>
      <c r="F104" s="132" t="n">
        <v>38.6</v>
      </c>
      <c r="G104" s="17" t="n">
        <v>12</v>
      </c>
      <c r="H104" s="134" t="n">
        <v>440</v>
      </c>
      <c r="I104" s="135" t="n">
        <v>3000</v>
      </c>
      <c r="J104" s="135" t="inlineStr">
        <is>
          <t>5</t>
        </is>
      </c>
      <c r="K104" s="135" t="n">
        <v>1800</v>
      </c>
      <c r="L104" s="135" t="inlineStr">
        <is>
          <t>5</t>
        </is>
      </c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2" t="n">
        <v>1</v>
      </c>
      <c r="R104" s="122" t="n">
        <v>1</v>
      </c>
      <c r="S104" s="122" t="inlineStr">
        <is>
          <t>복</t>
        </is>
      </c>
      <c r="T104" s="5" t="n">
        <v>50</v>
      </c>
      <c r="U104" s="9" t="n"/>
    </row>
    <row r="105" ht="12" customFormat="1" customHeight="1" s="37">
      <c r="A105" s="75" t="inlineStr">
        <is>
          <t>내덕동 이랜드해가든</t>
        </is>
      </c>
      <c r="B105" s="76" t="inlineStr">
        <is>
          <t>09.05.</t>
        </is>
      </c>
      <c r="C105" s="131" t="n">
        <v>236</v>
      </c>
      <c r="D105" s="132" t="n">
        <v>112.9</v>
      </c>
      <c r="E105" s="133" t="n">
        <v>34</v>
      </c>
      <c r="F105" s="132" t="n">
        <v>84.90000000000001</v>
      </c>
      <c r="G105" s="17" t="n">
        <v>26</v>
      </c>
      <c r="H105" s="134" t="n">
        <v>120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2" t="n">
        <v>3</v>
      </c>
      <c r="R105" s="122" t="n">
        <v>2</v>
      </c>
      <c r="S105" s="122" t="inlineStr">
        <is>
          <t>계</t>
        </is>
      </c>
      <c r="T105" s="5" t="inlineStr">
        <is>
          <t>112B</t>
        </is>
      </c>
      <c r="U105" s="9" t="n"/>
    </row>
    <row r="106" ht="12" customFormat="1" customHeight="1" s="37">
      <c r="A106" s="75" t="inlineStr">
        <is>
          <t>내덕동 삼일</t>
        </is>
      </c>
      <c r="B106" s="76" t="inlineStr">
        <is>
          <t>89.11.</t>
        </is>
      </c>
      <c r="C106" s="131" t="n">
        <v>200</v>
      </c>
      <c r="D106" s="132" t="n">
        <v>109.1</v>
      </c>
      <c r="E106" s="133" t="n">
        <v>33</v>
      </c>
      <c r="F106" s="132" t="n">
        <v>85</v>
      </c>
      <c r="G106" s="17" t="n">
        <v>26</v>
      </c>
      <c r="H106" s="134" t="n">
        <v>200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2" t="n">
        <v>3</v>
      </c>
      <c r="R106" s="122" t="n">
        <v>2</v>
      </c>
      <c r="S106" s="122" t="inlineStr">
        <is>
          <t>계</t>
        </is>
      </c>
      <c r="T106" s="5" t="n">
        <v>109</v>
      </c>
      <c r="U106" s="9" t="n"/>
    </row>
    <row r="107" ht="12" customFormat="1" customHeight="1" s="37">
      <c r="A107" s="75" t="inlineStr">
        <is>
          <t>내덕동 영우예인촌</t>
        </is>
      </c>
      <c r="B107" s="76" t="inlineStr">
        <is>
          <t>97.04.</t>
        </is>
      </c>
      <c r="C107" s="131" t="n">
        <v>280</v>
      </c>
      <c r="D107" s="132" t="n">
        <v>41</v>
      </c>
      <c r="E107" s="133" t="n">
        <v>12</v>
      </c>
      <c r="F107" s="132" t="n">
        <v>30.3</v>
      </c>
      <c r="G107" s="17" t="n">
        <v>9</v>
      </c>
      <c r="H107" s="134" t="n">
        <v>250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2" t="n">
        <v>2</v>
      </c>
      <c r="R107" s="122" t="n">
        <v>1</v>
      </c>
      <c r="S107" s="122" t="inlineStr">
        <is>
          <t>계</t>
        </is>
      </c>
      <c r="T107" s="5" t="n">
        <v>40</v>
      </c>
      <c r="U107" s="9" t="n"/>
    </row>
    <row r="108" ht="12" customFormat="1" customHeight="1" s="37">
      <c r="A108" s="75" t="inlineStr">
        <is>
          <t>내덕동 영우예인촌</t>
        </is>
      </c>
      <c r="B108" s="76" t="inlineStr">
        <is>
          <t>97.04.</t>
        </is>
      </c>
      <c r="C108" s="131" t="n">
        <v>280</v>
      </c>
      <c r="D108" s="132" t="n">
        <v>57.1</v>
      </c>
      <c r="E108" s="133" t="n">
        <v>17</v>
      </c>
      <c r="F108" s="132" t="n">
        <v>43.3</v>
      </c>
      <c r="G108" s="17" t="n">
        <v>13</v>
      </c>
      <c r="H108" s="134" t="n">
        <v>30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2" t="n">
        <v>2</v>
      </c>
      <c r="R108" s="122" t="n">
        <v>1</v>
      </c>
      <c r="S108" s="122" t="inlineStr">
        <is>
          <t>계</t>
        </is>
      </c>
      <c r="T108" s="5" t="n">
        <v>57</v>
      </c>
      <c r="U108" s="9" t="n"/>
    </row>
    <row r="109" ht="12" customFormat="1" customHeight="1" s="37">
      <c r="A109" s="75" t="inlineStr">
        <is>
          <t>내덕동 롯데삼성</t>
        </is>
      </c>
      <c r="B109" s="76" t="inlineStr">
        <is>
          <t>86.11.</t>
        </is>
      </c>
      <c r="C109" s="131" t="n">
        <v>252</v>
      </c>
      <c r="D109" s="132" t="n">
        <v>55.1</v>
      </c>
      <c r="E109" s="133" t="n">
        <v>17</v>
      </c>
      <c r="F109" s="132" t="n">
        <v>43.9</v>
      </c>
      <c r="G109" s="17" t="n">
        <v>13</v>
      </c>
      <c r="H109" s="134" t="n">
        <v>156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2" t="n">
        <v>3</v>
      </c>
      <c r="R109" s="122" t="n">
        <v>1</v>
      </c>
      <c r="S109" s="122" t="inlineStr">
        <is>
          <t>계</t>
        </is>
      </c>
      <c r="T109" s="5" t="n">
        <v>55</v>
      </c>
      <c r="U109" s="9" t="n"/>
    </row>
    <row r="110" ht="12" customFormat="1" customHeight="1" s="37">
      <c r="A110" s="75" t="inlineStr">
        <is>
          <t>내덕동 롯데삼성</t>
        </is>
      </c>
      <c r="B110" s="76" t="inlineStr">
        <is>
          <t>86.11.</t>
        </is>
      </c>
      <c r="C110" s="131" t="n">
        <v>252</v>
      </c>
      <c r="D110" s="132" t="n">
        <v>68.40000000000001</v>
      </c>
      <c r="E110" s="133" t="n">
        <v>21</v>
      </c>
      <c r="F110" s="132" t="n">
        <v>55.4</v>
      </c>
      <c r="G110" s="17" t="n">
        <v>17</v>
      </c>
      <c r="H110" s="134" t="n">
        <v>96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2" t="n">
        <v>3</v>
      </c>
      <c r="R110" s="122" t="n">
        <v>1</v>
      </c>
      <c r="S110" s="122" t="inlineStr">
        <is>
          <t>계</t>
        </is>
      </c>
      <c r="T110" s="5" t="n">
        <v>68</v>
      </c>
      <c r="U110" s="9" t="n"/>
    </row>
    <row r="111" ht="12" customFormat="1" customHeight="1" s="37">
      <c r="A111" s="75" t="inlineStr">
        <is>
          <t>내덕동 시영</t>
        </is>
      </c>
      <c r="B111" s="76" t="inlineStr">
        <is>
          <t>82.06.</t>
        </is>
      </c>
      <c r="C111" s="131" t="n">
        <v>300</v>
      </c>
      <c r="D111" s="132" t="n">
        <v>51.8</v>
      </c>
      <c r="E111" s="133" t="n">
        <v>16</v>
      </c>
      <c r="F111" s="132" t="n">
        <v>45.1</v>
      </c>
      <c r="G111" s="17" t="n">
        <v>14</v>
      </c>
      <c r="H111" s="134" t="n">
        <v>60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2" t="n">
        <v>2</v>
      </c>
      <c r="R111" s="122" t="n">
        <v>1</v>
      </c>
      <c r="S111" s="122" t="inlineStr">
        <is>
          <t>계</t>
        </is>
      </c>
      <c r="T111" s="5" t="inlineStr">
        <is>
          <t>51A</t>
        </is>
      </c>
      <c r="U111" s="9" t="n"/>
    </row>
    <row r="112" ht="12" customFormat="1" customHeight="1" s="37">
      <c r="A112" s="75" t="inlineStr">
        <is>
          <t>내덕동 시영</t>
        </is>
      </c>
      <c r="B112" s="76" t="inlineStr">
        <is>
          <t>82.06.</t>
        </is>
      </c>
      <c r="C112" s="131" t="n">
        <v>300</v>
      </c>
      <c r="D112" s="132" t="n">
        <v>61.7</v>
      </c>
      <c r="E112" s="133" t="n">
        <v>19</v>
      </c>
      <c r="F112" s="132" t="n">
        <v>54.2</v>
      </c>
      <c r="G112" s="17" t="n">
        <v>16</v>
      </c>
      <c r="H112" s="134" t="n">
        <v>100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2" t="n">
        <v>3</v>
      </c>
      <c r="R112" s="122" t="n">
        <v>1</v>
      </c>
      <c r="S112" s="122" t="inlineStr">
        <is>
          <t>계</t>
        </is>
      </c>
      <c r="T112" s="5" t="n">
        <v>61</v>
      </c>
      <c r="U112" s="9" t="n"/>
    </row>
    <row r="113" ht="12" customFormat="1" customHeight="1" s="37">
      <c r="A113" s="75" t="inlineStr">
        <is>
          <t>내수읍 은곡무지개</t>
        </is>
      </c>
      <c r="B113" s="76" t="inlineStr">
        <is>
          <t>00.05.</t>
        </is>
      </c>
      <c r="C113" s="131" t="n">
        <v>700</v>
      </c>
      <c r="D113" s="132" t="n">
        <v>43.1</v>
      </c>
      <c r="E113" s="133" t="n">
        <v>13</v>
      </c>
      <c r="F113" s="132" t="n">
        <v>33.6</v>
      </c>
      <c r="G113" s="17" t="n">
        <v>10</v>
      </c>
      <c r="H113" s="134" t="n">
        <v>240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2" t="n">
        <v>1</v>
      </c>
      <c r="R113" s="122" t="n">
        <v>1</v>
      </c>
      <c r="S113" s="122" t="inlineStr">
        <is>
          <t>계</t>
        </is>
      </c>
      <c r="T113" s="5" t="n">
        <v>43</v>
      </c>
      <c r="U113" s="9" t="n"/>
    </row>
    <row r="114" ht="12" customFormat="1" customHeight="1" s="37">
      <c r="A114" s="75" t="inlineStr">
        <is>
          <t>내수읍 우창진주2차(51-3)</t>
        </is>
      </c>
      <c r="B114" s="76" t="inlineStr">
        <is>
          <t>97.03.</t>
        </is>
      </c>
      <c r="C114" s="131" t="n">
        <v>298</v>
      </c>
      <c r="D114" s="132" t="n">
        <v>78.59999999999999</v>
      </c>
      <c r="E114" s="133" t="n">
        <v>24</v>
      </c>
      <c r="F114" s="132" t="n">
        <v>59.7</v>
      </c>
      <c r="G114" s="17" t="n">
        <v>18</v>
      </c>
      <c r="H114" s="134" t="n">
        <v>298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2" t="n">
        <v>3</v>
      </c>
      <c r="R114" s="122" t="n">
        <v>1</v>
      </c>
      <c r="S114" s="122" t="inlineStr">
        <is>
          <t>복</t>
        </is>
      </c>
      <c r="T114" s="5" t="n">
        <v>78</v>
      </c>
      <c r="U114" s="9" t="n"/>
    </row>
    <row r="115" ht="12" customFormat="1" customHeight="1" s="37">
      <c r="A115" s="75" t="inlineStr">
        <is>
          <t>내수읍 천일은곡</t>
        </is>
      </c>
      <c r="B115" s="76" t="inlineStr">
        <is>
          <t>00.06.</t>
        </is>
      </c>
      <c r="C115" s="131" t="n">
        <v>494</v>
      </c>
      <c r="D115" s="132" t="n">
        <v>71.59999999999999</v>
      </c>
      <c r="E115" s="133" t="n">
        <v>22</v>
      </c>
      <c r="F115" s="132" t="n">
        <v>59.7</v>
      </c>
      <c r="G115" s="17" t="n">
        <v>18</v>
      </c>
      <c r="H115" s="134" t="n">
        <v>494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2" t="n">
        <v>3</v>
      </c>
      <c r="R115" s="122" t="n">
        <v>1</v>
      </c>
      <c r="S115" s="122" t="inlineStr">
        <is>
          <t>계</t>
        </is>
      </c>
      <c r="T115" s="5" t="n">
        <v>71</v>
      </c>
      <c r="U115" s="9" t="n"/>
    </row>
    <row r="116" ht="12" customFormat="1" customHeight="1" s="37">
      <c r="A116" s="75" t="inlineStr">
        <is>
          <t>내수읍 삼일</t>
        </is>
      </c>
      <c r="B116" s="76" t="inlineStr">
        <is>
          <t>96.10.</t>
        </is>
      </c>
      <c r="C116" s="131" t="n">
        <v>883</v>
      </c>
      <c r="D116" s="132" t="n">
        <v>36.1</v>
      </c>
      <c r="E116" s="133" t="n">
        <v>11</v>
      </c>
      <c r="F116" s="132" t="n">
        <v>26.6</v>
      </c>
      <c r="G116" s="17" t="n">
        <v>8</v>
      </c>
      <c r="H116" s="134" t="n">
        <v>132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2" t="n">
        <v>1</v>
      </c>
      <c r="R116" s="122" t="n">
        <v>1</v>
      </c>
      <c r="S116" s="122" t="inlineStr">
        <is>
          <t>복</t>
        </is>
      </c>
      <c r="T116" s="5" t="n">
        <v>36</v>
      </c>
      <c r="U116" s="9" t="n"/>
    </row>
    <row r="117" ht="12" customFormat="1" customHeight="1" s="37">
      <c r="A117" s="75" t="inlineStr">
        <is>
          <t>내수읍 우창진주1차(56)</t>
        </is>
      </c>
      <c r="B117" s="76" t="inlineStr">
        <is>
          <t>95.12.</t>
        </is>
      </c>
      <c r="C117" s="131" t="n">
        <v>264</v>
      </c>
      <c r="D117" s="132" t="n">
        <v>63.1</v>
      </c>
      <c r="E117" s="133" t="n">
        <v>19</v>
      </c>
      <c r="F117" s="132" t="n">
        <v>49.8</v>
      </c>
      <c r="G117" s="17" t="n">
        <v>15</v>
      </c>
      <c r="H117" s="134" t="n">
        <v>132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2" t="n">
        <v>2</v>
      </c>
      <c r="R117" s="122" t="n">
        <v>1</v>
      </c>
      <c r="S117" s="122" t="inlineStr">
        <is>
          <t>복</t>
        </is>
      </c>
      <c r="T117" s="5" t="n">
        <v>63</v>
      </c>
      <c r="U117" s="9" t="n"/>
    </row>
    <row r="118" ht="12" customFormat="1" customHeight="1" s="37">
      <c r="A118" s="75" t="inlineStr">
        <is>
          <t>내수읍 우창진주1차(56)</t>
        </is>
      </c>
      <c r="B118" s="76" t="inlineStr">
        <is>
          <t>95.12.</t>
        </is>
      </c>
      <c r="C118" s="131" t="n">
        <v>264</v>
      </c>
      <c r="D118" s="132" t="n">
        <v>75.2</v>
      </c>
      <c r="E118" s="133" t="n">
        <v>23</v>
      </c>
      <c r="F118" s="132" t="n">
        <v>60</v>
      </c>
      <c r="G118" s="17" t="n">
        <v>18</v>
      </c>
      <c r="H118" s="134" t="n">
        <v>132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2" t="n">
        <v>3</v>
      </c>
      <c r="R118" s="122" t="n">
        <v>1</v>
      </c>
      <c r="S118" s="122" t="inlineStr">
        <is>
          <t>복</t>
        </is>
      </c>
      <c r="T118" s="5" t="n">
        <v>75</v>
      </c>
      <c r="U118" s="9" t="n"/>
    </row>
    <row r="119" ht="12" customFormat="1" customHeight="1" s="37">
      <c r="A119" s="75" t="inlineStr">
        <is>
          <t>내수읍 진흥1차</t>
        </is>
      </c>
      <c r="B119" s="76" t="inlineStr">
        <is>
          <t>90.12.</t>
        </is>
      </c>
      <c r="C119" s="131" t="n">
        <v>425</v>
      </c>
      <c r="D119" s="132" t="n">
        <v>38.3</v>
      </c>
      <c r="E119" s="133" t="n">
        <v>12</v>
      </c>
      <c r="F119" s="132" t="n">
        <v>28.7</v>
      </c>
      <c r="G119" s="17" t="n">
        <v>9</v>
      </c>
      <c r="H119" s="134" t="n">
        <v>61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2" t="n">
        <v>1</v>
      </c>
      <c r="R119" s="122" t="n">
        <v>1</v>
      </c>
      <c r="S119" s="122" t="inlineStr">
        <is>
          <t>계</t>
        </is>
      </c>
      <c r="T119" s="5" t="n">
        <v>38</v>
      </c>
      <c r="U119" s="9" t="n"/>
    </row>
    <row r="120" ht="12" customFormat="1" customHeight="1" s="37">
      <c r="A120" s="75" t="inlineStr">
        <is>
          <t>내수읍 우창진주3차</t>
        </is>
      </c>
      <c r="B120" s="76" t="inlineStr">
        <is>
          <t>98.01.</t>
        </is>
      </c>
      <c r="C120" s="131" t="n">
        <v>295</v>
      </c>
      <c r="D120" s="132" t="n">
        <v>84.7</v>
      </c>
      <c r="E120" s="133" t="n">
        <v>26</v>
      </c>
      <c r="F120" s="132" t="n">
        <v>59.9</v>
      </c>
      <c r="G120" s="17" t="n">
        <v>18</v>
      </c>
      <c r="H120" s="134" t="n">
        <v>242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2" t="n">
        <v>2</v>
      </c>
      <c r="R120" s="122" t="n">
        <v>1</v>
      </c>
      <c r="S120" s="122" t="inlineStr">
        <is>
          <t>복</t>
        </is>
      </c>
      <c r="T120" s="5" t="inlineStr">
        <is>
          <t>84A</t>
        </is>
      </c>
      <c r="U120" s="9" t="n"/>
    </row>
    <row r="121" ht="12" customFormat="1" customHeight="1" s="37">
      <c r="A121" s="75" t="inlineStr">
        <is>
          <t>내수읍 진흥2차</t>
        </is>
      </c>
      <c r="B121" s="76" t="inlineStr">
        <is>
          <t>92.11.</t>
        </is>
      </c>
      <c r="C121" s="131" t="n">
        <v>299</v>
      </c>
      <c r="D121" s="132" t="n">
        <v>75.7</v>
      </c>
      <c r="E121" s="133" t="n">
        <v>23</v>
      </c>
      <c r="F121" s="132" t="n">
        <v>60</v>
      </c>
      <c r="G121" s="17" t="n">
        <v>18</v>
      </c>
      <c r="H121" s="134" t="n">
        <v>233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2" t="n">
        <v>2</v>
      </c>
      <c r="R121" s="122" t="n">
        <v>1</v>
      </c>
      <c r="S121" s="122" t="inlineStr">
        <is>
          <t>계</t>
        </is>
      </c>
      <c r="T121" s="5" t="n">
        <v>75</v>
      </c>
      <c r="U121" s="9" t="n"/>
    </row>
    <row r="122" ht="12" customFormat="1" customHeight="1" s="37">
      <c r="A122" s="75" t="inlineStr">
        <is>
          <t>사천동 사천동아1차</t>
        </is>
      </c>
      <c r="B122" s="76" t="inlineStr">
        <is>
          <t>94.05.</t>
        </is>
      </c>
      <c r="C122" s="131" t="n">
        <v>461</v>
      </c>
      <c r="D122" s="132" t="n">
        <v>103.6</v>
      </c>
      <c r="E122" s="133" t="n">
        <v>31</v>
      </c>
      <c r="F122" s="132" t="n">
        <v>84.8</v>
      </c>
      <c r="G122" s="17" t="n">
        <v>26</v>
      </c>
      <c r="H122" s="134" t="n">
        <v>319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2" t="n">
        <v>3</v>
      </c>
      <c r="R122" s="122" t="n">
        <v>2</v>
      </c>
      <c r="S122" s="122" t="inlineStr">
        <is>
          <t>계</t>
        </is>
      </c>
      <c r="T122" s="5" t="n">
        <v>103</v>
      </c>
      <c r="U122" s="9" t="n"/>
    </row>
    <row r="123" ht="12" customFormat="1" customHeight="1" s="37">
      <c r="A123" s="75" t="inlineStr">
        <is>
          <t>사천동 사천동아2차</t>
        </is>
      </c>
      <c r="B123" s="76" t="inlineStr">
        <is>
          <t>96.02.</t>
        </is>
      </c>
      <c r="C123" s="131" t="n">
        <v>398</v>
      </c>
      <c r="D123" s="132" t="n">
        <v>76.59999999999999</v>
      </c>
      <c r="E123" s="133" t="n">
        <v>23</v>
      </c>
      <c r="F123" s="132" t="n">
        <v>60</v>
      </c>
      <c r="G123" s="17" t="n">
        <v>18</v>
      </c>
      <c r="H123" s="134" t="n">
        <v>131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2" t="n">
        <v>3</v>
      </c>
      <c r="R123" s="122" t="n">
        <v>1</v>
      </c>
      <c r="S123" s="122" t="inlineStr">
        <is>
          <t>계</t>
        </is>
      </c>
      <c r="T123" s="5" t="n">
        <v>76</v>
      </c>
      <c r="U123" s="9" t="n"/>
    </row>
    <row r="124" ht="12" customFormat="1" customHeight="1" s="37">
      <c r="A124" s="75" t="inlineStr">
        <is>
          <t>사천동 청주사천푸르지오</t>
        </is>
      </c>
      <c r="B124" s="76" t="inlineStr">
        <is>
          <t>18.08.</t>
        </is>
      </c>
      <c r="C124" s="131" t="n">
        <v>729</v>
      </c>
      <c r="D124" s="132" t="n">
        <v>112.1</v>
      </c>
      <c r="E124" s="133" t="n">
        <v>34</v>
      </c>
      <c r="F124" s="132" t="n">
        <v>85</v>
      </c>
      <c r="G124" s="17" t="n">
        <v>26</v>
      </c>
      <c r="H124" s="134" t="n">
        <v>406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2" t="n">
        <v>4</v>
      </c>
      <c r="R124" s="122" t="n">
        <v>2</v>
      </c>
      <c r="S124" s="122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사천동 신동아</t>
        </is>
      </c>
      <c r="B125" s="76" t="inlineStr">
        <is>
          <t>93.05.</t>
        </is>
      </c>
      <c r="C125" s="131" t="n">
        <v>958</v>
      </c>
      <c r="D125" s="132" t="n">
        <v>146</v>
      </c>
      <c r="E125" s="133" t="n">
        <v>44</v>
      </c>
      <c r="F125" s="132" t="n">
        <v>123.8</v>
      </c>
      <c r="G125" s="17" t="n">
        <v>37</v>
      </c>
      <c r="H125" s="134" t="n">
        <v>178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2" t="n">
        <v>4</v>
      </c>
      <c r="R125" s="122" t="n">
        <v>2</v>
      </c>
      <c r="S125" s="122" t="inlineStr">
        <is>
          <t>계</t>
        </is>
      </c>
      <c r="T125" s="5" t="n">
        <v>145</v>
      </c>
      <c r="U125" s="9" t="n"/>
    </row>
    <row r="126" ht="12" customFormat="1" customHeight="1" s="37">
      <c r="A126" s="75" t="inlineStr">
        <is>
          <t>오창읍 대원칸타빌(2블럭)</t>
        </is>
      </c>
      <c r="B126" s="76" t="inlineStr">
        <is>
          <t>17.02.</t>
        </is>
      </c>
      <c r="C126" s="131" t="n">
        <v>592</v>
      </c>
      <c r="D126" s="132" t="n">
        <v>98.59999999999999</v>
      </c>
      <c r="E126" s="133" t="n">
        <v>30</v>
      </c>
      <c r="F126" s="132" t="n">
        <v>75.3</v>
      </c>
      <c r="G126" s="17" t="n">
        <v>23</v>
      </c>
      <c r="H126" s="134" t="n">
        <v>126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2" t="n">
        <v>3</v>
      </c>
      <c r="R126" s="122" t="n">
        <v>2</v>
      </c>
      <c r="S126" s="122" t="inlineStr">
        <is>
          <t>계</t>
        </is>
      </c>
      <c r="T126" s="5" t="n">
        <v>98</v>
      </c>
      <c r="U126" s="9" t="n"/>
    </row>
    <row r="127" ht="12" customFormat="1" customHeight="1" s="37">
      <c r="A127" s="75" t="inlineStr">
        <is>
          <t>오창읍 오창대성베르힐</t>
        </is>
      </c>
      <c r="B127" s="76" t="inlineStr">
        <is>
          <t>15.07.</t>
        </is>
      </c>
      <c r="C127" s="131" t="n">
        <v>587</v>
      </c>
      <c r="D127" s="132" t="n">
        <v>110.5</v>
      </c>
      <c r="E127" s="133" t="n">
        <v>33</v>
      </c>
      <c r="F127" s="132" t="n">
        <v>84.90000000000001</v>
      </c>
      <c r="G127" s="17" t="n">
        <v>26</v>
      </c>
      <c r="H127" s="134" t="n">
        <v>455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2" t="n">
        <v>4</v>
      </c>
      <c r="R127" s="122" t="n">
        <v>2</v>
      </c>
      <c r="S127" s="122" t="inlineStr">
        <is>
          <t>계</t>
        </is>
      </c>
      <c r="T127" s="5" t="n">
        <v>110</v>
      </c>
      <c r="U127" s="9" t="n"/>
    </row>
    <row r="128" ht="12" customFormat="1" customHeight="1" s="37">
      <c r="A128" s="75" t="inlineStr">
        <is>
          <t>오창읍 한라비발디</t>
        </is>
      </c>
      <c r="B128" s="76" t="inlineStr">
        <is>
          <t>06.05.</t>
        </is>
      </c>
      <c r="C128" s="131" t="n">
        <v>1529</v>
      </c>
      <c r="D128" s="132" t="n">
        <v>153.3</v>
      </c>
      <c r="E128" s="133" t="n">
        <v>46</v>
      </c>
      <c r="F128" s="132" t="n">
        <v>129.9</v>
      </c>
      <c r="G128" s="17" t="n">
        <v>39</v>
      </c>
      <c r="H128" s="134" t="n">
        <v>167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2" t="n">
        <v>4</v>
      </c>
      <c r="R128" s="122" t="n">
        <v>2</v>
      </c>
      <c r="S128" s="122" t="inlineStr">
        <is>
          <t>계</t>
        </is>
      </c>
      <c r="T128" s="5" t="n">
        <v>153</v>
      </c>
      <c r="U128" s="9" t="n"/>
    </row>
    <row r="129" ht="12" customFormat="1" customHeight="1" s="37">
      <c r="A129" s="75" t="inlineStr">
        <is>
          <t>오창읍 한신더휴센트럴파크</t>
        </is>
      </c>
      <c r="B129" s="76" t="inlineStr">
        <is>
          <t>18.02.</t>
        </is>
      </c>
      <c r="C129" s="131" t="n">
        <v>1210</v>
      </c>
      <c r="D129" s="132" t="n">
        <v>115.4</v>
      </c>
      <c r="E129" s="133" t="n">
        <v>35</v>
      </c>
      <c r="F129" s="132" t="n">
        <v>85</v>
      </c>
      <c r="G129" s="17" t="n">
        <v>26</v>
      </c>
      <c r="H129" s="134" t="n">
        <v>307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2" t="n">
        <v>3</v>
      </c>
      <c r="R129" s="122" t="n">
        <v>2</v>
      </c>
      <c r="S129" s="122" t="inlineStr">
        <is>
          <t>계</t>
        </is>
      </c>
      <c r="T129" s="5" t="inlineStr">
        <is>
          <t>115B</t>
        </is>
      </c>
      <c r="U129" s="9" t="n"/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1" t="n">
        <v>2500</v>
      </c>
      <c r="D130" s="132" t="n">
        <v>152.6</v>
      </c>
      <c r="E130" s="133" t="n">
        <v>46</v>
      </c>
      <c r="F130" s="132" t="n">
        <v>109.4</v>
      </c>
      <c r="G130" s="17" t="n">
        <v>33</v>
      </c>
      <c r="H130" s="134" t="n">
        <v>75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2" t="n">
        <v>4</v>
      </c>
      <c r="R130" s="122" t="n">
        <v>2</v>
      </c>
      <c r="S130" s="122" t="inlineStr">
        <is>
          <t>계</t>
        </is>
      </c>
      <c r="T130" s="5" t="inlineStr">
        <is>
          <t>152A</t>
        </is>
      </c>
      <c r="U130" s="9" t="n"/>
    </row>
    <row r="131" ht="12" customFormat="1" customHeight="1" s="37">
      <c r="A131" s="75" t="inlineStr">
        <is>
          <t>오창읍 오창반도유보라퍼스티지</t>
        </is>
      </c>
      <c r="B131" s="76" t="inlineStr">
        <is>
          <t>24.05.</t>
        </is>
      </c>
      <c r="C131" s="131" t="n">
        <v>572</v>
      </c>
      <c r="D131" s="132" t="n">
        <v>80</v>
      </c>
      <c r="E131" s="133" t="n">
        <v>24</v>
      </c>
      <c r="F131" s="132" t="n">
        <v>60</v>
      </c>
      <c r="G131" s="17" t="n">
        <v>18</v>
      </c>
      <c r="H131" s="134" t="n">
        <v>250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2" t="n">
        <v>3</v>
      </c>
      <c r="R131" s="122" t="n">
        <v>2</v>
      </c>
      <c r="S131" s="122" t="inlineStr">
        <is>
          <t>계</t>
        </is>
      </c>
      <c r="T131" s="5" t="n">
        <v>80</v>
      </c>
      <c r="U131" s="9" t="n"/>
    </row>
    <row r="132" ht="12" customFormat="1" customHeight="1" s="37">
      <c r="A132" s="75" t="inlineStr">
        <is>
          <t>오창읍 오창반도유보라퍼스티지</t>
        </is>
      </c>
      <c r="B132" s="76" t="inlineStr">
        <is>
          <t>24.05.</t>
        </is>
      </c>
      <c r="C132" s="131" t="n">
        <v>572</v>
      </c>
      <c r="D132" s="132" t="n">
        <v>100.3</v>
      </c>
      <c r="E132" s="133" t="n">
        <v>30</v>
      </c>
      <c r="F132" s="132" t="n">
        <v>74.5</v>
      </c>
      <c r="G132" s="17" t="n">
        <v>23</v>
      </c>
      <c r="H132" s="134" t="n">
        <v>74</v>
      </c>
      <c r="I132" s="135" t="n"/>
      <c r="J132" s="135" t="n"/>
      <c r="K132" s="135" t="n"/>
      <c r="L132" s="135" t="n"/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22" t="n">
        <v>3</v>
      </c>
      <c r="R132" s="122" t="n">
        <v>2</v>
      </c>
      <c r="S132" s="122" t="inlineStr">
        <is>
          <t>계</t>
        </is>
      </c>
      <c r="T132" s="5" t="n">
        <v>100</v>
      </c>
      <c r="U132" s="9" t="n"/>
    </row>
    <row r="133" ht="12" customFormat="1" customHeight="1" s="37">
      <c r="A133" s="75" t="inlineStr">
        <is>
          <t>오창읍 오창반도유보라퍼스티지</t>
        </is>
      </c>
      <c r="B133" s="76" t="inlineStr">
        <is>
          <t>24.05.</t>
        </is>
      </c>
      <c r="C133" s="131" t="n">
        <v>572</v>
      </c>
      <c r="D133" s="132" t="n">
        <v>112.2</v>
      </c>
      <c r="E133" s="133" t="n">
        <v>34</v>
      </c>
      <c r="F133" s="132" t="n">
        <v>84.90000000000001</v>
      </c>
      <c r="G133" s="17" t="n">
        <v>26</v>
      </c>
      <c r="H133" s="134" t="n">
        <v>100</v>
      </c>
      <c r="I133" s="135" t="n"/>
      <c r="J133" s="135" t="n"/>
      <c r="K133" s="135" t="n"/>
      <c r="L133" s="135" t="n"/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22" t="n">
        <v>3</v>
      </c>
      <c r="R133" s="122" t="n">
        <v>2</v>
      </c>
      <c r="S133" s="122" t="inlineStr">
        <is>
          <t>계</t>
        </is>
      </c>
      <c r="T133" s="5" t="inlineStr">
        <is>
          <t>112C</t>
        </is>
      </c>
      <c r="U133" s="9" t="n"/>
    </row>
    <row r="134" ht="12" customFormat="1" customHeight="1" s="37">
      <c r="A134" s="75" t="inlineStr">
        <is>
          <t>오창읍 덕성그린</t>
        </is>
      </c>
      <c r="B134" s="76" t="inlineStr">
        <is>
          <t>98.08.</t>
        </is>
      </c>
      <c r="C134" s="131" t="n">
        <v>210</v>
      </c>
      <c r="D134" s="132" t="n">
        <v>74.59999999999999</v>
      </c>
      <c r="E134" s="133" t="n">
        <v>23</v>
      </c>
      <c r="F134" s="132" t="n">
        <v>60</v>
      </c>
      <c r="G134" s="17" t="n">
        <v>18</v>
      </c>
      <c r="H134" s="134" t="n">
        <v>210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22" t="n">
        <v>3</v>
      </c>
      <c r="R134" s="122" t="n">
        <v>1</v>
      </c>
      <c r="S134" s="122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우암동 우암세원</t>
        </is>
      </c>
      <c r="B135" s="76" t="inlineStr">
        <is>
          <t>99.11.</t>
        </is>
      </c>
      <c r="C135" s="131" t="n">
        <v>236</v>
      </c>
      <c r="D135" s="132" t="n">
        <v>54.5</v>
      </c>
      <c r="E135" s="133" t="n">
        <v>16</v>
      </c>
      <c r="F135" s="132" t="n">
        <v>41</v>
      </c>
      <c r="G135" s="17" t="n">
        <v>12</v>
      </c>
      <c r="H135" s="134" t="n">
        <v>217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22" t="n">
        <v>2</v>
      </c>
      <c r="R135" s="122" t="n">
        <v>1</v>
      </c>
      <c r="S135" s="122" t="inlineStr">
        <is>
          <t>복</t>
        </is>
      </c>
      <c r="T135" s="5" t="n">
        <v>54</v>
      </c>
      <c r="U135" s="9" t="n"/>
    </row>
    <row r="136" ht="12" customFormat="1" customHeight="1" s="37">
      <c r="A136" s="75" t="inlineStr">
        <is>
          <t>우암동 일진캠퍼스타워</t>
        </is>
      </c>
      <c r="B136" s="76" t="inlineStr">
        <is>
          <t>15.09.</t>
        </is>
      </c>
      <c r="C136" s="131" t="n">
        <v>299</v>
      </c>
      <c r="D136" s="132" t="n">
        <v>27.7</v>
      </c>
      <c r="E136" s="133" t="n">
        <v>8</v>
      </c>
      <c r="F136" s="132" t="n">
        <v>16.2</v>
      </c>
      <c r="G136" s="17" t="n">
        <v>5</v>
      </c>
      <c r="H136" s="134" t="n">
        <v>194</v>
      </c>
      <c r="I136" s="135" t="n"/>
      <c r="J136" s="135" t="n"/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22" t="n">
        <v>1</v>
      </c>
      <c r="R136" s="122" t="n">
        <v>1</v>
      </c>
      <c r="S136" s="122" t="inlineStr">
        <is>
          <t>복</t>
        </is>
      </c>
      <c r="T136" s="5" t="inlineStr">
        <is>
          <t>27A</t>
        </is>
      </c>
      <c r="U136" s="9" t="n"/>
    </row>
    <row r="137" ht="12" customFormat="1" customHeight="1" s="37">
      <c r="A137" s="75" t="inlineStr">
        <is>
          <t>우암동 덕일한마음</t>
        </is>
      </c>
      <c r="B137" s="76" t="inlineStr">
        <is>
          <t>96.11.</t>
        </is>
      </c>
      <c r="C137" s="131" t="n">
        <v>345</v>
      </c>
      <c r="D137" s="132" t="n">
        <v>108.7</v>
      </c>
      <c r="E137" s="133" t="n">
        <v>33</v>
      </c>
      <c r="F137" s="132" t="n">
        <v>84.8</v>
      </c>
      <c r="G137" s="17" t="n">
        <v>26</v>
      </c>
      <c r="H137" s="134" t="n">
        <v>163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22" t="n">
        <v>3</v>
      </c>
      <c r="R137" s="122" t="n">
        <v>2</v>
      </c>
      <c r="S137" s="122" t="inlineStr">
        <is>
          <t>계</t>
        </is>
      </c>
      <c r="T137" s="5" t="n">
        <v>108</v>
      </c>
      <c r="U137" s="9" t="n"/>
    </row>
    <row r="138" ht="12" customFormat="1" customHeight="1" s="37">
      <c r="A138" s="75" t="inlineStr">
        <is>
          <t>율량동 삼정2차</t>
        </is>
      </c>
      <c r="B138" s="76" t="inlineStr">
        <is>
          <t>92.06.</t>
        </is>
      </c>
      <c r="C138" s="131" t="n">
        <v>275</v>
      </c>
      <c r="D138" s="132" t="n">
        <v>104</v>
      </c>
      <c r="E138" s="133" t="n">
        <v>31</v>
      </c>
      <c r="F138" s="132" t="n">
        <v>84.59999999999999</v>
      </c>
      <c r="G138" s="17" t="n">
        <v>26</v>
      </c>
      <c r="H138" s="134" t="n">
        <v>196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22" t="n">
        <v>3</v>
      </c>
      <c r="R138" s="122" t="n">
        <v>2</v>
      </c>
      <c r="S138" s="122" t="inlineStr">
        <is>
          <t>계</t>
        </is>
      </c>
      <c r="T138" s="5" t="n">
        <v>104</v>
      </c>
      <c r="U138" s="9" t="n"/>
    </row>
    <row r="139" ht="12" customFormat="1" customHeight="1" s="37">
      <c r="A139" s="75" t="inlineStr">
        <is>
          <t>율량동 삼정2차</t>
        </is>
      </c>
      <c r="B139" s="76" t="inlineStr">
        <is>
          <t>92.06.</t>
        </is>
      </c>
      <c r="C139" s="131" t="n">
        <v>275</v>
      </c>
      <c r="D139" s="132" t="n">
        <v>140.8</v>
      </c>
      <c r="E139" s="133" t="n">
        <v>43</v>
      </c>
      <c r="F139" s="132" t="n">
        <v>116.6</v>
      </c>
      <c r="G139" s="17" t="n">
        <v>35</v>
      </c>
      <c r="H139" s="134" t="n">
        <v>79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22" t="n">
        <v>4</v>
      </c>
      <c r="R139" s="122" t="n">
        <v>2</v>
      </c>
      <c r="S139" s="122" t="inlineStr">
        <is>
          <t>계</t>
        </is>
      </c>
      <c r="T139" s="5" t="n">
        <v>140</v>
      </c>
      <c r="U139" s="9" t="n"/>
    </row>
    <row r="140" ht="12" customFormat="1" customHeight="1" s="37">
      <c r="A140" s="75" t="inlineStr">
        <is>
          <t>율량동 대원칸타빌4차</t>
        </is>
      </c>
      <c r="B140" s="76" t="inlineStr">
        <is>
          <t>15.12.</t>
        </is>
      </c>
      <c r="C140" s="131" t="n">
        <v>614</v>
      </c>
      <c r="D140" s="132" t="n">
        <v>131.3</v>
      </c>
      <c r="E140" s="133" t="n">
        <v>40</v>
      </c>
      <c r="F140" s="132" t="n">
        <v>105.6</v>
      </c>
      <c r="G140" s="17" t="n">
        <v>32</v>
      </c>
      <c r="H140" s="134" t="n">
        <v>198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22" t="n">
        <v>3</v>
      </c>
      <c r="R140" s="122" t="n">
        <v>2</v>
      </c>
      <c r="S140" s="122" t="inlineStr">
        <is>
          <t>계</t>
        </is>
      </c>
      <c r="T140" s="5" t="n">
        <v>131</v>
      </c>
      <c r="U140" s="9" t="n"/>
    </row>
    <row r="141" ht="12" customFormat="1" customHeight="1" s="37">
      <c r="A141" s="75" t="inlineStr">
        <is>
          <t>율량동 삼정1차</t>
        </is>
      </c>
      <c r="B141" s="76" t="inlineStr">
        <is>
          <t>91.07.</t>
        </is>
      </c>
      <c r="C141" s="131" t="n">
        <v>218</v>
      </c>
      <c r="D141" s="132" t="n">
        <v>85.8</v>
      </c>
      <c r="E141" s="133" t="n">
        <v>26</v>
      </c>
      <c r="F141" s="132" t="n">
        <v>72.40000000000001</v>
      </c>
      <c r="G141" s="17" t="n">
        <v>22</v>
      </c>
      <c r="H141" s="134" t="n">
        <v>146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22" t="n">
        <v>3</v>
      </c>
      <c r="R141" s="122" t="n">
        <v>1</v>
      </c>
      <c r="S141" s="122" t="inlineStr">
        <is>
          <t>계</t>
        </is>
      </c>
      <c r="T141" s="5" t="n">
        <v>85</v>
      </c>
      <c r="U141" s="9" t="n"/>
    </row>
    <row r="142" ht="12" customFormat="1" customHeight="1" s="37">
      <c r="A142" s="75" t="inlineStr">
        <is>
          <t>율량동 신라(1292)</t>
        </is>
      </c>
      <c r="B142" s="76" t="inlineStr">
        <is>
          <t>95.10.</t>
        </is>
      </c>
      <c r="C142" s="131" t="n">
        <v>252</v>
      </c>
      <c r="D142" s="132" t="n">
        <v>59.7</v>
      </c>
      <c r="E142" s="133" t="n">
        <v>18</v>
      </c>
      <c r="F142" s="132" t="n">
        <v>30.6</v>
      </c>
      <c r="G142" s="17" t="n">
        <v>9</v>
      </c>
      <c r="H142" s="134" t="n">
        <v>228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22" t="n">
        <v>2</v>
      </c>
      <c r="R142" s="122" t="n">
        <v>1</v>
      </c>
      <c r="S142" s="122" t="inlineStr">
        <is>
          <t>계</t>
        </is>
      </c>
      <c r="T142" s="5" t="n">
        <v>59</v>
      </c>
      <c r="U142" s="9" t="n"/>
    </row>
    <row r="143" ht="12" customFormat="1" customHeight="1" s="37">
      <c r="A143" s="75" t="inlineStr">
        <is>
          <t>율량동 율량부강마을</t>
        </is>
      </c>
      <c r="B143" s="76" t="inlineStr">
        <is>
          <t>93.11.</t>
        </is>
      </c>
      <c r="C143" s="131" t="n">
        <v>244</v>
      </c>
      <c r="D143" s="132" t="n">
        <v>32.9</v>
      </c>
      <c r="E143" s="133" t="n">
        <v>10</v>
      </c>
      <c r="F143" s="132" t="n">
        <v>24.4</v>
      </c>
      <c r="G143" s="17" t="n">
        <v>7</v>
      </c>
      <c r="H143" s="134" t="n">
        <v>31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22" t="n">
        <v>1</v>
      </c>
      <c r="R143" s="122" t="n">
        <v>1</v>
      </c>
      <c r="S143" s="122" t="inlineStr">
        <is>
          <t>복</t>
        </is>
      </c>
      <c r="T143" s="5" t="n">
        <v>32</v>
      </c>
      <c r="U143" s="9" t="n"/>
    </row>
    <row r="144" ht="12" customFormat="1" customHeight="1" s="37">
      <c r="A144" s="75" t="inlineStr">
        <is>
          <t>율량동 율량부강마을</t>
        </is>
      </c>
      <c r="B144" s="76" t="inlineStr">
        <is>
          <t>93.11.</t>
        </is>
      </c>
      <c r="C144" s="131" t="n">
        <v>244</v>
      </c>
      <c r="D144" s="132" t="n">
        <v>39.1</v>
      </c>
      <c r="E144" s="133" t="n">
        <v>12</v>
      </c>
      <c r="F144" s="132" t="n">
        <v>29.1</v>
      </c>
      <c r="G144" s="17" t="n">
        <v>9</v>
      </c>
      <c r="H144" s="134" t="n">
        <v>201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22" t="n">
        <v>1</v>
      </c>
      <c r="R144" s="122" t="n">
        <v>1</v>
      </c>
      <c r="S144" s="122" t="inlineStr">
        <is>
          <t>복</t>
        </is>
      </c>
      <c r="T144" s="5" t="n">
        <v>39</v>
      </c>
      <c r="U144" s="9" t="n"/>
    </row>
    <row r="145" ht="12" customFormat="1" customHeight="1" s="37">
      <c r="A145" s="75" t="inlineStr">
        <is>
          <t>율량동 율량금호어울림센트로</t>
        </is>
      </c>
      <c r="B145" s="76" t="inlineStr">
        <is>
          <t>22.01.</t>
        </is>
      </c>
      <c r="C145" s="131" t="n">
        <v>748</v>
      </c>
      <c r="D145" s="132" t="n">
        <v>99.59999999999999</v>
      </c>
      <c r="E145" s="133" t="n">
        <v>30</v>
      </c>
      <c r="F145" s="132" t="n">
        <v>76</v>
      </c>
      <c r="G145" s="17" t="n">
        <v>23</v>
      </c>
      <c r="H145" s="134" t="n">
        <v>143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22" t="n">
        <v>3</v>
      </c>
      <c r="R145" s="122" t="n">
        <v>2</v>
      </c>
      <c r="S145" s="122" t="inlineStr">
        <is>
          <t>계</t>
        </is>
      </c>
      <c r="T145" s="5" t="inlineStr">
        <is>
          <t>99A</t>
        </is>
      </c>
      <c r="U145" s="9" t="n"/>
    </row>
    <row r="146" ht="12" customFormat="1" customHeight="1" s="37">
      <c r="A146" s="75" t="inlineStr">
        <is>
          <t>율량동 율량대창3차</t>
        </is>
      </c>
      <c r="B146" s="76" t="inlineStr">
        <is>
          <t>95.09.</t>
        </is>
      </c>
      <c r="C146" s="131" t="n">
        <v>270</v>
      </c>
      <c r="D146" s="132" t="n">
        <v>46.4</v>
      </c>
      <c r="E146" s="133" t="n">
        <v>14</v>
      </c>
      <c r="F146" s="132" t="n">
        <v>34.8</v>
      </c>
      <c r="G146" s="17" t="n">
        <v>11</v>
      </c>
      <c r="H146" s="134" t="n">
        <v>270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22" t="n">
        <v>2</v>
      </c>
      <c r="R146" s="122" t="n">
        <v>1</v>
      </c>
      <c r="S146" s="122" t="inlineStr">
        <is>
          <t>계</t>
        </is>
      </c>
      <c r="T146" s="5" t="n">
        <v>46</v>
      </c>
      <c r="U146" s="9" t="n"/>
    </row>
    <row r="147" ht="12" customFormat="1" customHeight="1" s="37">
      <c r="A147" s="75" t="inlineStr">
        <is>
          <t>율량동 두진백로그린타운</t>
        </is>
      </c>
      <c r="B147" s="76" t="inlineStr">
        <is>
          <t>96.06.</t>
        </is>
      </c>
      <c r="C147" s="131" t="n">
        <v>608</v>
      </c>
      <c r="D147" s="132" t="n">
        <v>160.7</v>
      </c>
      <c r="E147" s="133" t="n">
        <v>49</v>
      </c>
      <c r="F147" s="132" t="n">
        <v>129</v>
      </c>
      <c r="G147" s="17" t="n">
        <v>39</v>
      </c>
      <c r="H147" s="134" t="n">
        <v>50</v>
      </c>
      <c r="I147" s="135" t="n"/>
      <c r="J147" s="135" t="n"/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22" t="n">
        <v>4</v>
      </c>
      <c r="R147" s="122" t="n">
        <v>2</v>
      </c>
      <c r="S147" s="122" t="inlineStr">
        <is>
          <t>계</t>
        </is>
      </c>
      <c r="T147" s="5" t="n">
        <v>160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1" t="n">
        <v>422</v>
      </c>
      <c r="D148" s="132" t="n">
        <v>110.9</v>
      </c>
      <c r="E148" s="133" t="n">
        <v>34</v>
      </c>
      <c r="F148" s="132" t="n">
        <v>84.8</v>
      </c>
      <c r="G148" s="17" t="n">
        <v>26</v>
      </c>
      <c r="H148" s="134" t="n">
        <v>276</v>
      </c>
      <c r="I148" s="135" t="n"/>
      <c r="J148" s="135" t="n"/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22" t="n">
        <v>3</v>
      </c>
      <c r="R148" s="122" t="n">
        <v>2</v>
      </c>
      <c r="S148" s="122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1" t="n">
        <v>261</v>
      </c>
      <c r="D149" s="132" t="n">
        <v>67.7</v>
      </c>
      <c r="E149" s="133" t="n">
        <v>20</v>
      </c>
      <c r="F149" s="132" t="n">
        <v>49.5</v>
      </c>
      <c r="G149" s="17" t="n">
        <v>15</v>
      </c>
      <c r="H149" s="134" t="n">
        <v>225</v>
      </c>
      <c r="I149" s="135" t="n"/>
      <c r="J149" s="135" t="n"/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22" t="n">
        <v>2</v>
      </c>
      <c r="R149" s="122" t="n">
        <v>1</v>
      </c>
      <c r="S149" s="122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1" t="n">
        <v>300</v>
      </c>
      <c r="D150" s="132" t="n">
        <v>59.1</v>
      </c>
      <c r="E150" s="133" t="n">
        <v>18</v>
      </c>
      <c r="F150" s="132" t="n">
        <v>53.9</v>
      </c>
      <c r="G150" s="17" t="n">
        <v>16</v>
      </c>
      <c r="H150" s="134" t="n">
        <v>81</v>
      </c>
      <c r="I150" s="135" t="n"/>
      <c r="J150" s="135" t="n"/>
      <c r="K150" s="135" t="n"/>
      <c r="L150" s="135" t="n"/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22" t="n">
        <v>3</v>
      </c>
      <c r="R150" s="122" t="n">
        <v>1</v>
      </c>
      <c r="S150" s="122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1" t="n">
        <v>300</v>
      </c>
      <c r="D151" s="132" t="n">
        <v>64.40000000000001</v>
      </c>
      <c r="E151" s="133" t="n">
        <v>19</v>
      </c>
      <c r="F151" s="132" t="n">
        <v>59</v>
      </c>
      <c r="G151" s="17" t="n">
        <v>18</v>
      </c>
      <c r="H151" s="134" t="n">
        <v>201</v>
      </c>
      <c r="I151" s="135" t="n"/>
      <c r="J151" s="135" t="n"/>
      <c r="K151" s="135" t="n"/>
      <c r="L151" s="135" t="n"/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22" t="n">
        <v>3</v>
      </c>
      <c r="R151" s="122" t="n">
        <v>1</v>
      </c>
      <c r="S151" s="122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864" operator="greaterThan" dxfId="17">
      <formula>0.9</formula>
    </cfRule>
    <cfRule type="cellIs" priority="5386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51">
    <cfRule type="expression" priority="104974" dxfId="3">
      <formula>AND(IF(OR($Q4=1,$Q4=2),1,0),IF(#REF!&lt;=20,1,0))</formula>
    </cfRule>
    <cfRule type="expression" priority="104975" dxfId="2">
      <formula>AND(IF($Q4=2,1,0),IF(#REF!&lt;30,1,0))</formula>
    </cfRule>
    <cfRule type="expression" priority="104976" dxfId="1">
      <formula>AND(IF($Q4=3,1,0),IF(#REF!&lt;30,1,0))</formula>
    </cfRule>
    <cfRule type="expression" priority="10497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3" sqref="G13"/>
    </sheetView>
  </sheetViews>
  <sheetFormatPr baseColWidth="8" defaultColWidth="17.5" defaultRowHeight="13.5"/>
  <cols>
    <col width="4.625" bestFit="1" customWidth="1" style="121" min="1" max="1"/>
    <col width="3.375" customWidth="1" style="121" min="2" max="2"/>
    <col width="4.625" bestFit="1" customWidth="1" style="121" min="3" max="3"/>
    <col width="29.125" customWidth="1" style="50" min="4" max="9"/>
    <col width="25" customWidth="1" style="50" min="10" max="23"/>
    <col width="17.5" customWidth="1" style="50" min="24" max="48"/>
    <col width="17.5" customWidth="1" style="121" min="49" max="54"/>
    <col width="17.5" customWidth="1" style="121" min="55" max="16384"/>
  </cols>
  <sheetData>
    <row r="1">
      <c r="D1" s="121" t="n"/>
      <c r="E1" s="121" t="n"/>
      <c r="F1" s="121" t="n"/>
      <c r="G1" s="121" t="n"/>
      <c r="H1" s="121" t="n"/>
      <c r="I1" s="121" t="n"/>
      <c r="J1" s="121" t="n"/>
      <c r="K1" s="121" t="n"/>
      <c r="L1" s="121" t="n"/>
      <c r="M1" s="121" t="n"/>
      <c r="N1" s="121" t="n"/>
      <c r="O1" s="121" t="n"/>
      <c r="P1" s="121" t="n"/>
      <c r="Q1" s="121" t="n"/>
      <c r="R1" s="121" t="n"/>
      <c r="S1" s="121" t="n"/>
      <c r="T1" s="121" t="n"/>
      <c r="U1" s="121" t="n"/>
      <c r="V1" s="121" t="n"/>
      <c r="W1" s="121" t="n"/>
      <c r="X1" s="121" t="n"/>
      <c r="Y1" s="121" t="n"/>
      <c r="Z1" s="121" t="n"/>
      <c r="AA1" s="121" t="n"/>
      <c r="AB1" s="121" t="n"/>
      <c r="AC1" s="121" t="n"/>
      <c r="AD1" s="121" t="n"/>
      <c r="AE1" s="121" t="n"/>
      <c r="AF1" s="121" t="n"/>
      <c r="AG1" s="121" t="n"/>
      <c r="AH1" s="121" t="n"/>
      <c r="AI1" s="121" t="n"/>
      <c r="AJ1" s="121" t="n"/>
      <c r="AK1" s="121" t="n"/>
      <c r="AL1" s="121" t="n"/>
      <c r="AM1" s="121" t="n"/>
      <c r="AN1" s="121" t="n"/>
      <c r="AO1" s="121" t="n"/>
      <c r="AP1" s="121" t="n"/>
      <c r="AQ1" s="121" t="n"/>
      <c r="AR1" s="121" t="n"/>
      <c r="AS1" s="121" t="n"/>
      <c r="AT1" s="121" t="n"/>
      <c r="AU1" s="121" t="n"/>
      <c r="AV1" s="121" t="n"/>
    </row>
    <row r="2">
      <c r="D2" s="121" t="n"/>
      <c r="E2" s="121" t="n"/>
      <c r="F2" s="121" t="n"/>
      <c r="G2" s="121" t="n"/>
      <c r="H2" s="121" t="n"/>
      <c r="I2" s="121" t="n"/>
      <c r="J2" s="121" t="n"/>
      <c r="K2" s="121" t="n"/>
      <c r="L2" s="121" t="n"/>
      <c r="M2" s="121" t="n"/>
      <c r="N2" s="121" t="n"/>
      <c r="O2" s="121" t="n"/>
      <c r="P2" s="121" t="n"/>
      <c r="Q2" s="121" t="n"/>
      <c r="R2" s="121" t="n"/>
      <c r="S2" s="121" t="n"/>
      <c r="T2" s="121" t="n"/>
      <c r="U2" s="121" t="n"/>
      <c r="V2" s="121" t="n"/>
      <c r="W2" s="121" t="n"/>
      <c r="X2" s="121" t="n"/>
      <c r="Y2" s="121" t="n"/>
      <c r="Z2" s="121" t="n"/>
      <c r="AA2" s="121" t="n"/>
      <c r="AB2" s="121" t="n"/>
      <c r="AC2" s="121" t="n"/>
      <c r="AD2" s="121" t="n"/>
      <c r="AE2" s="121" t="n"/>
      <c r="AF2" s="121" t="n"/>
      <c r="AG2" s="121" t="n"/>
      <c r="AH2" s="121" t="n"/>
      <c r="AI2" s="121" t="n"/>
      <c r="AJ2" s="121" t="n"/>
      <c r="AK2" s="121" t="n"/>
      <c r="AL2" s="121" t="n"/>
      <c r="AM2" s="121" t="n"/>
      <c r="AN2" s="121" t="n"/>
      <c r="AO2" s="121" t="n"/>
      <c r="AP2" s="121" t="n"/>
      <c r="AQ2" s="121" t="n"/>
      <c r="AR2" s="121" t="n"/>
      <c r="AS2" s="121" t="n"/>
      <c r="AT2" s="121" t="n"/>
      <c r="AU2" s="121" t="n"/>
      <c r="AV2" s="121" t="n"/>
    </row>
    <row r="3">
      <c r="D3" s="121" t="n"/>
      <c r="E3" s="121" t="n"/>
      <c r="F3" s="121" t="n"/>
      <c r="G3" s="121" t="n"/>
      <c r="H3" s="121" t="n"/>
      <c r="I3" s="121" t="n"/>
      <c r="J3" s="121" t="n"/>
      <c r="K3" s="121" t="n"/>
      <c r="L3" s="121" t="n"/>
      <c r="M3" s="121" t="n"/>
      <c r="N3" s="121" t="n"/>
      <c r="O3" s="121" t="n"/>
      <c r="P3" s="121" t="n"/>
      <c r="Q3" s="121" t="n"/>
      <c r="R3" s="121" t="n"/>
      <c r="S3" s="121" t="n"/>
      <c r="T3" s="121" t="n"/>
      <c r="U3" s="121" t="n"/>
      <c r="V3" s="121" t="n"/>
      <c r="W3" s="121" t="n"/>
      <c r="X3" s="121" t="n"/>
      <c r="Y3" s="121" t="n"/>
      <c r="Z3" s="121" t="n"/>
      <c r="AA3" s="121" t="n"/>
      <c r="AB3" s="121" t="n"/>
      <c r="AC3" s="121" t="n"/>
      <c r="AD3" s="121" t="n"/>
      <c r="AE3" s="121" t="n"/>
      <c r="AF3" s="121" t="n"/>
      <c r="AG3" s="121" t="n"/>
      <c r="AH3" s="121" t="n"/>
      <c r="AI3" s="121" t="n"/>
      <c r="AJ3" s="121" t="n"/>
      <c r="AK3" s="121" t="n"/>
      <c r="AL3" s="121" t="n"/>
      <c r="AM3" s="121" t="n"/>
      <c r="AN3" s="121" t="n"/>
      <c r="AO3" s="121" t="n"/>
      <c r="AP3" s="121" t="n"/>
      <c r="AQ3" s="121" t="n"/>
      <c r="AR3" s="121" t="n"/>
      <c r="AS3" s="121" t="n"/>
      <c r="AT3" s="121" t="n"/>
      <c r="AU3" s="121" t="n"/>
      <c r="AV3" s="121" t="n"/>
    </row>
    <row r="4">
      <c r="A4" s="120" t="inlineStr">
        <is>
          <t>동1</t>
        </is>
      </c>
      <c r="D4" s="121" t="inlineStr">
        <is>
          <t>주성동</t>
        </is>
      </c>
      <c r="E4" s="121" t="inlineStr">
        <is>
          <t>오창읍</t>
        </is>
      </c>
      <c r="F4" s="121" t="inlineStr">
        <is>
          <t>율량동</t>
        </is>
      </c>
      <c r="G4" s="121" t="inlineStr">
        <is>
          <t>내덕동</t>
        </is>
      </c>
      <c r="H4" s="121" t="n"/>
      <c r="I4" s="121" t="n"/>
      <c r="J4" s="121" t="n"/>
      <c r="K4" s="121" t="n"/>
      <c r="L4" s="121" t="n"/>
      <c r="M4" s="121" t="n"/>
      <c r="N4" s="121" t="n"/>
      <c r="O4" s="121" t="n"/>
      <c r="P4" s="121" t="n"/>
      <c r="Q4" s="121" t="n"/>
      <c r="R4" s="121" t="n"/>
      <c r="S4" s="121" t="n"/>
      <c r="T4" s="121" t="n"/>
      <c r="U4" s="121" t="n"/>
      <c r="V4" s="121" t="n"/>
      <c r="W4" s="121" t="n"/>
      <c r="X4" s="121" t="n"/>
      <c r="Y4" s="121" t="n"/>
      <c r="Z4" s="121" t="n"/>
      <c r="AA4" s="121" t="n"/>
      <c r="AB4" s="121" t="n"/>
      <c r="AC4" s="121" t="n"/>
      <c r="AD4" s="121" t="n"/>
      <c r="AE4" s="121" t="n"/>
      <c r="AF4" s="121" t="n"/>
      <c r="AG4" s="121" t="n"/>
      <c r="AH4" s="121" t="n"/>
      <c r="AI4" s="121" t="n"/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120" t="inlineStr">
        <is>
          <t>동2</t>
        </is>
      </c>
    </row>
    <row r="6">
      <c r="A6" s="120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4" t="n">
        <v>8</v>
      </c>
      <c r="B8" s="57" t="inlineStr">
        <is>
          <t>~</t>
        </is>
      </c>
      <c r="C8" s="145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6" t="n">
        <v>7</v>
      </c>
      <c r="B9" s="59" t="inlineStr">
        <is>
          <t>~</t>
        </is>
      </c>
      <c r="C9" s="147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8" t="n">
        <v>6</v>
      </c>
      <c r="B10" s="55" t="inlineStr">
        <is>
          <t>~</t>
        </is>
      </c>
      <c r="C10" s="149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5">
      <c r="A11" s="148" t="n">
        <v>5</v>
      </c>
      <c r="B11" s="55" t="inlineStr">
        <is>
          <t>~</t>
        </is>
      </c>
      <c r="C11" s="149" t="n">
        <v>6</v>
      </c>
      <c r="D11" s="56" t="n"/>
      <c r="E11" s="56" t="n"/>
      <c r="F11" s="56" t="n"/>
      <c r="G11" s="56" t="inlineStr">
        <is>
          <t>청주힐즈파크푸르지오(33평/5.4)_x000D_
청주힐즈파크푸르지오(30평/5.2)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5">
      <c r="A12" s="148" t="n">
        <v>4</v>
      </c>
      <c r="B12" s="55" t="inlineStr">
        <is>
          <t>~</t>
        </is>
      </c>
      <c r="C12" s="149" t="n">
        <v>5</v>
      </c>
      <c r="D12" s="56" t="inlineStr">
        <is>
          <t>대원칸타빌3차(33평/4.9)_x000D_
대원칸타빌1차(33평/4.5)_x000D_
율량5단지선광로즈웰2차(34평/4.2)</t>
        </is>
      </c>
      <c r="E12" s="56" t="inlineStr">
        <is>
          <t>오창롯데캐슬더하이스트(36평/4.5)_x000D_
오창롯데캐슬더하이스트(30평/4.0)</t>
        </is>
      </c>
      <c r="F12" s="56" t="inlineStr">
        <is>
          <t>율량금호어울림센트로(34평/4.5)_x000D_
대원칸타빌4차(33평/4.3)</t>
        </is>
      </c>
      <c r="G12" s="56" t="inlineStr">
        <is>
          <t>율량서희스타힐스(33평/4.3)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5">
      <c r="A13" s="150" t="n">
        <v>3</v>
      </c>
      <c r="B13" s="60" t="inlineStr">
        <is>
          <t>~</t>
        </is>
      </c>
      <c r="C13" s="151" t="n">
        <v>4</v>
      </c>
      <c r="D13" s="61" t="n"/>
      <c r="E13" s="61" t="inlineStr">
        <is>
          <t>대원칸타빌(2블럭)(34평/3.7)_x000D_
오창모아미래도와이드시티(33평/3.7)_x000D_
오창대성베르힐(30평/3.6)_x000D_
오창모아미래도와이드시티(30평/3.4)_x000D_
오창롯데캐슬더하이스트(26평/3.4)_x000D_
코아루(35평/3.4)_x000D_
중앙하이츠빌(35평/3.3)_x000D_
우림필유2차(34평/3.2)_x000D_
오창쌍용스윗닷홈예가(33평/3.1)_x000D_
우림필유1차(34평/3.0)</t>
        </is>
      </c>
      <c r="F13" s="61" t="inlineStr">
        <is>
          <t>제일풍경채(29평/3.4)</t>
        </is>
      </c>
      <c r="G13" s="61" t="inlineStr">
        <is>
          <t>율량서희스타힐스(30평/3.6)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5">
      <c r="A14" s="150" t="n">
        <v>2.5</v>
      </c>
      <c r="B14" s="60" t="inlineStr">
        <is>
          <t>~</t>
        </is>
      </c>
      <c r="C14" s="151" t="n">
        <v>3</v>
      </c>
      <c r="D14" s="61" t="n"/>
      <c r="E14" s="61" t="inlineStr">
        <is>
          <t>대원칸타빌(36평/2.9)_x000D_
한라비발디(34평/2.8)_x000D_
오창모아미래도와이드파크(3블럭)(25평/2.7)_x000D_
오창이안(32평/2.6)_x000D_
대원칸타빌(25평/2.5)</t>
        </is>
      </c>
      <c r="F14" s="61" t="inlineStr">
        <is>
          <t>율량금호어울림센트로(24평/3.0)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5">
      <c r="A15" s="150" t="n">
        <v>2</v>
      </c>
      <c r="B15" s="60" t="inlineStr">
        <is>
          <t>~</t>
        </is>
      </c>
      <c r="C15" s="151" t="n">
        <v>2.5</v>
      </c>
      <c r="D15" s="61" t="n"/>
      <c r="E15" s="61" t="inlineStr">
        <is>
          <t>코아루(26평/2.4)_x000D_
우림필유1차(26평/2.4)_x000D_
오창쌍용스윗닷홈예가(25평/2.3)_x000D_
중앙하이츠빌(26평/2.3)_x000D_
오창이안(23평/2.3)_x000D_
한라비발디(26평/2.2)_x000D_
우림필유2차(26평/2.2)</t>
        </is>
      </c>
      <c r="F15" s="61" t="inlineStr">
        <is>
          <t>두진백로그린타운(32평/2.4)_x000D_
현대(30평/2.1)_x000D_
삼성(32평/2.1)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5">
      <c r="A16" s="152" t="n">
        <v>1.5</v>
      </c>
      <c r="B16" s="62" t="inlineStr">
        <is>
          <t>~</t>
        </is>
      </c>
      <c r="C16" s="153" t="n">
        <v>2</v>
      </c>
      <c r="D16" s="63" t="n"/>
      <c r="E16" s="63" t="n"/>
      <c r="F16" s="63" t="inlineStr">
        <is>
          <t>성원(31평/2.0)_x000D_
율량럭키(31평/1.9)_x000D_
율량현대(32평/1.9)_x000D_
율량럭키(28평/1.8)_x000D_
삼성(23평/1.7)_x000D_
현대(21평/1.7)_x000D_
동아(28평/1.7)_x000D_
율량현대(29평/1.7)_x000D_
성원(23평/1.7)_x000D_
동아(32평/1.6)</t>
        </is>
      </c>
      <c r="G16" s="63" t="inlineStr">
        <is>
          <t>신화(34평/1.7)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5">
      <c r="A17" s="152" t="n">
        <v>1</v>
      </c>
      <c r="B17" s="62" t="inlineStr">
        <is>
          <t>~</t>
        </is>
      </c>
      <c r="C17" s="153" t="n">
        <v>1.5</v>
      </c>
      <c r="D17" s="63" t="n"/>
      <c r="E17" s="63" t="n"/>
      <c r="F17" s="63" t="inlineStr">
        <is>
          <t>두진백로그린타운(22평/1.4)_x000D_
율량효성2차(25평/1.4)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4">
        <f>IF(A8="","",A8)</f>
        <v/>
      </c>
      <c r="B21" s="57">
        <f>IF(B8="","",B8)</f>
        <v/>
      </c>
      <c r="C21" s="145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6">
        <f>IF(A9="","",A9)</f>
        <v/>
      </c>
      <c r="B22" s="59">
        <f>IF(B9="","",B9)</f>
        <v/>
      </c>
      <c r="C22" s="147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8">
        <f>IF(A10="","",A10)</f>
        <v/>
      </c>
      <c r="B23" s="55">
        <f>IF(B10="","",B10)</f>
        <v/>
      </c>
      <c r="C23" s="149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5">
      <c r="A24" s="148">
        <f>IF(A11="","",A11)</f>
        <v/>
      </c>
      <c r="B24" s="55">
        <f>IF(B11="","",B11)</f>
        <v/>
      </c>
      <c r="C24" s="149">
        <f>IF(C11="","",C11)</f>
        <v/>
      </c>
      <c r="D24" s="56" t="n"/>
      <c r="E24" s="56" t="n"/>
      <c r="F24" s="56" t="n"/>
      <c r="G24" s="56" t="inlineStr">
        <is>
          <t>청주힐즈파크푸르지오('20/5.4)_x000D_
청주힐즈파크푸르지오('20/5.2)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5">
      <c r="A25" s="148">
        <f>IF(A12="","",A12)</f>
        <v/>
      </c>
      <c r="B25" s="55">
        <f>IF(B12="","",B12)</f>
        <v/>
      </c>
      <c r="C25" s="149">
        <f>IF(C12="","",C12)</f>
        <v/>
      </c>
      <c r="D25" s="56" t="inlineStr">
        <is>
          <t>대원칸타빌3차('15/4.9)_x000D_
대원칸타빌1차('13/4.5)_x000D_
율량5단지선광로즈웰2차('14/4.2)</t>
        </is>
      </c>
      <c r="E25" s="56" t="inlineStr">
        <is>
          <t>오창롯데캐슬더하이스트('18/4.5)_x000D_
오창롯데캐슬더하이스트('18/4.0)</t>
        </is>
      </c>
      <c r="F25" s="56" t="inlineStr">
        <is>
          <t>율량금호어울림센트로('22/4.5)_x000D_
대원칸타빌4차('15/4.3)</t>
        </is>
      </c>
      <c r="G25" s="56" t="inlineStr">
        <is>
          <t>율량서희스타힐스('16/4.3)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5">
      <c r="A26" s="150">
        <f>IF(A13="","",A13)</f>
        <v/>
      </c>
      <c r="B26" s="60">
        <f>IF(B13="","",B13)</f>
        <v/>
      </c>
      <c r="C26" s="151">
        <f>IF(C13="","",C13)</f>
        <v/>
      </c>
      <c r="D26" s="61" t="n"/>
      <c r="E26" s="61" t="inlineStr">
        <is>
          <t>대원칸타빌(2블럭)('17/3.7)_x000D_
오창모아미래도와이드시티('16/3.7)_x000D_
오창대성베르힐('15/3.6)_x000D_
오창모아미래도와이드시티('16/3.4)_x000D_
코아루('06/3.4)_x000D_
중앙하이츠빌('06/3.3)_x000D_
우림필유2차('06/3.2)_x000D_
오창쌍용스윗닷홈예가('06/3.1)_x000D_
우림필유1차('06/3.0)</t>
        </is>
      </c>
      <c r="F26" s="61" t="n"/>
      <c r="G26" s="61" t="inlineStr">
        <is>
          <t>율량서희스타힐스('16/3.6)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5">
      <c r="A27" s="150">
        <f>IF(A14="","",A14)</f>
        <v/>
      </c>
      <c r="B27" s="60">
        <f>IF(B14="","",B14)</f>
        <v/>
      </c>
      <c r="C27" s="151">
        <f>IF(C14="","",C14)</f>
        <v/>
      </c>
      <c r="D27" s="61" t="n"/>
      <c r="E27" s="61" t="inlineStr">
        <is>
          <t>대원칸타빌('06/2.9)_x000D_
한라비발디('06/2.8)_x000D_
오창이안('06/2.6)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5">
      <c r="A28" s="150">
        <f>IF(A15="","",A15)</f>
        <v/>
      </c>
      <c r="B28" s="60">
        <f>IF(B15="","",B15)</f>
        <v/>
      </c>
      <c r="C28" s="151">
        <f>IF(C15="","",C15)</f>
        <v/>
      </c>
      <c r="D28" s="61" t="n"/>
      <c r="E28" s="61" t="n"/>
      <c r="F28" s="61" t="inlineStr">
        <is>
          <t>두진백로그린타운('96/2.4)_x000D_
현대('92/2.1)_x000D_
삼성('96/2.1)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5">
      <c r="A29" s="152">
        <f>IF(A16="","",A16)</f>
        <v/>
      </c>
      <c r="B29" s="62">
        <f>IF(B16="","",B16)</f>
        <v/>
      </c>
      <c r="C29" s="153">
        <f>IF(C16="","",C16)</f>
        <v/>
      </c>
      <c r="D29" s="63" t="n"/>
      <c r="E29" s="63" t="n"/>
      <c r="F29" s="63" t="inlineStr">
        <is>
          <t>성원('95/2.0)_x000D_
율량럭키('91/1.9)_x000D_
율량현대('91/1.9)_x000D_
동아('90/1.6)</t>
        </is>
      </c>
      <c r="G29" s="63" t="inlineStr">
        <is>
          <t>신화('90/1.7)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2">
        <f>IF(A17="","",A17)</f>
        <v/>
      </c>
      <c r="B30" s="62">
        <f>IF(B17="","",B17)</f>
        <v/>
      </c>
      <c r="C30" s="153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4">
        <f>IF(A21="","",A21)</f>
        <v/>
      </c>
      <c r="B34" s="57">
        <f>IF(B21="","",B21)</f>
        <v/>
      </c>
      <c r="C34" s="145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6">
        <f>IF(A22="","",A22)</f>
        <v/>
      </c>
      <c r="B35" s="59">
        <f>IF(B22="","",B22)</f>
        <v/>
      </c>
      <c r="C35" s="147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8">
        <f>IF(A23="","",A23)</f>
        <v/>
      </c>
      <c r="B36" s="55">
        <f>IF(B23="","",B23)</f>
        <v/>
      </c>
      <c r="C36" s="149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8">
        <f>IF(A24="","",A24)</f>
        <v/>
      </c>
      <c r="B37" s="55">
        <f>IF(B24="","",B24)</f>
        <v/>
      </c>
      <c r="C37" s="149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8">
        <f>IF(A25="","",A25)</f>
        <v/>
      </c>
      <c r="B38" s="55">
        <f>IF(B25="","",B25)</f>
        <v/>
      </c>
      <c r="C38" s="149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5">
      <c r="A39" s="150">
        <f>IF(A26="","",A26)</f>
        <v/>
      </c>
      <c r="B39" s="60">
        <f>IF(B26="","",B26)</f>
        <v/>
      </c>
      <c r="C39" s="151">
        <f>IF(C26="","",C26)</f>
        <v/>
      </c>
      <c r="D39" s="61" t="n"/>
      <c r="E39" s="61" t="inlineStr">
        <is>
          <t>오창롯데캐슬더하이스트('18/3.4)</t>
        </is>
      </c>
      <c r="F39" s="61" t="inlineStr">
        <is>
          <t>제일풍경채('16/3.4)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5">
      <c r="A40" s="150">
        <f>IF(A27="","",A27)</f>
        <v/>
      </c>
      <c r="B40" s="60">
        <f>IF(B27="","",B27)</f>
        <v/>
      </c>
      <c r="C40" s="151">
        <f>IF(C27="","",C27)</f>
        <v/>
      </c>
      <c r="D40" s="61" t="n"/>
      <c r="E40" s="61" t="inlineStr">
        <is>
          <t>오창모아미래도와이드파크(3블럭)('16/2.7)_x000D_
대원칸타빌('06/2.5)</t>
        </is>
      </c>
      <c r="F40" s="61" t="inlineStr">
        <is>
          <t>율량금호어울림센트로('22/3.0)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5">
      <c r="A41" s="150">
        <f>IF(A28="","",A28)</f>
        <v/>
      </c>
      <c r="B41" s="60">
        <f>IF(B28="","",B28)</f>
        <v/>
      </c>
      <c r="C41" s="151">
        <f>IF(C28="","",C28)</f>
        <v/>
      </c>
      <c r="D41" s="61" t="n"/>
      <c r="E41" s="61" t="inlineStr">
        <is>
          <t>코아루('06/2.4)_x000D_
우림필유1차('06/2.4)_x000D_
오창쌍용스윗닷홈예가('06/2.3)_x000D_
중앙하이츠빌('06/2.3)_x000D_
오창이안('06/2.3)_x000D_
한라비발디('06/2.2)_x000D_
우림필유2차('06/2.2)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5">
      <c r="A42" s="152">
        <f>IF(A29="","",A29)</f>
        <v/>
      </c>
      <c r="B42" s="62">
        <f>IF(B29="","",B29)</f>
        <v/>
      </c>
      <c r="C42" s="153">
        <f>IF(C29="","",C29)</f>
        <v/>
      </c>
      <c r="D42" s="63" t="n"/>
      <c r="E42" s="63" t="n"/>
      <c r="F42" s="63" t="inlineStr">
        <is>
          <t>율량럭키('91/1.8)_x000D_
삼성('96/1.7)_x000D_
현대('92/1.7)_x000D_
동아('90/1.7)_x000D_
율량현대('91/1.7)_x000D_
성원('95/1.7)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5">
      <c r="A43" s="152">
        <f>IF(A30="","",A30)</f>
        <v/>
      </c>
      <c r="B43" s="62">
        <f>IF(B30="","",B30)</f>
        <v/>
      </c>
      <c r="C43" s="153">
        <f>IF(C30="","",C30)</f>
        <v/>
      </c>
      <c r="D43" s="63" t="n"/>
      <c r="E43" s="63" t="n"/>
      <c r="F43" s="63" t="inlineStr">
        <is>
          <t>두진백로그린타운('96/1.4)_x000D_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4">
        <f>IF(A34="","",A34)</f>
        <v/>
      </c>
      <c r="B47" s="57">
        <f>IF(B34="","",B34)</f>
        <v/>
      </c>
      <c r="C47" s="145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6">
        <f>IF(A35="","",A35)</f>
        <v/>
      </c>
      <c r="B48" s="59">
        <f>IF(B35="","",B35)</f>
        <v/>
      </c>
      <c r="C48" s="147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8">
        <f>IF(A36="","",A36)</f>
        <v/>
      </c>
      <c r="B49" s="55">
        <f>IF(B36="","",B36)</f>
        <v/>
      </c>
      <c r="C49" s="149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8">
        <f>IF(A37="","",A37)</f>
        <v/>
      </c>
      <c r="B50" s="55">
        <f>IF(B37="","",B37)</f>
        <v/>
      </c>
      <c r="C50" s="149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8">
        <f>IF(A38="","",A38)</f>
        <v/>
      </c>
      <c r="B51" s="55">
        <f>IF(B38="","",B38)</f>
        <v/>
      </c>
      <c r="C51" s="149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50">
        <f>IF(A39="","",A39)</f>
        <v/>
      </c>
      <c r="B52" s="60">
        <f>IF(B39="","",B39)</f>
        <v/>
      </c>
      <c r="C52" s="151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50">
        <f>IF(A40="","",A40)</f>
        <v/>
      </c>
      <c r="B53" s="60">
        <f>IF(B40="","",B40)</f>
        <v/>
      </c>
      <c r="C53" s="151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50">
        <f>IF(A41="","",A41)</f>
        <v/>
      </c>
      <c r="B54" s="60">
        <f>IF(B41="","",B41)</f>
        <v/>
      </c>
      <c r="C54" s="151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2">
        <f>IF(A42="","",A42)</f>
        <v/>
      </c>
      <c r="B55" s="62">
        <f>IF(B42="","",B42)</f>
        <v/>
      </c>
      <c r="C55" s="153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2">
        <f>IF(A43="","",A43)</f>
        <v/>
      </c>
      <c r="B56" s="62">
        <f>IF(B43="","",B43)</f>
        <v/>
      </c>
      <c r="C56" s="153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4">
        <f>IF(A47="","",A47)</f>
        <v/>
      </c>
      <c r="B60" s="57">
        <f>IF(B47="","",B47)</f>
        <v/>
      </c>
      <c r="C60" s="145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6">
        <f>IF(A48="","",A48)</f>
        <v/>
      </c>
      <c r="B61" s="59">
        <f>IF(B48="","",B48)</f>
        <v/>
      </c>
      <c r="C61" s="147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8">
        <f>IF(A49="","",A49)</f>
        <v/>
      </c>
      <c r="B62" s="55">
        <f>IF(B49="","",B49)</f>
        <v/>
      </c>
      <c r="C62" s="149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8">
        <f>IF(A50="","",A50)</f>
        <v/>
      </c>
      <c r="B63" s="55">
        <f>IF(B50="","",B50)</f>
        <v/>
      </c>
      <c r="C63" s="149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8">
        <f>IF(A51="","",A51)</f>
        <v/>
      </c>
      <c r="B64" s="55">
        <f>IF(B51="","",B51)</f>
        <v/>
      </c>
      <c r="C64" s="149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50">
        <f>IF(A52="","",A52)</f>
        <v/>
      </c>
      <c r="B65" s="60">
        <f>IF(B52="","",B52)</f>
        <v/>
      </c>
      <c r="C65" s="151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50">
        <f>IF(A53="","",A53)</f>
        <v/>
      </c>
      <c r="B66" s="60">
        <f>IF(B53="","",B53)</f>
        <v/>
      </c>
      <c r="C66" s="151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50">
        <f>IF(A54="","",A54)</f>
        <v/>
      </c>
      <c r="B67" s="60">
        <f>IF(B54="","",B54)</f>
        <v/>
      </c>
      <c r="C67" s="151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2">
        <f>IF(A55="","",A55)</f>
        <v/>
      </c>
      <c r="B68" s="62">
        <f>IF(B55="","",B55)</f>
        <v/>
      </c>
      <c r="C68" s="153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2">
        <f>IF(A56="","",A56)</f>
        <v/>
      </c>
      <c r="B69" s="62">
        <f>IF(B56="","",B56)</f>
        <v/>
      </c>
      <c r="C69" s="153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이랜드해가든</t>
        </is>
      </c>
      <c r="B6" s="10" t="inlineStr">
        <is>
          <t>'09.05.</t>
        </is>
      </c>
      <c r="C6" s="134" t="n">
        <v>236</v>
      </c>
      <c r="D6" s="132" t="n">
        <v>112.9</v>
      </c>
      <c r="E6" s="133" t="n">
        <v>34</v>
      </c>
      <c r="F6" s="132" t="n">
        <v>84.90000000000001</v>
      </c>
      <c r="G6" s="17" t="n">
        <v>26</v>
      </c>
      <c r="H6" s="134" t="n">
        <v>120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112B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4" t="n">
        <v>236</v>
      </c>
      <c r="D7" s="132" t="n">
        <v>113.5</v>
      </c>
      <c r="E7" s="133" t="n">
        <v>34</v>
      </c>
      <c r="F7" s="132" t="n">
        <v>85</v>
      </c>
      <c r="G7" s="17" t="n">
        <v>26</v>
      </c>
      <c r="H7" s="134" t="n">
        <v>116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113A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n"/>
      <c r="B8" s="122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2" t="n"/>
      <c r="AK8" s="122" t="n"/>
      <c r="AL8" s="122" t="n"/>
      <c r="AM8" s="122" t="n"/>
      <c r="AN8" s="122" t="n"/>
      <c r="AO8" s="122" t="n"/>
      <c r="AP8" s="122" t="n"/>
      <c r="AQ8" s="122" t="n"/>
      <c r="AR8" s="122" t="n"/>
      <c r="AS8" s="122" t="n"/>
      <c r="AT8" s="122" t="n"/>
      <c r="AU8" s="122" t="n"/>
      <c r="AV8" s="122" t="n"/>
    </row>
    <row r="9">
      <c r="A9" s="9" t="inlineStr">
        <is>
          <t>삼일</t>
        </is>
      </c>
      <c r="B9" s="10" t="inlineStr">
        <is>
          <t>'89.11.</t>
        </is>
      </c>
      <c r="C9" s="134" t="n">
        <v>200</v>
      </c>
      <c r="D9" s="132" t="n">
        <v>109.1</v>
      </c>
      <c r="E9" s="133" t="n">
        <v>33</v>
      </c>
      <c r="F9" s="132" t="n">
        <v>85</v>
      </c>
      <c r="G9" s="17" t="n">
        <v>26</v>
      </c>
      <c r="H9" s="134" t="n">
        <v>200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2</v>
      </c>
      <c r="S9" s="122" t="inlineStr">
        <is>
          <t>계</t>
        </is>
      </c>
      <c r="T9" s="5" t="n">
        <v>109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n"/>
      <c r="B10" s="122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2" t="n"/>
      <c r="AK10" s="122" t="n"/>
      <c r="AL10" s="122" t="n"/>
      <c r="AM10" s="122" t="n"/>
      <c r="AN10" s="122" t="n"/>
      <c r="AO10" s="122" t="n"/>
      <c r="AP10" s="122" t="n"/>
      <c r="AQ10" s="122" t="n"/>
      <c r="AR10" s="122" t="n"/>
      <c r="AS10" s="122" t="n"/>
      <c r="AT10" s="122" t="n"/>
      <c r="AU10" s="122" t="n"/>
      <c r="AV10" s="122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4" t="n">
        <v>508</v>
      </c>
      <c r="D11" s="132" t="n">
        <v>97.5</v>
      </c>
      <c r="E11" s="133" t="n">
        <v>29</v>
      </c>
      <c r="F11" s="132" t="n">
        <v>74.7</v>
      </c>
      <c r="G11" s="17" t="n">
        <v>23</v>
      </c>
      <c r="H11" s="134" t="n">
        <v>154</v>
      </c>
      <c r="I11" s="135" t="n">
        <v>34500</v>
      </c>
      <c r="J11" s="135" t="inlineStr">
        <is>
          <t>7</t>
        </is>
      </c>
      <c r="K11" s="135" t="n">
        <v>29000</v>
      </c>
      <c r="L11" s="135" t="inlineStr">
        <is>
          <t>26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n">
        <v>97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4" t="n">
        <v>508</v>
      </c>
      <c r="D12" s="132" t="n">
        <v>100.5</v>
      </c>
      <c r="E12" s="133" t="n">
        <v>30</v>
      </c>
      <c r="F12" s="132" t="n">
        <v>77.5</v>
      </c>
      <c r="G12" s="17" t="n">
        <v>23</v>
      </c>
      <c r="H12" s="134" t="n">
        <v>200</v>
      </c>
      <c r="I12" s="135" t="n">
        <v>37000</v>
      </c>
      <c r="J12" s="135" t="inlineStr">
        <is>
          <t>21</t>
        </is>
      </c>
      <c r="K12" s="135" t="n">
        <v>30000</v>
      </c>
      <c r="L12" s="135" t="inlineStr">
        <is>
          <t>23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100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4" t="n">
        <v>508</v>
      </c>
      <c r="D13" s="132" t="n">
        <v>110.1</v>
      </c>
      <c r="E13" s="133" t="n">
        <v>33</v>
      </c>
      <c r="F13" s="132" t="n">
        <v>84.90000000000001</v>
      </c>
      <c r="G13" s="17" t="n">
        <v>26</v>
      </c>
      <c r="H13" s="134" t="n">
        <v>154</v>
      </c>
      <c r="I13" s="135" t="n">
        <v>41000</v>
      </c>
      <c r="J13" s="135" t="inlineStr">
        <is>
          <t>22</t>
        </is>
      </c>
      <c r="K13" s="135" t="n">
        <v>36000</v>
      </c>
      <c r="L13" s="135" t="inlineStr">
        <is>
          <t>25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n">
        <v>110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n"/>
      <c r="B14" s="122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2" t="n"/>
      <c r="AK14" s="122" t="n"/>
      <c r="AL14" s="122" t="n"/>
      <c r="AM14" s="122" t="n"/>
      <c r="AN14" s="122" t="n"/>
      <c r="AO14" s="122" t="n"/>
      <c r="AP14" s="122" t="n"/>
      <c r="AQ14" s="122" t="n"/>
      <c r="AR14" s="122" t="n"/>
      <c r="AS14" s="122" t="n"/>
      <c r="AT14" s="122" t="n"/>
      <c r="AU14" s="122" t="n"/>
      <c r="AV14" s="122" t="n"/>
    </row>
    <row r="15">
      <c r="A15" s="9" t="inlineStr">
        <is>
          <t>신화</t>
        </is>
      </c>
      <c r="B15" s="10" t="inlineStr">
        <is>
          <t>'90.10.</t>
        </is>
      </c>
      <c r="C15" s="134" t="n">
        <v>432</v>
      </c>
      <c r="D15" s="132" t="n">
        <v>95.5</v>
      </c>
      <c r="E15" s="133" t="n">
        <v>29</v>
      </c>
      <c r="F15" s="132" t="n">
        <v>73.59999999999999</v>
      </c>
      <c r="G15" s="17" t="n">
        <v>22</v>
      </c>
      <c r="H15" s="134" t="n">
        <v>69</v>
      </c>
      <c r="I15" s="135" t="n">
        <v>14000</v>
      </c>
      <c r="J15" s="135" t="inlineStr">
        <is>
          <t>6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1</v>
      </c>
      <c r="S15" s="122" t="inlineStr">
        <is>
          <t>계</t>
        </is>
      </c>
      <c r="T15" s="5" t="n">
        <v>95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4" t="n">
        <v>432</v>
      </c>
      <c r="D16" s="132" t="n">
        <v>112.4</v>
      </c>
      <c r="E16" s="133" t="n">
        <v>34</v>
      </c>
      <c r="F16" s="132" t="n">
        <v>85</v>
      </c>
      <c r="G16" s="17" t="n">
        <v>26</v>
      </c>
      <c r="H16" s="134" t="n">
        <v>283</v>
      </c>
      <c r="I16" s="135" t="n">
        <v>17000</v>
      </c>
      <c r="J16" s="135" t="inlineStr">
        <is>
          <t>5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n">
        <v>112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4" t="n">
        <v>432</v>
      </c>
      <c r="D17" s="132" t="n">
        <v>162.1</v>
      </c>
      <c r="E17" s="133" t="n">
        <v>49</v>
      </c>
      <c r="F17" s="132" t="n">
        <v>133.7</v>
      </c>
      <c r="G17" s="17" t="n">
        <v>40</v>
      </c>
      <c r="H17" s="134" t="n">
        <v>80</v>
      </c>
      <c r="I17" s="135" t="n">
        <v>21000</v>
      </c>
      <c r="J17" s="135" t="inlineStr">
        <is>
          <t>9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4</v>
      </c>
      <c r="R17" s="122" t="n">
        <v>2</v>
      </c>
      <c r="S17" s="122" t="inlineStr">
        <is>
          <t>계</t>
        </is>
      </c>
      <c r="T17" s="5" t="n">
        <v>162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n"/>
      <c r="B18" s="122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7">
        <f>IF(E18="","",E18)</f>
        <v/>
      </c>
      <c r="AJ18" s="122" t="n"/>
      <c r="AK18" s="122" t="n"/>
      <c r="AL18" s="122" t="n"/>
      <c r="AM18" s="122" t="n"/>
      <c r="AN18" s="122" t="n"/>
      <c r="AO18" s="122" t="n"/>
      <c r="AP18" s="122" t="n"/>
      <c r="AQ18" s="122" t="n"/>
      <c r="AR18" s="122" t="n"/>
      <c r="AS18" s="122" t="n"/>
      <c r="AT18" s="122" t="n"/>
      <c r="AU18" s="122" t="n"/>
      <c r="AV18" s="122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4" t="n">
        <v>777</v>
      </c>
      <c r="D19" s="132" t="n">
        <v>98.59999999999999</v>
      </c>
      <c r="E19" s="133" t="n">
        <v>30</v>
      </c>
      <c r="F19" s="132" t="n">
        <v>76</v>
      </c>
      <c r="G19" s="17" t="n">
        <v>23</v>
      </c>
      <c r="H19" s="134" t="n">
        <v>91</v>
      </c>
      <c r="I19" s="135" t="n">
        <v>50000</v>
      </c>
      <c r="J19" s="135" t="inlineStr">
        <is>
          <t>고</t>
        </is>
      </c>
      <c r="K19" s="135" t="n">
        <v>32000</v>
      </c>
      <c r="L19" s="135" t="inlineStr">
        <is>
          <t>16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98A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4" t="n">
        <v>777</v>
      </c>
      <c r="D20" s="132" t="n">
        <v>99.7</v>
      </c>
      <c r="E20" s="133" t="n">
        <v>30</v>
      </c>
      <c r="F20" s="132" t="n">
        <v>76</v>
      </c>
      <c r="G20" s="17" t="n">
        <v>23</v>
      </c>
      <c r="H20" s="134" t="n">
        <v>98</v>
      </c>
      <c r="I20" s="135" t="n">
        <v>50000</v>
      </c>
      <c r="J20" s="135" t="inlineStr">
        <is>
          <t>고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inlineStr">
        <is>
          <t>99B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4" t="n">
        <v>777</v>
      </c>
      <c r="D21" s="132" t="n">
        <v>110.4</v>
      </c>
      <c r="E21" s="133" t="n">
        <v>33</v>
      </c>
      <c r="F21" s="132" t="n">
        <v>85</v>
      </c>
      <c r="G21" s="17" t="n">
        <v>26</v>
      </c>
      <c r="H21" s="134" t="n">
        <v>304</v>
      </c>
      <c r="I21" s="135" t="n">
        <v>56000</v>
      </c>
      <c r="J21" s="135" t="inlineStr">
        <is>
          <t>6</t>
        </is>
      </c>
      <c r="K21" s="135" t="n">
        <v>40000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inlineStr">
        <is>
          <t>110A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4" t="n">
        <v>777</v>
      </c>
      <c r="D22" s="132" t="n">
        <v>110.6</v>
      </c>
      <c r="E22" s="133" t="n">
        <v>33</v>
      </c>
      <c r="F22" s="132" t="n">
        <v>85</v>
      </c>
      <c r="G22" s="17" t="n">
        <v>26</v>
      </c>
      <c r="H22" s="134" t="n">
        <v>98</v>
      </c>
      <c r="I22" s="135" t="n"/>
      <c r="J22" s="135" t="n"/>
      <c r="K22" s="135" t="n">
        <v>35000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inlineStr">
        <is>
          <t>110B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4" t="n">
        <v>777</v>
      </c>
      <c r="D23" s="132" t="n">
        <v>110.2</v>
      </c>
      <c r="E23" s="133" t="n">
        <v>33</v>
      </c>
      <c r="F23" s="132" t="n">
        <v>85</v>
      </c>
      <c r="G23" s="17" t="n">
        <v>26</v>
      </c>
      <c r="H23" s="134" t="n">
        <v>68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inlineStr">
        <is>
          <t>110D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4" t="n">
        <v>777</v>
      </c>
      <c r="D24" s="132" t="n">
        <v>111.5</v>
      </c>
      <c r="E24" s="133" t="n">
        <v>34</v>
      </c>
      <c r="F24" s="132" t="n">
        <v>85</v>
      </c>
      <c r="G24" s="17" t="n">
        <v>26</v>
      </c>
      <c r="H24" s="134" t="n">
        <v>68</v>
      </c>
      <c r="I24" s="135" t="n">
        <v>52000</v>
      </c>
      <c r="J24" s="135" t="inlineStr">
        <is>
          <t>18</t>
        </is>
      </c>
      <c r="K24" s="135" t="n">
        <v>40000</v>
      </c>
      <c r="L24" s="135" t="inlineStr">
        <is>
          <t>9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111C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4" t="n">
        <v>777</v>
      </c>
      <c r="D25" s="132" t="n">
        <v>132</v>
      </c>
      <c r="E25" s="133" t="n">
        <v>40</v>
      </c>
      <c r="F25" s="132" t="n">
        <v>101.9</v>
      </c>
      <c r="G25" s="17" t="n">
        <v>31</v>
      </c>
      <c r="H25" s="134" t="n">
        <v>46</v>
      </c>
      <c r="I25" s="135" t="n">
        <v>60000</v>
      </c>
      <c r="J25" s="135" t="inlineStr">
        <is>
          <t>13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4</v>
      </c>
      <c r="R25" s="122" t="n">
        <v>2</v>
      </c>
      <c r="S25" s="122" t="inlineStr">
        <is>
          <t>계</t>
        </is>
      </c>
      <c r="T25" s="5" t="n">
        <v>132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4" t="n">
        <v>777</v>
      </c>
      <c r="D26" s="132" t="n">
        <v>148</v>
      </c>
      <c r="E26" s="133" t="n">
        <v>45</v>
      </c>
      <c r="F26" s="132" t="n">
        <v>118.8</v>
      </c>
      <c r="G26" s="17" t="n">
        <v>36</v>
      </c>
      <c r="H26" s="134" t="n">
        <v>2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4</v>
      </c>
      <c r="R26" s="122" t="n">
        <v>2</v>
      </c>
      <c r="S26" s="122" t="inlineStr">
        <is>
          <t>계</t>
        </is>
      </c>
      <c r="T26" s="5" t="n">
        <v>147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4" t="n">
        <v>777</v>
      </c>
      <c r="D27" s="132" t="n">
        <v>151.9</v>
      </c>
      <c r="E27" s="133" t="n">
        <v>46</v>
      </c>
      <c r="F27" s="132" t="n">
        <v>114.2</v>
      </c>
      <c r="G27" s="17" t="n">
        <v>35</v>
      </c>
      <c r="H27" s="134" t="n">
        <v>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n">
        <v>151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4" t="n">
        <v>777</v>
      </c>
      <c r="D28" s="132" t="n">
        <v>161.2</v>
      </c>
      <c r="E28" s="133" t="n">
        <v>49</v>
      </c>
      <c r="F28" s="132" t="n">
        <v>121.4</v>
      </c>
      <c r="G28" s="17" t="n">
        <v>37</v>
      </c>
      <c r="H28" s="134" t="n">
        <v>1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3</v>
      </c>
      <c r="R28" s="122" t="n">
        <v>2</v>
      </c>
      <c r="S28" s="122" t="inlineStr">
        <is>
          <t>계</t>
        </is>
      </c>
      <c r="T28" s="5" t="n">
        <v>161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영우예인촌</t>
        </is>
      </c>
      <c r="B30" s="10" t="inlineStr">
        <is>
          <t>'97.04.</t>
        </is>
      </c>
      <c r="C30" s="134" t="n">
        <v>280</v>
      </c>
      <c r="D30" s="132" t="n">
        <v>41</v>
      </c>
      <c r="E30" s="133" t="n">
        <v>12</v>
      </c>
      <c r="F30" s="132" t="n">
        <v>30.3</v>
      </c>
      <c r="G30" s="17" t="n">
        <v>9</v>
      </c>
      <c r="H30" s="134" t="n">
        <v>250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2</v>
      </c>
      <c r="R30" s="122" t="n">
        <v>1</v>
      </c>
      <c r="S30" s="122" t="inlineStr">
        <is>
          <t>계</t>
        </is>
      </c>
      <c r="T30" s="5" t="n">
        <v>40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4" t="n">
        <v>280</v>
      </c>
      <c r="D31" s="132" t="n">
        <v>57.1</v>
      </c>
      <c r="E31" s="133" t="n">
        <v>17</v>
      </c>
      <c r="F31" s="132" t="n">
        <v>43.3</v>
      </c>
      <c r="G31" s="17" t="n">
        <v>13</v>
      </c>
      <c r="H31" s="134" t="n">
        <v>30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2</v>
      </c>
      <c r="R31" s="122" t="n">
        <v>1</v>
      </c>
      <c r="S31" s="122" t="inlineStr">
        <is>
          <t>계</t>
        </is>
      </c>
      <c r="T31" s="5" t="n">
        <v>57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n"/>
      <c r="B32" s="122" t="n"/>
      <c r="C32" s="6" t="n"/>
      <c r="D32" s="9" t="n"/>
      <c r="E32" s="14" t="n"/>
      <c r="F32" s="132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7" t="n"/>
      <c r="P32" s="137" t="n"/>
      <c r="Q32" s="133" t="n"/>
      <c r="R32" s="133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7">
        <f>IF(E32="","",E32)</f>
        <v/>
      </c>
      <c r="AJ32" s="122" t="n"/>
      <c r="AK32" s="122" t="n"/>
      <c r="AL32" s="122" t="n"/>
      <c r="AM32" s="122" t="n"/>
      <c r="AN32" s="122" t="n"/>
      <c r="AO32" s="122" t="n"/>
      <c r="AP32" s="122" t="n"/>
      <c r="AQ32" s="122" t="n"/>
      <c r="AR32" s="122" t="n"/>
      <c r="AS32" s="122" t="n"/>
      <c r="AT32" s="122" t="n"/>
      <c r="AU32" s="122" t="n"/>
      <c r="AV32" s="122" t="n"/>
    </row>
    <row r="33">
      <c r="A33" s="9" t="inlineStr">
        <is>
          <t>롯데삼성</t>
        </is>
      </c>
      <c r="B33" s="10" t="inlineStr">
        <is>
          <t>'86.11.</t>
        </is>
      </c>
      <c r="C33" s="134" t="n">
        <v>252</v>
      </c>
      <c r="D33" s="132" t="n">
        <v>55.1</v>
      </c>
      <c r="E33" s="133" t="n">
        <v>17</v>
      </c>
      <c r="F33" s="132" t="n">
        <v>43.9</v>
      </c>
      <c r="G33" s="17" t="n">
        <v>13</v>
      </c>
      <c r="H33" s="134" t="n">
        <v>156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1</v>
      </c>
      <c r="S33" s="122" t="inlineStr">
        <is>
          <t>계</t>
        </is>
      </c>
      <c r="T33" s="5" t="n">
        <v>55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4" t="n">
        <v>252</v>
      </c>
      <c r="D34" s="132" t="n">
        <v>68.40000000000001</v>
      </c>
      <c r="E34" s="133" t="n">
        <v>21</v>
      </c>
      <c r="F34" s="132" t="n">
        <v>55.4</v>
      </c>
      <c r="G34" s="17" t="n">
        <v>17</v>
      </c>
      <c r="H34" s="134" t="n">
        <v>96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n">
        <v>68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n"/>
      <c r="B35" s="122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7">
        <f>IF(E35="","",E35)</f>
        <v/>
      </c>
      <c r="AJ35" s="122" t="n"/>
      <c r="AK35" s="122" t="n"/>
      <c r="AL35" s="122" t="n"/>
      <c r="AM35" s="122" t="n"/>
      <c r="AN35" s="122" t="n"/>
      <c r="AO35" s="122" t="n"/>
      <c r="AP35" s="122" t="n"/>
      <c r="AQ35" s="122" t="n"/>
      <c r="AR35" s="122" t="n"/>
      <c r="AS35" s="122" t="n"/>
      <c r="AT35" s="122" t="n"/>
      <c r="AU35" s="122" t="n"/>
      <c r="AV35" s="122" t="n"/>
    </row>
    <row r="36">
      <c r="A36" s="9" t="inlineStr">
        <is>
          <t>시영</t>
        </is>
      </c>
      <c r="B36" s="10" t="inlineStr">
        <is>
          <t>'82.06.</t>
        </is>
      </c>
      <c r="C36" s="134" t="n">
        <v>300</v>
      </c>
      <c r="D36" s="132" t="n">
        <v>51.8</v>
      </c>
      <c r="E36" s="133" t="n">
        <v>16</v>
      </c>
      <c r="F36" s="132" t="n">
        <v>45.1</v>
      </c>
      <c r="G36" s="17" t="n">
        <v>14</v>
      </c>
      <c r="H36" s="134" t="n">
        <v>60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2</v>
      </c>
      <c r="R36" s="122" t="n">
        <v>1</v>
      </c>
      <c r="S36" s="122" t="inlineStr">
        <is>
          <t>계</t>
        </is>
      </c>
      <c r="T36" s="5" t="inlineStr">
        <is>
          <t>51A</t>
        </is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4" t="n">
        <v>300</v>
      </c>
      <c r="D37" s="132" t="n">
        <v>53</v>
      </c>
      <c r="E37" s="133" t="n">
        <v>16</v>
      </c>
      <c r="F37" s="132" t="n">
        <v>45.5</v>
      </c>
      <c r="G37" s="17" t="n">
        <v>14</v>
      </c>
      <c r="H37" s="134" t="n">
        <v>50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2</v>
      </c>
      <c r="R37" s="122" t="n">
        <v>1</v>
      </c>
      <c r="S37" s="122" t="inlineStr">
        <is>
          <t>계</t>
        </is>
      </c>
      <c r="T37" s="5" t="inlineStr">
        <is>
          <t>52B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4" t="n">
        <v>300</v>
      </c>
      <c r="D38" s="132" t="n">
        <v>59.4</v>
      </c>
      <c r="E38" s="133" t="n">
        <v>18</v>
      </c>
      <c r="F38" s="132" t="n">
        <v>52.4</v>
      </c>
      <c r="G38" s="17" t="n">
        <v>16</v>
      </c>
      <c r="H38" s="134" t="n">
        <v>90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1</v>
      </c>
      <c r="S38" s="122" t="inlineStr">
        <is>
          <t>계</t>
        </is>
      </c>
      <c r="T38" s="5" t="n">
        <v>59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4" t="n">
        <v>300</v>
      </c>
      <c r="D39" s="132" t="n">
        <v>61.7</v>
      </c>
      <c r="E39" s="133" t="n">
        <v>19</v>
      </c>
      <c r="F39" s="132" t="n">
        <v>54.2</v>
      </c>
      <c r="G39" s="17" t="n">
        <v>16</v>
      </c>
      <c r="H39" s="134" t="n">
        <v>100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3</v>
      </c>
      <c r="R39" s="122" t="n">
        <v>1</v>
      </c>
      <c r="S39" s="122" t="inlineStr">
        <is>
          <t>계</t>
        </is>
      </c>
      <c r="T39" s="5" t="n">
        <v>61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은곡무지개</t>
        </is>
      </c>
      <c r="B6" s="10" t="inlineStr">
        <is>
          <t>'00.05.</t>
        </is>
      </c>
      <c r="C6" s="134" t="n">
        <v>700</v>
      </c>
      <c r="D6" s="132" t="n">
        <v>43.1</v>
      </c>
      <c r="E6" s="133" t="n">
        <v>13</v>
      </c>
      <c r="F6" s="132" t="n">
        <v>33.6</v>
      </c>
      <c r="G6" s="17" t="n">
        <v>10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1</v>
      </c>
      <c r="R6" s="122" t="n">
        <v>1</v>
      </c>
      <c r="S6" s="122" t="inlineStr">
        <is>
          <t>계</t>
        </is>
      </c>
      <c r="T6" s="5" t="n">
        <v>43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4" t="n">
        <v>700</v>
      </c>
      <c r="D7" s="132" t="n">
        <v>52.2</v>
      </c>
      <c r="E7" s="133" t="n">
        <v>16</v>
      </c>
      <c r="F7" s="132" t="n">
        <v>39.8</v>
      </c>
      <c r="G7" s="17" t="n">
        <v>12</v>
      </c>
      <c r="H7" s="134" t="n">
        <v>460</v>
      </c>
      <c r="I7" s="135" t="n">
        <v>4500</v>
      </c>
      <c r="J7" s="135" t="inlineStr">
        <is>
          <t>8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2</v>
      </c>
      <c r="R7" s="122" t="n">
        <v>1</v>
      </c>
      <c r="S7" s="122" t="inlineStr">
        <is>
          <t>계</t>
        </is>
      </c>
      <c r="T7" s="5" t="n">
        <v>52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n"/>
      <c r="B8" s="122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2" t="n"/>
      <c r="AK8" s="122" t="n"/>
      <c r="AL8" s="122" t="n"/>
      <c r="AM8" s="122" t="n"/>
      <c r="AN8" s="122" t="n"/>
      <c r="AO8" s="122" t="n"/>
      <c r="AP8" s="122" t="n"/>
      <c r="AQ8" s="122" t="n"/>
      <c r="AR8" s="122" t="n"/>
      <c r="AS8" s="122" t="n"/>
      <c r="AT8" s="122" t="n"/>
      <c r="AU8" s="122" t="n"/>
      <c r="AV8" s="122" t="n"/>
    </row>
    <row r="9">
      <c r="A9" s="9" t="inlineStr">
        <is>
          <t>우창진주2차(51-3)</t>
        </is>
      </c>
      <c r="B9" s="10" t="inlineStr">
        <is>
          <t>'97.03.</t>
        </is>
      </c>
      <c r="C9" s="134" t="n">
        <v>298</v>
      </c>
      <c r="D9" s="132" t="n">
        <v>78.59999999999999</v>
      </c>
      <c r="E9" s="133" t="n">
        <v>24</v>
      </c>
      <c r="F9" s="132" t="n">
        <v>59.7</v>
      </c>
      <c r="G9" s="17" t="n">
        <v>18</v>
      </c>
      <c r="H9" s="134" t="n">
        <v>298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1</v>
      </c>
      <c r="S9" s="122" t="inlineStr">
        <is>
          <t>복</t>
        </is>
      </c>
      <c r="T9" s="5" t="n">
        <v>78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n"/>
      <c r="B10" s="122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2" t="n"/>
      <c r="AK10" s="122" t="n"/>
      <c r="AL10" s="122" t="n"/>
      <c r="AM10" s="122" t="n"/>
      <c r="AN10" s="122" t="n"/>
      <c r="AO10" s="122" t="n"/>
      <c r="AP10" s="122" t="n"/>
      <c r="AQ10" s="122" t="n"/>
      <c r="AR10" s="122" t="n"/>
      <c r="AS10" s="122" t="n"/>
      <c r="AT10" s="122" t="n"/>
      <c r="AU10" s="122" t="n"/>
      <c r="AV10" s="122" t="n"/>
    </row>
    <row r="11">
      <c r="A11" s="9" t="inlineStr">
        <is>
          <t>천일은곡</t>
        </is>
      </c>
      <c r="B11" s="10" t="inlineStr">
        <is>
          <t>'00.06.</t>
        </is>
      </c>
      <c r="C11" s="134" t="n">
        <v>494</v>
      </c>
      <c r="D11" s="132" t="n">
        <v>71.59999999999999</v>
      </c>
      <c r="E11" s="133" t="n">
        <v>22</v>
      </c>
      <c r="F11" s="132" t="n">
        <v>59.7</v>
      </c>
      <c r="G11" s="17" t="n">
        <v>18</v>
      </c>
      <c r="H11" s="134" t="n">
        <v>494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1</v>
      </c>
      <c r="S11" s="122" t="inlineStr">
        <is>
          <t>계</t>
        </is>
      </c>
      <c r="T11" s="5" t="n">
        <v>71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n"/>
      <c r="B12" s="122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2" t="n"/>
      <c r="AK12" s="122" t="n"/>
      <c r="AL12" s="122" t="n"/>
      <c r="AM12" s="122" t="n"/>
      <c r="AN12" s="122" t="n"/>
      <c r="AO12" s="122" t="n"/>
      <c r="AP12" s="122" t="n"/>
      <c r="AQ12" s="122" t="n"/>
      <c r="AR12" s="122" t="n"/>
      <c r="AS12" s="122" t="n"/>
      <c r="AT12" s="122" t="n"/>
      <c r="AU12" s="122" t="n"/>
      <c r="AV12" s="122" t="n"/>
    </row>
    <row r="13">
      <c r="A13" s="9" t="inlineStr">
        <is>
          <t>삼일</t>
        </is>
      </c>
      <c r="B13" s="10" t="inlineStr">
        <is>
          <t>'96.10.</t>
        </is>
      </c>
      <c r="C13" s="134" t="n">
        <v>883</v>
      </c>
      <c r="D13" s="132" t="n">
        <v>36.1</v>
      </c>
      <c r="E13" s="133" t="n">
        <v>11</v>
      </c>
      <c r="F13" s="132" t="n">
        <v>26.6</v>
      </c>
      <c r="G13" s="17" t="n">
        <v>8</v>
      </c>
      <c r="H13" s="134" t="n">
        <v>132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복</t>
        </is>
      </c>
      <c r="T13" s="5" t="n">
        <v>36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4" t="n">
        <v>883</v>
      </c>
      <c r="D14" s="132" t="n">
        <v>78</v>
      </c>
      <c r="E14" s="133" t="n">
        <v>24</v>
      </c>
      <c r="F14" s="132" t="n">
        <v>59.6</v>
      </c>
      <c r="G14" s="17" t="n">
        <v>18</v>
      </c>
      <c r="H14" s="134" t="n">
        <v>1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복</t>
        </is>
      </c>
      <c r="T14" s="5" t="inlineStr">
        <is>
          <t>77B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4" t="n">
        <v>883</v>
      </c>
      <c r="D15" s="132" t="n">
        <v>78.09999999999999</v>
      </c>
      <c r="E15" s="133" t="n">
        <v>24</v>
      </c>
      <c r="F15" s="132" t="n">
        <v>59.7</v>
      </c>
      <c r="G15" s="17" t="n">
        <v>18</v>
      </c>
      <c r="H15" s="134" t="n">
        <v>750</v>
      </c>
      <c r="I15" s="135" t="n">
        <v>7600</v>
      </c>
      <c r="J15" s="135" t="inlineStr">
        <is>
          <t>11</t>
        </is>
      </c>
      <c r="K15" s="135" t="n">
        <v>9500</v>
      </c>
      <c r="L15" s="135" t="inlineStr">
        <is>
          <t>8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1</v>
      </c>
      <c r="S15" s="122" t="inlineStr">
        <is>
          <t>복</t>
        </is>
      </c>
      <c r="T15" s="5" t="inlineStr">
        <is>
          <t>78A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n"/>
      <c r="B16" s="122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7">
        <f>IF(E16="","",E16)</f>
        <v/>
      </c>
      <c r="AJ16" s="122" t="n"/>
      <c r="AK16" s="122" t="n"/>
      <c r="AL16" s="122" t="n"/>
      <c r="AM16" s="122" t="n"/>
      <c r="AN16" s="122" t="n"/>
      <c r="AO16" s="122" t="n"/>
      <c r="AP16" s="122" t="n"/>
      <c r="AQ16" s="122" t="n"/>
      <c r="AR16" s="122" t="n"/>
      <c r="AS16" s="122" t="n"/>
      <c r="AT16" s="122" t="n"/>
      <c r="AU16" s="122" t="n"/>
      <c r="AV16" s="122" t="n"/>
    </row>
    <row r="17">
      <c r="A17" s="9" t="inlineStr">
        <is>
          <t>우창진주1차(56)</t>
        </is>
      </c>
      <c r="B17" s="10" t="inlineStr">
        <is>
          <t>'95.12.</t>
        </is>
      </c>
      <c r="C17" s="134" t="n">
        <v>264</v>
      </c>
      <c r="D17" s="132" t="n">
        <v>63.1</v>
      </c>
      <c r="E17" s="133" t="n">
        <v>19</v>
      </c>
      <c r="F17" s="132" t="n">
        <v>49.8</v>
      </c>
      <c r="G17" s="17" t="n">
        <v>15</v>
      </c>
      <c r="H17" s="134" t="n">
        <v>132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2</v>
      </c>
      <c r="R17" s="122" t="n">
        <v>1</v>
      </c>
      <c r="S17" s="122" t="inlineStr">
        <is>
          <t>복</t>
        </is>
      </c>
      <c r="T17" s="5" t="n">
        <v>63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4" t="n">
        <v>264</v>
      </c>
      <c r="D18" s="132" t="n">
        <v>75.2</v>
      </c>
      <c r="E18" s="133" t="n">
        <v>23</v>
      </c>
      <c r="F18" s="132" t="n">
        <v>60</v>
      </c>
      <c r="G18" s="17" t="n">
        <v>18</v>
      </c>
      <c r="H18" s="134" t="n">
        <v>132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복</t>
        </is>
      </c>
      <c r="T18" s="5" t="n">
        <v>75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n"/>
      <c r="B19" s="122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2" t="n"/>
      <c r="AK19" s="122" t="n"/>
      <c r="AL19" s="122" t="n"/>
      <c r="AM19" s="122" t="n"/>
      <c r="AN19" s="122" t="n"/>
      <c r="AO19" s="122" t="n"/>
      <c r="AP19" s="122" t="n"/>
      <c r="AQ19" s="122" t="n"/>
      <c r="AR19" s="122" t="n"/>
      <c r="AS19" s="122" t="n"/>
      <c r="AT19" s="122" t="n"/>
      <c r="AU19" s="122" t="n"/>
      <c r="AV19" s="122" t="n"/>
    </row>
    <row r="20">
      <c r="A20" s="9" t="inlineStr">
        <is>
          <t>덕일한마음</t>
        </is>
      </c>
      <c r="B20" s="10" t="inlineStr">
        <is>
          <t>'97.10.</t>
        </is>
      </c>
      <c r="C20" s="134" t="n">
        <v>910</v>
      </c>
      <c r="D20" s="132" t="n">
        <v>50.2</v>
      </c>
      <c r="E20" s="133" t="n">
        <v>15</v>
      </c>
      <c r="F20" s="132" t="n">
        <v>38.6</v>
      </c>
      <c r="G20" s="17" t="n">
        <v>12</v>
      </c>
      <c r="H20" s="134" t="n">
        <v>440</v>
      </c>
      <c r="I20" s="135" t="n">
        <v>3000</v>
      </c>
      <c r="J20" s="135" t="inlineStr">
        <is>
          <t>5</t>
        </is>
      </c>
      <c r="K20" s="135" t="n">
        <v>1800</v>
      </c>
      <c r="L20" s="135" t="inlineStr">
        <is>
          <t>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1</v>
      </c>
      <c r="R20" s="122" t="n">
        <v>1</v>
      </c>
      <c r="S20" s="122" t="inlineStr">
        <is>
          <t>복</t>
        </is>
      </c>
      <c r="T20" s="5" t="n">
        <v>50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4" t="n">
        <v>910</v>
      </c>
      <c r="D21" s="132" t="n">
        <v>52.2</v>
      </c>
      <c r="E21" s="133" t="n">
        <v>16</v>
      </c>
      <c r="F21" s="132" t="n">
        <v>38.6</v>
      </c>
      <c r="G21" s="17" t="n">
        <v>12</v>
      </c>
      <c r="H21" s="134" t="n">
        <v>110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1</v>
      </c>
      <c r="R21" s="122" t="n">
        <v>1</v>
      </c>
      <c r="S21" s="122" t="inlineStr">
        <is>
          <t>복</t>
        </is>
      </c>
      <c r="T21" s="5" t="n">
        <v>52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4" t="n">
        <v>910</v>
      </c>
      <c r="D22" s="132" t="n">
        <v>61</v>
      </c>
      <c r="E22" s="133" t="n">
        <v>18</v>
      </c>
      <c r="F22" s="132" t="n">
        <v>45.3</v>
      </c>
      <c r="G22" s="17" t="n">
        <v>14</v>
      </c>
      <c r="H22" s="134" t="n">
        <v>360</v>
      </c>
      <c r="I22" s="135" t="n">
        <v>4900</v>
      </c>
      <c r="J22" s="135" t="inlineStr">
        <is>
          <t>7</t>
        </is>
      </c>
      <c r="K22" s="135" t="n">
        <v>3000</v>
      </c>
      <c r="L22" s="135" t="inlineStr">
        <is>
          <t>6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2</v>
      </c>
      <c r="R22" s="122" t="n">
        <v>1</v>
      </c>
      <c r="S22" s="122" t="inlineStr">
        <is>
          <t>복</t>
        </is>
      </c>
      <c r="T22" s="5" t="n">
        <v>61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n"/>
      <c r="B23" s="122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2" t="n"/>
      <c r="AK23" s="122" t="n"/>
      <c r="AL23" s="122" t="n"/>
      <c r="AM23" s="122" t="n"/>
      <c r="AN23" s="122" t="n"/>
      <c r="AO23" s="122" t="n"/>
      <c r="AP23" s="122" t="n"/>
      <c r="AQ23" s="122" t="n"/>
      <c r="AR23" s="122" t="n"/>
      <c r="AS23" s="122" t="n"/>
      <c r="AT23" s="122" t="n"/>
      <c r="AU23" s="122" t="n"/>
      <c r="AV23" s="122" t="n"/>
    </row>
    <row r="24">
      <c r="A24" s="9" t="inlineStr">
        <is>
          <t>진흥1차</t>
        </is>
      </c>
      <c r="B24" s="10" t="inlineStr">
        <is>
          <t>'90.12.</t>
        </is>
      </c>
      <c r="C24" s="134" t="n">
        <v>425</v>
      </c>
      <c r="D24" s="132" t="n">
        <v>37.6</v>
      </c>
      <c r="E24" s="133" t="n">
        <v>11</v>
      </c>
      <c r="F24" s="132" t="n">
        <v>28.2</v>
      </c>
      <c r="G24" s="17" t="n">
        <v>9</v>
      </c>
      <c r="H24" s="134" t="n">
        <v>6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1</v>
      </c>
      <c r="R24" s="122" t="n">
        <v>1</v>
      </c>
      <c r="S24" s="122" t="inlineStr">
        <is>
          <t>복</t>
        </is>
      </c>
      <c r="T24" s="5" t="n">
        <v>37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4" t="n">
        <v>425</v>
      </c>
      <c r="D25" s="132" t="n">
        <v>38.3</v>
      </c>
      <c r="E25" s="133" t="n">
        <v>12</v>
      </c>
      <c r="F25" s="132" t="n">
        <v>28.7</v>
      </c>
      <c r="G25" s="17" t="n">
        <v>9</v>
      </c>
      <c r="H25" s="134" t="n">
        <v>61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1</v>
      </c>
      <c r="R25" s="122" t="n">
        <v>1</v>
      </c>
      <c r="S25" s="122" t="inlineStr">
        <is>
          <t>계</t>
        </is>
      </c>
      <c r="T25" s="5" t="n">
        <v>38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4" t="n">
        <v>425</v>
      </c>
      <c r="D26" s="132" t="n">
        <v>67.5</v>
      </c>
      <c r="E26" s="133" t="n">
        <v>20</v>
      </c>
      <c r="F26" s="132" t="n">
        <v>59.9</v>
      </c>
      <c r="G26" s="17" t="n">
        <v>18</v>
      </c>
      <c r="H26" s="134" t="n">
        <v>358</v>
      </c>
      <c r="I26" s="135" t="n">
        <v>6500</v>
      </c>
      <c r="J26" s="135" t="inlineStr">
        <is>
          <t>5</t>
        </is>
      </c>
      <c r="K26" s="135" t="n">
        <v>4000</v>
      </c>
      <c r="L26" s="135" t="inlineStr">
        <is>
          <t>6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2</v>
      </c>
      <c r="R26" s="122" t="n">
        <v>1</v>
      </c>
      <c r="S26" s="122" t="inlineStr">
        <is>
          <t>계</t>
        </is>
      </c>
      <c r="T26" s="5" t="inlineStr">
        <is>
          <t>67A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n"/>
      <c r="B27" s="122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2" t="n"/>
      <c r="AK27" s="122" t="n"/>
      <c r="AL27" s="122" t="n"/>
      <c r="AM27" s="122" t="n"/>
      <c r="AN27" s="122" t="n"/>
      <c r="AO27" s="122" t="n"/>
      <c r="AP27" s="122" t="n"/>
      <c r="AQ27" s="122" t="n"/>
      <c r="AR27" s="122" t="n"/>
      <c r="AS27" s="122" t="n"/>
      <c r="AT27" s="122" t="n"/>
      <c r="AU27" s="122" t="n"/>
      <c r="AV27" s="122" t="n"/>
    </row>
    <row r="28">
      <c r="A28" s="9" t="inlineStr">
        <is>
          <t>우창진주3차</t>
        </is>
      </c>
      <c r="B28" s="10" t="inlineStr">
        <is>
          <t>'98.01.</t>
        </is>
      </c>
      <c r="C28" s="134" t="n">
        <v>295</v>
      </c>
      <c r="D28" s="132" t="n">
        <v>84.7</v>
      </c>
      <c r="E28" s="133" t="n">
        <v>26</v>
      </c>
      <c r="F28" s="132" t="n">
        <v>59.9</v>
      </c>
      <c r="G28" s="17" t="n">
        <v>18</v>
      </c>
      <c r="H28" s="134" t="n">
        <v>242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2</v>
      </c>
      <c r="R28" s="122" t="n">
        <v>1</v>
      </c>
      <c r="S28" s="122" t="inlineStr">
        <is>
          <t>복</t>
        </is>
      </c>
      <c r="T28" s="5" t="inlineStr">
        <is>
          <t>84A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4" t="n">
        <v>295</v>
      </c>
      <c r="D29" s="132" t="n">
        <v>84.7</v>
      </c>
      <c r="E29" s="133" t="n">
        <v>26</v>
      </c>
      <c r="F29" s="132" t="n">
        <v>59.9</v>
      </c>
      <c r="G29" s="17" t="n">
        <v>18</v>
      </c>
      <c r="H29" s="134" t="n">
        <v>53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1</v>
      </c>
      <c r="S29" s="122" t="inlineStr">
        <is>
          <t>복</t>
        </is>
      </c>
      <c r="T29" s="5" t="inlineStr">
        <is>
          <t>84B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>
      <c r="A30" s="9" t="n"/>
      <c r="B30" s="122" t="n"/>
      <c r="C30" s="6" t="n"/>
      <c r="D30" s="9" t="n"/>
      <c r="E30" s="14" t="n"/>
      <c r="F30" s="132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7" t="n"/>
      <c r="P30" s="137" t="n"/>
      <c r="Q30" s="133" t="n"/>
      <c r="R30" s="133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7">
        <f>IF(E30="","",E30)</f>
        <v/>
      </c>
      <c r="AJ30" s="122" t="n"/>
      <c r="AK30" s="122" t="n"/>
      <c r="AL30" s="122" t="n"/>
      <c r="AM30" s="122" t="n"/>
      <c r="AN30" s="122" t="n"/>
      <c r="AO30" s="122" t="n"/>
      <c r="AP30" s="122" t="n"/>
      <c r="AQ30" s="122" t="n"/>
      <c r="AR30" s="122" t="n"/>
      <c r="AS30" s="122" t="n"/>
      <c r="AT30" s="122" t="n"/>
      <c r="AU30" s="122" t="n"/>
      <c r="AV30" s="122" t="n"/>
    </row>
    <row r="31">
      <c r="A31" s="9" t="inlineStr">
        <is>
          <t>진흥2차</t>
        </is>
      </c>
      <c r="B31" s="10" t="inlineStr">
        <is>
          <t>'92.11.</t>
        </is>
      </c>
      <c r="C31" s="134" t="n">
        <v>299</v>
      </c>
      <c r="D31" s="132" t="n">
        <v>75.7</v>
      </c>
      <c r="E31" s="133" t="n">
        <v>23</v>
      </c>
      <c r="F31" s="132" t="n">
        <v>60</v>
      </c>
      <c r="G31" s="17" t="n">
        <v>18</v>
      </c>
      <c r="H31" s="134" t="n">
        <v>233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2</v>
      </c>
      <c r="R31" s="122" t="n">
        <v>1</v>
      </c>
      <c r="S31" s="122" t="inlineStr">
        <is>
          <t>계</t>
        </is>
      </c>
      <c r="T31" s="5" t="n">
        <v>75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4" t="n">
        <v>299</v>
      </c>
      <c r="D32" s="132" t="n">
        <v>75.59999999999999</v>
      </c>
      <c r="E32" s="133" t="n">
        <v>23</v>
      </c>
      <c r="F32" s="132" t="n">
        <v>59.9</v>
      </c>
      <c r="G32" s="17" t="n">
        <v>18</v>
      </c>
      <c r="H32" s="134" t="n">
        <v>42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1</v>
      </c>
      <c r="S32" s="122" t="inlineStr">
        <is>
          <t>복</t>
        </is>
      </c>
      <c r="T32" s="5" t="n">
        <v>75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4" t="n">
        <v>299</v>
      </c>
      <c r="D33" s="132" t="n">
        <v>107.2</v>
      </c>
      <c r="E33" s="133" t="n">
        <v>32</v>
      </c>
      <c r="F33" s="132" t="n">
        <v>84.90000000000001</v>
      </c>
      <c r="G33" s="17" t="n">
        <v>26</v>
      </c>
      <c r="H33" s="134" t="n">
        <v>24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2</v>
      </c>
      <c r="S33" s="122" t="inlineStr">
        <is>
          <t>계</t>
        </is>
      </c>
      <c r="T33" s="5" t="n">
        <v>107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4" t="n">
        <v>333</v>
      </c>
      <c r="D6" s="132" t="n">
        <v>110.5</v>
      </c>
      <c r="E6" s="133" t="n">
        <v>33</v>
      </c>
      <c r="F6" s="132" t="n">
        <v>84.5</v>
      </c>
      <c r="G6" s="17" t="n">
        <v>26</v>
      </c>
      <c r="H6" s="134" t="n">
        <v>87</v>
      </c>
      <c r="I6" s="135" t="n">
        <v>34000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110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4" t="n">
        <v>333</v>
      </c>
      <c r="D7" s="132" t="n">
        <v>131.7</v>
      </c>
      <c r="E7" s="133" t="n">
        <v>40</v>
      </c>
      <c r="F7" s="132" t="n">
        <v>102.2</v>
      </c>
      <c r="G7" s="17" t="n">
        <v>31</v>
      </c>
      <c r="H7" s="134" t="n">
        <v>98</v>
      </c>
      <c r="I7" s="135" t="n">
        <v>38000</v>
      </c>
      <c r="J7" s="135" t="inlineStr">
        <is>
          <t>7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n">
        <v>131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4" t="n">
        <v>333</v>
      </c>
      <c r="D8" s="132" t="n">
        <v>153.5</v>
      </c>
      <c r="E8" s="133" t="n">
        <v>46</v>
      </c>
      <c r="F8" s="132" t="n">
        <v>124.6</v>
      </c>
      <c r="G8" s="17" t="n">
        <v>38</v>
      </c>
      <c r="H8" s="134" t="n">
        <v>64</v>
      </c>
      <c r="I8" s="135" t="n">
        <v>44500</v>
      </c>
      <c r="J8" s="135" t="inlineStr">
        <is>
          <t>중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4</v>
      </c>
      <c r="R8" s="122" t="n">
        <v>2</v>
      </c>
      <c r="S8" s="122" t="inlineStr">
        <is>
          <t>계</t>
        </is>
      </c>
      <c r="T8" s="5" t="n">
        <v>153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4" t="n">
        <v>333</v>
      </c>
      <c r="D9" s="132" t="n">
        <v>173.8</v>
      </c>
      <c r="E9" s="133" t="n">
        <v>53</v>
      </c>
      <c r="F9" s="132" t="n">
        <v>134</v>
      </c>
      <c r="G9" s="17" t="n">
        <v>41</v>
      </c>
      <c r="H9" s="134" t="n">
        <v>10</v>
      </c>
      <c r="I9" s="135" t="n">
        <v>45000</v>
      </c>
      <c r="J9" s="135" t="inlineStr">
        <is>
          <t>고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3</v>
      </c>
      <c r="S9" s="122" t="inlineStr">
        <is>
          <t>계</t>
        </is>
      </c>
      <c r="T9" s="5" t="n">
        <v>173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4" t="n">
        <v>333</v>
      </c>
      <c r="D10" s="132" t="n">
        <v>193.3</v>
      </c>
      <c r="E10" s="133" t="n">
        <v>58</v>
      </c>
      <c r="F10" s="132" t="n">
        <v>157.4</v>
      </c>
      <c r="G10" s="17" t="n">
        <v>48</v>
      </c>
      <c r="H10" s="134" t="n">
        <v>70</v>
      </c>
      <c r="I10" s="135" t="n">
        <v>53000</v>
      </c>
      <c r="J10" s="135" t="inlineStr">
        <is>
          <t>9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3</v>
      </c>
      <c r="S10" s="122" t="inlineStr">
        <is>
          <t>계</t>
        </is>
      </c>
      <c r="T10" s="5" t="n">
        <v>193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4" t="n">
        <v>333</v>
      </c>
      <c r="D11" s="132" t="n">
        <v>228.8</v>
      </c>
      <c r="E11" s="133" t="n">
        <v>69</v>
      </c>
      <c r="F11" s="132" t="n">
        <v>183.3</v>
      </c>
      <c r="G11" s="17" t="n">
        <v>55</v>
      </c>
      <c r="H11" s="134" t="n">
        <v>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5</v>
      </c>
      <c r="R11" s="122" t="n">
        <v>4</v>
      </c>
      <c r="S11" s="122" t="inlineStr">
        <is>
          <t>계</t>
        </is>
      </c>
      <c r="T11" s="5" t="n">
        <v>228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n"/>
      <c r="B12" s="122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2" t="n"/>
      <c r="AK12" s="122" t="n"/>
      <c r="AL12" s="122" t="n"/>
      <c r="AM12" s="122" t="n"/>
      <c r="AN12" s="122" t="n"/>
      <c r="AO12" s="122" t="n"/>
      <c r="AP12" s="122" t="n"/>
      <c r="AQ12" s="122" t="n"/>
      <c r="AR12" s="122" t="n"/>
      <c r="AS12" s="122" t="n"/>
      <c r="AT12" s="122" t="n"/>
      <c r="AU12" s="122" t="n"/>
      <c r="AV12" s="122" t="n"/>
    </row>
    <row r="13">
      <c r="A13" s="9" t="inlineStr">
        <is>
          <t>사천동아1차</t>
        </is>
      </c>
      <c r="B13" s="10" t="inlineStr">
        <is>
          <t>'94.05.</t>
        </is>
      </c>
      <c r="C13" s="134" t="n">
        <v>461</v>
      </c>
      <c r="D13" s="132" t="n">
        <v>103.6</v>
      </c>
      <c r="E13" s="133" t="n">
        <v>31</v>
      </c>
      <c r="F13" s="132" t="n">
        <v>84.8</v>
      </c>
      <c r="G13" s="17" t="n">
        <v>26</v>
      </c>
      <c r="H13" s="134" t="n">
        <v>319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n">
        <v>103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4" t="n">
        <v>461</v>
      </c>
      <c r="D14" s="132" t="n">
        <v>156</v>
      </c>
      <c r="E14" s="133" t="n">
        <v>47</v>
      </c>
      <c r="F14" s="132" t="n">
        <v>134.1</v>
      </c>
      <c r="G14" s="17" t="n">
        <v>41</v>
      </c>
      <c r="H14" s="134" t="n">
        <v>57</v>
      </c>
      <c r="I14" s="135" t="n">
        <v>30000</v>
      </c>
      <c r="J14" s="135" t="inlineStr">
        <is>
          <t>12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4</v>
      </c>
      <c r="R14" s="122" t="n">
        <v>2</v>
      </c>
      <c r="S14" s="122" t="inlineStr">
        <is>
          <t>계</t>
        </is>
      </c>
      <c r="T14" s="5" t="n">
        <v>156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4" t="n">
        <v>461</v>
      </c>
      <c r="D15" s="132" t="n">
        <v>188.8</v>
      </c>
      <c r="E15" s="133" t="n">
        <v>57</v>
      </c>
      <c r="F15" s="132" t="n">
        <v>164.4</v>
      </c>
      <c r="G15" s="17" t="n">
        <v>50</v>
      </c>
      <c r="H15" s="134" t="n">
        <v>1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4</v>
      </c>
      <c r="R15" s="122" t="n">
        <v>2</v>
      </c>
      <c r="S15" s="122" t="inlineStr">
        <is>
          <t>계</t>
        </is>
      </c>
      <c r="T15" s="5" t="inlineStr">
        <is>
          <t>188A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4" t="n">
        <v>461</v>
      </c>
      <c r="D16" s="132" t="n">
        <v>189</v>
      </c>
      <c r="E16" s="133" t="n">
        <v>57</v>
      </c>
      <c r="F16" s="132" t="n">
        <v>164.6</v>
      </c>
      <c r="G16" s="17" t="n">
        <v>50</v>
      </c>
      <c r="H16" s="134" t="n">
        <v>84</v>
      </c>
      <c r="I16" s="135" t="n">
        <v>29000</v>
      </c>
      <c r="J16" s="135" t="inlineStr">
        <is>
          <t>중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4</v>
      </c>
      <c r="R16" s="122" t="n">
        <v>2</v>
      </c>
      <c r="S16" s="122" t="inlineStr">
        <is>
          <t>계</t>
        </is>
      </c>
      <c r="T16" s="5" t="inlineStr">
        <is>
          <t>189B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덕성그린</t>
        </is>
      </c>
      <c r="B18" s="10" t="inlineStr">
        <is>
          <t>'97.11.</t>
        </is>
      </c>
      <c r="C18" s="134" t="n">
        <v>411</v>
      </c>
      <c r="D18" s="132" t="n">
        <v>46.8</v>
      </c>
      <c r="E18" s="133" t="n">
        <v>14</v>
      </c>
      <c r="F18" s="132" t="n">
        <v>33.3</v>
      </c>
      <c r="G18" s="17" t="n">
        <v>10</v>
      </c>
      <c r="H18" s="134" t="n">
        <v>355</v>
      </c>
      <c r="I18" s="135" t="n">
        <v>4500</v>
      </c>
      <c r="J18" s="135" t="inlineStr">
        <is>
          <t>7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2</v>
      </c>
      <c r="R18" s="122" t="n">
        <v>1</v>
      </c>
      <c r="S18" s="122" t="inlineStr">
        <is>
          <t>복</t>
        </is>
      </c>
      <c r="T18" s="5" t="n">
        <v>46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4" t="n">
        <v>411</v>
      </c>
      <c r="D19" s="132" t="n">
        <v>50.4</v>
      </c>
      <c r="E19" s="133" t="n">
        <v>15</v>
      </c>
      <c r="F19" s="132" t="n">
        <v>35.9</v>
      </c>
      <c r="G19" s="17" t="n">
        <v>11</v>
      </c>
      <c r="H19" s="134" t="n">
        <v>56</v>
      </c>
      <c r="I19" s="135" t="n">
        <v>5500</v>
      </c>
      <c r="J19" s="135" t="inlineStr">
        <is>
          <t>12</t>
        </is>
      </c>
      <c r="K19" s="135" t="n">
        <v>3600</v>
      </c>
      <c r="L19" s="135" t="inlineStr">
        <is>
          <t>12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2</v>
      </c>
      <c r="R19" s="122" t="n">
        <v>1</v>
      </c>
      <c r="S19" s="122" t="inlineStr">
        <is>
          <t>복</t>
        </is>
      </c>
      <c r="T19" s="5" t="n">
        <v>50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n"/>
      <c r="B20" s="122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7">
        <f>IF(E20="","",E20)</f>
        <v/>
      </c>
      <c r="AJ20" s="122" t="n"/>
      <c r="AK20" s="122" t="n"/>
      <c r="AL20" s="122" t="n"/>
      <c r="AM20" s="122" t="n"/>
      <c r="AN20" s="122" t="n"/>
      <c r="AO20" s="122" t="n"/>
      <c r="AP20" s="122" t="n"/>
      <c r="AQ20" s="122" t="n"/>
      <c r="AR20" s="122" t="n"/>
      <c r="AS20" s="122" t="n"/>
      <c r="AT20" s="122" t="n"/>
      <c r="AU20" s="122" t="n"/>
      <c r="AV20" s="122" t="n"/>
    </row>
    <row r="21">
      <c r="A21" s="9" t="inlineStr">
        <is>
          <t>사천동아2차</t>
        </is>
      </c>
      <c r="B21" s="10" t="inlineStr">
        <is>
          <t>'96.02.</t>
        </is>
      </c>
      <c r="C21" s="134" t="n">
        <v>398</v>
      </c>
      <c r="D21" s="132" t="n">
        <v>53.4</v>
      </c>
      <c r="E21" s="133" t="n">
        <v>16</v>
      </c>
      <c r="F21" s="132" t="n">
        <v>43.4</v>
      </c>
      <c r="G21" s="17" t="n">
        <v>13</v>
      </c>
      <c r="H21" s="134" t="n">
        <v>8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2</v>
      </c>
      <c r="R21" s="122" t="n">
        <v>1</v>
      </c>
      <c r="S21" s="122" t="inlineStr">
        <is>
          <t>계</t>
        </is>
      </c>
      <c r="T21" s="5" t="n">
        <v>53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4" t="n">
        <v>398</v>
      </c>
      <c r="D22" s="132" t="n">
        <v>61.9</v>
      </c>
      <c r="E22" s="133" t="n">
        <v>19</v>
      </c>
      <c r="F22" s="132" t="n">
        <v>51.3</v>
      </c>
      <c r="G22" s="17" t="n">
        <v>16</v>
      </c>
      <c r="H22" s="134" t="n">
        <v>20</v>
      </c>
      <c r="I22" s="135" t="n">
        <v>9500</v>
      </c>
      <c r="J22" s="135" t="inlineStr">
        <is>
          <t>5</t>
        </is>
      </c>
      <c r="K22" s="135" t="n">
        <v>6000</v>
      </c>
      <c r="L22" s="135" t="inlineStr">
        <is>
          <t>5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2</v>
      </c>
      <c r="R22" s="122" t="n">
        <v>1</v>
      </c>
      <c r="S22" s="122" t="inlineStr">
        <is>
          <t>계</t>
        </is>
      </c>
      <c r="T22" s="5" t="n">
        <v>61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4" t="n">
        <v>398</v>
      </c>
      <c r="D23" s="132" t="n">
        <v>76.59999999999999</v>
      </c>
      <c r="E23" s="133" t="n">
        <v>23</v>
      </c>
      <c r="F23" s="132" t="n">
        <v>60</v>
      </c>
      <c r="G23" s="17" t="n">
        <v>18</v>
      </c>
      <c r="H23" s="134" t="n">
        <v>131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1</v>
      </c>
      <c r="S23" s="122" t="inlineStr">
        <is>
          <t>계</t>
        </is>
      </c>
      <c r="T23" s="5" t="n">
        <v>76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4" t="n">
        <v>398</v>
      </c>
      <c r="D24" s="132" t="n">
        <v>104</v>
      </c>
      <c r="E24" s="133" t="n">
        <v>31</v>
      </c>
      <c r="F24" s="132" t="n">
        <v>85</v>
      </c>
      <c r="G24" s="17" t="n">
        <v>26</v>
      </c>
      <c r="H24" s="134" t="n">
        <v>239</v>
      </c>
      <c r="I24" s="135" t="n">
        <v>17500</v>
      </c>
      <c r="J24" s="135" t="inlineStr">
        <is>
          <t>12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n">
        <v>104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n"/>
      <c r="B25" s="122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2" t="n"/>
      <c r="AK25" s="122" t="n"/>
      <c r="AL25" s="122" t="n"/>
      <c r="AM25" s="122" t="n"/>
      <c r="AN25" s="122" t="n"/>
      <c r="AO25" s="122" t="n"/>
      <c r="AP25" s="122" t="n"/>
      <c r="AQ25" s="122" t="n"/>
      <c r="AR25" s="122" t="n"/>
      <c r="AS25" s="122" t="n"/>
      <c r="AT25" s="122" t="n"/>
      <c r="AU25" s="122" t="n"/>
      <c r="AV25" s="122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4" t="n">
        <v>729</v>
      </c>
      <c r="D26" s="132" t="n">
        <v>84.8</v>
      </c>
      <c r="E26" s="133" t="n">
        <v>26</v>
      </c>
      <c r="F26" s="132" t="n">
        <v>60</v>
      </c>
      <c r="G26" s="17" t="n">
        <v>18</v>
      </c>
      <c r="H26" s="134" t="n">
        <v>204</v>
      </c>
      <c r="I26" s="135" t="n">
        <v>35000</v>
      </c>
      <c r="J26" s="135" t="inlineStr">
        <is>
          <t>5</t>
        </is>
      </c>
      <c r="K26" s="135" t="n">
        <v>28000</v>
      </c>
      <c r="L26" s="135" t="inlineStr">
        <is>
          <t>26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2</v>
      </c>
      <c r="S26" s="122" t="inlineStr">
        <is>
          <t>계</t>
        </is>
      </c>
      <c r="T26" s="5" t="n">
        <v>84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4" t="n">
        <v>729</v>
      </c>
      <c r="D27" s="132" t="n">
        <v>99</v>
      </c>
      <c r="E27" s="133" t="n">
        <v>30</v>
      </c>
      <c r="F27" s="132" t="n">
        <v>74.40000000000001</v>
      </c>
      <c r="G27" s="17" t="n">
        <v>23</v>
      </c>
      <c r="H27" s="134" t="n">
        <v>119</v>
      </c>
      <c r="I27" s="135" t="n">
        <v>46000</v>
      </c>
      <c r="J27" s="135" t="inlineStr">
        <is>
          <t>고</t>
        </is>
      </c>
      <c r="K27" s="135" t="n">
        <v>32000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n">
        <v>98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4" t="n">
        <v>729</v>
      </c>
      <c r="D28" s="132" t="n">
        <v>112.1</v>
      </c>
      <c r="E28" s="133" t="n">
        <v>34</v>
      </c>
      <c r="F28" s="132" t="n">
        <v>85</v>
      </c>
      <c r="G28" s="17" t="n">
        <v>26</v>
      </c>
      <c r="H28" s="134" t="n">
        <v>406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4</v>
      </c>
      <c r="R28" s="122" t="n">
        <v>2</v>
      </c>
      <c r="S28" s="122" t="inlineStr">
        <is>
          <t>계</t>
        </is>
      </c>
      <c r="T28" s="5" t="n">
        <v>112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대창1차</t>
        </is>
      </c>
      <c r="B30" s="10" t="inlineStr">
        <is>
          <t>'98.04.</t>
        </is>
      </c>
      <c r="C30" s="134" t="n">
        <v>356</v>
      </c>
      <c r="D30" s="132" t="n">
        <v>60.4</v>
      </c>
      <c r="E30" s="133" t="n">
        <v>18</v>
      </c>
      <c r="F30" s="132" t="n">
        <v>44.2</v>
      </c>
      <c r="G30" s="17" t="n">
        <v>13</v>
      </c>
      <c r="H30" s="134" t="n">
        <v>25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2</v>
      </c>
      <c r="R30" s="122" t="n">
        <v>1</v>
      </c>
      <c r="S30" s="122" t="inlineStr">
        <is>
          <t>계</t>
        </is>
      </c>
      <c r="T30" s="5" t="n">
        <v>60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4" t="n">
        <v>356</v>
      </c>
      <c r="D31" s="132" t="n">
        <v>67.7</v>
      </c>
      <c r="E31" s="133" t="n">
        <v>20</v>
      </c>
      <c r="F31" s="132" t="n">
        <v>49.5</v>
      </c>
      <c r="G31" s="17" t="n">
        <v>15</v>
      </c>
      <c r="H31" s="134" t="n">
        <v>105</v>
      </c>
      <c r="I31" s="135" t="n">
        <v>10000</v>
      </c>
      <c r="J31" s="135" t="inlineStr">
        <is>
          <t>15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2</v>
      </c>
      <c r="R31" s="122" t="n">
        <v>1</v>
      </c>
      <c r="S31" s="122" t="inlineStr">
        <is>
          <t>계</t>
        </is>
      </c>
      <c r="T31" s="5" t="n">
        <v>67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4" t="n">
        <v>356</v>
      </c>
      <c r="D32" s="132" t="n">
        <v>81.3</v>
      </c>
      <c r="E32" s="133" t="n">
        <v>25</v>
      </c>
      <c r="F32" s="132" t="n">
        <v>59.5</v>
      </c>
      <c r="G32" s="17" t="n">
        <v>18</v>
      </c>
      <c r="H32" s="134" t="n">
        <v>226</v>
      </c>
      <c r="I32" s="135" t="n">
        <v>13000</v>
      </c>
      <c r="J32" s="135" t="inlineStr">
        <is>
          <t>10</t>
        </is>
      </c>
      <c r="K32" s="135" t="n">
        <v>12500</v>
      </c>
      <c r="L32" s="135" t="inlineStr">
        <is>
          <t>11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1</v>
      </c>
      <c r="S32" s="122" t="inlineStr">
        <is>
          <t>계</t>
        </is>
      </c>
      <c r="T32" s="5" t="n">
        <v>81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n"/>
      <c r="B33" s="122" t="n"/>
      <c r="C33" s="6" t="n"/>
      <c r="D33" s="9" t="n"/>
      <c r="E33" s="14" t="n"/>
      <c r="F33" s="132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7" t="n"/>
      <c r="P33" s="137" t="n"/>
      <c r="Q33" s="133" t="n"/>
      <c r="R33" s="133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7">
        <f>IF(E33="","",E33)</f>
        <v/>
      </c>
      <c r="AJ33" s="122" t="n"/>
      <c r="AK33" s="122" t="n"/>
      <c r="AL33" s="122" t="n"/>
      <c r="AM33" s="122" t="n"/>
      <c r="AN33" s="122" t="n"/>
      <c r="AO33" s="122" t="n"/>
      <c r="AP33" s="122" t="n"/>
      <c r="AQ33" s="122" t="n"/>
      <c r="AR33" s="122" t="n"/>
      <c r="AS33" s="122" t="n"/>
      <c r="AT33" s="122" t="n"/>
      <c r="AU33" s="122" t="n"/>
      <c r="AV33" s="122" t="n"/>
    </row>
    <row r="34">
      <c r="A34" s="9" t="inlineStr">
        <is>
          <t>신동아</t>
        </is>
      </c>
      <c r="B34" s="10" t="inlineStr">
        <is>
          <t>'93.05.</t>
        </is>
      </c>
      <c r="C34" s="134" t="n">
        <v>958</v>
      </c>
      <c r="D34" s="132" t="n">
        <v>87.8</v>
      </c>
      <c r="E34" s="133" t="n">
        <v>27</v>
      </c>
      <c r="F34" s="132" t="n">
        <v>72.3</v>
      </c>
      <c r="G34" s="17" t="n">
        <v>22</v>
      </c>
      <c r="H34" s="134" t="n">
        <v>45</v>
      </c>
      <c r="I34" s="135" t="n">
        <v>16500</v>
      </c>
      <c r="J34" s="135" t="inlineStr">
        <is>
          <t>10</t>
        </is>
      </c>
      <c r="K34" s="135" t="n">
        <v>14000</v>
      </c>
      <c r="L34" s="135" t="inlineStr">
        <is>
          <t>15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inlineStr">
        <is>
          <t>87A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4" t="n">
        <v>958</v>
      </c>
      <c r="D35" s="132" t="n">
        <v>88.7</v>
      </c>
      <c r="E35" s="133" t="n">
        <v>27</v>
      </c>
      <c r="F35" s="132" t="n">
        <v>72.8</v>
      </c>
      <c r="G35" s="17" t="n">
        <v>22</v>
      </c>
      <c r="H35" s="134" t="n">
        <v>191</v>
      </c>
      <c r="I35" s="135" t="n">
        <v>15000</v>
      </c>
      <c r="J35" s="135" t="inlineStr">
        <is>
          <t>10</t>
        </is>
      </c>
      <c r="K35" s="135" t="n">
        <v>14500</v>
      </c>
      <c r="L35" s="135" t="inlineStr">
        <is>
          <t>15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1</v>
      </c>
      <c r="S35" s="122" t="inlineStr">
        <is>
          <t>계</t>
        </is>
      </c>
      <c r="T35" s="5" t="inlineStr">
        <is>
          <t>88B</t>
        </is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4" t="n">
        <v>958</v>
      </c>
      <c r="D36" s="132" t="n">
        <v>103</v>
      </c>
      <c r="E36" s="133" t="n">
        <v>31</v>
      </c>
      <c r="F36" s="132" t="n">
        <v>84.8</v>
      </c>
      <c r="G36" s="17" t="n">
        <v>26</v>
      </c>
      <c r="H36" s="134" t="n">
        <v>544</v>
      </c>
      <c r="I36" s="135" t="n">
        <v>17500</v>
      </c>
      <c r="J36" s="135" t="inlineStr">
        <is>
          <t>15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2</v>
      </c>
      <c r="S36" s="122" t="inlineStr">
        <is>
          <t>계</t>
        </is>
      </c>
      <c r="T36" s="5" t="n">
        <v>103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4" t="n">
        <v>958</v>
      </c>
      <c r="D37" s="132" t="n">
        <v>146</v>
      </c>
      <c r="E37" s="133" t="n">
        <v>44</v>
      </c>
      <c r="F37" s="132" t="n">
        <v>123.8</v>
      </c>
      <c r="G37" s="17" t="n">
        <v>37</v>
      </c>
      <c r="H37" s="134" t="n">
        <v>178</v>
      </c>
      <c r="I37" s="135" t="n">
        <v>22000</v>
      </c>
      <c r="J37" s="135" t="inlineStr">
        <is>
          <t>12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4</v>
      </c>
      <c r="R37" s="122" t="n">
        <v>2</v>
      </c>
      <c r="S37" s="122" t="inlineStr">
        <is>
          <t>계</t>
        </is>
      </c>
      <c r="T37" s="5" t="n">
        <v>145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n"/>
      <c r="B38" s="122" t="n"/>
      <c r="C38" s="6" t="n"/>
      <c r="D38" s="9" t="n"/>
      <c r="E38" s="14" t="n"/>
      <c r="F38" s="132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7" t="n"/>
      <c r="P38" s="137" t="n"/>
      <c r="Q38" s="133" t="n"/>
      <c r="R38" s="133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7">
        <f>IF(E38="","",E38)</f>
        <v/>
      </c>
      <c r="AJ38" s="122" t="n"/>
      <c r="AK38" s="122" t="n"/>
      <c r="AL38" s="122" t="n"/>
      <c r="AM38" s="122" t="n"/>
      <c r="AN38" s="122" t="n"/>
      <c r="AO38" s="122" t="n"/>
      <c r="AP38" s="122" t="n"/>
      <c r="AQ38" s="122" t="n"/>
      <c r="AR38" s="122" t="n"/>
      <c r="AS38" s="122" t="n"/>
      <c r="AT38" s="122" t="n"/>
      <c r="AU38" s="122" t="n"/>
      <c r="AV38" s="122" t="n"/>
    </row>
    <row r="39">
      <c r="A39" s="9" t="inlineStr">
        <is>
          <t>정도드림-빌</t>
        </is>
      </c>
      <c r="B39" s="10" t="inlineStr">
        <is>
          <t>'99.11.</t>
        </is>
      </c>
      <c r="C39" s="134" t="n">
        <v>499</v>
      </c>
      <c r="D39" s="132" t="n">
        <v>41.1</v>
      </c>
      <c r="E39" s="133" t="n">
        <v>12</v>
      </c>
      <c r="F39" s="132" t="n">
        <v>29.9</v>
      </c>
      <c r="G39" s="17" t="n">
        <v>9</v>
      </c>
      <c r="H39" s="134" t="n">
        <v>499</v>
      </c>
      <c r="I39" s="135" t="n">
        <v>5500</v>
      </c>
      <c r="J39" s="135" t="inlineStr">
        <is>
          <t>11</t>
        </is>
      </c>
      <c r="K39" s="135" t="n">
        <v>5000</v>
      </c>
      <c r="L39" s="135" t="inlineStr">
        <is>
          <t>9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1</v>
      </c>
      <c r="R39" s="122" t="n">
        <v>1</v>
      </c>
      <c r="S39" s="122" t="inlineStr">
        <is>
          <t>복</t>
        </is>
      </c>
      <c r="T39" s="5" t="n">
        <v>41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>
      <c r="A40" s="9" t="n"/>
      <c r="B40" s="122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7">
        <f>IF(E40="","",E40)</f>
        <v/>
      </c>
      <c r="AJ40" s="122" t="n"/>
      <c r="AK40" s="122" t="n"/>
      <c r="AL40" s="122" t="n"/>
      <c r="AM40" s="122" t="n"/>
      <c r="AN40" s="122" t="n"/>
      <c r="AO40" s="122" t="n"/>
      <c r="AP40" s="122" t="n"/>
      <c r="AQ40" s="122" t="n"/>
      <c r="AR40" s="122" t="n"/>
      <c r="AS40" s="122" t="n"/>
      <c r="AT40" s="122" t="n"/>
      <c r="AU40" s="122" t="n"/>
      <c r="AV40" s="122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4" t="n">
        <v>478</v>
      </c>
      <c r="D41" s="132" t="n">
        <v>112.8</v>
      </c>
      <c r="E41" s="133" t="n">
        <v>34</v>
      </c>
      <c r="F41" s="132" t="n">
        <v>84.5</v>
      </c>
      <c r="G41" s="17" t="n">
        <v>26</v>
      </c>
      <c r="H41" s="134" t="n">
        <v>155</v>
      </c>
      <c r="I41" s="135" t="n">
        <v>33000</v>
      </c>
      <c r="J41" s="135" t="inlineStr">
        <is>
          <t>5</t>
        </is>
      </c>
      <c r="K41" s="135" t="n">
        <v>28000</v>
      </c>
      <c r="L41" s="135" t="inlineStr">
        <is>
          <t>9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inlineStr">
        <is>
          <t>112A</t>
        </is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4" t="n">
        <v>478</v>
      </c>
      <c r="D42" s="132" t="n">
        <v>114.3</v>
      </c>
      <c r="E42" s="133" t="n">
        <v>35</v>
      </c>
      <c r="F42" s="132" t="n">
        <v>84.09999999999999</v>
      </c>
      <c r="G42" s="17" t="n">
        <v>25</v>
      </c>
      <c r="H42" s="134" t="n">
        <v>49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3</v>
      </c>
      <c r="R42" s="122" t="n">
        <v>2</v>
      </c>
      <c r="S42" s="122" t="inlineStr">
        <is>
          <t>계</t>
        </is>
      </c>
      <c r="T42" s="5" t="inlineStr">
        <is>
          <t>114B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4" t="n">
        <v>478</v>
      </c>
      <c r="D43" s="132" t="n">
        <v>130</v>
      </c>
      <c r="E43" s="133" t="n">
        <v>39</v>
      </c>
      <c r="F43" s="132" t="n">
        <v>102.2</v>
      </c>
      <c r="G43" s="17" t="n">
        <v>31</v>
      </c>
      <c r="H43" s="134" t="n">
        <v>108</v>
      </c>
      <c r="I43" s="135" t="n">
        <v>45000</v>
      </c>
      <c r="J43" s="135" t="inlineStr">
        <is>
          <t>18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n">
        <v>130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2">
        <f>S43</f>
        <v/>
      </c>
      <c r="AF43" s="122">
        <f>Q43&amp;"/"&amp;R43</f>
        <v/>
      </c>
      <c r="AH43" s="20">
        <f>IF(A43="","",A43)</f>
        <v/>
      </c>
      <c r="AI43" s="133">
        <f>IF(E43="","",E43)</f>
        <v/>
      </c>
      <c r="AJ43" s="122">
        <f>IF(AI43="","",$AJ$2)</f>
        <v/>
      </c>
      <c r="AK43" s="122" t="inlineStr">
        <is>
          <t>A</t>
        </is>
      </c>
      <c r="AL43" s="122" t="inlineStr">
        <is>
          <t>A+</t>
        </is>
      </c>
      <c r="AM43" s="122" t="inlineStr">
        <is>
          <t>B+</t>
        </is>
      </c>
      <c r="AN43" s="122">
        <f>IF(AI43="","",$AN$2)</f>
        <v/>
      </c>
      <c r="AO43" s="122">
        <f>IF(N43="","",IF(N43&gt;=$AO$1/100,"O","X"))</f>
        <v/>
      </c>
      <c r="AP43" s="122">
        <f>IF(I43="","",IF(I43&lt;=$AP$1,"O","X"))</f>
        <v/>
      </c>
      <c r="AQ43" s="122">
        <f>IF(O43="","",IF(O43&lt;=$AQ$1,"O","X"))</f>
        <v/>
      </c>
      <c r="AR43" s="122">
        <f>IF(M43="","",IF(M43&lt;=$AR$1,"O","X"))</f>
        <v/>
      </c>
      <c r="AS43" s="122" t="inlineStr">
        <is>
          <t>X</t>
        </is>
      </c>
      <c r="AT43" s="122">
        <f>IF(OR(F43="",AI43=""),"",IF(AND((F43&lt;=85),(AI43&gt;=15)),"O","X"))</f>
        <v/>
      </c>
      <c r="AU43" s="122">
        <f>IF(C43="","",IF(C43&gt;=$AU$1,"O","X"))</f>
        <v/>
      </c>
      <c r="AV43" s="122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4" t="n">
        <v>478</v>
      </c>
      <c r="D44" s="132" t="n">
        <v>154.1</v>
      </c>
      <c r="E44" s="133" t="n">
        <v>47</v>
      </c>
      <c r="F44" s="132" t="n">
        <v>124.6</v>
      </c>
      <c r="G44" s="17" t="n">
        <v>38</v>
      </c>
      <c r="H44" s="134" t="n">
        <v>88</v>
      </c>
      <c r="I44" s="135" t="n">
        <v>43000</v>
      </c>
      <c r="J44" s="135" t="inlineStr">
        <is>
          <t>10</t>
        </is>
      </c>
      <c r="K44" s="135" t="n">
        <v>35000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4</v>
      </c>
      <c r="R44" s="122" t="n">
        <v>2</v>
      </c>
      <c r="S44" s="122" t="inlineStr">
        <is>
          <t>계</t>
        </is>
      </c>
      <c r="T44" s="5" t="n">
        <v>154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4" t="n">
        <v>478</v>
      </c>
      <c r="D45" s="132" t="n">
        <v>193.7</v>
      </c>
      <c r="E45" s="133" t="n">
        <v>59</v>
      </c>
      <c r="F45" s="132" t="n">
        <v>157.4</v>
      </c>
      <c r="G45" s="17" t="n">
        <v>48</v>
      </c>
      <c r="H45" s="134" t="n">
        <v>72</v>
      </c>
      <c r="I45" s="135" t="n">
        <v>60000</v>
      </c>
      <c r="J45" s="135" t="inlineStr">
        <is>
          <t>18</t>
        </is>
      </c>
      <c r="K45" s="135" t="n">
        <v>43000</v>
      </c>
      <c r="L45" s="135" t="inlineStr">
        <is>
          <t>고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4</v>
      </c>
      <c r="R45" s="122" t="n">
        <v>2</v>
      </c>
      <c r="S45" s="122" t="inlineStr">
        <is>
          <t>계</t>
        </is>
      </c>
      <c r="T45" s="5" t="n">
        <v>193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4" t="n">
        <v>478</v>
      </c>
      <c r="D46" s="132" t="n">
        <v>229.7</v>
      </c>
      <c r="E46" s="133" t="n">
        <v>69</v>
      </c>
      <c r="F46" s="132" t="n">
        <v>183.3</v>
      </c>
      <c r="G46" s="17" t="n">
        <v>55</v>
      </c>
      <c r="H46" s="134" t="n">
        <v>6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5</v>
      </c>
      <c r="R46" s="122" t="n">
        <v>3</v>
      </c>
      <c r="S46" s="122" t="inlineStr">
        <is>
          <t>계</t>
        </is>
      </c>
      <c r="T46" s="5" t="n">
        <v>229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대원칸타빌(2블럭)</t>
        </is>
      </c>
      <c r="B6" s="10" t="inlineStr">
        <is>
          <t>'17.02.</t>
        </is>
      </c>
      <c r="C6" s="134" t="n">
        <v>592</v>
      </c>
      <c r="D6" s="132" t="n">
        <v>98.59999999999999</v>
      </c>
      <c r="E6" s="133" t="n">
        <v>30</v>
      </c>
      <c r="F6" s="132" t="n">
        <v>75.3</v>
      </c>
      <c r="G6" s="17" t="n">
        <v>23</v>
      </c>
      <c r="H6" s="134" t="n">
        <v>126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98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4" t="n">
        <v>592</v>
      </c>
      <c r="D7" s="132" t="n">
        <v>111.5</v>
      </c>
      <c r="E7" s="133" t="n">
        <v>34</v>
      </c>
      <c r="F7" s="132" t="n">
        <v>85</v>
      </c>
      <c r="G7" s="17" t="n">
        <v>26</v>
      </c>
      <c r="H7" s="134" t="n">
        <v>408</v>
      </c>
      <c r="I7" s="135" t="n">
        <v>36200</v>
      </c>
      <c r="J7" s="135" t="inlineStr">
        <is>
          <t>8</t>
        </is>
      </c>
      <c r="K7" s="135" t="n">
        <v>28000</v>
      </c>
      <c r="L7" s="135" t="inlineStr">
        <is>
          <t>8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111A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4" t="n">
        <v>592</v>
      </c>
      <c r="D8" s="132" t="n">
        <v>113</v>
      </c>
      <c r="E8" s="133" t="n">
        <v>34</v>
      </c>
      <c r="F8" s="132" t="n">
        <v>84.90000000000001</v>
      </c>
      <c r="G8" s="17" t="n">
        <v>26</v>
      </c>
      <c r="H8" s="134" t="n">
        <v>58</v>
      </c>
      <c r="I8" s="135" t="n">
        <v>39500</v>
      </c>
      <c r="J8" s="135" t="inlineStr">
        <is>
          <t>12</t>
        </is>
      </c>
      <c r="K8" s="135" t="n">
        <v>30000</v>
      </c>
      <c r="L8" s="135" t="inlineStr">
        <is>
          <t>12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113B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4" t="n">
        <v>472</v>
      </c>
      <c r="D10" s="132" t="n">
        <v>99.09999999999999</v>
      </c>
      <c r="E10" s="133" t="n">
        <v>30</v>
      </c>
      <c r="F10" s="132" t="n">
        <v>74.8</v>
      </c>
      <c r="G10" s="17" t="n">
        <v>23</v>
      </c>
      <c r="H10" s="134" t="n">
        <v>71</v>
      </c>
      <c r="I10" s="135" t="n">
        <v>33800</v>
      </c>
      <c r="J10" s="135" t="inlineStr">
        <is>
          <t>고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n">
        <v>99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4" t="n">
        <v>472</v>
      </c>
      <c r="D11" s="132" t="n">
        <v>110.5</v>
      </c>
      <c r="E11" s="133" t="n">
        <v>33</v>
      </c>
      <c r="F11" s="132" t="n">
        <v>85</v>
      </c>
      <c r="G11" s="17" t="n">
        <v>26</v>
      </c>
      <c r="H11" s="134" t="n">
        <v>401</v>
      </c>
      <c r="I11" s="135" t="n">
        <v>36000</v>
      </c>
      <c r="J11" s="135" t="inlineStr">
        <is>
          <t>13</t>
        </is>
      </c>
      <c r="K11" s="135" t="n">
        <v>30000</v>
      </c>
      <c r="L11" s="135" t="inlineStr">
        <is>
          <t>16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n">
        <v>110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n"/>
      <c r="B12" s="122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2" t="n"/>
      <c r="AK12" s="122" t="n"/>
      <c r="AL12" s="122" t="n"/>
      <c r="AM12" s="122" t="n"/>
      <c r="AN12" s="122" t="n"/>
      <c r="AO12" s="122" t="n"/>
      <c r="AP12" s="122" t="n"/>
      <c r="AQ12" s="122" t="n"/>
      <c r="AR12" s="122" t="n"/>
      <c r="AS12" s="122" t="n"/>
      <c r="AT12" s="122" t="n"/>
      <c r="AU12" s="122" t="n"/>
      <c r="AV12" s="122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4" t="n">
        <v>622</v>
      </c>
      <c r="D13" s="132" t="n">
        <v>83.8</v>
      </c>
      <c r="E13" s="133" t="n">
        <v>25</v>
      </c>
      <c r="F13" s="132" t="n">
        <v>59.9</v>
      </c>
      <c r="G13" s="17" t="n">
        <v>18</v>
      </c>
      <c r="H13" s="134" t="n">
        <v>172</v>
      </c>
      <c r="I13" s="135" t="n">
        <v>23000</v>
      </c>
      <c r="J13" s="135" t="inlineStr">
        <is>
          <t>7</t>
        </is>
      </c>
      <c r="K13" s="135" t="n">
        <v>22000</v>
      </c>
      <c r="L13" s="135" t="inlineStr">
        <is>
          <t>7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3</v>
      </c>
      <c r="R13" s="122" t="n">
        <v>2</v>
      </c>
      <c r="S13" s="122" t="inlineStr">
        <is>
          <t>계</t>
        </is>
      </c>
      <c r="T13" s="5" t="n">
        <v>83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4" t="n">
        <v>622</v>
      </c>
      <c r="D14" s="132" t="n">
        <v>109.7</v>
      </c>
      <c r="E14" s="133" t="n">
        <v>33</v>
      </c>
      <c r="F14" s="132" t="n">
        <v>85</v>
      </c>
      <c r="G14" s="17" t="n">
        <v>26</v>
      </c>
      <c r="H14" s="134" t="n">
        <v>270</v>
      </c>
      <c r="I14" s="135" t="n">
        <v>31000</v>
      </c>
      <c r="J14" s="135" t="inlineStr">
        <is>
          <t>13</t>
        </is>
      </c>
      <c r="K14" s="135" t="n">
        <v>28000</v>
      </c>
      <c r="L14" s="135" t="inlineStr">
        <is>
          <t>15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2</v>
      </c>
      <c r="S14" s="122" t="inlineStr">
        <is>
          <t>계</t>
        </is>
      </c>
      <c r="T14" s="5" t="n">
        <v>109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4" t="n">
        <v>622</v>
      </c>
      <c r="D15" s="132" t="n">
        <v>151.7</v>
      </c>
      <c r="E15" s="133" t="n">
        <v>46</v>
      </c>
      <c r="F15" s="132" t="n">
        <v>121.5</v>
      </c>
      <c r="G15" s="17" t="n">
        <v>37</v>
      </c>
      <c r="H15" s="134" t="n">
        <v>180</v>
      </c>
      <c r="I15" s="135" t="n">
        <v>38000</v>
      </c>
      <c r="J15" s="135" t="inlineStr">
        <is>
          <t>15</t>
        </is>
      </c>
      <c r="K15" s="135" t="n">
        <v>33000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4</v>
      </c>
      <c r="R15" s="122" t="n">
        <v>2</v>
      </c>
      <c r="S15" s="122" t="inlineStr">
        <is>
          <t>계</t>
        </is>
      </c>
      <c r="T15" s="5" t="n">
        <v>151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n"/>
      <c r="B16" s="122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7">
        <f>IF(E16="","",E16)</f>
        <v/>
      </c>
      <c r="AJ16" s="122" t="n"/>
      <c r="AK16" s="122" t="n"/>
      <c r="AL16" s="122" t="n"/>
      <c r="AM16" s="122" t="n"/>
      <c r="AN16" s="122" t="n"/>
      <c r="AO16" s="122" t="n"/>
      <c r="AP16" s="122" t="n"/>
      <c r="AQ16" s="122" t="n"/>
      <c r="AR16" s="122" t="n"/>
      <c r="AS16" s="122" t="n"/>
      <c r="AT16" s="122" t="n"/>
      <c r="AU16" s="122" t="n"/>
      <c r="AV16" s="122" t="n"/>
    </row>
    <row r="17">
      <c r="A17" s="9" t="inlineStr">
        <is>
          <t>중앙하이츠빌</t>
        </is>
      </c>
      <c r="B17" s="10" t="inlineStr">
        <is>
          <t>'06.05.</t>
        </is>
      </c>
      <c r="C17" s="134" t="n">
        <v>1338</v>
      </c>
      <c r="D17" s="132" t="n">
        <v>85.7</v>
      </c>
      <c r="E17" s="133" t="n">
        <v>26</v>
      </c>
      <c r="F17" s="132" t="n">
        <v>59.9</v>
      </c>
      <c r="G17" s="17" t="n">
        <v>18</v>
      </c>
      <c r="H17" s="134" t="n">
        <v>396</v>
      </c>
      <c r="I17" s="135" t="n">
        <v>23000</v>
      </c>
      <c r="J17" s="135" t="inlineStr">
        <is>
          <t>15</t>
        </is>
      </c>
      <c r="K17" s="135" t="n">
        <v>21000</v>
      </c>
      <c r="L17" s="135" t="inlineStr">
        <is>
          <t>6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n">
        <v>85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4" t="n">
        <v>1338</v>
      </c>
      <c r="D18" s="132" t="n">
        <v>115.5</v>
      </c>
      <c r="E18" s="133" t="n">
        <v>35</v>
      </c>
      <c r="F18" s="132" t="n">
        <v>84.7</v>
      </c>
      <c r="G18" s="17" t="n">
        <v>26</v>
      </c>
      <c r="H18" s="134" t="n">
        <v>498</v>
      </c>
      <c r="I18" s="135" t="n">
        <v>33000</v>
      </c>
      <c r="J18" s="135" t="inlineStr">
        <is>
          <t>16</t>
        </is>
      </c>
      <c r="K18" s="135" t="n">
        <v>28000</v>
      </c>
      <c r="L18" s="135" t="inlineStr">
        <is>
          <t>15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115A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4" t="n">
        <v>1338</v>
      </c>
      <c r="D19" s="132" t="n">
        <v>115.6</v>
      </c>
      <c r="E19" s="133" t="n">
        <v>35</v>
      </c>
      <c r="F19" s="132" t="n">
        <v>84.7</v>
      </c>
      <c r="G19" s="17" t="n">
        <v>26</v>
      </c>
      <c r="H19" s="134" t="n">
        <v>86</v>
      </c>
      <c r="I19" s="135" t="n">
        <v>32500</v>
      </c>
      <c r="J19" s="135" t="inlineStr">
        <is>
          <t>5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115B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4" t="n">
        <v>1338</v>
      </c>
      <c r="D20" s="132" t="n">
        <v>130.6</v>
      </c>
      <c r="E20" s="133" t="n">
        <v>39</v>
      </c>
      <c r="F20" s="132" t="n">
        <v>102.2</v>
      </c>
      <c r="G20" s="17" t="n">
        <v>31</v>
      </c>
      <c r="H20" s="134" t="n">
        <v>142</v>
      </c>
      <c r="I20" s="135" t="n">
        <v>37000</v>
      </c>
      <c r="J20" s="135" t="inlineStr">
        <is>
          <t>고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n">
        <v>130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4" t="n">
        <v>1338</v>
      </c>
      <c r="D21" s="132" t="n">
        <v>160.6</v>
      </c>
      <c r="E21" s="133" t="n">
        <v>49</v>
      </c>
      <c r="F21" s="132" t="n">
        <v>129.2</v>
      </c>
      <c r="G21" s="17" t="n">
        <v>39</v>
      </c>
      <c r="H21" s="134" t="n">
        <v>144</v>
      </c>
      <c r="I21" s="135" t="n">
        <v>45000</v>
      </c>
      <c r="J21" s="135" t="inlineStr">
        <is>
          <t>14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4</v>
      </c>
      <c r="R21" s="122" t="n">
        <v>2</v>
      </c>
      <c r="S21" s="122" t="inlineStr">
        <is>
          <t>계</t>
        </is>
      </c>
      <c r="T21" s="5" t="n">
        <v>160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4" t="n">
        <v>1338</v>
      </c>
      <c r="D22" s="132" t="n">
        <v>186.1</v>
      </c>
      <c r="E22" s="133" t="n">
        <v>56</v>
      </c>
      <c r="F22" s="132" t="n">
        <v>147.8</v>
      </c>
      <c r="G22" s="17" t="n">
        <v>45</v>
      </c>
      <c r="H22" s="134" t="n">
        <v>72</v>
      </c>
      <c r="I22" s="135" t="n">
        <v>60000</v>
      </c>
      <c r="J22" s="135" t="inlineStr">
        <is>
          <t>고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4</v>
      </c>
      <c r="R22" s="122" t="n">
        <v>2</v>
      </c>
      <c r="S22" s="122" t="inlineStr">
        <is>
          <t>계</t>
        </is>
      </c>
      <c r="T22" s="5" t="n">
        <v>186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n"/>
      <c r="B23" s="122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2" t="n"/>
      <c r="AK23" s="122" t="n"/>
      <c r="AL23" s="122" t="n"/>
      <c r="AM23" s="122" t="n"/>
      <c r="AN23" s="122" t="n"/>
      <c r="AO23" s="122" t="n"/>
      <c r="AP23" s="122" t="n"/>
      <c r="AQ23" s="122" t="n"/>
      <c r="AR23" s="122" t="n"/>
      <c r="AS23" s="122" t="n"/>
      <c r="AT23" s="122" t="n"/>
      <c r="AU23" s="122" t="n"/>
      <c r="AV23" s="122" t="n"/>
    </row>
    <row r="24" ht="24" customHeight="1" s="125">
      <c r="A24" s="9" t="inlineStr">
        <is>
          <t>오창모아미래도와이드파크(3블럭)</t>
        </is>
      </c>
      <c r="B24" s="10" t="inlineStr">
        <is>
          <t>'16.01.</t>
        </is>
      </c>
      <c r="C24" s="134" t="n">
        <v>630</v>
      </c>
      <c r="D24" s="132" t="n">
        <v>84</v>
      </c>
      <c r="E24" s="133" t="n">
        <v>25</v>
      </c>
      <c r="F24" s="132" t="n">
        <v>60</v>
      </c>
      <c r="G24" s="17" t="n">
        <v>18</v>
      </c>
      <c r="H24" s="134" t="n">
        <v>506</v>
      </c>
      <c r="I24" s="135" t="n">
        <v>27000</v>
      </c>
      <c r="J24" s="135" t="inlineStr">
        <is>
          <t>중</t>
        </is>
      </c>
      <c r="K24" s="135" t="n">
        <v>22000</v>
      </c>
      <c r="L24" s="135" t="inlineStr">
        <is>
          <t>고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83A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 ht="24" customHeight="1" s="125">
      <c r="A25" s="9" t="inlineStr">
        <is>
          <t>오창모아미래도와이드파크(3블럭)</t>
        </is>
      </c>
      <c r="B25" s="10" t="inlineStr">
        <is>
          <t>'16.01.</t>
        </is>
      </c>
      <c r="C25" s="134" t="n">
        <v>630</v>
      </c>
      <c r="D25" s="132" t="n">
        <v>84.90000000000001</v>
      </c>
      <c r="E25" s="133" t="n">
        <v>26</v>
      </c>
      <c r="F25" s="132" t="n">
        <v>60</v>
      </c>
      <c r="G25" s="17" t="n">
        <v>18</v>
      </c>
      <c r="H25" s="134" t="n">
        <v>124</v>
      </c>
      <c r="I25" s="135" t="n">
        <v>27000</v>
      </c>
      <c r="J25" s="135" t="inlineStr">
        <is>
          <t>22</t>
        </is>
      </c>
      <c r="K25" s="135" t="n">
        <v>24000</v>
      </c>
      <c r="L25" s="135" t="inlineStr">
        <is>
          <t>고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2</v>
      </c>
      <c r="S25" s="122" t="inlineStr">
        <is>
          <t>계</t>
        </is>
      </c>
      <c r="T25" s="5" t="inlineStr">
        <is>
          <t>84B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n"/>
      <c r="B26" s="122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7">
        <f>IF(E26="","",E26)</f>
        <v/>
      </c>
      <c r="AJ26" s="122" t="n"/>
      <c r="AK26" s="122" t="n"/>
      <c r="AL26" s="122" t="n"/>
      <c r="AM26" s="122" t="n"/>
      <c r="AN26" s="122" t="n"/>
      <c r="AO26" s="122" t="n"/>
      <c r="AP26" s="122" t="n"/>
      <c r="AQ26" s="122" t="n"/>
      <c r="AR26" s="122" t="n"/>
      <c r="AS26" s="122" t="n"/>
      <c r="AT26" s="122" t="n"/>
      <c r="AU26" s="122" t="n"/>
      <c r="AV26" s="122" t="n"/>
    </row>
    <row r="27">
      <c r="A27" s="9" t="inlineStr">
        <is>
          <t>오창대성베르힐</t>
        </is>
      </c>
      <c r="B27" s="10" t="inlineStr">
        <is>
          <t>'15.07.</t>
        </is>
      </c>
      <c r="C27" s="134" t="n">
        <v>587</v>
      </c>
      <c r="D27" s="132" t="n">
        <v>97.8</v>
      </c>
      <c r="E27" s="133" t="n">
        <v>30</v>
      </c>
      <c r="F27" s="132" t="n">
        <v>72.90000000000001</v>
      </c>
      <c r="G27" s="17" t="n">
        <v>22</v>
      </c>
      <c r="H27" s="134" t="n">
        <v>132</v>
      </c>
      <c r="I27" s="135" t="n">
        <v>34000</v>
      </c>
      <c r="J27" s="135" t="inlineStr">
        <is>
          <t>6</t>
        </is>
      </c>
      <c r="K27" s="135" t="n">
        <v>28000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n">
        <v>97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4" t="n">
        <v>587</v>
      </c>
      <c r="D28" s="132" t="n">
        <v>110.5</v>
      </c>
      <c r="E28" s="133" t="n">
        <v>33</v>
      </c>
      <c r="F28" s="132" t="n">
        <v>84.90000000000001</v>
      </c>
      <c r="G28" s="17" t="n">
        <v>26</v>
      </c>
      <c r="H28" s="134" t="n">
        <v>455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4</v>
      </c>
      <c r="R28" s="122" t="n">
        <v>2</v>
      </c>
      <c r="S28" s="122" t="inlineStr">
        <is>
          <t>계</t>
        </is>
      </c>
      <c r="T28" s="5" t="n">
        <v>110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우림필유2차</t>
        </is>
      </c>
      <c r="B30" s="10" t="inlineStr">
        <is>
          <t>'06.11.</t>
        </is>
      </c>
      <c r="C30" s="134" t="n">
        <v>1602</v>
      </c>
      <c r="D30" s="132" t="n">
        <v>86.59999999999999</v>
      </c>
      <c r="E30" s="133" t="n">
        <v>26</v>
      </c>
      <c r="F30" s="132" t="n">
        <v>59.9</v>
      </c>
      <c r="G30" s="17" t="n">
        <v>18</v>
      </c>
      <c r="H30" s="134" t="n">
        <v>391</v>
      </c>
      <c r="I30" s="135" t="n">
        <v>22000</v>
      </c>
      <c r="J30" s="135" t="inlineStr">
        <is>
          <t>고</t>
        </is>
      </c>
      <c r="K30" s="135" t="n">
        <v>20000</v>
      </c>
      <c r="L30" s="135" t="inlineStr">
        <is>
          <t>17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inlineStr">
        <is>
          <t>86A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4" t="n">
        <v>1602</v>
      </c>
      <c r="D31" s="132" t="n">
        <v>86.59999999999999</v>
      </c>
      <c r="E31" s="133" t="n">
        <v>26</v>
      </c>
      <c r="F31" s="132" t="n">
        <v>59.9</v>
      </c>
      <c r="G31" s="17" t="n">
        <v>18</v>
      </c>
      <c r="H31" s="134" t="n">
        <v>53</v>
      </c>
      <c r="I31" s="135" t="n">
        <v>22000</v>
      </c>
      <c r="J31" s="135" t="inlineStr">
        <is>
          <t>고</t>
        </is>
      </c>
      <c r="K31" s="135" t="n">
        <v>20000</v>
      </c>
      <c r="L31" s="135" t="inlineStr">
        <is>
          <t>17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2</v>
      </c>
      <c r="S31" s="122" t="inlineStr">
        <is>
          <t>계</t>
        </is>
      </c>
      <c r="T31" s="5" t="inlineStr">
        <is>
          <t>86B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4" t="n">
        <v>1602</v>
      </c>
      <c r="D32" s="132" t="n">
        <v>113.1</v>
      </c>
      <c r="E32" s="133" t="n">
        <v>34</v>
      </c>
      <c r="F32" s="132" t="n">
        <v>85</v>
      </c>
      <c r="G32" s="17" t="n">
        <v>26</v>
      </c>
      <c r="H32" s="134" t="n">
        <v>685</v>
      </c>
      <c r="I32" s="135" t="n">
        <v>31000</v>
      </c>
      <c r="J32" s="135" t="inlineStr">
        <is>
          <t>12</t>
        </is>
      </c>
      <c r="K32" s="135" t="n">
        <v>26000</v>
      </c>
      <c r="L32" s="135" t="inlineStr">
        <is>
          <t>11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inlineStr">
        <is>
          <t>113A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4" t="n">
        <v>1602</v>
      </c>
      <c r="D33" s="132" t="n">
        <v>114.7</v>
      </c>
      <c r="E33" s="133" t="n">
        <v>35</v>
      </c>
      <c r="F33" s="132" t="n">
        <v>85</v>
      </c>
      <c r="G33" s="17" t="n">
        <v>26</v>
      </c>
      <c r="H33" s="134" t="n">
        <v>121</v>
      </c>
      <c r="I33" s="135" t="n">
        <v>31000</v>
      </c>
      <c r="J33" s="135" t="inlineStr">
        <is>
          <t>10</t>
        </is>
      </c>
      <c r="K33" s="135" t="n">
        <v>27000</v>
      </c>
      <c r="L33" s="135" t="inlineStr">
        <is>
          <t>7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2</v>
      </c>
      <c r="S33" s="122" t="inlineStr">
        <is>
          <t>계</t>
        </is>
      </c>
      <c r="T33" s="5" t="inlineStr">
        <is>
          <t>114B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4" t="n">
        <v>1602</v>
      </c>
      <c r="D34" s="132" t="n">
        <v>156.1</v>
      </c>
      <c r="E34" s="133" t="n">
        <v>47</v>
      </c>
      <c r="F34" s="132" t="n">
        <v>122.6</v>
      </c>
      <c r="G34" s="17" t="n">
        <v>37</v>
      </c>
      <c r="H34" s="134" t="n">
        <v>280</v>
      </c>
      <c r="I34" s="135" t="n">
        <v>47000</v>
      </c>
      <c r="J34" s="135" t="inlineStr">
        <is>
          <t>14</t>
        </is>
      </c>
      <c r="K34" s="135" t="n">
        <v>38000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4</v>
      </c>
      <c r="R34" s="122" t="n">
        <v>2</v>
      </c>
      <c r="S34" s="122" t="inlineStr">
        <is>
          <t>계</t>
        </is>
      </c>
      <c r="T34" s="5" t="n">
        <v>156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4" t="n">
        <v>1602</v>
      </c>
      <c r="D35" s="132" t="n">
        <v>202.1</v>
      </c>
      <c r="E35" s="133" t="n">
        <v>61</v>
      </c>
      <c r="F35" s="132" t="n">
        <v>166.8</v>
      </c>
      <c r="G35" s="17" t="n">
        <v>50</v>
      </c>
      <c r="H35" s="134" t="n">
        <v>72</v>
      </c>
      <c r="I35" s="135" t="n">
        <v>53000</v>
      </c>
      <c r="J35" s="135" t="inlineStr">
        <is>
          <t>13</t>
        </is>
      </c>
      <c r="K35" s="135" t="n">
        <v>40000</v>
      </c>
      <c r="L35" s="135" t="inlineStr">
        <is>
          <t>18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4</v>
      </c>
      <c r="R35" s="122" t="n">
        <v>2</v>
      </c>
      <c r="S35" s="122" t="inlineStr">
        <is>
          <t>계</t>
        </is>
      </c>
      <c r="T35" s="5" t="n">
        <v>202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>
      <c r="A36" s="9" t="n"/>
      <c r="B36" s="122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2" t="n"/>
      <c r="AK36" s="122" t="n"/>
      <c r="AL36" s="122" t="n"/>
      <c r="AM36" s="122" t="n"/>
      <c r="AN36" s="122" t="n"/>
      <c r="AO36" s="122" t="n"/>
      <c r="AP36" s="122" t="n"/>
      <c r="AQ36" s="122" t="n"/>
      <c r="AR36" s="122" t="n"/>
      <c r="AS36" s="122" t="n"/>
      <c r="AT36" s="122" t="n"/>
      <c r="AU36" s="122" t="n"/>
      <c r="AV36" s="122" t="n"/>
    </row>
    <row r="37">
      <c r="A37" s="9" t="inlineStr">
        <is>
          <t>한라비발디</t>
        </is>
      </c>
      <c r="B37" s="10" t="inlineStr">
        <is>
          <t>'06.05.</t>
        </is>
      </c>
      <c r="C37" s="134" t="n">
        <v>1529</v>
      </c>
      <c r="D37" s="132" t="n">
        <v>85.09999999999999</v>
      </c>
      <c r="E37" s="133" t="n">
        <v>26</v>
      </c>
      <c r="F37" s="132" t="n">
        <v>60</v>
      </c>
      <c r="G37" s="17" t="n">
        <v>18</v>
      </c>
      <c r="H37" s="134" t="n">
        <v>406</v>
      </c>
      <c r="I37" s="135" t="n">
        <v>21000</v>
      </c>
      <c r="J37" s="135" t="inlineStr">
        <is>
          <t>10</t>
        </is>
      </c>
      <c r="K37" s="135" t="n">
        <v>21000</v>
      </c>
      <c r="L37" s="135" t="inlineStr">
        <is>
          <t>10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2</v>
      </c>
      <c r="S37" s="122" t="inlineStr">
        <is>
          <t>계</t>
        </is>
      </c>
      <c r="T37" s="5" t="n">
        <v>85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4" t="n">
        <v>1529</v>
      </c>
      <c r="D38" s="132" t="n">
        <v>111</v>
      </c>
      <c r="E38" s="133" t="n">
        <v>34</v>
      </c>
      <c r="F38" s="132" t="n">
        <v>84.59999999999999</v>
      </c>
      <c r="G38" s="17" t="n">
        <v>26</v>
      </c>
      <c r="H38" s="134" t="n">
        <v>776</v>
      </c>
      <c r="I38" s="135" t="n">
        <v>28000</v>
      </c>
      <c r="J38" s="135" t="inlineStr">
        <is>
          <t>중</t>
        </is>
      </c>
      <c r="K38" s="135" t="n">
        <v>25000</v>
      </c>
      <c r="L38" s="135" t="inlineStr">
        <is>
          <t>13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n">
        <v>111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4" t="n">
        <v>1529</v>
      </c>
      <c r="D39" s="132" t="n">
        <v>133</v>
      </c>
      <c r="E39" s="133" t="n">
        <v>40</v>
      </c>
      <c r="F39" s="132" t="n">
        <v>108.5</v>
      </c>
      <c r="G39" s="17" t="n">
        <v>33</v>
      </c>
      <c r="H39" s="134" t="n">
        <v>142</v>
      </c>
      <c r="I39" s="135" t="n">
        <v>37000</v>
      </c>
      <c r="J39" s="135" t="inlineStr">
        <is>
          <t>고</t>
        </is>
      </c>
      <c r="K39" s="135" t="n">
        <v>26000</v>
      </c>
      <c r="L39" s="135" t="inlineStr">
        <is>
          <t>6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3</v>
      </c>
      <c r="R39" s="122" t="n">
        <v>2</v>
      </c>
      <c r="S39" s="122" t="inlineStr">
        <is>
          <t>계</t>
        </is>
      </c>
      <c r="T39" s="5" t="n">
        <v>132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4" t="n">
        <v>1529</v>
      </c>
      <c r="D40" s="132" t="n">
        <v>153.3</v>
      </c>
      <c r="E40" s="133" t="n">
        <v>46</v>
      </c>
      <c r="F40" s="132" t="n">
        <v>129.9</v>
      </c>
      <c r="G40" s="17" t="n">
        <v>39</v>
      </c>
      <c r="H40" s="134" t="n">
        <v>167</v>
      </c>
      <c r="I40" s="135" t="n"/>
      <c r="J40" s="135" t="n"/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4</v>
      </c>
      <c r="R40" s="122" t="n">
        <v>2</v>
      </c>
      <c r="S40" s="122" t="inlineStr">
        <is>
          <t>계</t>
        </is>
      </c>
      <c r="T40" s="5" t="n">
        <v>153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4" t="n">
        <v>1529</v>
      </c>
      <c r="D41" s="132" t="n">
        <v>189.3</v>
      </c>
      <c r="E41" s="133" t="n">
        <v>57</v>
      </c>
      <c r="F41" s="132" t="n">
        <v>161.9</v>
      </c>
      <c r="G41" s="17" t="n">
        <v>49</v>
      </c>
      <c r="H41" s="134" t="n">
        <v>34</v>
      </c>
      <c r="I41" s="135" t="n">
        <v>49000</v>
      </c>
      <c r="J41" s="135" t="inlineStr">
        <is>
          <t>6</t>
        </is>
      </c>
      <c r="K41" s="135" t="n">
        <v>40000</v>
      </c>
      <c r="L41" s="135" t="inlineStr">
        <is>
          <t>중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4</v>
      </c>
      <c r="R41" s="122" t="n">
        <v>2</v>
      </c>
      <c r="S41" s="122" t="inlineStr">
        <is>
          <t>계</t>
        </is>
      </c>
      <c r="T41" s="5" t="n">
        <v>189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4" t="n">
        <v>1529</v>
      </c>
      <c r="D42" s="132" t="n">
        <v>255.9</v>
      </c>
      <c r="E42" s="133" t="n">
        <v>77</v>
      </c>
      <c r="F42" s="132" t="n">
        <v>213.9</v>
      </c>
      <c r="G42" s="17" t="n">
        <v>65</v>
      </c>
      <c r="H42" s="134" t="n">
        <v>4</v>
      </c>
      <c r="I42" s="135" t="n">
        <v>68000</v>
      </c>
      <c r="J42" s="135" t="inlineStr">
        <is>
          <t>고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4</v>
      </c>
      <c r="R42" s="122" t="n">
        <v>2</v>
      </c>
      <c r="S42" s="122" t="inlineStr">
        <is>
          <t>계</t>
        </is>
      </c>
      <c r="T42" s="5" t="n">
        <v>255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n"/>
      <c r="B43" s="122" t="n"/>
      <c r="C43" s="6" t="n"/>
      <c r="D43" s="9" t="n"/>
      <c r="E43" s="14" t="n"/>
      <c r="F43" s="132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7" t="n"/>
      <c r="P43" s="137" t="n"/>
      <c r="Q43" s="133" t="n"/>
      <c r="R43" s="133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7">
        <f>IF(E43="","",E43)</f>
        <v/>
      </c>
      <c r="AJ43" s="122" t="n"/>
      <c r="AK43" s="122" t="n"/>
      <c r="AL43" s="122" t="n"/>
      <c r="AM43" s="122" t="n"/>
      <c r="AN43" s="122" t="n"/>
      <c r="AO43" s="122" t="n"/>
      <c r="AP43" s="122" t="n"/>
      <c r="AQ43" s="122" t="n"/>
      <c r="AR43" s="122" t="n"/>
      <c r="AS43" s="122" t="n"/>
      <c r="AT43" s="122" t="n"/>
      <c r="AU43" s="122" t="n"/>
      <c r="AV43" s="122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4" t="n">
        <v>1210</v>
      </c>
      <c r="D44" s="132" t="n">
        <v>114.8</v>
      </c>
      <c r="E44" s="133" t="n">
        <v>35</v>
      </c>
      <c r="F44" s="132" t="n">
        <v>85</v>
      </c>
      <c r="G44" s="17" t="n">
        <v>26</v>
      </c>
      <c r="H44" s="134" t="n">
        <v>301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inlineStr">
        <is>
          <t>114A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4" t="n">
        <v>1210</v>
      </c>
      <c r="D45" s="132" t="n">
        <v>115.4</v>
      </c>
      <c r="E45" s="133" t="n">
        <v>35</v>
      </c>
      <c r="F45" s="132" t="n">
        <v>85</v>
      </c>
      <c r="G45" s="17" t="n">
        <v>26</v>
      </c>
      <c r="H45" s="134" t="n">
        <v>307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115B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4" t="n">
        <v>1210</v>
      </c>
      <c r="D46" s="132" t="n">
        <v>115.1</v>
      </c>
      <c r="E46" s="133" t="n">
        <v>35</v>
      </c>
      <c r="F46" s="132" t="n">
        <v>85</v>
      </c>
      <c r="G46" s="17" t="n">
        <v>26</v>
      </c>
      <c r="H46" s="134" t="n">
        <v>280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inlineStr">
        <is>
          <t>115C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4" t="n">
        <v>1210</v>
      </c>
      <c r="D47" s="132" t="n">
        <v>115.1</v>
      </c>
      <c r="E47" s="133" t="n">
        <v>35</v>
      </c>
      <c r="F47" s="132" t="n">
        <v>85</v>
      </c>
      <c r="G47" s="17" t="n">
        <v>26</v>
      </c>
      <c r="H47" s="134" t="n">
        <v>280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2</v>
      </c>
      <c r="S47" s="122" t="inlineStr">
        <is>
          <t>계</t>
        </is>
      </c>
      <c r="T47" s="5" t="inlineStr">
        <is>
          <t>115D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4" t="n">
        <v>1210</v>
      </c>
      <c r="D48" s="132" t="n">
        <v>174.1</v>
      </c>
      <c r="E48" s="133" t="n">
        <v>53</v>
      </c>
      <c r="F48" s="132" t="n">
        <v>129</v>
      </c>
      <c r="G48" s="17" t="n">
        <v>39</v>
      </c>
      <c r="H48" s="134" t="n">
        <v>28</v>
      </c>
      <c r="I48" s="135" t="n"/>
      <c r="J48" s="135" t="n"/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n">
        <v>174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4" t="n">
        <v>1210</v>
      </c>
      <c r="D49" s="132" t="n">
        <v>186.3</v>
      </c>
      <c r="E49" s="133" t="n">
        <v>56</v>
      </c>
      <c r="F49" s="132" t="n">
        <v>138.6</v>
      </c>
      <c r="G49" s="17" t="n">
        <v>42</v>
      </c>
      <c r="H49" s="134" t="n">
        <v>7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2</v>
      </c>
      <c r="S49" s="122" t="inlineStr">
        <is>
          <t>계</t>
        </is>
      </c>
      <c r="T49" s="5" t="n">
        <v>186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4" t="n">
        <v>1210</v>
      </c>
      <c r="D50" s="132" t="n">
        <v>205.1</v>
      </c>
      <c r="E50" s="133" t="n">
        <v>62</v>
      </c>
      <c r="F50" s="132" t="n">
        <v>149.6</v>
      </c>
      <c r="G50" s="17" t="n">
        <v>45</v>
      </c>
      <c r="H50" s="134" t="n">
        <v>7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3</v>
      </c>
      <c r="S50" s="122" t="inlineStr">
        <is>
          <t>계</t>
        </is>
      </c>
      <c r="T50" s="5" t="n">
        <v>205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>
      <c r="A51" s="9" t="n"/>
      <c r="B51" s="122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7">
        <f>IF(E51="","",E51)</f>
        <v/>
      </c>
      <c r="AJ51" s="122" t="n"/>
      <c r="AK51" s="122" t="n"/>
      <c r="AL51" s="122" t="n"/>
      <c r="AM51" s="122" t="n"/>
      <c r="AN51" s="122" t="n"/>
      <c r="AO51" s="122" t="n"/>
      <c r="AP51" s="122" t="n"/>
      <c r="AQ51" s="122" t="n"/>
      <c r="AR51" s="122" t="n"/>
      <c r="AS51" s="122" t="n"/>
      <c r="AT51" s="122" t="n"/>
      <c r="AU51" s="122" t="n"/>
      <c r="AV51" s="122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4" t="n">
        <v>2500</v>
      </c>
      <c r="D52" s="132" t="n">
        <v>85.59999999999999</v>
      </c>
      <c r="E52" s="133" t="n">
        <v>26</v>
      </c>
      <c r="F52" s="132" t="n">
        <v>60</v>
      </c>
      <c r="G52" s="17" t="n">
        <v>18</v>
      </c>
      <c r="H52" s="134" t="n">
        <v>483</v>
      </c>
      <c r="I52" s="135" t="n">
        <v>33000</v>
      </c>
      <c r="J52" s="135" t="inlineStr">
        <is>
          <t>8</t>
        </is>
      </c>
      <c r="K52" s="135" t="n">
        <v>25000</v>
      </c>
      <c r="L52" s="135" t="inlineStr">
        <is>
          <t>24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3</v>
      </c>
      <c r="R52" s="122" t="n">
        <v>2</v>
      </c>
      <c r="S52" s="122" t="inlineStr">
        <is>
          <t>계</t>
        </is>
      </c>
      <c r="T52" s="5" t="inlineStr">
        <is>
          <t>85A</t>
        </is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4" t="n">
        <v>2500</v>
      </c>
      <c r="D53" s="132" t="n">
        <v>85.5</v>
      </c>
      <c r="E53" s="133" t="n">
        <v>26</v>
      </c>
      <c r="F53" s="132" t="n">
        <v>59.9</v>
      </c>
      <c r="G53" s="17" t="n">
        <v>18</v>
      </c>
      <c r="H53" s="134" t="n">
        <v>150</v>
      </c>
      <c r="I53" s="135" t="n">
        <v>34000</v>
      </c>
      <c r="J53" s="135" t="inlineStr">
        <is>
          <t>11</t>
        </is>
      </c>
      <c r="K53" s="135" t="n">
        <v>24000</v>
      </c>
      <c r="L53" s="135" t="inlineStr">
        <is>
          <t>28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2</v>
      </c>
      <c r="S53" s="122" t="inlineStr">
        <is>
          <t>계</t>
        </is>
      </c>
      <c r="T53" s="5" t="inlineStr">
        <is>
          <t>85B</t>
        </is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4" t="n">
        <v>2500</v>
      </c>
      <c r="D54" s="132" t="n">
        <v>100.7</v>
      </c>
      <c r="E54" s="133" t="n">
        <v>30</v>
      </c>
      <c r="F54" s="132" t="n">
        <v>71</v>
      </c>
      <c r="G54" s="17" t="n">
        <v>21</v>
      </c>
      <c r="H54" s="134" t="n">
        <v>226</v>
      </c>
      <c r="I54" s="135" t="n">
        <v>37000</v>
      </c>
      <c r="J54" s="135" t="inlineStr">
        <is>
          <t>8</t>
        </is>
      </c>
      <c r="K54" s="135" t="n">
        <v>30000</v>
      </c>
      <c r="L54" s="135" t="inlineStr">
        <is>
          <t>18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inlineStr">
        <is>
          <t>100B</t>
        </is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2">
        <f>S54</f>
        <v/>
      </c>
      <c r="AF54" s="122">
        <f>Q54&amp;"/"&amp;R54</f>
        <v/>
      </c>
      <c r="AH54" s="20">
        <f>IF(A54="","",A54)</f>
        <v/>
      </c>
      <c r="AI54" s="133">
        <f>IF(E54="","",E54)</f>
        <v/>
      </c>
      <c r="AJ54" s="122">
        <f>IF(AI54="","",$AJ$2)</f>
        <v/>
      </c>
      <c r="AK54" s="122" t="inlineStr">
        <is>
          <t>A</t>
        </is>
      </c>
      <c r="AL54" s="122" t="inlineStr">
        <is>
          <t>A+</t>
        </is>
      </c>
      <c r="AM54" s="122" t="inlineStr">
        <is>
          <t>B+</t>
        </is>
      </c>
      <c r="AN54" s="122">
        <f>IF(AI54="","",$AN$2)</f>
        <v/>
      </c>
      <c r="AO54" s="122">
        <f>IF(N54="","",IF(N54&gt;=$AO$1/100,"O","X"))</f>
        <v/>
      </c>
      <c r="AP54" s="122">
        <f>IF(I54="","",IF(I54&lt;=$AP$1,"O","X"))</f>
        <v/>
      </c>
      <c r="AQ54" s="122">
        <f>IF(O54="","",IF(O54&lt;=$AQ$1,"O","X"))</f>
        <v/>
      </c>
      <c r="AR54" s="122">
        <f>IF(M54="","",IF(M54&lt;=$AR$1,"O","X"))</f>
        <v/>
      </c>
      <c r="AS54" s="122" t="inlineStr">
        <is>
          <t>X</t>
        </is>
      </c>
      <c r="AT54" s="122">
        <f>IF(OR(F54="",AI54=""),"",IF(AND((F54&lt;=85),(AI54&gt;=15)),"O","X"))</f>
        <v/>
      </c>
      <c r="AU54" s="122">
        <f>IF(C54="","",IF(C54&gt;=$AU$1,"O","X"))</f>
        <v/>
      </c>
      <c r="AV54" s="122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4" t="n">
        <v>2500</v>
      </c>
      <c r="D55" s="132" t="n">
        <v>101.7</v>
      </c>
      <c r="E55" s="133" t="n">
        <v>31</v>
      </c>
      <c r="F55" s="132" t="n">
        <v>71</v>
      </c>
      <c r="G55" s="17" t="n">
        <v>21</v>
      </c>
      <c r="H55" s="134" t="n">
        <v>221</v>
      </c>
      <c r="I55" s="135" t="n">
        <v>38000</v>
      </c>
      <c r="J55" s="135" t="inlineStr">
        <is>
          <t>29</t>
        </is>
      </c>
      <c r="K55" s="135" t="n">
        <v>30000</v>
      </c>
      <c r="L55" s="135" t="inlineStr">
        <is>
          <t>18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inlineStr">
        <is>
          <t>101A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4" t="n">
        <v>2500</v>
      </c>
      <c r="D56" s="132" t="n">
        <v>119.9</v>
      </c>
      <c r="E56" s="133" t="n">
        <v>36</v>
      </c>
      <c r="F56" s="132" t="n">
        <v>85</v>
      </c>
      <c r="G56" s="17" t="n">
        <v>26</v>
      </c>
      <c r="H56" s="134" t="n">
        <v>75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2</v>
      </c>
      <c r="S56" s="122" t="inlineStr">
        <is>
          <t>계</t>
        </is>
      </c>
      <c r="T56" s="5" t="inlineStr">
        <is>
          <t>119C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4" t="n">
        <v>2500</v>
      </c>
      <c r="D57" s="132" t="n">
        <v>120</v>
      </c>
      <c r="E57" s="133" t="n">
        <v>36</v>
      </c>
      <c r="F57" s="132" t="n">
        <v>85</v>
      </c>
      <c r="G57" s="17" t="n">
        <v>26</v>
      </c>
      <c r="H57" s="134" t="n">
        <v>438</v>
      </c>
      <c r="I57" s="135" t="n">
        <v>42500</v>
      </c>
      <c r="J57" s="135" t="inlineStr">
        <is>
          <t>6</t>
        </is>
      </c>
      <c r="K57" s="135" t="n">
        <v>31000</v>
      </c>
      <c r="L57" s="135" t="inlineStr">
        <is>
          <t>24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2</v>
      </c>
      <c r="S57" s="122" t="inlineStr">
        <is>
          <t>계</t>
        </is>
      </c>
      <c r="T57" s="5" t="inlineStr">
        <is>
          <t>120A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4" t="n">
        <v>2500</v>
      </c>
      <c r="D58" s="132" t="n">
        <v>121</v>
      </c>
      <c r="E58" s="133" t="n">
        <v>37</v>
      </c>
      <c r="F58" s="132" t="n">
        <v>85</v>
      </c>
      <c r="G58" s="17" t="n">
        <v>26</v>
      </c>
      <c r="H58" s="134" t="n">
        <v>379</v>
      </c>
      <c r="I58" s="135" t="n">
        <v>42000</v>
      </c>
      <c r="J58" s="135" t="inlineStr">
        <is>
          <t>9</t>
        </is>
      </c>
      <c r="K58" s="135" t="n">
        <v>32000</v>
      </c>
      <c r="L58" s="135" t="inlineStr">
        <is>
          <t>25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inlineStr">
        <is>
          <t>120E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4" t="n">
        <v>2500</v>
      </c>
      <c r="D59" s="132" t="n">
        <v>120.1</v>
      </c>
      <c r="E59" s="133" t="n">
        <v>36</v>
      </c>
      <c r="F59" s="132" t="n">
        <v>84.90000000000001</v>
      </c>
      <c r="G59" s="17" t="n">
        <v>26</v>
      </c>
      <c r="H59" s="134" t="n">
        <v>301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2</v>
      </c>
      <c r="S59" s="122" t="inlineStr">
        <is>
          <t>계</t>
        </is>
      </c>
      <c r="T59" s="5" t="inlineStr">
        <is>
          <t>120B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4" t="n">
        <v>2500</v>
      </c>
      <c r="D60" s="132" t="n">
        <v>120.4</v>
      </c>
      <c r="E60" s="133" t="n">
        <v>36</v>
      </c>
      <c r="F60" s="132" t="n">
        <v>84.90000000000001</v>
      </c>
      <c r="G60" s="17" t="n">
        <v>26</v>
      </c>
      <c r="H60" s="134" t="n">
        <v>77</v>
      </c>
      <c r="I60" s="135" t="n">
        <v>45000</v>
      </c>
      <c r="J60" s="135" t="inlineStr">
        <is>
          <t>16</t>
        </is>
      </c>
      <c r="K60" s="135" t="n">
        <v>37000</v>
      </c>
      <c r="L60" s="135" t="inlineStr">
        <is>
          <t>고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2</v>
      </c>
      <c r="S60" s="122" t="inlineStr">
        <is>
          <t>계</t>
        </is>
      </c>
      <c r="T60" s="5" t="inlineStr">
        <is>
          <t>120B1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2">
        <f>S60</f>
        <v/>
      </c>
      <c r="AF60" s="122">
        <f>Q60&amp;"/"&amp;R60</f>
        <v/>
      </c>
      <c r="AH60" s="20">
        <f>IF(A60="","",A60)</f>
        <v/>
      </c>
      <c r="AI60" s="133">
        <f>IF(E60="","",E60)</f>
        <v/>
      </c>
      <c r="AJ60" s="122">
        <f>IF(AI60="","",$AJ$2)</f>
        <v/>
      </c>
      <c r="AK60" s="122" t="inlineStr">
        <is>
          <t>A</t>
        </is>
      </c>
      <c r="AL60" s="122" t="inlineStr">
        <is>
          <t>A+</t>
        </is>
      </c>
      <c r="AM60" s="122" t="inlineStr">
        <is>
          <t>B+</t>
        </is>
      </c>
      <c r="AN60" s="122">
        <f>IF(AI60="","",$AN$2)</f>
        <v/>
      </c>
      <c r="AO60" s="122">
        <f>IF(N60="","",IF(N60&gt;=$AO$1/100,"O","X"))</f>
        <v/>
      </c>
      <c r="AP60" s="122">
        <f>IF(I60="","",IF(I60&lt;=$AP$1,"O","X"))</f>
        <v/>
      </c>
      <c r="AQ60" s="122">
        <f>IF(O60="","",IF(O60&lt;=$AQ$1,"O","X"))</f>
        <v/>
      </c>
      <c r="AR60" s="122">
        <f>IF(M60="","",IF(M60&lt;=$AR$1,"O","X"))</f>
        <v/>
      </c>
      <c r="AS60" s="122" t="inlineStr">
        <is>
          <t>X</t>
        </is>
      </c>
      <c r="AT60" s="122">
        <f>IF(OR(F60="",AI60=""),"",IF(AND((F60&lt;=85),(AI60&gt;=15)),"O","X"))</f>
        <v/>
      </c>
      <c r="AU60" s="122">
        <f>IF(C60="","",IF(C60&gt;=$AU$1,"O","X"))</f>
        <v/>
      </c>
      <c r="AV60" s="122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4" t="n">
        <v>2500</v>
      </c>
      <c r="D61" s="132" t="n">
        <v>120.6</v>
      </c>
      <c r="E61" s="133" t="n">
        <v>36</v>
      </c>
      <c r="F61" s="132" t="n">
        <v>85</v>
      </c>
      <c r="G61" s="17" t="n">
        <v>26</v>
      </c>
      <c r="H61" s="134" t="n">
        <v>75</v>
      </c>
      <c r="I61" s="135" t="n">
        <v>46000</v>
      </c>
      <c r="J61" s="135" t="inlineStr">
        <is>
          <t>15</t>
        </is>
      </c>
      <c r="K61" s="135" t="n">
        <v>31000</v>
      </c>
      <c r="L61" s="135" t="inlineStr">
        <is>
          <t>15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3</v>
      </c>
      <c r="R61" s="122" t="n">
        <v>2</v>
      </c>
      <c r="S61" s="122" t="inlineStr">
        <is>
          <t>계</t>
        </is>
      </c>
      <c r="T61" s="5" t="inlineStr">
        <is>
          <t>120D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4" t="n">
        <v>2500</v>
      </c>
      <c r="D62" s="132" t="n">
        <v>152.6</v>
      </c>
      <c r="E62" s="133" t="n">
        <v>46</v>
      </c>
      <c r="F62" s="132" t="n">
        <v>109.4</v>
      </c>
      <c r="G62" s="17" t="n">
        <v>33</v>
      </c>
      <c r="H62" s="134" t="n">
        <v>75</v>
      </c>
      <c r="I62" s="135" t="n"/>
      <c r="J62" s="135" t="n"/>
      <c r="K62" s="135" t="n"/>
      <c r="L62" s="135" t="n"/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4</v>
      </c>
      <c r="R62" s="122" t="n">
        <v>2</v>
      </c>
      <c r="S62" s="122" t="inlineStr">
        <is>
          <t>계</t>
        </is>
      </c>
      <c r="T62" s="5" t="inlineStr">
        <is>
          <t>152A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>
      <c r="A63" s="9" t="n"/>
      <c r="B63" s="122" t="n"/>
      <c r="C63" s="6" t="n"/>
      <c r="D63" s="9" t="n"/>
      <c r="E63" s="14" t="n"/>
      <c r="F63" s="132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7" t="n"/>
      <c r="P63" s="137" t="n"/>
      <c r="Q63" s="133" t="n"/>
      <c r="R63" s="133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7">
        <f>IF(E63="","",E63)</f>
        <v/>
      </c>
      <c r="AJ63" s="122" t="n"/>
      <c r="AK63" s="122" t="n"/>
      <c r="AL63" s="122" t="n"/>
      <c r="AM63" s="122" t="n"/>
      <c r="AN63" s="122" t="n"/>
      <c r="AO63" s="122" t="n"/>
      <c r="AP63" s="122" t="n"/>
      <c r="AQ63" s="122" t="n"/>
      <c r="AR63" s="122" t="n"/>
      <c r="AS63" s="122" t="n"/>
      <c r="AT63" s="122" t="n"/>
      <c r="AU63" s="122" t="n"/>
      <c r="AV63" s="122" t="n"/>
    </row>
    <row r="64">
      <c r="A64" s="9" t="inlineStr">
        <is>
          <t>오창이안</t>
        </is>
      </c>
      <c r="B64" s="10" t="inlineStr">
        <is>
          <t>'06.02.</t>
        </is>
      </c>
      <c r="C64" s="134" t="n">
        <v>818</v>
      </c>
      <c r="D64" s="132" t="n">
        <v>77.59999999999999</v>
      </c>
      <c r="E64" s="133" t="n">
        <v>23</v>
      </c>
      <c r="F64" s="132" t="n">
        <v>59.4</v>
      </c>
      <c r="G64" s="17" t="n">
        <v>18</v>
      </c>
      <c r="H64" s="134" t="n">
        <v>227</v>
      </c>
      <c r="I64" s="135" t="n">
        <v>22000</v>
      </c>
      <c r="J64" s="135" t="inlineStr">
        <is>
          <t>6</t>
        </is>
      </c>
      <c r="K64" s="135" t="n">
        <v>20000</v>
      </c>
      <c r="L64" s="135" t="inlineStr">
        <is>
          <t>14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3</v>
      </c>
      <c r="R64" s="122" t="n">
        <v>2</v>
      </c>
      <c r="S64" s="122" t="inlineStr">
        <is>
          <t>계</t>
        </is>
      </c>
      <c r="T64" s="5" t="n">
        <v>77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4" t="n">
        <v>818</v>
      </c>
      <c r="D65" s="132" t="n">
        <v>106.2</v>
      </c>
      <c r="E65" s="133" t="n">
        <v>32</v>
      </c>
      <c r="F65" s="132" t="n">
        <v>84.8</v>
      </c>
      <c r="G65" s="17" t="n">
        <v>26</v>
      </c>
      <c r="H65" s="134" t="n">
        <v>351</v>
      </c>
      <c r="I65" s="135" t="n">
        <v>25000</v>
      </c>
      <c r="J65" s="135" t="inlineStr">
        <is>
          <t>중</t>
        </is>
      </c>
      <c r="K65" s="135" t="n">
        <v>22000</v>
      </c>
      <c r="L65" s="135" t="inlineStr">
        <is>
          <t>6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2" t="n">
        <v>3</v>
      </c>
      <c r="R65" s="122" t="n">
        <v>2</v>
      </c>
      <c r="S65" s="122" t="inlineStr">
        <is>
          <t>계</t>
        </is>
      </c>
      <c r="T65" s="5" t="inlineStr">
        <is>
          <t>106A</t>
        </is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22">
        <f>S65</f>
        <v/>
      </c>
      <c r="AF65" s="122">
        <f>Q65&amp;"/"&amp;R65</f>
        <v/>
      </c>
      <c r="AH65" s="20">
        <f>IF(A65="","",A65)</f>
        <v/>
      </c>
      <c r="AI65" s="133">
        <f>IF(E65="","",E65)</f>
        <v/>
      </c>
      <c r="AJ65" s="122">
        <f>IF(AI65="","",$AJ$2)</f>
        <v/>
      </c>
      <c r="AK65" s="122" t="inlineStr">
        <is>
          <t>A</t>
        </is>
      </c>
      <c r="AL65" s="122" t="inlineStr">
        <is>
          <t>A+</t>
        </is>
      </c>
      <c r="AM65" s="122" t="inlineStr">
        <is>
          <t>B+</t>
        </is>
      </c>
      <c r="AN65" s="122">
        <f>IF(AI65="","",$AN$2)</f>
        <v/>
      </c>
      <c r="AO65" s="122">
        <f>IF(N65="","",IF(N65&gt;=$AO$1/100,"O","X"))</f>
        <v/>
      </c>
      <c r="AP65" s="122">
        <f>IF(I65="","",IF(I65&lt;=$AP$1,"O","X"))</f>
        <v/>
      </c>
      <c r="AQ65" s="122">
        <f>IF(O65="","",IF(O65&lt;=$AQ$1,"O","X"))</f>
        <v/>
      </c>
      <c r="AR65" s="122">
        <f>IF(M65="","",IF(M65&lt;=$AR$1,"O","X"))</f>
        <v/>
      </c>
      <c r="AS65" s="122" t="inlineStr">
        <is>
          <t>X</t>
        </is>
      </c>
      <c r="AT65" s="122">
        <f>IF(OR(F65="",AI65=""),"",IF(AND((F65&lt;=85),(AI65&gt;=15)),"O","X"))</f>
        <v/>
      </c>
      <c r="AU65" s="122">
        <f>IF(C65="","",IF(C65&gt;=$AU$1,"O","X"))</f>
        <v/>
      </c>
      <c r="AV65" s="122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4" t="n">
        <v>818</v>
      </c>
      <c r="D66" s="132" t="n">
        <v>107.5</v>
      </c>
      <c r="E66" s="133" t="n">
        <v>33</v>
      </c>
      <c r="F66" s="132" t="n">
        <v>84.8</v>
      </c>
      <c r="G66" s="17" t="n">
        <v>26</v>
      </c>
      <c r="H66" s="134" t="n">
        <v>60</v>
      </c>
      <c r="I66" s="135" t="n">
        <v>30000</v>
      </c>
      <c r="J66" s="135" t="inlineStr">
        <is>
          <t>7</t>
        </is>
      </c>
      <c r="K66" s="135" t="n">
        <v>25000</v>
      </c>
      <c r="L66" s="135" t="inlineStr">
        <is>
          <t>중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2</v>
      </c>
      <c r="S66" s="122" t="inlineStr">
        <is>
          <t>계</t>
        </is>
      </c>
      <c r="T66" s="5" t="inlineStr">
        <is>
          <t>107B</t>
        </is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2">
        <f>S66</f>
        <v/>
      </c>
      <c r="AF66" s="122">
        <f>Q66&amp;"/"&amp;R66</f>
        <v/>
      </c>
      <c r="AH66" s="20">
        <f>IF(A66="","",A66)</f>
        <v/>
      </c>
      <c r="AI66" s="133">
        <f>IF(E66="","",E66)</f>
        <v/>
      </c>
      <c r="AJ66" s="122">
        <f>IF(AI66="","",$AJ$2)</f>
        <v/>
      </c>
      <c r="AK66" s="122" t="inlineStr">
        <is>
          <t>A</t>
        </is>
      </c>
      <c r="AL66" s="122" t="inlineStr">
        <is>
          <t>A+</t>
        </is>
      </c>
      <c r="AM66" s="122" t="inlineStr">
        <is>
          <t>B+</t>
        </is>
      </c>
      <c r="AN66" s="122">
        <f>IF(AI66="","",$AN$2)</f>
        <v/>
      </c>
      <c r="AO66" s="122">
        <f>IF(N66="","",IF(N66&gt;=$AO$1/100,"O","X"))</f>
        <v/>
      </c>
      <c r="AP66" s="122">
        <f>IF(I66="","",IF(I66&lt;=$AP$1,"O","X"))</f>
        <v/>
      </c>
      <c r="AQ66" s="122">
        <f>IF(O66="","",IF(O66&lt;=$AQ$1,"O","X"))</f>
        <v/>
      </c>
      <c r="AR66" s="122">
        <f>IF(M66="","",IF(M66&lt;=$AR$1,"O","X"))</f>
        <v/>
      </c>
      <c r="AS66" s="122" t="inlineStr">
        <is>
          <t>X</t>
        </is>
      </c>
      <c r="AT66" s="122">
        <f>IF(OR(F66="",AI66=""),"",IF(AND((F66&lt;=85),(AI66&gt;=15)),"O","X"))</f>
        <v/>
      </c>
      <c r="AU66" s="122">
        <f>IF(C66="","",IF(C66&gt;=$AU$1,"O","X"))</f>
        <v/>
      </c>
      <c r="AV66" s="122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4" t="n">
        <v>818</v>
      </c>
      <c r="D67" s="132" t="n">
        <v>146.1</v>
      </c>
      <c r="E67" s="133" t="n">
        <v>44</v>
      </c>
      <c r="F67" s="132" t="n">
        <v>119.3</v>
      </c>
      <c r="G67" s="17" t="n">
        <v>36</v>
      </c>
      <c r="H67" s="134" t="n">
        <v>180</v>
      </c>
      <c r="I67" s="135" t="n">
        <v>35000</v>
      </c>
      <c r="J67" s="135" t="inlineStr">
        <is>
          <t>10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4</v>
      </c>
      <c r="R67" s="122" t="n">
        <v>2</v>
      </c>
      <c r="S67" s="122" t="inlineStr">
        <is>
          <t>계</t>
        </is>
      </c>
      <c r="T67" s="5" t="n">
        <v>146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2">
        <f>S67</f>
        <v/>
      </c>
      <c r="AF67" s="122">
        <f>Q67&amp;"/"&amp;R67</f>
        <v/>
      </c>
      <c r="AH67" s="20">
        <f>IF(A67="","",A67)</f>
        <v/>
      </c>
      <c r="AI67" s="133">
        <f>IF(E67="","",E67)</f>
        <v/>
      </c>
      <c r="AJ67" s="122">
        <f>IF(AI67="","",$AJ$2)</f>
        <v/>
      </c>
      <c r="AK67" s="122" t="inlineStr">
        <is>
          <t>A</t>
        </is>
      </c>
      <c r="AL67" s="122" t="inlineStr">
        <is>
          <t>A+</t>
        </is>
      </c>
      <c r="AM67" s="122" t="inlineStr">
        <is>
          <t>B+</t>
        </is>
      </c>
      <c r="AN67" s="122">
        <f>IF(AI67="","",$AN$2)</f>
        <v/>
      </c>
      <c r="AO67" s="122">
        <f>IF(N67="","",IF(N67&gt;=$AO$1/100,"O","X"))</f>
        <v/>
      </c>
      <c r="AP67" s="122">
        <f>IF(I67="","",IF(I67&lt;=$AP$1,"O","X"))</f>
        <v/>
      </c>
      <c r="AQ67" s="122">
        <f>IF(O67="","",IF(O67&lt;=$AQ$1,"O","X"))</f>
        <v/>
      </c>
      <c r="AR67" s="122">
        <f>IF(M67="","",IF(M67&lt;=$AR$1,"O","X"))</f>
        <v/>
      </c>
      <c r="AS67" s="122" t="inlineStr">
        <is>
          <t>X</t>
        </is>
      </c>
      <c r="AT67" s="122">
        <f>IF(OR(F67="",AI67=""),"",IF(AND((F67&lt;=85),(AI67&gt;=15)),"O","X"))</f>
        <v/>
      </c>
      <c r="AU67" s="122">
        <f>IF(C67="","",IF(C67&gt;=$AU$1,"O","X"))</f>
        <v/>
      </c>
      <c r="AV67" s="122">
        <f>IF(AO67="","",IF(AND(AO67="O",AP67="O",AR67="O",AT67="O",AU67="O"),"후보","X"))</f>
        <v/>
      </c>
    </row>
    <row r="68">
      <c r="A68" s="9" t="n"/>
      <c r="B68" s="122" t="n"/>
      <c r="C68" s="6" t="n"/>
      <c r="D68" s="9" t="n"/>
      <c r="E68" s="14" t="n"/>
      <c r="F68" s="132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7" t="n"/>
      <c r="P68" s="137" t="n"/>
      <c r="Q68" s="133" t="n"/>
      <c r="R68" s="133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7">
        <f>IF(E68="","",E68)</f>
        <v/>
      </c>
      <c r="AJ68" s="122" t="n"/>
      <c r="AK68" s="122" t="n"/>
      <c r="AL68" s="122" t="n"/>
      <c r="AM68" s="122" t="n"/>
      <c r="AN68" s="122" t="n"/>
      <c r="AO68" s="122" t="n"/>
      <c r="AP68" s="122" t="n"/>
      <c r="AQ68" s="122" t="n"/>
      <c r="AR68" s="122" t="n"/>
      <c r="AS68" s="122" t="n"/>
      <c r="AT68" s="122" t="n"/>
      <c r="AU68" s="122" t="n"/>
      <c r="AV68" s="122" t="n"/>
    </row>
    <row r="69">
      <c r="A69" s="9" t="inlineStr">
        <is>
          <t>대원칸타빌</t>
        </is>
      </c>
      <c r="B69" s="10" t="inlineStr">
        <is>
          <t>'06.07.</t>
        </is>
      </c>
      <c r="C69" s="134" t="n">
        <v>464</v>
      </c>
      <c r="D69" s="132" t="n">
        <v>81.2</v>
      </c>
      <c r="E69" s="133" t="n">
        <v>25</v>
      </c>
      <c r="F69" s="132" t="n">
        <v>60</v>
      </c>
      <c r="G69" s="17" t="n">
        <v>18</v>
      </c>
      <c r="H69" s="134" t="n">
        <v>170</v>
      </c>
      <c r="I69" s="135" t="n">
        <v>23000</v>
      </c>
      <c r="J69" s="135" t="inlineStr">
        <is>
          <t>12</t>
        </is>
      </c>
      <c r="K69" s="135" t="n">
        <v>22000</v>
      </c>
      <c r="L69" s="135" t="inlineStr">
        <is>
          <t>14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3</v>
      </c>
      <c r="R69" s="122" t="n">
        <v>2</v>
      </c>
      <c r="S69" s="122" t="inlineStr">
        <is>
          <t>계</t>
        </is>
      </c>
      <c r="T69" s="5" t="n">
        <v>81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2">
        <f>S69</f>
        <v/>
      </c>
      <c r="AF69" s="122">
        <f>Q69&amp;"/"&amp;R69</f>
        <v/>
      </c>
      <c r="AH69" s="20">
        <f>IF(A69="","",A69)</f>
        <v/>
      </c>
      <c r="AI69" s="133">
        <f>IF(E69="","",E69)</f>
        <v/>
      </c>
      <c r="AJ69" s="122">
        <f>IF(AI69="","",$AJ$2)</f>
        <v/>
      </c>
      <c r="AK69" s="122" t="inlineStr">
        <is>
          <t>A</t>
        </is>
      </c>
      <c r="AL69" s="122" t="inlineStr">
        <is>
          <t>A+</t>
        </is>
      </c>
      <c r="AM69" s="122" t="inlineStr">
        <is>
          <t>B+</t>
        </is>
      </c>
      <c r="AN69" s="122">
        <f>IF(AI69="","",$AN$2)</f>
        <v/>
      </c>
      <c r="AO69" s="122">
        <f>IF(N69="","",IF(N69&gt;=$AO$1/100,"O","X"))</f>
        <v/>
      </c>
      <c r="AP69" s="122">
        <f>IF(I69="","",IF(I69&lt;=$AP$1,"O","X"))</f>
        <v/>
      </c>
      <c r="AQ69" s="122">
        <f>IF(O69="","",IF(O69&lt;=$AQ$1,"O","X"))</f>
        <v/>
      </c>
      <c r="AR69" s="122">
        <f>IF(M69="","",IF(M69&lt;=$AR$1,"O","X"))</f>
        <v/>
      </c>
      <c r="AS69" s="122" t="inlineStr">
        <is>
          <t>X</t>
        </is>
      </c>
      <c r="AT69" s="122">
        <f>IF(OR(F69="",AI69=""),"",IF(AND((F69&lt;=85),(AI69&gt;=15)),"O","X"))</f>
        <v/>
      </c>
      <c r="AU69" s="122">
        <f>IF(C69="","",IF(C69&gt;=$AU$1,"O","X"))</f>
        <v/>
      </c>
      <c r="AV69" s="122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4" t="n">
        <v>464</v>
      </c>
      <c r="D70" s="132" t="n">
        <v>118.2</v>
      </c>
      <c r="E70" s="133" t="n">
        <v>36</v>
      </c>
      <c r="F70" s="132" t="n">
        <v>85</v>
      </c>
      <c r="G70" s="17" t="n">
        <v>26</v>
      </c>
      <c r="H70" s="134" t="n">
        <v>294</v>
      </c>
      <c r="I70" s="135" t="n">
        <v>22900</v>
      </c>
      <c r="J70" s="135" t="inlineStr">
        <is>
          <t>17</t>
        </is>
      </c>
      <c r="K70" s="135" t="n">
        <v>26000</v>
      </c>
      <c r="L70" s="135" t="inlineStr">
        <is>
          <t>11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3</v>
      </c>
      <c r="R70" s="122" t="n">
        <v>2</v>
      </c>
      <c r="S70" s="122" t="inlineStr">
        <is>
          <t>계</t>
        </is>
      </c>
      <c r="T70" s="5" t="n">
        <v>118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2">
        <f>S70</f>
        <v/>
      </c>
      <c r="AF70" s="122">
        <f>Q70&amp;"/"&amp;R70</f>
        <v/>
      </c>
      <c r="AH70" s="20">
        <f>IF(A70="","",A70)</f>
        <v/>
      </c>
      <c r="AI70" s="133">
        <f>IF(E70="","",E70)</f>
        <v/>
      </c>
      <c r="AJ70" s="122">
        <f>IF(AI70="","",$AJ$2)</f>
        <v/>
      </c>
      <c r="AK70" s="122" t="inlineStr">
        <is>
          <t>A</t>
        </is>
      </c>
      <c r="AL70" s="122" t="inlineStr">
        <is>
          <t>A+</t>
        </is>
      </c>
      <c r="AM70" s="122" t="inlineStr">
        <is>
          <t>B+</t>
        </is>
      </c>
      <c r="AN70" s="122">
        <f>IF(AI70="","",$AN$2)</f>
        <v/>
      </c>
      <c r="AO70" s="122">
        <f>IF(N70="","",IF(N70&gt;=$AO$1/100,"O","X"))</f>
        <v/>
      </c>
      <c r="AP70" s="122">
        <f>IF(I70="","",IF(I70&lt;=$AP$1,"O","X"))</f>
        <v/>
      </c>
      <c r="AQ70" s="122">
        <f>IF(O70="","",IF(O70&lt;=$AQ$1,"O","X"))</f>
        <v/>
      </c>
      <c r="AR70" s="122">
        <f>IF(M70="","",IF(M70&lt;=$AR$1,"O","X"))</f>
        <v/>
      </c>
      <c r="AS70" s="122" t="inlineStr">
        <is>
          <t>X</t>
        </is>
      </c>
      <c r="AT70" s="122">
        <f>IF(OR(F70="",AI70=""),"",IF(AND((F70&lt;=85),(AI70&gt;=15)),"O","X"))</f>
        <v/>
      </c>
      <c r="AU70" s="122">
        <f>IF(C70="","",IF(C70&gt;=$AU$1,"O","X"))</f>
        <v/>
      </c>
      <c r="AV70" s="122">
        <f>IF(AO70="","",IF(AND(AO70="O",AP70="O",AR70="O",AT70="O",AU70="O"),"후보","X"))</f>
        <v/>
      </c>
    </row>
    <row r="71">
      <c r="A71" s="9" t="n"/>
      <c r="B71" s="122" t="n"/>
      <c r="C71" s="6" t="n"/>
      <c r="D71" s="9" t="n"/>
      <c r="E71" s="14" t="n"/>
      <c r="F71" s="132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7" t="n"/>
      <c r="P71" s="137" t="n"/>
      <c r="Q71" s="133" t="n"/>
      <c r="R71" s="133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7">
        <f>IF(E71="","",E71)</f>
        <v/>
      </c>
      <c r="AJ71" s="122" t="n"/>
      <c r="AK71" s="122" t="n"/>
      <c r="AL71" s="122" t="n"/>
      <c r="AM71" s="122" t="n"/>
      <c r="AN71" s="122" t="n"/>
      <c r="AO71" s="122" t="n"/>
      <c r="AP71" s="122" t="n"/>
      <c r="AQ71" s="122" t="n"/>
      <c r="AR71" s="122" t="n"/>
      <c r="AS71" s="122" t="n"/>
      <c r="AT71" s="122" t="n"/>
      <c r="AU71" s="122" t="n"/>
      <c r="AV71" s="122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4" t="n">
        <v>572</v>
      </c>
      <c r="D72" s="132" t="n">
        <v>80</v>
      </c>
      <c r="E72" s="133" t="n">
        <v>24</v>
      </c>
      <c r="F72" s="132" t="n">
        <v>60</v>
      </c>
      <c r="G72" s="17" t="n">
        <v>18</v>
      </c>
      <c r="H72" s="134" t="n">
        <v>250</v>
      </c>
      <c r="I72" s="135" t="n"/>
      <c r="J72" s="135" t="n"/>
      <c r="K72" s="135" t="n"/>
      <c r="L72" s="135" t="n"/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3</v>
      </c>
      <c r="R72" s="122" t="n">
        <v>2</v>
      </c>
      <c r="S72" s="122" t="inlineStr">
        <is>
          <t>계</t>
        </is>
      </c>
      <c r="T72" s="5" t="n">
        <v>80</v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2">
        <f>S72</f>
        <v/>
      </c>
      <c r="AF72" s="122">
        <f>Q72&amp;"/"&amp;R72</f>
        <v/>
      </c>
      <c r="AH72" s="20">
        <f>IF(A72="","",A72)</f>
        <v/>
      </c>
      <c r="AI72" s="133">
        <f>IF(E72="","",E72)</f>
        <v/>
      </c>
      <c r="AJ72" s="122">
        <f>IF(AI72="","",$AJ$2)</f>
        <v/>
      </c>
      <c r="AK72" s="122" t="inlineStr">
        <is>
          <t>A</t>
        </is>
      </c>
      <c r="AL72" s="122" t="inlineStr">
        <is>
          <t>A+</t>
        </is>
      </c>
      <c r="AM72" s="122" t="inlineStr">
        <is>
          <t>B+</t>
        </is>
      </c>
      <c r="AN72" s="122">
        <f>IF(AI72="","",$AN$2)</f>
        <v/>
      </c>
      <c r="AO72" s="122">
        <f>IF(N72="","",IF(N72&gt;=$AO$1/100,"O","X"))</f>
        <v/>
      </c>
      <c r="AP72" s="122">
        <f>IF(I72="","",IF(I72&lt;=$AP$1,"O","X"))</f>
        <v/>
      </c>
      <c r="AQ72" s="122">
        <f>IF(O72="","",IF(O72&lt;=$AQ$1,"O","X"))</f>
        <v/>
      </c>
      <c r="AR72" s="122">
        <f>IF(M72="","",IF(M72&lt;=$AR$1,"O","X"))</f>
        <v/>
      </c>
      <c r="AS72" s="122" t="inlineStr">
        <is>
          <t>X</t>
        </is>
      </c>
      <c r="AT72" s="122">
        <f>IF(OR(F72="",AI72=""),"",IF(AND((F72&lt;=85),(AI72&gt;=15)),"O","X"))</f>
        <v/>
      </c>
      <c r="AU72" s="122">
        <f>IF(C72="","",IF(C72&gt;=$AU$1,"O","X"))</f>
        <v/>
      </c>
      <c r="AV72" s="122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4" t="n">
        <v>572</v>
      </c>
      <c r="D73" s="132" t="n">
        <v>100.3</v>
      </c>
      <c r="E73" s="133" t="n">
        <v>30</v>
      </c>
      <c r="F73" s="132" t="n">
        <v>74.5</v>
      </c>
      <c r="G73" s="17" t="n">
        <v>23</v>
      </c>
      <c r="H73" s="134" t="n">
        <v>74</v>
      </c>
      <c r="I73" s="135" t="n"/>
      <c r="J73" s="135" t="n"/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2" t="n">
        <v>3</v>
      </c>
      <c r="R73" s="122" t="n">
        <v>2</v>
      </c>
      <c r="S73" s="122" t="inlineStr">
        <is>
          <t>계</t>
        </is>
      </c>
      <c r="T73" s="5" t="n">
        <v>100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22">
        <f>S73</f>
        <v/>
      </c>
      <c r="AF73" s="122">
        <f>Q73&amp;"/"&amp;R73</f>
        <v/>
      </c>
      <c r="AH73" s="20">
        <f>IF(A73="","",A73)</f>
        <v/>
      </c>
      <c r="AI73" s="133">
        <f>IF(E73="","",E73)</f>
        <v/>
      </c>
      <c r="AJ73" s="122">
        <f>IF(AI73="","",$AJ$2)</f>
        <v/>
      </c>
      <c r="AK73" s="122" t="inlineStr">
        <is>
          <t>A</t>
        </is>
      </c>
      <c r="AL73" s="122" t="inlineStr">
        <is>
          <t>A+</t>
        </is>
      </c>
      <c r="AM73" s="122" t="inlineStr">
        <is>
          <t>B+</t>
        </is>
      </c>
      <c r="AN73" s="122">
        <f>IF(AI73="","",$AN$2)</f>
        <v/>
      </c>
      <c r="AO73" s="122">
        <f>IF(N73="","",IF(N73&gt;=$AO$1/100,"O","X"))</f>
        <v/>
      </c>
      <c r="AP73" s="122">
        <f>IF(I73="","",IF(I73&lt;=$AP$1,"O","X"))</f>
        <v/>
      </c>
      <c r="AQ73" s="122">
        <f>IF(O73="","",IF(O73&lt;=$AQ$1,"O","X"))</f>
        <v/>
      </c>
      <c r="AR73" s="122">
        <f>IF(M73="","",IF(M73&lt;=$AR$1,"O","X"))</f>
        <v/>
      </c>
      <c r="AS73" s="122" t="inlineStr">
        <is>
          <t>X</t>
        </is>
      </c>
      <c r="AT73" s="122">
        <f>IF(OR(F73="",AI73=""),"",IF(AND((F73&lt;=85),(AI73&gt;=15)),"O","X"))</f>
        <v/>
      </c>
      <c r="AU73" s="122">
        <f>IF(C73="","",IF(C73&gt;=$AU$1,"O","X"))</f>
        <v/>
      </c>
      <c r="AV73" s="122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4" t="n">
        <v>572</v>
      </c>
      <c r="D74" s="132" t="n">
        <v>112.2</v>
      </c>
      <c r="E74" s="133" t="n">
        <v>34</v>
      </c>
      <c r="F74" s="132" t="n">
        <v>84.90000000000001</v>
      </c>
      <c r="G74" s="17" t="n">
        <v>26</v>
      </c>
      <c r="H74" s="134" t="n">
        <v>100</v>
      </c>
      <c r="I74" s="135" t="n"/>
      <c r="J74" s="135" t="n"/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3</v>
      </c>
      <c r="R74" s="122" t="n">
        <v>2</v>
      </c>
      <c r="S74" s="122" t="inlineStr">
        <is>
          <t>계</t>
        </is>
      </c>
      <c r="T74" s="5" t="inlineStr">
        <is>
          <t>112C</t>
        </is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2">
        <f>S74</f>
        <v/>
      </c>
      <c r="AF74" s="122">
        <f>Q74&amp;"/"&amp;R74</f>
        <v/>
      </c>
      <c r="AH74" s="20">
        <f>IF(A74="","",A74)</f>
        <v/>
      </c>
      <c r="AI74" s="133">
        <f>IF(E74="","",E74)</f>
        <v/>
      </c>
      <c r="AJ74" s="122">
        <f>IF(AI74="","",$AJ$2)</f>
        <v/>
      </c>
      <c r="AK74" s="122" t="inlineStr">
        <is>
          <t>A</t>
        </is>
      </c>
      <c r="AL74" s="122" t="inlineStr">
        <is>
          <t>A+</t>
        </is>
      </c>
      <c r="AM74" s="122" t="inlineStr">
        <is>
          <t>B+</t>
        </is>
      </c>
      <c r="AN74" s="122">
        <f>IF(AI74="","",$AN$2)</f>
        <v/>
      </c>
      <c r="AO74" s="122">
        <f>IF(N74="","",IF(N74&gt;=$AO$1/100,"O","X"))</f>
        <v/>
      </c>
      <c r="AP74" s="122">
        <f>IF(I74="","",IF(I74&lt;=$AP$1,"O","X"))</f>
        <v/>
      </c>
      <c r="AQ74" s="122">
        <f>IF(O74="","",IF(O74&lt;=$AQ$1,"O","X"))</f>
        <v/>
      </c>
      <c r="AR74" s="122">
        <f>IF(M74="","",IF(M74&lt;=$AR$1,"O","X"))</f>
        <v/>
      </c>
      <c r="AS74" s="122" t="inlineStr">
        <is>
          <t>X</t>
        </is>
      </c>
      <c r="AT74" s="122">
        <f>IF(OR(F74="",AI74=""),"",IF(AND((F74&lt;=85),(AI74&gt;=15)),"O","X"))</f>
        <v/>
      </c>
      <c r="AU74" s="122">
        <f>IF(C74="","",IF(C74&gt;=$AU$1,"O","X"))</f>
        <v/>
      </c>
      <c r="AV74" s="122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4" t="n">
        <v>572</v>
      </c>
      <c r="D75" s="132" t="n">
        <v>114</v>
      </c>
      <c r="E75" s="133" t="n">
        <v>34</v>
      </c>
      <c r="F75" s="132" t="n">
        <v>85</v>
      </c>
      <c r="G75" s="17" t="n">
        <v>26</v>
      </c>
      <c r="H75" s="134" t="n">
        <v>74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3</v>
      </c>
      <c r="R75" s="122" t="n">
        <v>2</v>
      </c>
      <c r="S75" s="122" t="inlineStr">
        <is>
          <t>계</t>
        </is>
      </c>
      <c r="T75" s="5" t="inlineStr">
        <is>
          <t>113A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2">
        <f>S75</f>
        <v/>
      </c>
      <c r="AF75" s="122">
        <f>Q75&amp;"/"&amp;R75</f>
        <v/>
      </c>
      <c r="AH75" s="20">
        <f>IF(A75="","",A75)</f>
        <v/>
      </c>
      <c r="AI75" s="133">
        <f>IF(E75="","",E75)</f>
        <v/>
      </c>
      <c r="AJ75" s="122">
        <f>IF(AI75="","",$AJ$2)</f>
        <v/>
      </c>
      <c r="AK75" s="122" t="inlineStr">
        <is>
          <t>A</t>
        </is>
      </c>
      <c r="AL75" s="122" t="inlineStr">
        <is>
          <t>A+</t>
        </is>
      </c>
      <c r="AM75" s="122" t="inlineStr">
        <is>
          <t>B+</t>
        </is>
      </c>
      <c r="AN75" s="122">
        <f>IF(AI75="","",$AN$2)</f>
        <v/>
      </c>
      <c r="AO75" s="122">
        <f>IF(N75="","",IF(N75&gt;=$AO$1/100,"O","X"))</f>
        <v/>
      </c>
      <c r="AP75" s="122">
        <f>IF(I75="","",IF(I75&lt;=$AP$1,"O","X"))</f>
        <v/>
      </c>
      <c r="AQ75" s="122">
        <f>IF(O75="","",IF(O75&lt;=$AQ$1,"O","X"))</f>
        <v/>
      </c>
      <c r="AR75" s="122">
        <f>IF(M75="","",IF(M75&lt;=$AR$1,"O","X"))</f>
        <v/>
      </c>
      <c r="AS75" s="122" t="inlineStr">
        <is>
          <t>X</t>
        </is>
      </c>
      <c r="AT75" s="122">
        <f>IF(OR(F75="",AI75=""),"",IF(AND((F75&lt;=85),(AI75&gt;=15)),"O","X"))</f>
        <v/>
      </c>
      <c r="AU75" s="122">
        <f>IF(C75="","",IF(C75&gt;=$AU$1,"O","X"))</f>
        <v/>
      </c>
      <c r="AV75" s="122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4" t="n">
        <v>572</v>
      </c>
      <c r="D76" s="132" t="n">
        <v>113</v>
      </c>
      <c r="E76" s="133" t="n">
        <v>34</v>
      </c>
      <c r="F76" s="132" t="n">
        <v>84.8</v>
      </c>
      <c r="G76" s="17" t="n">
        <v>26</v>
      </c>
      <c r="H76" s="134" t="n">
        <v>74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2" t="n">
        <v>3</v>
      </c>
      <c r="R76" s="122" t="n">
        <v>2</v>
      </c>
      <c r="S76" s="122" t="inlineStr">
        <is>
          <t>계</t>
        </is>
      </c>
      <c r="T76" s="5" t="inlineStr">
        <is>
          <t>113B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22">
        <f>S76</f>
        <v/>
      </c>
      <c r="AF76" s="122">
        <f>Q76&amp;"/"&amp;R76</f>
        <v/>
      </c>
      <c r="AH76" s="20">
        <f>IF(A76="","",A76)</f>
        <v/>
      </c>
      <c r="AI76" s="133">
        <f>IF(E76="","",E76)</f>
        <v/>
      </c>
      <c r="AJ76" s="122">
        <f>IF(AI76="","",$AJ$2)</f>
        <v/>
      </c>
      <c r="AK76" s="122" t="inlineStr">
        <is>
          <t>A</t>
        </is>
      </c>
      <c r="AL76" s="122" t="inlineStr">
        <is>
          <t>A+</t>
        </is>
      </c>
      <c r="AM76" s="122" t="inlineStr">
        <is>
          <t>B+</t>
        </is>
      </c>
      <c r="AN76" s="122">
        <f>IF(AI76="","",$AN$2)</f>
        <v/>
      </c>
      <c r="AO76" s="122">
        <f>IF(N76="","",IF(N76&gt;=$AO$1/100,"O","X"))</f>
        <v/>
      </c>
      <c r="AP76" s="122">
        <f>IF(I76="","",IF(I76&lt;=$AP$1,"O","X"))</f>
        <v/>
      </c>
      <c r="AQ76" s="122">
        <f>IF(O76="","",IF(O76&lt;=$AQ$1,"O","X"))</f>
        <v/>
      </c>
      <c r="AR76" s="122">
        <f>IF(M76="","",IF(M76&lt;=$AR$1,"O","X"))</f>
        <v/>
      </c>
      <c r="AS76" s="122" t="inlineStr">
        <is>
          <t>X</t>
        </is>
      </c>
      <c r="AT76" s="122">
        <f>IF(OR(F76="",AI76=""),"",IF(AND((F76&lt;=85),(AI76&gt;=15)),"O","X"))</f>
        <v/>
      </c>
      <c r="AU76" s="122">
        <f>IF(C76="","",IF(C76&gt;=$AU$1,"O","X"))</f>
        <v/>
      </c>
      <c r="AV76" s="122">
        <f>IF(AO76="","",IF(AND(AO76="O",AP76="O",AR76="O",AT76="O",AU76="O"),"후보","X"))</f>
        <v/>
      </c>
    </row>
    <row r="77">
      <c r="A77" s="9" t="n"/>
      <c r="B77" s="122" t="n"/>
      <c r="C77" s="6" t="n"/>
      <c r="D77" s="9" t="n"/>
      <c r="E77" s="14" t="n"/>
      <c r="F77" s="132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7" t="n"/>
      <c r="P77" s="137" t="n"/>
      <c r="Q77" s="133" t="n"/>
      <c r="R77" s="133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7">
        <f>IF(E77="","",E77)</f>
        <v/>
      </c>
      <c r="AJ77" s="122" t="n"/>
      <c r="AK77" s="122" t="n"/>
      <c r="AL77" s="122" t="n"/>
      <c r="AM77" s="122" t="n"/>
      <c r="AN77" s="122" t="n"/>
      <c r="AO77" s="122" t="n"/>
      <c r="AP77" s="122" t="n"/>
      <c r="AQ77" s="122" t="n"/>
      <c r="AR77" s="122" t="n"/>
      <c r="AS77" s="122" t="n"/>
      <c r="AT77" s="122" t="n"/>
      <c r="AU77" s="122" t="n"/>
      <c r="AV77" s="122" t="n"/>
    </row>
    <row r="78">
      <c r="A78" s="9" t="inlineStr">
        <is>
          <t>코아루</t>
        </is>
      </c>
      <c r="B78" s="10" t="inlineStr">
        <is>
          <t>'06.06.</t>
        </is>
      </c>
      <c r="C78" s="134" t="n">
        <v>948</v>
      </c>
      <c r="D78" s="132" t="n">
        <v>86.40000000000001</v>
      </c>
      <c r="E78" s="133" t="n">
        <v>26</v>
      </c>
      <c r="F78" s="132" t="n">
        <v>60</v>
      </c>
      <c r="G78" s="17" t="n">
        <v>18</v>
      </c>
      <c r="H78" s="134" t="n">
        <v>315</v>
      </c>
      <c r="I78" s="135" t="n">
        <v>23500</v>
      </c>
      <c r="J78" s="135" t="inlineStr">
        <is>
          <t>10</t>
        </is>
      </c>
      <c r="K78" s="135" t="n">
        <v>20000</v>
      </c>
      <c r="L78" s="135" t="inlineStr">
        <is>
          <t>중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2</v>
      </c>
      <c r="S78" s="122" t="inlineStr">
        <is>
          <t>계</t>
        </is>
      </c>
      <c r="T78" s="5" t="n">
        <v>86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2">
        <f>S78</f>
        <v/>
      </c>
      <c r="AF78" s="122">
        <f>Q78&amp;"/"&amp;R78</f>
        <v/>
      </c>
      <c r="AH78" s="20">
        <f>IF(A78="","",A78)</f>
        <v/>
      </c>
      <c r="AI78" s="133">
        <f>IF(E78="","",E78)</f>
        <v/>
      </c>
      <c r="AJ78" s="122">
        <f>IF(AI78="","",$AJ$2)</f>
        <v/>
      </c>
      <c r="AK78" s="122" t="inlineStr">
        <is>
          <t>A</t>
        </is>
      </c>
      <c r="AL78" s="122" t="inlineStr">
        <is>
          <t>A+</t>
        </is>
      </c>
      <c r="AM78" s="122" t="inlineStr">
        <is>
          <t>B+</t>
        </is>
      </c>
      <c r="AN78" s="122">
        <f>IF(AI78="","",$AN$2)</f>
        <v/>
      </c>
      <c r="AO78" s="122">
        <f>IF(N78="","",IF(N78&gt;=$AO$1/100,"O","X"))</f>
        <v/>
      </c>
      <c r="AP78" s="122">
        <f>IF(I78="","",IF(I78&lt;=$AP$1,"O","X"))</f>
        <v/>
      </c>
      <c r="AQ78" s="122">
        <f>IF(O78="","",IF(O78&lt;=$AQ$1,"O","X"))</f>
        <v/>
      </c>
      <c r="AR78" s="122">
        <f>IF(M78="","",IF(M78&lt;=$AR$1,"O","X"))</f>
        <v/>
      </c>
      <c r="AS78" s="122" t="inlineStr">
        <is>
          <t>X</t>
        </is>
      </c>
      <c r="AT78" s="122">
        <f>IF(OR(F78="",AI78=""),"",IF(AND((F78&lt;=85),(AI78&gt;=15)),"O","X"))</f>
        <v/>
      </c>
      <c r="AU78" s="122">
        <f>IF(C78="","",IF(C78&gt;=$AU$1,"O","X"))</f>
        <v/>
      </c>
      <c r="AV78" s="122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4" t="n">
        <v>948</v>
      </c>
      <c r="D79" s="132" t="n">
        <v>116.4</v>
      </c>
      <c r="E79" s="133" t="n">
        <v>35</v>
      </c>
      <c r="F79" s="132" t="n">
        <v>85</v>
      </c>
      <c r="G79" s="17" t="n">
        <v>26</v>
      </c>
      <c r="H79" s="134" t="n">
        <v>314</v>
      </c>
      <c r="I79" s="135" t="n">
        <v>32500</v>
      </c>
      <c r="J79" s="135" t="inlineStr">
        <is>
          <t>중</t>
        </is>
      </c>
      <c r="K79" s="135" t="n">
        <v>28500</v>
      </c>
      <c r="L79" s="135" t="inlineStr">
        <is>
          <t>중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2</v>
      </c>
      <c r="S79" s="122" t="inlineStr">
        <is>
          <t>계</t>
        </is>
      </c>
      <c r="T79" s="5" t="inlineStr">
        <is>
          <t>116A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2">
        <f>S79</f>
        <v/>
      </c>
      <c r="AF79" s="122">
        <f>Q79&amp;"/"&amp;R79</f>
        <v/>
      </c>
      <c r="AH79" s="20">
        <f>IF(A79="","",A79)</f>
        <v/>
      </c>
      <c r="AI79" s="133">
        <f>IF(E79="","",E79)</f>
        <v/>
      </c>
      <c r="AJ79" s="122">
        <f>IF(AI79="","",$AJ$2)</f>
        <v/>
      </c>
      <c r="AK79" s="122" t="inlineStr">
        <is>
          <t>A</t>
        </is>
      </c>
      <c r="AL79" s="122" t="inlineStr">
        <is>
          <t>A+</t>
        </is>
      </c>
      <c r="AM79" s="122" t="inlineStr">
        <is>
          <t>B+</t>
        </is>
      </c>
      <c r="AN79" s="122">
        <f>IF(AI79="","",$AN$2)</f>
        <v/>
      </c>
      <c r="AO79" s="122">
        <f>IF(N79="","",IF(N79&gt;=$AO$1/100,"O","X"))</f>
        <v/>
      </c>
      <c r="AP79" s="122">
        <f>IF(I79="","",IF(I79&lt;=$AP$1,"O","X"))</f>
        <v/>
      </c>
      <c r="AQ79" s="122">
        <f>IF(O79="","",IF(O79&lt;=$AQ$1,"O","X"))</f>
        <v/>
      </c>
      <c r="AR79" s="122">
        <f>IF(M79="","",IF(M79&lt;=$AR$1,"O","X"))</f>
        <v/>
      </c>
      <c r="AS79" s="122" t="inlineStr">
        <is>
          <t>X</t>
        </is>
      </c>
      <c r="AT79" s="122">
        <f>IF(OR(F79="",AI79=""),"",IF(AND((F79&lt;=85),(AI79&gt;=15)),"O","X"))</f>
        <v/>
      </c>
      <c r="AU79" s="122">
        <f>IF(C79="","",IF(C79&gt;=$AU$1,"O","X"))</f>
        <v/>
      </c>
      <c r="AV79" s="122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4" t="n">
        <v>948</v>
      </c>
      <c r="D80" s="132" t="n">
        <v>116.8</v>
      </c>
      <c r="E80" s="133" t="n">
        <v>35</v>
      </c>
      <c r="F80" s="132" t="n">
        <v>85</v>
      </c>
      <c r="G80" s="17" t="n">
        <v>26</v>
      </c>
      <c r="H80" s="134" t="n">
        <v>177</v>
      </c>
      <c r="I80" s="135" t="n">
        <v>30000</v>
      </c>
      <c r="J80" s="135" t="inlineStr">
        <is>
          <t>17</t>
        </is>
      </c>
      <c r="K80" s="135" t="n">
        <v>27000</v>
      </c>
      <c r="L80" s="135" t="inlineStr">
        <is>
          <t>14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2" t="n">
        <v>3</v>
      </c>
      <c r="R80" s="122" t="n">
        <v>2</v>
      </c>
      <c r="S80" s="122" t="inlineStr">
        <is>
          <t>계</t>
        </is>
      </c>
      <c r="T80" s="5" t="inlineStr">
        <is>
          <t>116B</t>
        </is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22">
        <f>S80</f>
        <v/>
      </c>
      <c r="AF80" s="122">
        <f>Q80&amp;"/"&amp;R80</f>
        <v/>
      </c>
      <c r="AH80" s="20">
        <f>IF(A80="","",A80)</f>
        <v/>
      </c>
      <c r="AI80" s="133">
        <f>IF(E80="","",E80)</f>
        <v/>
      </c>
      <c r="AJ80" s="122">
        <f>IF(AI80="","",$AJ$2)</f>
        <v/>
      </c>
      <c r="AK80" s="122" t="inlineStr">
        <is>
          <t>A</t>
        </is>
      </c>
      <c r="AL80" s="122" t="inlineStr">
        <is>
          <t>A+</t>
        </is>
      </c>
      <c r="AM80" s="122" t="inlineStr">
        <is>
          <t>B+</t>
        </is>
      </c>
      <c r="AN80" s="122">
        <f>IF(AI80="","",$AN$2)</f>
        <v/>
      </c>
      <c r="AO80" s="122">
        <f>IF(N80="","",IF(N80&gt;=$AO$1/100,"O","X"))</f>
        <v/>
      </c>
      <c r="AP80" s="122">
        <f>IF(I80="","",IF(I80&lt;=$AP$1,"O","X"))</f>
        <v/>
      </c>
      <c r="AQ80" s="122">
        <f>IF(O80="","",IF(O80&lt;=$AQ$1,"O","X"))</f>
        <v/>
      </c>
      <c r="AR80" s="122">
        <f>IF(M80="","",IF(M80&lt;=$AR$1,"O","X"))</f>
        <v/>
      </c>
      <c r="AS80" s="122" t="inlineStr">
        <is>
          <t>X</t>
        </is>
      </c>
      <c r="AT80" s="122">
        <f>IF(OR(F80="",AI80=""),"",IF(AND((F80&lt;=85),(AI80&gt;=15)),"O","X"))</f>
        <v/>
      </c>
      <c r="AU80" s="122">
        <f>IF(C80="","",IF(C80&gt;=$AU$1,"O","X"))</f>
        <v/>
      </c>
      <c r="AV80" s="122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4" t="n">
        <v>948</v>
      </c>
      <c r="D81" s="132" t="n">
        <v>156.7</v>
      </c>
      <c r="E81" s="133" t="n">
        <v>47</v>
      </c>
      <c r="F81" s="132" t="n">
        <v>127.9</v>
      </c>
      <c r="G81" s="17" t="n">
        <v>39</v>
      </c>
      <c r="H81" s="134" t="n">
        <v>142</v>
      </c>
      <c r="I81" s="135" t="n">
        <v>48000</v>
      </c>
      <c r="J81" s="135" t="inlineStr">
        <is>
          <t>17</t>
        </is>
      </c>
      <c r="K81" s="135" t="n">
        <v>38000</v>
      </c>
      <c r="L81" s="135" t="inlineStr">
        <is>
          <t>고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4</v>
      </c>
      <c r="R81" s="122" t="n">
        <v>2</v>
      </c>
      <c r="S81" s="122" t="inlineStr">
        <is>
          <t>계</t>
        </is>
      </c>
      <c r="T81" s="5" t="n">
        <v>156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2">
        <f>S81</f>
        <v/>
      </c>
      <c r="AF81" s="122">
        <f>Q81&amp;"/"&amp;R81</f>
        <v/>
      </c>
      <c r="AH81" s="20">
        <f>IF(A81="","",A81)</f>
        <v/>
      </c>
      <c r="AI81" s="133">
        <f>IF(E81="","",E81)</f>
        <v/>
      </c>
      <c r="AJ81" s="122">
        <f>IF(AI81="","",$AJ$2)</f>
        <v/>
      </c>
      <c r="AK81" s="122" t="inlineStr">
        <is>
          <t>A</t>
        </is>
      </c>
      <c r="AL81" s="122" t="inlineStr">
        <is>
          <t>A+</t>
        </is>
      </c>
      <c r="AM81" s="122" t="inlineStr">
        <is>
          <t>B+</t>
        </is>
      </c>
      <c r="AN81" s="122">
        <f>IF(AI81="","",$AN$2)</f>
        <v/>
      </c>
      <c r="AO81" s="122">
        <f>IF(N81="","",IF(N81&gt;=$AO$1/100,"O","X"))</f>
        <v/>
      </c>
      <c r="AP81" s="122">
        <f>IF(I81="","",IF(I81&lt;=$AP$1,"O","X"))</f>
        <v/>
      </c>
      <c r="AQ81" s="122">
        <f>IF(O81="","",IF(O81&lt;=$AQ$1,"O","X"))</f>
        <v/>
      </c>
      <c r="AR81" s="122">
        <f>IF(M81="","",IF(M81&lt;=$AR$1,"O","X"))</f>
        <v/>
      </c>
      <c r="AS81" s="122" t="inlineStr">
        <is>
          <t>X</t>
        </is>
      </c>
      <c r="AT81" s="122">
        <f>IF(OR(F81="",AI81=""),"",IF(AND((F81&lt;=85),(AI81&gt;=15)),"O","X"))</f>
        <v/>
      </c>
      <c r="AU81" s="122">
        <f>IF(C81="","",IF(C81&gt;=$AU$1,"O","X"))</f>
        <v/>
      </c>
      <c r="AV81" s="122">
        <f>IF(AO81="","",IF(AND(AO81="O",AP81="O",AR81="O",AT81="O",AU81="O"),"후보","X"))</f>
        <v/>
      </c>
    </row>
    <row r="82">
      <c r="A82" s="9" t="n"/>
      <c r="B82" s="122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7">
        <f>IF(E82="","",E82)</f>
        <v/>
      </c>
      <c r="AJ82" s="122" t="n"/>
      <c r="AK82" s="122" t="n"/>
      <c r="AL82" s="122" t="n"/>
      <c r="AM82" s="122" t="n"/>
      <c r="AN82" s="122" t="n"/>
      <c r="AO82" s="122" t="n"/>
      <c r="AP82" s="122" t="n"/>
      <c r="AQ82" s="122" t="n"/>
      <c r="AR82" s="122" t="n"/>
      <c r="AS82" s="122" t="n"/>
      <c r="AT82" s="122" t="n"/>
      <c r="AU82" s="122" t="n"/>
      <c r="AV82" s="122" t="n"/>
    </row>
    <row r="83">
      <c r="A83" s="9" t="inlineStr">
        <is>
          <t>우림필유1차</t>
        </is>
      </c>
      <c r="B83" s="10" t="inlineStr">
        <is>
          <t>'06.05.</t>
        </is>
      </c>
      <c r="C83" s="134" t="n">
        <v>1120</v>
      </c>
      <c r="D83" s="132" t="n">
        <v>84.7</v>
      </c>
      <c r="E83" s="133" t="n">
        <v>26</v>
      </c>
      <c r="F83" s="132" t="n">
        <v>59.9</v>
      </c>
      <c r="G83" s="17" t="n">
        <v>18</v>
      </c>
      <c r="H83" s="134" t="n">
        <v>284</v>
      </c>
      <c r="I83" s="135" t="n">
        <v>22600</v>
      </c>
      <c r="J83" s="135" t="inlineStr">
        <is>
          <t>7</t>
        </is>
      </c>
      <c r="K83" s="135" t="n">
        <v>21000</v>
      </c>
      <c r="L83" s="135" t="inlineStr">
        <is>
          <t>12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3</v>
      </c>
      <c r="R83" s="122" t="n">
        <v>2</v>
      </c>
      <c r="S83" s="122" t="inlineStr">
        <is>
          <t>계</t>
        </is>
      </c>
      <c r="T83" s="5" t="inlineStr">
        <is>
          <t>84A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2">
        <f>S83</f>
        <v/>
      </c>
      <c r="AF83" s="122">
        <f>Q83&amp;"/"&amp;R83</f>
        <v/>
      </c>
      <c r="AH83" s="20">
        <f>IF(A83="","",A83)</f>
        <v/>
      </c>
      <c r="AI83" s="133">
        <f>IF(E83="","",E83)</f>
        <v/>
      </c>
      <c r="AJ83" s="122">
        <f>IF(AI83="","",$AJ$2)</f>
        <v/>
      </c>
      <c r="AK83" s="122" t="inlineStr">
        <is>
          <t>A</t>
        </is>
      </c>
      <c r="AL83" s="122" t="inlineStr">
        <is>
          <t>A+</t>
        </is>
      </c>
      <c r="AM83" s="122" t="inlineStr">
        <is>
          <t>B+</t>
        </is>
      </c>
      <c r="AN83" s="122">
        <f>IF(AI83="","",$AN$2)</f>
        <v/>
      </c>
      <c r="AO83" s="122">
        <f>IF(N83="","",IF(N83&gt;=$AO$1/100,"O","X"))</f>
        <v/>
      </c>
      <c r="AP83" s="122">
        <f>IF(I83="","",IF(I83&lt;=$AP$1,"O","X"))</f>
        <v/>
      </c>
      <c r="AQ83" s="122">
        <f>IF(O83="","",IF(O83&lt;=$AQ$1,"O","X"))</f>
        <v/>
      </c>
      <c r="AR83" s="122">
        <f>IF(M83="","",IF(M83&lt;=$AR$1,"O","X"))</f>
        <v/>
      </c>
      <c r="AS83" s="122" t="inlineStr">
        <is>
          <t>X</t>
        </is>
      </c>
      <c r="AT83" s="122">
        <f>IF(OR(F83="",AI83=""),"",IF(AND((F83&lt;=85),(AI83&gt;=15)),"O","X"))</f>
        <v/>
      </c>
      <c r="AU83" s="122">
        <f>IF(C83="","",IF(C83&gt;=$AU$1,"O","X"))</f>
        <v/>
      </c>
      <c r="AV83" s="122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4" t="n">
        <v>1120</v>
      </c>
      <c r="D84" s="132" t="n">
        <v>85.09999999999999</v>
      </c>
      <c r="E84" s="133" t="n">
        <v>26</v>
      </c>
      <c r="F84" s="132" t="n">
        <v>59.9</v>
      </c>
      <c r="G84" s="17" t="n">
        <v>18</v>
      </c>
      <c r="H84" s="134" t="n">
        <v>36</v>
      </c>
      <c r="I84" s="135" t="n">
        <v>24500</v>
      </c>
      <c r="J84" s="135" t="inlineStr">
        <is>
          <t>17</t>
        </is>
      </c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2</v>
      </c>
      <c r="S84" s="122" t="inlineStr">
        <is>
          <t>계</t>
        </is>
      </c>
      <c r="T84" s="5" t="inlineStr">
        <is>
          <t>85B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2">
        <f>S84</f>
        <v/>
      </c>
      <c r="AF84" s="122">
        <f>Q84&amp;"/"&amp;R84</f>
        <v/>
      </c>
      <c r="AH84" s="20">
        <f>IF(A84="","",A84)</f>
        <v/>
      </c>
      <c r="AI84" s="133">
        <f>IF(E84="","",E84)</f>
        <v/>
      </c>
      <c r="AJ84" s="122">
        <f>IF(AI84="","",$AJ$2)</f>
        <v/>
      </c>
      <c r="AK84" s="122" t="inlineStr">
        <is>
          <t>A</t>
        </is>
      </c>
      <c r="AL84" s="122" t="inlineStr">
        <is>
          <t>A+</t>
        </is>
      </c>
      <c r="AM84" s="122" t="inlineStr">
        <is>
          <t>B+</t>
        </is>
      </c>
      <c r="AN84" s="122">
        <f>IF(AI84="","",$AN$2)</f>
        <v/>
      </c>
      <c r="AO84" s="122">
        <f>IF(N84="","",IF(N84&gt;=$AO$1/100,"O","X"))</f>
        <v/>
      </c>
      <c r="AP84" s="122">
        <f>IF(I84="","",IF(I84&lt;=$AP$1,"O","X"))</f>
        <v/>
      </c>
      <c r="AQ84" s="122">
        <f>IF(O84="","",IF(O84&lt;=$AQ$1,"O","X"))</f>
        <v/>
      </c>
      <c r="AR84" s="122">
        <f>IF(M84="","",IF(M84&lt;=$AR$1,"O","X"))</f>
        <v/>
      </c>
      <c r="AS84" s="122" t="inlineStr">
        <is>
          <t>X</t>
        </is>
      </c>
      <c r="AT84" s="122">
        <f>IF(OR(F84="",AI84=""),"",IF(AND((F84&lt;=85),(AI84&gt;=15)),"O","X"))</f>
        <v/>
      </c>
      <c r="AU84" s="122">
        <f>IF(C84="","",IF(C84&gt;=$AU$1,"O","X"))</f>
        <v/>
      </c>
      <c r="AV84" s="122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4" t="n">
        <v>1120</v>
      </c>
      <c r="D85" s="132" t="n">
        <v>113.2</v>
      </c>
      <c r="E85" s="133" t="n">
        <v>34</v>
      </c>
      <c r="F85" s="132" t="n">
        <v>84.90000000000001</v>
      </c>
      <c r="G85" s="17" t="n">
        <v>26</v>
      </c>
      <c r="H85" s="134" t="n">
        <v>552</v>
      </c>
      <c r="I85" s="135" t="n">
        <v>29000</v>
      </c>
      <c r="J85" s="135" t="inlineStr">
        <is>
          <t>14</t>
        </is>
      </c>
      <c r="K85" s="135" t="n">
        <v>25000</v>
      </c>
      <c r="L85" s="135" t="inlineStr">
        <is>
          <t>11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2</v>
      </c>
      <c r="S85" s="122" t="inlineStr">
        <is>
          <t>계</t>
        </is>
      </c>
      <c r="T85" s="5" t="n">
        <v>113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2">
        <f>S85</f>
        <v/>
      </c>
      <c r="AF85" s="122">
        <f>Q85&amp;"/"&amp;R85</f>
        <v/>
      </c>
      <c r="AH85" s="20">
        <f>IF(A85="","",A85)</f>
        <v/>
      </c>
      <c r="AI85" s="133">
        <f>IF(E85="","",E85)</f>
        <v/>
      </c>
      <c r="AJ85" s="122">
        <f>IF(AI85="","",$AJ$2)</f>
        <v/>
      </c>
      <c r="AK85" s="122" t="inlineStr">
        <is>
          <t>A</t>
        </is>
      </c>
      <c r="AL85" s="122" t="inlineStr">
        <is>
          <t>A+</t>
        </is>
      </c>
      <c r="AM85" s="122" t="inlineStr">
        <is>
          <t>B+</t>
        </is>
      </c>
      <c r="AN85" s="122">
        <f>IF(AI85="","",$AN$2)</f>
        <v/>
      </c>
      <c r="AO85" s="122">
        <f>IF(N85="","",IF(N85&gt;=$AO$1/100,"O","X"))</f>
        <v/>
      </c>
      <c r="AP85" s="122">
        <f>IF(I85="","",IF(I85&lt;=$AP$1,"O","X"))</f>
        <v/>
      </c>
      <c r="AQ85" s="122">
        <f>IF(O85="","",IF(O85&lt;=$AQ$1,"O","X"))</f>
        <v/>
      </c>
      <c r="AR85" s="122">
        <f>IF(M85="","",IF(M85&lt;=$AR$1,"O","X"))</f>
        <v/>
      </c>
      <c r="AS85" s="122" t="inlineStr">
        <is>
          <t>X</t>
        </is>
      </c>
      <c r="AT85" s="122">
        <f>IF(OR(F85="",AI85=""),"",IF(AND((F85&lt;=85),(AI85&gt;=15)),"O","X"))</f>
        <v/>
      </c>
      <c r="AU85" s="122">
        <f>IF(C85="","",IF(C85&gt;=$AU$1,"O","X"))</f>
        <v/>
      </c>
      <c r="AV85" s="122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4" t="n">
        <v>1120</v>
      </c>
      <c r="D86" s="132" t="n">
        <v>151</v>
      </c>
      <c r="E86" s="133" t="n">
        <v>46</v>
      </c>
      <c r="F86" s="132" t="n">
        <v>120.1</v>
      </c>
      <c r="G86" s="17" t="n">
        <v>36</v>
      </c>
      <c r="H86" s="134" t="n">
        <v>248</v>
      </c>
      <c r="I86" s="135" t="n">
        <v>42000</v>
      </c>
      <c r="J86" s="135" t="inlineStr">
        <is>
          <t>15</t>
        </is>
      </c>
      <c r="K86" s="135" t="n">
        <v>35000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2" t="n">
        <v>4</v>
      </c>
      <c r="R86" s="122" t="n">
        <v>2</v>
      </c>
      <c r="S86" s="122" t="inlineStr">
        <is>
          <t>계</t>
        </is>
      </c>
      <c r="T86" s="5" t="n">
        <v>150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22">
        <f>S86</f>
        <v/>
      </c>
      <c r="AF86" s="122">
        <f>Q86&amp;"/"&amp;R86</f>
        <v/>
      </c>
      <c r="AH86" s="20">
        <f>IF(A86="","",A86)</f>
        <v/>
      </c>
      <c r="AI86" s="133">
        <f>IF(E86="","",E86)</f>
        <v/>
      </c>
      <c r="AJ86" s="122">
        <f>IF(AI86="","",$AJ$2)</f>
        <v/>
      </c>
      <c r="AK86" s="122" t="inlineStr">
        <is>
          <t>A</t>
        </is>
      </c>
      <c r="AL86" s="122" t="inlineStr">
        <is>
          <t>A+</t>
        </is>
      </c>
      <c r="AM86" s="122" t="inlineStr">
        <is>
          <t>B+</t>
        </is>
      </c>
      <c r="AN86" s="122">
        <f>IF(AI86="","",$AN$2)</f>
        <v/>
      </c>
      <c r="AO86" s="122">
        <f>IF(N86="","",IF(N86&gt;=$AO$1/100,"O","X"))</f>
        <v/>
      </c>
      <c r="AP86" s="122">
        <f>IF(I86="","",IF(I86&lt;=$AP$1,"O","X"))</f>
        <v/>
      </c>
      <c r="AQ86" s="122">
        <f>IF(O86="","",IF(O86&lt;=$AQ$1,"O","X"))</f>
        <v/>
      </c>
      <c r="AR86" s="122">
        <f>IF(M86="","",IF(M86&lt;=$AR$1,"O","X"))</f>
        <v/>
      </c>
      <c r="AS86" s="122" t="inlineStr">
        <is>
          <t>X</t>
        </is>
      </c>
      <c r="AT86" s="122">
        <f>IF(OR(F86="",AI86=""),"",IF(AND((F86&lt;=85),(AI86&gt;=15)),"O","X"))</f>
        <v/>
      </c>
      <c r="AU86" s="122">
        <f>IF(C86="","",IF(C86&gt;=$AU$1,"O","X"))</f>
        <v/>
      </c>
      <c r="AV86" s="122">
        <f>IF(AO86="","",IF(AND(AO86="O",AP86="O",AR86="O",AT86="O",AU86="O"),"후보","X"))</f>
        <v/>
      </c>
    </row>
    <row r="87">
      <c r="A87" s="9" t="n"/>
      <c r="B87" s="122" t="n"/>
      <c r="C87" s="6" t="n"/>
      <c r="D87" s="9" t="n"/>
      <c r="E87" s="14" t="n"/>
      <c r="F87" s="132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7" t="n"/>
      <c r="P87" s="137" t="n"/>
      <c r="Q87" s="133" t="n"/>
      <c r="R87" s="133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7">
        <f>IF(E87="","",E87)</f>
        <v/>
      </c>
      <c r="AJ87" s="122" t="n"/>
      <c r="AK87" s="122" t="n"/>
      <c r="AL87" s="122" t="n"/>
      <c r="AM87" s="122" t="n"/>
      <c r="AN87" s="122" t="n"/>
      <c r="AO87" s="122" t="n"/>
      <c r="AP87" s="122" t="n"/>
      <c r="AQ87" s="122" t="n"/>
      <c r="AR87" s="122" t="n"/>
      <c r="AS87" s="122" t="n"/>
      <c r="AT87" s="122" t="n"/>
      <c r="AU87" s="122" t="n"/>
      <c r="AV87" s="122" t="n"/>
    </row>
    <row r="88">
      <c r="A88" s="9" t="inlineStr">
        <is>
          <t>덕성그린</t>
        </is>
      </c>
      <c r="B88" s="10" t="inlineStr">
        <is>
          <t>'98.08.</t>
        </is>
      </c>
      <c r="C88" s="134" t="n">
        <v>210</v>
      </c>
      <c r="D88" s="132" t="n">
        <v>74.59999999999999</v>
      </c>
      <c r="E88" s="133" t="n">
        <v>23</v>
      </c>
      <c r="F88" s="132" t="n">
        <v>60</v>
      </c>
      <c r="G88" s="17" t="n">
        <v>18</v>
      </c>
      <c r="H88" s="134" t="n">
        <v>210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2" t="n">
        <v>3</v>
      </c>
      <c r="R88" s="122" t="n">
        <v>1</v>
      </c>
      <c r="S88" s="122" t="inlineStr">
        <is>
          <t>계</t>
        </is>
      </c>
      <c r="T88" s="5" t="n">
        <v>74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22">
        <f>S88</f>
        <v/>
      </c>
      <c r="AF88" s="122">
        <f>Q88&amp;"/"&amp;R88</f>
        <v/>
      </c>
      <c r="AH88" s="20">
        <f>IF(A88="","",A88)</f>
        <v/>
      </c>
      <c r="AI88" s="133">
        <f>IF(E88="","",E88)</f>
        <v/>
      </c>
      <c r="AJ88" s="122">
        <f>IF(AI88="","",$AJ$2)</f>
        <v/>
      </c>
      <c r="AK88" s="122" t="inlineStr">
        <is>
          <t>A</t>
        </is>
      </c>
      <c r="AL88" s="122" t="inlineStr">
        <is>
          <t>A+</t>
        </is>
      </c>
      <c r="AM88" s="122" t="inlineStr">
        <is>
          <t>B+</t>
        </is>
      </c>
      <c r="AN88" s="122">
        <f>IF(AI88="","",$AN$2)</f>
        <v/>
      </c>
      <c r="AO88" s="122">
        <f>IF(N88="","",IF(N88&gt;=$AO$1/100,"O","X"))</f>
        <v/>
      </c>
      <c r="AP88" s="122">
        <f>IF(I88="","",IF(I88&lt;=$AP$1,"O","X"))</f>
        <v/>
      </c>
      <c r="AQ88" s="122">
        <f>IF(O88="","",IF(O88&lt;=$AQ$1,"O","X"))</f>
        <v/>
      </c>
      <c r="AR88" s="122">
        <f>IF(M88="","",IF(M88&lt;=$AR$1,"O","X"))</f>
        <v/>
      </c>
      <c r="AS88" s="122" t="inlineStr">
        <is>
          <t>X</t>
        </is>
      </c>
      <c r="AT88" s="122">
        <f>IF(OR(F88="",AI88=""),"",IF(AND((F88&lt;=85),(AI88&gt;=15)),"O","X"))</f>
        <v/>
      </c>
      <c r="AU88" s="122">
        <f>IF(C88="","",IF(C88&gt;=$AU$1,"O","X"))</f>
        <v/>
      </c>
      <c r="AV88" s="122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우암세원</t>
        </is>
      </c>
      <c r="B6" s="10" t="inlineStr">
        <is>
          <t>'99.11.</t>
        </is>
      </c>
      <c r="C6" s="134" t="n">
        <v>236</v>
      </c>
      <c r="D6" s="132" t="n">
        <v>40.2</v>
      </c>
      <c r="E6" s="133" t="n">
        <v>12</v>
      </c>
      <c r="F6" s="132" t="n">
        <v>30.3</v>
      </c>
      <c r="G6" s="17" t="n">
        <v>9</v>
      </c>
      <c r="H6" s="134" t="n">
        <v>10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복</t>
        </is>
      </c>
      <c r="T6" s="5" t="n">
        <v>40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4" t="n">
        <v>236</v>
      </c>
      <c r="D7" s="132" t="n">
        <v>45.3</v>
      </c>
      <c r="E7" s="133" t="n">
        <v>14</v>
      </c>
      <c r="F7" s="132" t="n">
        <v>34.2</v>
      </c>
      <c r="G7" s="17" t="n">
        <v>10</v>
      </c>
      <c r="H7" s="134" t="n">
        <v>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2</v>
      </c>
      <c r="R7" s="122" t="n">
        <v>1</v>
      </c>
      <c r="S7" s="122" t="inlineStr">
        <is>
          <t>복</t>
        </is>
      </c>
      <c r="T7" s="5" t="n">
        <v>45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4" t="n">
        <v>236</v>
      </c>
      <c r="D8" s="132" t="n">
        <v>54.5</v>
      </c>
      <c r="E8" s="133" t="n">
        <v>16</v>
      </c>
      <c r="F8" s="132" t="n">
        <v>41</v>
      </c>
      <c r="G8" s="17" t="n">
        <v>12</v>
      </c>
      <c r="H8" s="134" t="n">
        <v>217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2</v>
      </c>
      <c r="R8" s="122" t="n">
        <v>1</v>
      </c>
      <c r="S8" s="122" t="inlineStr">
        <is>
          <t>복</t>
        </is>
      </c>
      <c r="T8" s="5" t="n">
        <v>54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일진캠퍼스타워</t>
        </is>
      </c>
      <c r="B10" s="10" t="inlineStr">
        <is>
          <t>'15.09.</t>
        </is>
      </c>
      <c r="C10" s="134" t="n">
        <v>299</v>
      </c>
      <c r="D10" s="132" t="n">
        <v>26.4</v>
      </c>
      <c r="E10" s="133" t="n">
        <v>8</v>
      </c>
      <c r="F10" s="132" t="n">
        <v>15.2</v>
      </c>
      <c r="G10" s="17" t="n">
        <v>5</v>
      </c>
      <c r="H10" s="134" t="n">
        <v>17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1</v>
      </c>
      <c r="R10" s="122" t="n">
        <v>1</v>
      </c>
      <c r="S10" s="122" t="inlineStr">
        <is>
          <t>복</t>
        </is>
      </c>
      <c r="T10" s="5" t="inlineStr">
        <is>
          <t>26G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4" t="n">
        <v>299</v>
      </c>
      <c r="D11" s="132" t="n">
        <v>27.7</v>
      </c>
      <c r="E11" s="133" t="n">
        <v>8</v>
      </c>
      <c r="F11" s="132" t="n">
        <v>16.2</v>
      </c>
      <c r="G11" s="17" t="n">
        <v>5</v>
      </c>
      <c r="H11" s="134" t="n">
        <v>194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1</v>
      </c>
      <c r="R11" s="122" t="n">
        <v>1</v>
      </c>
      <c r="S11" s="122" t="inlineStr">
        <is>
          <t>복</t>
        </is>
      </c>
      <c r="T11" s="5" t="inlineStr">
        <is>
          <t>27A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4" t="n">
        <v>299</v>
      </c>
      <c r="D12" s="132" t="n">
        <v>29.8</v>
      </c>
      <c r="E12" s="133" t="n">
        <v>9</v>
      </c>
      <c r="F12" s="132" t="n">
        <v>17.2</v>
      </c>
      <c r="G12" s="17" t="n">
        <v>5</v>
      </c>
      <c r="H12" s="134" t="n">
        <v>17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1</v>
      </c>
      <c r="R12" s="122" t="n">
        <v>1</v>
      </c>
      <c r="S12" s="122" t="inlineStr">
        <is>
          <t>복</t>
        </is>
      </c>
      <c r="T12" s="5" t="inlineStr">
        <is>
          <t>29F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4" t="n">
        <v>299</v>
      </c>
      <c r="D13" s="132" t="n">
        <v>30.4</v>
      </c>
      <c r="E13" s="133" t="n">
        <v>9</v>
      </c>
      <c r="F13" s="132" t="n">
        <v>17.5</v>
      </c>
      <c r="G13" s="17" t="n">
        <v>5</v>
      </c>
      <c r="H13" s="134" t="n">
        <v>17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계</t>
        </is>
      </c>
      <c r="T13" s="5" t="inlineStr">
        <is>
          <t>30B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4" t="n">
        <v>299</v>
      </c>
      <c r="D14" s="132" t="n">
        <v>35.2</v>
      </c>
      <c r="E14" s="133" t="n">
        <v>11</v>
      </c>
      <c r="F14" s="132" t="n">
        <v>21</v>
      </c>
      <c r="G14" s="17" t="n">
        <v>6</v>
      </c>
      <c r="H14" s="134" t="n">
        <v>1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1</v>
      </c>
      <c r="R14" s="122" t="n">
        <v>1</v>
      </c>
      <c r="S14" s="122" t="inlineStr">
        <is>
          <t>복</t>
        </is>
      </c>
      <c r="T14" s="5" t="inlineStr">
        <is>
          <t>35K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4" t="n">
        <v>299</v>
      </c>
      <c r="D15" s="132" t="n">
        <v>36.6</v>
      </c>
      <c r="E15" s="133" t="n">
        <v>11</v>
      </c>
      <c r="F15" s="132" t="n">
        <v>21</v>
      </c>
      <c r="G15" s="17" t="n">
        <v>6</v>
      </c>
      <c r="H15" s="134" t="n">
        <v>16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1</v>
      </c>
      <c r="R15" s="122" t="n">
        <v>1</v>
      </c>
      <c r="S15" s="122" t="inlineStr">
        <is>
          <t>복</t>
        </is>
      </c>
      <c r="T15" s="5" t="inlineStr">
        <is>
          <t>36D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4" t="n">
        <v>299</v>
      </c>
      <c r="D16" s="132" t="n">
        <v>38.7</v>
      </c>
      <c r="E16" s="133" t="n">
        <v>12</v>
      </c>
      <c r="F16" s="132" t="n">
        <v>23.2</v>
      </c>
      <c r="G16" s="17" t="n">
        <v>7</v>
      </c>
      <c r="H16" s="134" t="n">
        <v>16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1</v>
      </c>
      <c r="R16" s="122" t="n">
        <v>1</v>
      </c>
      <c r="S16" s="122" t="inlineStr">
        <is>
          <t>복</t>
        </is>
      </c>
      <c r="T16" s="5" t="inlineStr">
        <is>
          <t>38E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4" t="n">
        <v>299</v>
      </c>
      <c r="D17" s="132" t="n">
        <v>40.2</v>
      </c>
      <c r="E17" s="133" t="n">
        <v>12</v>
      </c>
      <c r="F17" s="132" t="n">
        <v>23.7</v>
      </c>
      <c r="G17" s="17" t="n">
        <v>7</v>
      </c>
      <c r="H17" s="134" t="n">
        <v>1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1</v>
      </c>
      <c r="R17" s="122" t="n">
        <v>1</v>
      </c>
      <c r="S17" s="122" t="inlineStr">
        <is>
          <t>복</t>
        </is>
      </c>
      <c r="T17" s="5" t="inlineStr">
        <is>
          <t>40I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4" t="n">
        <v>299</v>
      </c>
      <c r="D18" s="132" t="n">
        <v>43.3</v>
      </c>
      <c r="E18" s="133" t="n">
        <v>13</v>
      </c>
      <c r="F18" s="132" t="n">
        <v>25.6</v>
      </c>
      <c r="G18" s="17" t="n">
        <v>8</v>
      </c>
      <c r="H18" s="134" t="n">
        <v>18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1</v>
      </c>
      <c r="R18" s="122" t="n">
        <v>1</v>
      </c>
      <c r="S18" s="122" t="inlineStr">
        <is>
          <t>복</t>
        </is>
      </c>
      <c r="T18" s="5" t="inlineStr">
        <is>
          <t>43C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4" t="n">
        <v>299</v>
      </c>
      <c r="D19" s="132" t="n">
        <v>46.1</v>
      </c>
      <c r="E19" s="133" t="n">
        <v>14</v>
      </c>
      <c r="F19" s="132" t="n">
        <v>27.8</v>
      </c>
      <c r="G19" s="17" t="n">
        <v>8</v>
      </c>
      <c r="H19" s="134" t="n">
        <v>1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1</v>
      </c>
      <c r="R19" s="122" t="n">
        <v>1</v>
      </c>
      <c r="S19" s="122" t="inlineStr">
        <is>
          <t>복</t>
        </is>
      </c>
      <c r="T19" s="5" t="inlineStr">
        <is>
          <t>46J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4" t="n">
        <v>299</v>
      </c>
      <c r="D20" s="132" t="n">
        <v>48.6</v>
      </c>
      <c r="E20" s="133" t="n">
        <v>15</v>
      </c>
      <c r="F20" s="132" t="n">
        <v>29.3</v>
      </c>
      <c r="G20" s="17" t="n">
        <v>9</v>
      </c>
      <c r="H20" s="134" t="n">
        <v>1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1</v>
      </c>
      <c r="R20" s="122" t="n">
        <v>1</v>
      </c>
      <c r="S20" s="122" t="inlineStr">
        <is>
          <t>복</t>
        </is>
      </c>
      <c r="T20" s="5" t="inlineStr">
        <is>
          <t>48H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덕일한마음</t>
        </is>
      </c>
      <c r="B22" s="10" t="inlineStr">
        <is>
          <t>'96.11.</t>
        </is>
      </c>
      <c r="C22" s="134" t="n">
        <v>345</v>
      </c>
      <c r="D22" s="132" t="n">
        <v>33.6</v>
      </c>
      <c r="E22" s="133" t="n">
        <v>10</v>
      </c>
      <c r="F22" s="132" t="n">
        <v>26.1</v>
      </c>
      <c r="G22" s="17" t="n">
        <v>8</v>
      </c>
      <c r="H22" s="134" t="n">
        <v>179</v>
      </c>
      <c r="I22" s="135" t="n">
        <v>5000</v>
      </c>
      <c r="J22" s="135" t="inlineStr">
        <is>
          <t>14</t>
        </is>
      </c>
      <c r="K22" s="135" t="n">
        <v>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1</v>
      </c>
      <c r="R22" s="122" t="n">
        <v>1</v>
      </c>
      <c r="S22" s="122" t="inlineStr">
        <is>
          <t>계</t>
        </is>
      </c>
      <c r="T22" s="5" t="n">
        <v>33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4" t="n">
        <v>345</v>
      </c>
      <c r="D23" s="132" t="n">
        <v>108.7</v>
      </c>
      <c r="E23" s="133" t="n">
        <v>33</v>
      </c>
      <c r="F23" s="132" t="n">
        <v>84.8</v>
      </c>
      <c r="G23" s="17" t="n">
        <v>26</v>
      </c>
      <c r="H23" s="134" t="n">
        <v>163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n">
        <v>108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4" t="n">
        <v>345</v>
      </c>
      <c r="D24" s="132" t="n">
        <v>209.9</v>
      </c>
      <c r="E24" s="133" t="n">
        <v>63</v>
      </c>
      <c r="F24" s="132" t="n">
        <v>163.6</v>
      </c>
      <c r="G24" s="17" t="n">
        <v>50</v>
      </c>
      <c r="H24" s="134" t="n">
        <v>3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5</v>
      </c>
      <c r="R24" s="122" t="n">
        <v>2</v>
      </c>
      <c r="S24" s="122" t="inlineStr">
        <is>
          <t>계</t>
        </is>
      </c>
      <c r="T24" s="5" t="n">
        <v>209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삼정2차</t>
        </is>
      </c>
      <c r="B6" s="10" t="inlineStr">
        <is>
          <t>'92.06.</t>
        </is>
      </c>
      <c r="C6" s="134" t="n">
        <v>275</v>
      </c>
      <c r="D6" s="132" t="n">
        <v>104</v>
      </c>
      <c r="E6" s="133" t="n">
        <v>31</v>
      </c>
      <c r="F6" s="132" t="n">
        <v>84.59999999999999</v>
      </c>
      <c r="G6" s="17" t="n">
        <v>26</v>
      </c>
      <c r="H6" s="134" t="n">
        <v>196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104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4" t="n">
        <v>275</v>
      </c>
      <c r="D7" s="132" t="n">
        <v>140.8</v>
      </c>
      <c r="E7" s="133" t="n">
        <v>43</v>
      </c>
      <c r="F7" s="132" t="n">
        <v>116.6</v>
      </c>
      <c r="G7" s="17" t="n">
        <v>35</v>
      </c>
      <c r="H7" s="134" t="n">
        <v>79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4</v>
      </c>
      <c r="R7" s="122" t="n">
        <v>2</v>
      </c>
      <c r="S7" s="122" t="inlineStr">
        <is>
          <t>계</t>
        </is>
      </c>
      <c r="T7" s="5" t="n">
        <v>140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n"/>
      <c r="B8" s="122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2" t="n"/>
      <c r="AK8" s="122" t="n"/>
      <c r="AL8" s="122" t="n"/>
      <c r="AM8" s="122" t="n"/>
      <c r="AN8" s="122" t="n"/>
      <c r="AO8" s="122" t="n"/>
      <c r="AP8" s="122" t="n"/>
      <c r="AQ8" s="122" t="n"/>
      <c r="AR8" s="122" t="n"/>
      <c r="AS8" s="122" t="n"/>
      <c r="AT8" s="122" t="n"/>
      <c r="AU8" s="122" t="n"/>
      <c r="AV8" s="122" t="n"/>
    </row>
    <row r="9">
      <c r="A9" s="9" t="inlineStr">
        <is>
          <t>대원칸타빌4차</t>
        </is>
      </c>
      <c r="B9" s="10" t="inlineStr">
        <is>
          <t>'15.12.</t>
        </is>
      </c>
      <c r="C9" s="134" t="n">
        <v>614</v>
      </c>
      <c r="D9" s="132" t="n">
        <v>110.6</v>
      </c>
      <c r="E9" s="133" t="n">
        <v>33</v>
      </c>
      <c r="F9" s="132" t="n">
        <v>84.90000000000001</v>
      </c>
      <c r="G9" s="17" t="n">
        <v>26</v>
      </c>
      <c r="H9" s="134" t="n">
        <v>203</v>
      </c>
      <c r="I9" s="135" t="n">
        <v>45000</v>
      </c>
      <c r="J9" s="135" t="inlineStr">
        <is>
          <t>12</t>
        </is>
      </c>
      <c r="K9" s="135" t="n">
        <v>36000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2</v>
      </c>
      <c r="S9" s="122" t="inlineStr">
        <is>
          <t>계</t>
        </is>
      </c>
      <c r="T9" s="5" t="inlineStr">
        <is>
          <t>110A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4" t="n">
        <v>614</v>
      </c>
      <c r="D10" s="132" t="n">
        <v>110.2</v>
      </c>
      <c r="E10" s="133" t="n">
        <v>33</v>
      </c>
      <c r="F10" s="132" t="n">
        <v>84.8</v>
      </c>
      <c r="G10" s="17" t="n">
        <v>26</v>
      </c>
      <c r="H10" s="134" t="n">
        <v>89</v>
      </c>
      <c r="I10" s="135" t="n">
        <v>41000</v>
      </c>
      <c r="J10" s="135" t="inlineStr">
        <is>
          <t>15</t>
        </is>
      </c>
      <c r="K10" s="135" t="n">
        <v>28000</v>
      </c>
      <c r="L10" s="135" t="inlineStr">
        <is>
          <t>20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110C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4" t="n">
        <v>614</v>
      </c>
      <c r="D11" s="132" t="n">
        <v>111.9</v>
      </c>
      <c r="E11" s="133" t="n">
        <v>34</v>
      </c>
      <c r="F11" s="132" t="n">
        <v>84.90000000000001</v>
      </c>
      <c r="G11" s="17" t="n">
        <v>26</v>
      </c>
      <c r="H11" s="134" t="n">
        <v>115</v>
      </c>
      <c r="I11" s="135" t="n">
        <v>40000</v>
      </c>
      <c r="J11" s="135" t="inlineStr">
        <is>
          <t>고</t>
        </is>
      </c>
      <c r="K11" s="135" t="n">
        <v>34000</v>
      </c>
      <c r="L11" s="135" t="inlineStr">
        <is>
          <t>5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111B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4" t="n">
        <v>614</v>
      </c>
      <c r="D12" s="132" t="n">
        <v>131.3</v>
      </c>
      <c r="E12" s="133" t="n">
        <v>40</v>
      </c>
      <c r="F12" s="132" t="n">
        <v>105.6</v>
      </c>
      <c r="G12" s="17" t="n">
        <v>32</v>
      </c>
      <c r="H12" s="134" t="n">
        <v>198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131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4" t="n">
        <v>614</v>
      </c>
      <c r="D13" s="132" t="n">
        <v>163.7</v>
      </c>
      <c r="E13" s="133" t="n">
        <v>50</v>
      </c>
      <c r="F13" s="132" t="n">
        <v>131</v>
      </c>
      <c r="G13" s="17" t="n">
        <v>40</v>
      </c>
      <c r="H13" s="134" t="n">
        <v>9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5</v>
      </c>
      <c r="R13" s="122" t="n">
        <v>4</v>
      </c>
      <c r="S13" s="122" t="inlineStr">
        <is>
          <t>계</t>
        </is>
      </c>
      <c r="T13" s="5" t="n">
        <v>163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>
      <c r="A14" s="9" t="n"/>
      <c r="B14" s="122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2" t="n"/>
      <c r="AK14" s="122" t="n"/>
      <c r="AL14" s="122" t="n"/>
      <c r="AM14" s="122" t="n"/>
      <c r="AN14" s="122" t="n"/>
      <c r="AO14" s="122" t="n"/>
      <c r="AP14" s="122" t="n"/>
      <c r="AQ14" s="122" t="n"/>
      <c r="AR14" s="122" t="n"/>
      <c r="AS14" s="122" t="n"/>
      <c r="AT14" s="122" t="n"/>
      <c r="AU14" s="122" t="n"/>
      <c r="AV14" s="122" t="n"/>
    </row>
    <row r="15">
      <c r="A15" s="9" t="inlineStr">
        <is>
          <t>삼정1차</t>
        </is>
      </c>
      <c r="B15" s="10" t="inlineStr">
        <is>
          <t>'91.07.</t>
        </is>
      </c>
      <c r="C15" s="134" t="n">
        <v>218</v>
      </c>
      <c r="D15" s="132" t="n">
        <v>84.5</v>
      </c>
      <c r="E15" s="133" t="n">
        <v>26</v>
      </c>
      <c r="F15" s="132" t="n">
        <v>70.8</v>
      </c>
      <c r="G15" s="17" t="n">
        <v>21</v>
      </c>
      <c r="H15" s="134" t="n">
        <v>72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1</v>
      </c>
      <c r="S15" s="122" t="inlineStr">
        <is>
          <t>계</t>
        </is>
      </c>
      <c r="T15" s="5" t="n">
        <v>84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4" t="n">
        <v>218</v>
      </c>
      <c r="D16" s="132" t="n">
        <v>85.8</v>
      </c>
      <c r="E16" s="133" t="n">
        <v>26</v>
      </c>
      <c r="F16" s="132" t="n">
        <v>72.40000000000001</v>
      </c>
      <c r="G16" s="17" t="n">
        <v>22</v>
      </c>
      <c r="H16" s="134" t="n">
        <v>146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1</v>
      </c>
      <c r="S16" s="122" t="inlineStr">
        <is>
          <t>계</t>
        </is>
      </c>
      <c r="T16" s="5" t="n">
        <v>85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현대</t>
        </is>
      </c>
      <c r="B18" s="10" t="inlineStr">
        <is>
          <t>'92.10.</t>
        </is>
      </c>
      <c r="C18" s="134" t="n">
        <v>489</v>
      </c>
      <c r="D18" s="132" t="n">
        <v>69.2</v>
      </c>
      <c r="E18" s="133" t="n">
        <v>21</v>
      </c>
      <c r="F18" s="132" t="n">
        <v>59.8</v>
      </c>
      <c r="G18" s="17" t="n">
        <v>18</v>
      </c>
      <c r="H18" s="134" t="n">
        <v>176</v>
      </c>
      <c r="I18" s="135" t="n">
        <v>17000</v>
      </c>
      <c r="J18" s="135" t="inlineStr">
        <is>
          <t>12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계</t>
        </is>
      </c>
      <c r="T18" s="5" t="n">
        <v>69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4" t="n">
        <v>489</v>
      </c>
      <c r="D19" s="132" t="n">
        <v>97.59999999999999</v>
      </c>
      <c r="E19" s="133" t="n">
        <v>30</v>
      </c>
      <c r="F19" s="132" t="n">
        <v>84.40000000000001</v>
      </c>
      <c r="G19" s="17" t="n">
        <v>26</v>
      </c>
      <c r="H19" s="134" t="n">
        <v>228</v>
      </c>
      <c r="I19" s="135" t="n">
        <v>21000</v>
      </c>
      <c r="J19" s="135" t="inlineStr">
        <is>
          <t>7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n">
        <v>97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4" t="n">
        <v>489</v>
      </c>
      <c r="D20" s="132" t="n">
        <v>154.8</v>
      </c>
      <c r="E20" s="133" t="n">
        <v>47</v>
      </c>
      <c r="F20" s="132" t="n">
        <v>133.8</v>
      </c>
      <c r="G20" s="17" t="n">
        <v>40</v>
      </c>
      <c r="H20" s="134" t="n">
        <v>85</v>
      </c>
      <c r="I20" s="135" t="n">
        <v>34000</v>
      </c>
      <c r="J20" s="135" t="inlineStr">
        <is>
          <t>5</t>
        </is>
      </c>
      <c r="K20" s="135" t="n">
        <v>25000</v>
      </c>
      <c r="L20" s="135" t="inlineStr">
        <is>
          <t>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n">
        <v>154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신라(1292)</t>
        </is>
      </c>
      <c r="B22" s="10" t="inlineStr">
        <is>
          <t>'95.10.</t>
        </is>
      </c>
      <c r="C22" s="134" t="n">
        <v>252</v>
      </c>
      <c r="D22" s="132" t="n">
        <v>51.9</v>
      </c>
      <c r="E22" s="133" t="n">
        <v>16</v>
      </c>
      <c r="F22" s="132" t="n">
        <v>26.6</v>
      </c>
      <c r="G22" s="17" t="n">
        <v>8</v>
      </c>
      <c r="H22" s="134" t="n">
        <v>15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2</v>
      </c>
      <c r="R22" s="122" t="n">
        <v>1</v>
      </c>
      <c r="S22" s="122" t="inlineStr">
        <is>
          <t>계</t>
        </is>
      </c>
      <c r="T22" s="5" t="n">
        <v>51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4" t="n">
        <v>252</v>
      </c>
      <c r="D23" s="132" t="n">
        <v>59.7</v>
      </c>
      <c r="E23" s="133" t="n">
        <v>18</v>
      </c>
      <c r="F23" s="132" t="n">
        <v>30.6</v>
      </c>
      <c r="G23" s="17" t="n">
        <v>9</v>
      </c>
      <c r="H23" s="134" t="n">
        <v>228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2</v>
      </c>
      <c r="R23" s="122" t="n">
        <v>1</v>
      </c>
      <c r="S23" s="122" t="inlineStr">
        <is>
          <t>계</t>
        </is>
      </c>
      <c r="T23" s="5" t="n">
        <v>59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4" t="n">
        <v>252</v>
      </c>
      <c r="D24" s="132" t="n">
        <v>62</v>
      </c>
      <c r="E24" s="133" t="n">
        <v>19</v>
      </c>
      <c r="F24" s="132" t="n">
        <v>31.8</v>
      </c>
      <c r="G24" s="17" t="n">
        <v>10</v>
      </c>
      <c r="H24" s="134" t="n">
        <v>7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2</v>
      </c>
      <c r="R24" s="122" t="n">
        <v>1</v>
      </c>
      <c r="S24" s="122" t="inlineStr">
        <is>
          <t>계</t>
        </is>
      </c>
      <c r="T24" s="5" t="n">
        <v>62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4" t="n">
        <v>252</v>
      </c>
      <c r="D25" s="132" t="n">
        <v>84.90000000000001</v>
      </c>
      <c r="E25" s="133" t="n">
        <v>26</v>
      </c>
      <c r="F25" s="132" t="n">
        <v>43.5</v>
      </c>
      <c r="G25" s="17" t="n">
        <v>13</v>
      </c>
      <c r="H25" s="134" t="n">
        <v>2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1</v>
      </c>
      <c r="S25" s="122" t="inlineStr">
        <is>
          <t>계</t>
        </is>
      </c>
      <c r="T25" s="5" t="n">
        <v>84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>
      <c r="A26" s="9" t="n"/>
      <c r="B26" s="122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7">
        <f>IF(E26="","",E26)</f>
        <v/>
      </c>
      <c r="AJ26" s="122" t="n"/>
      <c r="AK26" s="122" t="n"/>
      <c r="AL26" s="122" t="n"/>
      <c r="AM26" s="122" t="n"/>
      <c r="AN26" s="122" t="n"/>
      <c r="AO26" s="122" t="n"/>
      <c r="AP26" s="122" t="n"/>
      <c r="AQ26" s="122" t="n"/>
      <c r="AR26" s="122" t="n"/>
      <c r="AS26" s="122" t="n"/>
      <c r="AT26" s="122" t="n"/>
      <c r="AU26" s="122" t="n"/>
      <c r="AV26" s="122" t="n"/>
    </row>
    <row r="27">
      <c r="A27" s="9" t="inlineStr">
        <is>
          <t>율량부강마을</t>
        </is>
      </c>
      <c r="B27" s="10" t="inlineStr">
        <is>
          <t>'93.11.</t>
        </is>
      </c>
      <c r="C27" s="134" t="n">
        <v>244</v>
      </c>
      <c r="D27" s="132" t="n">
        <v>32.9</v>
      </c>
      <c r="E27" s="133" t="n">
        <v>10</v>
      </c>
      <c r="F27" s="132" t="n">
        <v>24.4</v>
      </c>
      <c r="G27" s="17" t="n">
        <v>7</v>
      </c>
      <c r="H27" s="134" t="n">
        <v>31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1</v>
      </c>
      <c r="R27" s="122" t="n">
        <v>1</v>
      </c>
      <c r="S27" s="122" t="inlineStr">
        <is>
          <t>복</t>
        </is>
      </c>
      <c r="T27" s="5" t="n">
        <v>32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4" t="n">
        <v>244</v>
      </c>
      <c r="D28" s="132" t="n">
        <v>36</v>
      </c>
      <c r="E28" s="133" t="n">
        <v>11</v>
      </c>
      <c r="F28" s="132" t="n">
        <v>26.7</v>
      </c>
      <c r="G28" s="17" t="n">
        <v>8</v>
      </c>
      <c r="H28" s="134" t="n">
        <v>12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1</v>
      </c>
      <c r="R28" s="122" t="n">
        <v>1</v>
      </c>
      <c r="S28" s="122" t="inlineStr">
        <is>
          <t>복</t>
        </is>
      </c>
      <c r="T28" s="5" t="n">
        <v>35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4" t="n">
        <v>244</v>
      </c>
      <c r="D29" s="132" t="n">
        <v>39.1</v>
      </c>
      <c r="E29" s="133" t="n">
        <v>12</v>
      </c>
      <c r="F29" s="132" t="n">
        <v>29.1</v>
      </c>
      <c r="G29" s="17" t="n">
        <v>9</v>
      </c>
      <c r="H29" s="134" t="n">
        <v>201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1</v>
      </c>
      <c r="R29" s="122" t="n">
        <v>1</v>
      </c>
      <c r="S29" s="122" t="inlineStr">
        <is>
          <t>복</t>
        </is>
      </c>
      <c r="T29" s="5" t="n">
        <v>39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>
      <c r="A30" s="9" t="n"/>
      <c r="B30" s="122" t="n"/>
      <c r="C30" s="6" t="n"/>
      <c r="D30" s="9" t="n"/>
      <c r="E30" s="14" t="n"/>
      <c r="F30" s="132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7" t="n"/>
      <c r="P30" s="137" t="n"/>
      <c r="Q30" s="133" t="n"/>
      <c r="R30" s="133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7">
        <f>IF(E30="","",E30)</f>
        <v/>
      </c>
      <c r="AJ30" s="122" t="n"/>
      <c r="AK30" s="122" t="n"/>
      <c r="AL30" s="122" t="n"/>
      <c r="AM30" s="122" t="n"/>
      <c r="AN30" s="122" t="n"/>
      <c r="AO30" s="122" t="n"/>
      <c r="AP30" s="122" t="n"/>
      <c r="AQ30" s="122" t="n"/>
      <c r="AR30" s="122" t="n"/>
      <c r="AS30" s="122" t="n"/>
      <c r="AT30" s="122" t="n"/>
      <c r="AU30" s="122" t="n"/>
      <c r="AV30" s="122" t="n"/>
    </row>
    <row r="31">
      <c r="A31" s="9" t="inlineStr">
        <is>
          <t>율량럭키</t>
        </is>
      </c>
      <c r="B31" s="10" t="inlineStr">
        <is>
          <t>'91.03.</t>
        </is>
      </c>
      <c r="C31" s="134" t="n">
        <v>690</v>
      </c>
      <c r="D31" s="132" t="n">
        <v>93.8</v>
      </c>
      <c r="E31" s="133" t="n">
        <v>28</v>
      </c>
      <c r="F31" s="132" t="n">
        <v>76.5</v>
      </c>
      <c r="G31" s="17" t="n">
        <v>23</v>
      </c>
      <c r="H31" s="134" t="n">
        <v>210</v>
      </c>
      <c r="I31" s="135" t="n">
        <v>17500</v>
      </c>
      <c r="J31" s="135" t="inlineStr">
        <is>
          <t>7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1</v>
      </c>
      <c r="S31" s="122" t="inlineStr">
        <is>
          <t>계</t>
        </is>
      </c>
      <c r="T31" s="5" t="n">
        <v>93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4" t="n">
        <v>690</v>
      </c>
      <c r="D32" s="132" t="n">
        <v>102.7</v>
      </c>
      <c r="E32" s="133" t="n">
        <v>31</v>
      </c>
      <c r="F32" s="132" t="n">
        <v>85</v>
      </c>
      <c r="G32" s="17" t="n">
        <v>26</v>
      </c>
      <c r="H32" s="134" t="n">
        <v>480</v>
      </c>
      <c r="I32" s="135" t="n">
        <v>22000</v>
      </c>
      <c r="J32" s="135" t="inlineStr">
        <is>
          <t>11</t>
        </is>
      </c>
      <c r="K32" s="135" t="n">
        <v>16000</v>
      </c>
      <c r="L32" s="135" t="inlineStr">
        <is>
          <t>13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n">
        <v>102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n"/>
      <c r="B33" s="122" t="n"/>
      <c r="C33" s="6" t="n"/>
      <c r="D33" s="9" t="n"/>
      <c r="E33" s="14" t="n"/>
      <c r="F33" s="132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7" t="n"/>
      <c r="P33" s="137" t="n"/>
      <c r="Q33" s="133" t="n"/>
      <c r="R33" s="133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7">
        <f>IF(E33="","",E33)</f>
        <v/>
      </c>
      <c r="AJ33" s="122" t="n"/>
      <c r="AK33" s="122" t="n"/>
      <c r="AL33" s="122" t="n"/>
      <c r="AM33" s="122" t="n"/>
      <c r="AN33" s="122" t="n"/>
      <c r="AO33" s="122" t="n"/>
      <c r="AP33" s="122" t="n"/>
      <c r="AQ33" s="122" t="n"/>
      <c r="AR33" s="122" t="n"/>
      <c r="AS33" s="122" t="n"/>
      <c r="AT33" s="122" t="n"/>
      <c r="AU33" s="122" t="n"/>
      <c r="AV33" s="122" t="n"/>
    </row>
    <row r="34">
      <c r="A34" s="9" t="inlineStr">
        <is>
          <t>성원</t>
        </is>
      </c>
      <c r="B34" s="10" t="inlineStr">
        <is>
          <t>'95.07.</t>
        </is>
      </c>
      <c r="C34" s="134" t="n">
        <v>365</v>
      </c>
      <c r="D34" s="132" t="n">
        <v>75.2</v>
      </c>
      <c r="E34" s="133" t="n">
        <v>23</v>
      </c>
      <c r="F34" s="132" t="n">
        <v>59.7</v>
      </c>
      <c r="G34" s="17" t="n">
        <v>18</v>
      </c>
      <c r="H34" s="134" t="n">
        <v>140</v>
      </c>
      <c r="I34" s="135" t="n">
        <v>15500</v>
      </c>
      <c r="J34" s="135" t="inlineStr">
        <is>
          <t>10</t>
        </is>
      </c>
      <c r="K34" s="135" t="n">
        <v>15000</v>
      </c>
      <c r="L34" s="135" t="inlineStr">
        <is>
          <t>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n">
        <v>75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4" t="n">
        <v>365</v>
      </c>
      <c r="D35" s="132" t="n">
        <v>103</v>
      </c>
      <c r="E35" s="133" t="n">
        <v>31</v>
      </c>
      <c r="F35" s="132" t="n">
        <v>84.90000000000001</v>
      </c>
      <c r="G35" s="17" t="n">
        <v>26</v>
      </c>
      <c r="H35" s="134" t="n">
        <v>225</v>
      </c>
      <c r="I35" s="135" t="n">
        <v>21500</v>
      </c>
      <c r="J35" s="135" t="inlineStr">
        <is>
          <t>9</t>
        </is>
      </c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2</v>
      </c>
      <c r="S35" s="122" t="inlineStr">
        <is>
          <t>계</t>
        </is>
      </c>
      <c r="T35" s="5" t="n">
        <v>103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>
      <c r="A36" s="9" t="n"/>
      <c r="B36" s="122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2" t="n"/>
      <c r="AK36" s="122" t="n"/>
      <c r="AL36" s="122" t="n"/>
      <c r="AM36" s="122" t="n"/>
      <c r="AN36" s="122" t="n"/>
      <c r="AO36" s="122" t="n"/>
      <c r="AP36" s="122" t="n"/>
      <c r="AQ36" s="122" t="n"/>
      <c r="AR36" s="122" t="n"/>
      <c r="AS36" s="122" t="n"/>
      <c r="AT36" s="122" t="n"/>
      <c r="AU36" s="122" t="n"/>
      <c r="AV36" s="122" t="n"/>
    </row>
    <row r="37">
      <c r="A37" s="9" t="inlineStr">
        <is>
          <t>한울3차</t>
        </is>
      </c>
      <c r="B37" s="10" t="inlineStr">
        <is>
          <t>'98.12.</t>
        </is>
      </c>
      <c r="C37" s="134" t="n">
        <v>523</v>
      </c>
      <c r="D37" s="132" t="n">
        <v>40.9</v>
      </c>
      <c r="E37" s="133" t="n">
        <v>12</v>
      </c>
      <c r="F37" s="132" t="n">
        <v>30.3</v>
      </c>
      <c r="G37" s="17" t="n">
        <v>9</v>
      </c>
      <c r="H37" s="134" t="n">
        <v>299</v>
      </c>
      <c r="I37" s="135" t="n">
        <v>4700</v>
      </c>
      <c r="J37" s="135" t="inlineStr">
        <is>
          <t>7</t>
        </is>
      </c>
      <c r="K37" s="135" t="n">
        <v>3100</v>
      </c>
      <c r="L37" s="135" t="inlineStr">
        <is>
          <t>중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1</v>
      </c>
      <c r="R37" s="122" t="n">
        <v>1</v>
      </c>
      <c r="S37" s="122" t="inlineStr">
        <is>
          <t>복</t>
        </is>
      </c>
      <c r="T37" s="5" t="n">
        <v>40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4" t="n">
        <v>523</v>
      </c>
      <c r="D38" s="132" t="n">
        <v>62</v>
      </c>
      <c r="E38" s="133" t="n">
        <v>19</v>
      </c>
      <c r="F38" s="132" t="n">
        <v>45.4</v>
      </c>
      <c r="G38" s="17" t="n">
        <v>14</v>
      </c>
      <c r="H38" s="134" t="n">
        <v>224</v>
      </c>
      <c r="I38" s="135" t="n">
        <v>7400</v>
      </c>
      <c r="J38" s="135" t="inlineStr">
        <is>
          <t>고</t>
        </is>
      </c>
      <c r="K38" s="135" t="n">
        <v>7500</v>
      </c>
      <c r="L38" s="135" t="inlineStr">
        <is>
          <t>5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2</v>
      </c>
      <c r="R38" s="122" t="n">
        <v>1</v>
      </c>
      <c r="S38" s="122" t="inlineStr">
        <is>
          <t>복</t>
        </is>
      </c>
      <c r="T38" s="5" t="n">
        <v>62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n"/>
      <c r="B39" s="122" t="n"/>
      <c r="C39" s="6" t="n"/>
      <c r="D39" s="9" t="n"/>
      <c r="E39" s="14" t="n"/>
      <c r="F39" s="132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7" t="n"/>
      <c r="P39" s="137" t="n"/>
      <c r="Q39" s="133" t="n"/>
      <c r="R39" s="133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7">
        <f>IF(E39="","",E39)</f>
        <v/>
      </c>
      <c r="AJ39" s="122" t="n"/>
      <c r="AK39" s="122" t="n"/>
      <c r="AL39" s="122" t="n"/>
      <c r="AM39" s="122" t="n"/>
      <c r="AN39" s="122" t="n"/>
      <c r="AO39" s="122" t="n"/>
      <c r="AP39" s="122" t="n"/>
      <c r="AQ39" s="122" t="n"/>
      <c r="AR39" s="122" t="n"/>
      <c r="AS39" s="122" t="n"/>
      <c r="AT39" s="122" t="n"/>
      <c r="AU39" s="122" t="n"/>
      <c r="AV39" s="122" t="n"/>
    </row>
    <row r="40">
      <c r="A40" s="9" t="inlineStr">
        <is>
          <t>동아</t>
        </is>
      </c>
      <c r="B40" s="10" t="inlineStr">
        <is>
          <t>'90.11.</t>
        </is>
      </c>
      <c r="C40" s="134" t="n">
        <v>330</v>
      </c>
      <c r="D40" s="132" t="n">
        <v>93.5</v>
      </c>
      <c r="E40" s="133" t="n">
        <v>28</v>
      </c>
      <c r="F40" s="132" t="n">
        <v>75.09999999999999</v>
      </c>
      <c r="G40" s="17" t="n">
        <v>23</v>
      </c>
      <c r="H40" s="134" t="n">
        <v>150</v>
      </c>
      <c r="I40" s="135" t="n">
        <v>17000</v>
      </c>
      <c r="J40" s="135" t="inlineStr">
        <is>
          <t>7</t>
        </is>
      </c>
      <c r="K40" s="135" t="n">
        <v>15000</v>
      </c>
      <c r="L40" s="135" t="inlineStr">
        <is>
          <t>15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1</v>
      </c>
      <c r="S40" s="122" t="inlineStr">
        <is>
          <t>계</t>
        </is>
      </c>
      <c r="T40" s="5" t="n">
        <v>93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4" t="n">
        <v>330</v>
      </c>
      <c r="D41" s="132" t="n">
        <v>104.8</v>
      </c>
      <c r="E41" s="133" t="n">
        <v>32</v>
      </c>
      <c r="F41" s="132" t="n">
        <v>84.90000000000001</v>
      </c>
      <c r="G41" s="17" t="n">
        <v>26</v>
      </c>
      <c r="H41" s="134" t="n">
        <v>120</v>
      </c>
      <c r="I41" s="135" t="n">
        <v>18000</v>
      </c>
      <c r="J41" s="135" t="inlineStr">
        <is>
          <t>12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n">
        <v>104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4" t="n">
        <v>330</v>
      </c>
      <c r="D42" s="132" t="n">
        <v>159.1</v>
      </c>
      <c r="E42" s="133" t="n">
        <v>48</v>
      </c>
      <c r="F42" s="132" t="n">
        <v>134.5</v>
      </c>
      <c r="G42" s="17" t="n">
        <v>41</v>
      </c>
      <c r="H42" s="134" t="n">
        <v>60</v>
      </c>
      <c r="I42" s="135" t="n">
        <v>20500</v>
      </c>
      <c r="J42" s="135" t="inlineStr">
        <is>
          <t>10</t>
        </is>
      </c>
      <c r="K42" s="135" t="n">
        <v>21000</v>
      </c>
      <c r="L42" s="135" t="inlineStr">
        <is>
          <t>9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4</v>
      </c>
      <c r="R42" s="122" t="n">
        <v>2</v>
      </c>
      <c r="S42" s="122" t="inlineStr">
        <is>
          <t>계</t>
        </is>
      </c>
      <c r="T42" s="5" t="n">
        <v>159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n"/>
      <c r="B43" s="122" t="n"/>
      <c r="C43" s="6" t="n"/>
      <c r="D43" s="9" t="n"/>
      <c r="E43" s="14" t="n"/>
      <c r="F43" s="132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7" t="n"/>
      <c r="P43" s="137" t="n"/>
      <c r="Q43" s="133" t="n"/>
      <c r="R43" s="133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7">
        <f>IF(E43="","",E43)</f>
        <v/>
      </c>
      <c r="AJ43" s="122" t="n"/>
      <c r="AK43" s="122" t="n"/>
      <c r="AL43" s="122" t="n"/>
      <c r="AM43" s="122" t="n"/>
      <c r="AN43" s="122" t="n"/>
      <c r="AO43" s="122" t="n"/>
      <c r="AP43" s="122" t="n"/>
      <c r="AQ43" s="122" t="n"/>
      <c r="AR43" s="122" t="n"/>
      <c r="AS43" s="122" t="n"/>
      <c r="AT43" s="122" t="n"/>
      <c r="AU43" s="122" t="n"/>
      <c r="AV43" s="122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4" t="n">
        <v>748</v>
      </c>
      <c r="D44" s="132" t="n">
        <v>79.8</v>
      </c>
      <c r="E44" s="133" t="n">
        <v>24</v>
      </c>
      <c r="F44" s="132" t="n">
        <v>59.9</v>
      </c>
      <c r="G44" s="17" t="n">
        <v>18</v>
      </c>
      <c r="H44" s="134" t="n">
        <v>152</v>
      </c>
      <c r="I44" s="135" t="n">
        <v>29773</v>
      </c>
      <c r="J44" s="135" t="inlineStr">
        <is>
          <t>중</t>
        </is>
      </c>
      <c r="K44" s="135" t="n">
        <v>26000</v>
      </c>
      <c r="L44" s="135" t="inlineStr">
        <is>
          <t>5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inlineStr">
        <is>
          <t>79A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4" t="n">
        <v>748</v>
      </c>
      <c r="D45" s="132" t="n">
        <v>80.3</v>
      </c>
      <c r="E45" s="133" t="n">
        <v>24</v>
      </c>
      <c r="F45" s="132" t="n">
        <v>59.9</v>
      </c>
      <c r="G45" s="17" t="n">
        <v>18</v>
      </c>
      <c r="H45" s="134" t="n">
        <v>99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80B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4" t="n">
        <v>748</v>
      </c>
      <c r="D46" s="132" t="n">
        <v>99.59999999999999</v>
      </c>
      <c r="E46" s="133" t="n">
        <v>30</v>
      </c>
      <c r="F46" s="132" t="n">
        <v>76</v>
      </c>
      <c r="G46" s="17" t="n">
        <v>23</v>
      </c>
      <c r="H46" s="134" t="n">
        <v>143</v>
      </c>
      <c r="I46" s="135" t="n"/>
      <c r="J46" s="135" t="n"/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inlineStr">
        <is>
          <t>99A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4" t="n">
        <v>748</v>
      </c>
      <c r="D47" s="132" t="n">
        <v>100.8</v>
      </c>
      <c r="E47" s="133" t="n">
        <v>31</v>
      </c>
      <c r="F47" s="132" t="n">
        <v>76</v>
      </c>
      <c r="G47" s="17" t="n">
        <v>23</v>
      </c>
      <c r="H47" s="134" t="n">
        <v>107</v>
      </c>
      <c r="I47" s="135" t="n">
        <v>35200</v>
      </c>
      <c r="J47" s="135" t="inlineStr">
        <is>
          <t>12</t>
        </is>
      </c>
      <c r="K47" s="135" t="n">
        <v>29000</v>
      </c>
      <c r="L47" s="135" t="inlineStr">
        <is>
          <t>12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3</v>
      </c>
      <c r="R47" s="122" t="n">
        <v>2</v>
      </c>
      <c r="S47" s="122" t="inlineStr">
        <is>
          <t>계</t>
        </is>
      </c>
      <c r="T47" s="5" t="inlineStr">
        <is>
          <t>100B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4" t="n">
        <v>748</v>
      </c>
      <c r="D48" s="132" t="n">
        <v>111.2</v>
      </c>
      <c r="E48" s="133" t="n">
        <v>34</v>
      </c>
      <c r="F48" s="132" t="n">
        <v>85</v>
      </c>
      <c r="G48" s="17" t="n">
        <v>26</v>
      </c>
      <c r="H48" s="134" t="n">
        <v>149</v>
      </c>
      <c r="I48" s="135" t="n">
        <v>45000</v>
      </c>
      <c r="J48" s="135" t="inlineStr">
        <is>
          <t>고</t>
        </is>
      </c>
      <c r="K48" s="135" t="n">
        <v>32000</v>
      </c>
      <c r="L48" s="135" t="inlineStr">
        <is>
          <t>8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inlineStr">
        <is>
          <t>111A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4" t="n">
        <v>748</v>
      </c>
      <c r="D49" s="132" t="n">
        <v>111.5</v>
      </c>
      <c r="E49" s="133" t="n">
        <v>34</v>
      </c>
      <c r="F49" s="132" t="n">
        <v>85</v>
      </c>
      <c r="G49" s="17" t="n">
        <v>26</v>
      </c>
      <c r="H49" s="134" t="n">
        <v>48</v>
      </c>
      <c r="I49" s="135" t="n">
        <v>42900</v>
      </c>
      <c r="J49" s="135" t="inlineStr">
        <is>
          <t>21</t>
        </is>
      </c>
      <c r="K49" s="135" t="n">
        <v>31000</v>
      </c>
      <c r="L49" s="135" t="inlineStr">
        <is>
          <t>고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3</v>
      </c>
      <c r="R49" s="122" t="n">
        <v>2</v>
      </c>
      <c r="S49" s="122" t="inlineStr">
        <is>
          <t>계</t>
        </is>
      </c>
      <c r="T49" s="5" t="inlineStr">
        <is>
          <t>111B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4" t="n">
        <v>748</v>
      </c>
      <c r="D50" s="132" t="n">
        <v>113.6</v>
      </c>
      <c r="E50" s="133" t="n">
        <v>34</v>
      </c>
      <c r="F50" s="132" t="n">
        <v>85</v>
      </c>
      <c r="G50" s="17" t="n">
        <v>26</v>
      </c>
      <c r="H50" s="134" t="n">
        <v>28</v>
      </c>
      <c r="I50" s="135" t="n">
        <v>38000</v>
      </c>
      <c r="J50" s="135" t="inlineStr">
        <is>
          <t>23</t>
        </is>
      </c>
      <c r="K50" s="135" t="n">
        <v>31000</v>
      </c>
      <c r="L50" s="135" t="inlineStr">
        <is>
          <t>21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inlineStr">
        <is>
          <t>113D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4" t="n">
        <v>748</v>
      </c>
      <c r="D51" s="132" t="n">
        <v>113.7</v>
      </c>
      <c r="E51" s="133" t="n">
        <v>34</v>
      </c>
      <c r="F51" s="132" t="n">
        <v>85</v>
      </c>
      <c r="G51" s="17" t="n">
        <v>26</v>
      </c>
      <c r="H51" s="134" t="n">
        <v>22</v>
      </c>
      <c r="I51" s="135" t="n">
        <v>45000</v>
      </c>
      <c r="J51" s="135" t="inlineStr">
        <is>
          <t>중</t>
        </is>
      </c>
      <c r="K51" s="135" t="n">
        <v>32000</v>
      </c>
      <c r="L51" s="135" t="inlineStr">
        <is>
          <t>중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inlineStr">
        <is>
          <t>113C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2">
        <f>S51</f>
        <v/>
      </c>
      <c r="AF51" s="122">
        <f>Q51&amp;"/"&amp;R51</f>
        <v/>
      </c>
      <c r="AH51" s="20">
        <f>IF(A51="","",A51)</f>
        <v/>
      </c>
      <c r="AI51" s="133">
        <f>IF(E51="","",E51)</f>
        <v/>
      </c>
      <c r="AJ51" s="122">
        <f>IF(AI51="","",$AJ$2)</f>
        <v/>
      </c>
      <c r="AK51" s="122" t="inlineStr">
        <is>
          <t>A</t>
        </is>
      </c>
      <c r="AL51" s="122" t="inlineStr">
        <is>
          <t>A+</t>
        </is>
      </c>
      <c r="AM51" s="122" t="inlineStr">
        <is>
          <t>B+</t>
        </is>
      </c>
      <c r="AN51" s="122">
        <f>IF(AI51="","",$AN$2)</f>
        <v/>
      </c>
      <c r="AO51" s="122">
        <f>IF(N51="","",IF(N51&gt;=$AO$1/100,"O","X"))</f>
        <v/>
      </c>
      <c r="AP51" s="122">
        <f>IF(I51="","",IF(I51&lt;=$AP$1,"O","X"))</f>
        <v/>
      </c>
      <c r="AQ51" s="122">
        <f>IF(O51="","",IF(O51&lt;=$AQ$1,"O","X"))</f>
        <v/>
      </c>
      <c r="AR51" s="122">
        <f>IF(M51="","",IF(M51&lt;=$AR$1,"O","X"))</f>
        <v/>
      </c>
      <c r="AS51" s="122" t="inlineStr">
        <is>
          <t>X</t>
        </is>
      </c>
      <c r="AT51" s="122">
        <f>IF(OR(F51="",AI51=""),"",IF(AND((F51&lt;=85),(AI51&gt;=15)),"O","X"))</f>
        <v/>
      </c>
      <c r="AU51" s="122">
        <f>IF(C51="","",IF(C51&gt;=$AU$1,"O","X"))</f>
        <v/>
      </c>
      <c r="AV51" s="122">
        <f>IF(AO51="","",IF(AND(AO51="O",AP51="O",AR51="O",AT51="O",AU51="O"),"후보","X"))</f>
        <v/>
      </c>
    </row>
    <row r="52">
      <c r="A52" s="9" t="n"/>
      <c r="B52" s="122" t="n"/>
      <c r="C52" s="6" t="n"/>
      <c r="D52" s="9" t="n"/>
      <c r="E52" s="14" t="n"/>
      <c r="F52" s="132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7" t="n"/>
      <c r="P52" s="137" t="n"/>
      <c r="Q52" s="133" t="n"/>
      <c r="R52" s="133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7">
        <f>IF(E52="","",E52)</f>
        <v/>
      </c>
      <c r="AJ52" s="122" t="n"/>
      <c r="AK52" s="122" t="n"/>
      <c r="AL52" s="122" t="n"/>
      <c r="AM52" s="122" t="n"/>
      <c r="AN52" s="122" t="n"/>
      <c r="AO52" s="122" t="n"/>
      <c r="AP52" s="122" t="n"/>
      <c r="AQ52" s="122" t="n"/>
      <c r="AR52" s="122" t="n"/>
      <c r="AS52" s="122" t="n"/>
      <c r="AT52" s="122" t="n"/>
      <c r="AU52" s="122" t="n"/>
      <c r="AV52" s="122" t="n"/>
    </row>
    <row r="53">
      <c r="A53" s="9" t="inlineStr">
        <is>
          <t>율량대창3차</t>
        </is>
      </c>
      <c r="B53" s="10" t="inlineStr">
        <is>
          <t>'95.09.</t>
        </is>
      </c>
      <c r="C53" s="134" t="n">
        <v>270</v>
      </c>
      <c r="D53" s="132" t="n">
        <v>46.4</v>
      </c>
      <c r="E53" s="133" t="n">
        <v>14</v>
      </c>
      <c r="F53" s="132" t="n">
        <v>34.8</v>
      </c>
      <c r="G53" s="17" t="n">
        <v>11</v>
      </c>
      <c r="H53" s="134" t="n">
        <v>270</v>
      </c>
      <c r="I53" s="135" t="n"/>
      <c r="J53" s="135" t="n"/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2</v>
      </c>
      <c r="R53" s="122" t="n">
        <v>1</v>
      </c>
      <c r="S53" s="122" t="inlineStr">
        <is>
          <t>계</t>
        </is>
      </c>
      <c r="T53" s="5" t="n">
        <v>46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>
      <c r="A54" s="9" t="n"/>
      <c r="B54" s="122" t="n"/>
      <c r="C54" s="6" t="n"/>
      <c r="D54" s="9" t="n"/>
      <c r="E54" s="14" t="n"/>
      <c r="F54" s="132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7" t="n"/>
      <c r="P54" s="137" t="n"/>
      <c r="Q54" s="133" t="n"/>
      <c r="R54" s="133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7">
        <f>IF(E54="","",E54)</f>
        <v/>
      </c>
      <c r="AJ54" s="122" t="n"/>
      <c r="AK54" s="122" t="n"/>
      <c r="AL54" s="122" t="n"/>
      <c r="AM54" s="122" t="n"/>
      <c r="AN54" s="122" t="n"/>
      <c r="AO54" s="122" t="n"/>
      <c r="AP54" s="122" t="n"/>
      <c r="AQ54" s="122" t="n"/>
      <c r="AR54" s="122" t="n"/>
      <c r="AS54" s="122" t="n"/>
      <c r="AT54" s="122" t="n"/>
      <c r="AU54" s="122" t="n"/>
      <c r="AV54" s="122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4" t="n">
        <v>608</v>
      </c>
      <c r="D55" s="132" t="n">
        <v>40.8</v>
      </c>
      <c r="E55" s="133" t="n">
        <v>12</v>
      </c>
      <c r="F55" s="132" t="n">
        <v>32.8</v>
      </c>
      <c r="G55" s="17" t="n">
        <v>10</v>
      </c>
      <c r="H55" s="134" t="n">
        <v>243</v>
      </c>
      <c r="I55" s="135" t="n">
        <v>6000</v>
      </c>
      <c r="J55" s="135" t="inlineStr">
        <is>
          <t>5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1</v>
      </c>
      <c r="R55" s="122" t="n">
        <v>1</v>
      </c>
      <c r="S55" s="122" t="inlineStr">
        <is>
          <t>복</t>
        </is>
      </c>
      <c r="T55" s="5" t="n">
        <v>40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4" t="n">
        <v>608</v>
      </c>
      <c r="D56" s="132" t="n">
        <v>74</v>
      </c>
      <c r="E56" s="133" t="n">
        <v>22</v>
      </c>
      <c r="F56" s="132" t="n">
        <v>59.4</v>
      </c>
      <c r="G56" s="17" t="n">
        <v>18</v>
      </c>
      <c r="H56" s="134" t="n">
        <v>147</v>
      </c>
      <c r="I56" s="135" t="n">
        <v>14500</v>
      </c>
      <c r="J56" s="135" t="inlineStr">
        <is>
          <t>13</t>
        </is>
      </c>
      <c r="K56" s="135" t="n">
        <v>12500</v>
      </c>
      <c r="L56" s="135" t="inlineStr">
        <is>
          <t>8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1</v>
      </c>
      <c r="S56" s="122" t="inlineStr">
        <is>
          <t>계</t>
        </is>
      </c>
      <c r="T56" s="5" t="n">
        <v>73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4" t="n">
        <v>608</v>
      </c>
      <c r="D57" s="132" t="n">
        <v>105.8</v>
      </c>
      <c r="E57" s="133" t="n">
        <v>32</v>
      </c>
      <c r="F57" s="132" t="n">
        <v>85</v>
      </c>
      <c r="G57" s="17" t="n">
        <v>26</v>
      </c>
      <c r="H57" s="134" t="n">
        <v>163</v>
      </c>
      <c r="I57" s="135" t="n">
        <v>22500</v>
      </c>
      <c r="J57" s="135" t="inlineStr">
        <is>
          <t>12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2</v>
      </c>
      <c r="S57" s="122" t="inlineStr">
        <is>
          <t>계</t>
        </is>
      </c>
      <c r="T57" s="5" t="inlineStr">
        <is>
          <t>105B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4" t="n">
        <v>608</v>
      </c>
      <c r="D58" s="132" t="n">
        <v>105.6</v>
      </c>
      <c r="E58" s="133" t="n">
        <v>32</v>
      </c>
      <c r="F58" s="132" t="n">
        <v>84.8</v>
      </c>
      <c r="G58" s="17" t="n">
        <v>26</v>
      </c>
      <c r="H58" s="134" t="n">
        <v>5</v>
      </c>
      <c r="I58" s="135" t="n">
        <v>19000</v>
      </c>
      <c r="J58" s="135" t="inlineStr">
        <is>
          <t>13</t>
        </is>
      </c>
      <c r="K58" s="135" t="n"/>
      <c r="L58" s="135" t="n"/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inlineStr">
        <is>
          <t>105A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4" t="n">
        <v>608</v>
      </c>
      <c r="D59" s="132" t="n">
        <v>160.7</v>
      </c>
      <c r="E59" s="133" t="n">
        <v>49</v>
      </c>
      <c r="F59" s="132" t="n">
        <v>129</v>
      </c>
      <c r="G59" s="17" t="n">
        <v>39</v>
      </c>
      <c r="H59" s="134" t="n">
        <v>50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4</v>
      </c>
      <c r="R59" s="122" t="n">
        <v>2</v>
      </c>
      <c r="S59" s="122" t="inlineStr">
        <is>
          <t>계</t>
        </is>
      </c>
      <c r="T59" s="5" t="n">
        <v>160</v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>
      <c r="A60" s="9" t="n"/>
      <c r="B60" s="122" t="n"/>
      <c r="C60" s="6" t="n"/>
      <c r="D60" s="9" t="n"/>
      <c r="E60" s="14" t="n"/>
      <c r="F60" s="132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7" t="n"/>
      <c r="P60" s="137" t="n"/>
      <c r="Q60" s="133" t="n"/>
      <c r="R60" s="133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7">
        <f>IF(E60="","",E60)</f>
        <v/>
      </c>
      <c r="AJ60" s="122" t="n"/>
      <c r="AK60" s="122" t="n"/>
      <c r="AL60" s="122" t="n"/>
      <c r="AM60" s="122" t="n"/>
      <c r="AN60" s="122" t="n"/>
      <c r="AO60" s="122" t="n"/>
      <c r="AP60" s="122" t="n"/>
      <c r="AQ60" s="122" t="n"/>
      <c r="AR60" s="122" t="n"/>
      <c r="AS60" s="122" t="n"/>
      <c r="AT60" s="122" t="n"/>
      <c r="AU60" s="122" t="n"/>
      <c r="AV60" s="122" t="n"/>
    </row>
    <row r="61">
      <c r="A61" s="9" t="inlineStr">
        <is>
          <t>율량현대</t>
        </is>
      </c>
      <c r="B61" s="10" t="inlineStr">
        <is>
          <t>'91.12.</t>
        </is>
      </c>
      <c r="C61" s="134" t="n">
        <v>764</v>
      </c>
      <c r="D61" s="132" t="n">
        <v>95.2</v>
      </c>
      <c r="E61" s="133" t="n">
        <v>29</v>
      </c>
      <c r="F61" s="132" t="n">
        <v>75</v>
      </c>
      <c r="G61" s="17" t="n">
        <v>23</v>
      </c>
      <c r="H61" s="134" t="n">
        <v>224</v>
      </c>
      <c r="I61" s="135" t="n">
        <v>16500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3</v>
      </c>
      <c r="R61" s="122" t="n">
        <v>1</v>
      </c>
      <c r="S61" s="122" t="inlineStr">
        <is>
          <t>계</t>
        </is>
      </c>
      <c r="T61" s="5" t="n">
        <v>95</v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4" t="n">
        <v>764</v>
      </c>
      <c r="D62" s="132" t="n">
        <v>97.5</v>
      </c>
      <c r="E62" s="133" t="n">
        <v>29</v>
      </c>
      <c r="F62" s="132" t="n">
        <v>75.40000000000001</v>
      </c>
      <c r="G62" s="17" t="n">
        <v>23</v>
      </c>
      <c r="H62" s="134" t="n">
        <v>40</v>
      </c>
      <c r="I62" s="135" t="n"/>
      <c r="J62" s="135" t="n"/>
      <c r="K62" s="135" t="n"/>
      <c r="L62" s="135" t="n"/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3</v>
      </c>
      <c r="R62" s="122" t="n">
        <v>1</v>
      </c>
      <c r="S62" s="122" t="inlineStr">
        <is>
          <t>계</t>
        </is>
      </c>
      <c r="T62" s="5" t="n">
        <v>97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4" t="n">
        <v>764</v>
      </c>
      <c r="D63" s="132" t="n">
        <v>106.6</v>
      </c>
      <c r="E63" s="133" t="n">
        <v>32</v>
      </c>
      <c r="F63" s="132" t="n">
        <v>85</v>
      </c>
      <c r="G63" s="17" t="n">
        <v>26</v>
      </c>
      <c r="H63" s="134" t="n">
        <v>386</v>
      </c>
      <c r="I63" s="135" t="n">
        <v>19000</v>
      </c>
      <c r="J63" s="135" t="inlineStr">
        <is>
          <t>12</t>
        </is>
      </c>
      <c r="K63" s="135" t="n">
        <v>13000</v>
      </c>
      <c r="L63" s="135" t="inlineStr">
        <is>
          <t>중</t>
        </is>
      </c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3</v>
      </c>
      <c r="R63" s="122" t="n">
        <v>2</v>
      </c>
      <c r="S63" s="122" t="inlineStr">
        <is>
          <t>계</t>
        </is>
      </c>
      <c r="T63" s="5" t="n">
        <v>106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2">
        <f>S63</f>
        <v/>
      </c>
      <c r="AF63" s="122">
        <f>Q63&amp;"/"&amp;R63</f>
        <v/>
      </c>
      <c r="AH63" s="20">
        <f>IF(A63="","",A63)</f>
        <v/>
      </c>
      <c r="AI63" s="133">
        <f>IF(E63="","",E63)</f>
        <v/>
      </c>
      <c r="AJ63" s="122">
        <f>IF(AI63="","",$AJ$2)</f>
        <v/>
      </c>
      <c r="AK63" s="122" t="inlineStr">
        <is>
          <t>A</t>
        </is>
      </c>
      <c r="AL63" s="122" t="inlineStr">
        <is>
          <t>A+</t>
        </is>
      </c>
      <c r="AM63" s="122" t="inlineStr">
        <is>
          <t>B+</t>
        </is>
      </c>
      <c r="AN63" s="122">
        <f>IF(AI63="","",$AN$2)</f>
        <v/>
      </c>
      <c r="AO63" s="122">
        <f>IF(N63="","",IF(N63&gt;=$AO$1/100,"O","X"))</f>
        <v/>
      </c>
      <c r="AP63" s="122">
        <f>IF(I63="","",IF(I63&lt;=$AP$1,"O","X"))</f>
        <v/>
      </c>
      <c r="AQ63" s="122">
        <f>IF(O63="","",IF(O63&lt;=$AQ$1,"O","X"))</f>
        <v/>
      </c>
      <c r="AR63" s="122">
        <f>IF(M63="","",IF(M63&lt;=$AR$1,"O","X"))</f>
        <v/>
      </c>
      <c r="AS63" s="122" t="inlineStr">
        <is>
          <t>X</t>
        </is>
      </c>
      <c r="AT63" s="122">
        <f>IF(OR(F63="",AI63=""),"",IF(AND((F63&lt;=85),(AI63&gt;=15)),"O","X"))</f>
        <v/>
      </c>
      <c r="AU63" s="122">
        <f>IF(C63="","",IF(C63&gt;=$AU$1,"O","X"))</f>
        <v/>
      </c>
      <c r="AV63" s="122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4" t="n">
        <v>764</v>
      </c>
      <c r="D64" s="132" t="n">
        <v>150.8</v>
      </c>
      <c r="E64" s="133" t="n">
        <v>46</v>
      </c>
      <c r="F64" s="132" t="n">
        <v>125.6</v>
      </c>
      <c r="G64" s="17" t="n">
        <v>38</v>
      </c>
      <c r="H64" s="134" t="n">
        <v>114</v>
      </c>
      <c r="I64" s="135" t="n">
        <v>25500</v>
      </c>
      <c r="J64" s="135" t="inlineStr">
        <is>
          <t>중</t>
        </is>
      </c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4</v>
      </c>
      <c r="R64" s="122" t="n">
        <v>2</v>
      </c>
      <c r="S64" s="122" t="inlineStr">
        <is>
          <t>계</t>
        </is>
      </c>
      <c r="T64" s="5" t="n">
        <v>150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>
      <c r="A65" s="9" t="n"/>
      <c r="B65" s="122" t="n"/>
      <c r="C65" s="6" t="n"/>
      <c r="D65" s="9" t="n"/>
      <c r="E65" s="14" t="n"/>
      <c r="F65" s="132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7" t="n"/>
      <c r="P65" s="137" t="n"/>
      <c r="Q65" s="133" t="n"/>
      <c r="R65" s="133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7">
        <f>IF(E65="","",E65)</f>
        <v/>
      </c>
      <c r="AJ65" s="122" t="n"/>
      <c r="AK65" s="122" t="n"/>
      <c r="AL65" s="122" t="n"/>
      <c r="AM65" s="122" t="n"/>
      <c r="AN65" s="122" t="n"/>
      <c r="AO65" s="122" t="n"/>
      <c r="AP65" s="122" t="n"/>
      <c r="AQ65" s="122" t="n"/>
      <c r="AR65" s="122" t="n"/>
      <c r="AS65" s="122" t="n"/>
      <c r="AT65" s="122" t="n"/>
      <c r="AU65" s="122" t="n"/>
      <c r="AV65" s="122" t="n"/>
    </row>
    <row r="66">
      <c r="A66" s="9" t="inlineStr">
        <is>
          <t>삼성</t>
        </is>
      </c>
      <c r="B66" s="10" t="inlineStr">
        <is>
          <t>'96.05.</t>
        </is>
      </c>
      <c r="C66" s="134" t="n">
        <v>798</v>
      </c>
      <c r="D66" s="132" t="n">
        <v>77.40000000000001</v>
      </c>
      <c r="E66" s="133" t="n">
        <v>23</v>
      </c>
      <c r="F66" s="132" t="n">
        <v>59.6</v>
      </c>
      <c r="G66" s="17" t="n">
        <v>18</v>
      </c>
      <c r="H66" s="134" t="n">
        <v>412</v>
      </c>
      <c r="I66" s="135" t="n">
        <v>16500</v>
      </c>
      <c r="J66" s="135" t="inlineStr">
        <is>
          <t>중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2" t="n">
        <v>3</v>
      </c>
      <c r="R66" s="122" t="n">
        <v>1</v>
      </c>
      <c r="S66" s="122" t="inlineStr">
        <is>
          <t>계</t>
        </is>
      </c>
      <c r="T66" s="5" t="n">
        <v>77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2">
        <f>S66</f>
        <v/>
      </c>
      <c r="AF66" s="122">
        <f>Q66&amp;"/"&amp;R66</f>
        <v/>
      </c>
      <c r="AH66" s="20">
        <f>IF(A66="","",A66)</f>
        <v/>
      </c>
      <c r="AI66" s="133">
        <f>IF(E66="","",E66)</f>
        <v/>
      </c>
      <c r="AJ66" s="122">
        <f>IF(AI66="","",$AJ$2)</f>
        <v/>
      </c>
      <c r="AK66" s="122" t="inlineStr">
        <is>
          <t>A</t>
        </is>
      </c>
      <c r="AL66" s="122" t="inlineStr">
        <is>
          <t>A+</t>
        </is>
      </c>
      <c r="AM66" s="122" t="inlineStr">
        <is>
          <t>B+</t>
        </is>
      </c>
      <c r="AN66" s="122">
        <f>IF(AI66="","",$AN$2)</f>
        <v/>
      </c>
      <c r="AO66" s="122">
        <f>IF(N66="","",IF(N66&gt;=$AO$1/100,"O","X"))</f>
        <v/>
      </c>
      <c r="AP66" s="122">
        <f>IF(I66="","",IF(I66&lt;=$AP$1,"O","X"))</f>
        <v/>
      </c>
      <c r="AQ66" s="122">
        <f>IF(O66="","",IF(O66&lt;=$AQ$1,"O","X"))</f>
        <v/>
      </c>
      <c r="AR66" s="122">
        <f>IF(M66="","",IF(M66&lt;=$AR$1,"O","X"))</f>
        <v/>
      </c>
      <c r="AS66" s="122" t="inlineStr">
        <is>
          <t>X</t>
        </is>
      </c>
      <c r="AT66" s="122">
        <f>IF(OR(F66="",AI66=""),"",IF(AND((F66&lt;=85),(AI66&gt;=15)),"O","X"))</f>
        <v/>
      </c>
      <c r="AU66" s="122">
        <f>IF(C66="","",IF(C66&gt;=$AU$1,"O","X"))</f>
        <v/>
      </c>
      <c r="AV66" s="122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4" t="n">
        <v>798</v>
      </c>
      <c r="D67" s="132" t="n">
        <v>104.2</v>
      </c>
      <c r="E67" s="133" t="n">
        <v>32</v>
      </c>
      <c r="F67" s="132" t="n">
        <v>84.7</v>
      </c>
      <c r="G67" s="17" t="n">
        <v>26</v>
      </c>
      <c r="H67" s="134" t="n">
        <v>386</v>
      </c>
      <c r="I67" s="135" t="n">
        <v>21000</v>
      </c>
      <c r="J67" s="135" t="inlineStr">
        <is>
          <t>10</t>
        </is>
      </c>
      <c r="K67" s="135" t="n">
        <v>18000</v>
      </c>
      <c r="L67" s="135" t="inlineStr">
        <is>
          <t>11</t>
        </is>
      </c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2" t="n">
        <v>3</v>
      </c>
      <c r="R67" s="122" t="n">
        <v>2</v>
      </c>
      <c r="S67" s="122" t="inlineStr">
        <is>
          <t>계</t>
        </is>
      </c>
      <c r="T67" s="5" t="n">
        <v>104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2">
        <f>S67</f>
        <v/>
      </c>
      <c r="AF67" s="122">
        <f>Q67&amp;"/"&amp;R67</f>
        <v/>
      </c>
      <c r="AH67" s="20">
        <f>IF(A67="","",A67)</f>
        <v/>
      </c>
      <c r="AI67" s="133">
        <f>IF(E67="","",E67)</f>
        <v/>
      </c>
      <c r="AJ67" s="122">
        <f>IF(AI67="","",$AJ$2)</f>
        <v/>
      </c>
      <c r="AK67" s="122" t="inlineStr">
        <is>
          <t>A</t>
        </is>
      </c>
      <c r="AL67" s="122" t="inlineStr">
        <is>
          <t>A+</t>
        </is>
      </c>
      <c r="AM67" s="122" t="inlineStr">
        <is>
          <t>B+</t>
        </is>
      </c>
      <c r="AN67" s="122">
        <f>IF(AI67="","",$AN$2)</f>
        <v/>
      </c>
      <c r="AO67" s="122">
        <f>IF(N67="","",IF(N67&gt;=$AO$1/100,"O","X"))</f>
        <v/>
      </c>
      <c r="AP67" s="122">
        <f>IF(I67="","",IF(I67&lt;=$AP$1,"O","X"))</f>
        <v/>
      </c>
      <c r="AQ67" s="122">
        <f>IF(O67="","",IF(O67&lt;=$AQ$1,"O","X"))</f>
        <v/>
      </c>
      <c r="AR67" s="122">
        <f>IF(M67="","",IF(M67&lt;=$AR$1,"O","X"))</f>
        <v/>
      </c>
      <c r="AS67" s="122" t="inlineStr">
        <is>
          <t>X</t>
        </is>
      </c>
      <c r="AT67" s="122">
        <f>IF(OR(F67="",AI67=""),"",IF(AND((F67&lt;=85),(AI67&gt;=15)),"O","X"))</f>
        <v/>
      </c>
      <c r="AU67" s="122">
        <f>IF(C67="","",IF(C67&gt;=$AU$1,"O","X"))</f>
        <v/>
      </c>
      <c r="AV67" s="122">
        <f>IF(AO67="","",IF(AND(AO67="O",AP67="O",AR67="O",AT67="O",AU67="O"),"후보","X"))</f>
        <v/>
      </c>
    </row>
    <row r="68">
      <c r="A68" s="9" t="n"/>
      <c r="B68" s="122" t="n"/>
      <c r="C68" s="6" t="n"/>
      <c r="D68" s="9" t="n"/>
      <c r="E68" s="14" t="n"/>
      <c r="F68" s="132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7" t="n"/>
      <c r="P68" s="137" t="n"/>
      <c r="Q68" s="133" t="n"/>
      <c r="R68" s="133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7">
        <f>IF(E68="","",E68)</f>
        <v/>
      </c>
      <c r="AJ68" s="122" t="n"/>
      <c r="AK68" s="122" t="n"/>
      <c r="AL68" s="122" t="n"/>
      <c r="AM68" s="122" t="n"/>
      <c r="AN68" s="122" t="n"/>
      <c r="AO68" s="122" t="n"/>
      <c r="AP68" s="122" t="n"/>
      <c r="AQ68" s="122" t="n"/>
      <c r="AR68" s="122" t="n"/>
      <c r="AS68" s="122" t="n"/>
      <c r="AT68" s="122" t="n"/>
      <c r="AU68" s="122" t="n"/>
      <c r="AV68" s="122" t="n"/>
    </row>
    <row r="69">
      <c r="A69" s="9" t="inlineStr">
        <is>
          <t>제일풍경채</t>
        </is>
      </c>
      <c r="B69" s="10" t="inlineStr">
        <is>
          <t>'16.07.</t>
        </is>
      </c>
      <c r="C69" s="134" t="n">
        <v>422</v>
      </c>
      <c r="D69" s="132" t="n">
        <v>94.3</v>
      </c>
      <c r="E69" s="133" t="n">
        <v>29</v>
      </c>
      <c r="F69" s="132" t="n">
        <v>71.40000000000001</v>
      </c>
      <c r="G69" s="17" t="n">
        <v>22</v>
      </c>
      <c r="H69" s="134" t="n">
        <v>49</v>
      </c>
      <c r="I69" s="135" t="n">
        <v>33000</v>
      </c>
      <c r="J69" s="135" t="inlineStr">
        <is>
          <t>18</t>
        </is>
      </c>
      <c r="K69" s="135" t="n">
        <v>24000</v>
      </c>
      <c r="L69" s="135" t="inlineStr">
        <is>
          <t>고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2" t="n">
        <v>3</v>
      </c>
      <c r="R69" s="122" t="n">
        <v>2</v>
      </c>
      <c r="S69" s="122" t="inlineStr">
        <is>
          <t>계</t>
        </is>
      </c>
      <c r="T69" s="5" t="inlineStr">
        <is>
          <t>94B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2">
        <f>S69</f>
        <v/>
      </c>
      <c r="AF69" s="122">
        <f>Q69&amp;"/"&amp;R69</f>
        <v/>
      </c>
      <c r="AH69" s="20">
        <f>IF(A69="","",A69)</f>
        <v/>
      </c>
      <c r="AI69" s="133">
        <f>IF(E69="","",E69)</f>
        <v/>
      </c>
      <c r="AJ69" s="122">
        <f>IF(AI69="","",$AJ$2)</f>
        <v/>
      </c>
      <c r="AK69" s="122" t="inlineStr">
        <is>
          <t>A</t>
        </is>
      </c>
      <c r="AL69" s="122" t="inlineStr">
        <is>
          <t>A+</t>
        </is>
      </c>
      <c r="AM69" s="122" t="inlineStr">
        <is>
          <t>B+</t>
        </is>
      </c>
      <c r="AN69" s="122">
        <f>IF(AI69="","",$AN$2)</f>
        <v/>
      </c>
      <c r="AO69" s="122">
        <f>IF(N69="","",IF(N69&gt;=$AO$1/100,"O","X"))</f>
        <v/>
      </c>
      <c r="AP69" s="122">
        <f>IF(I69="","",IF(I69&lt;=$AP$1,"O","X"))</f>
        <v/>
      </c>
      <c r="AQ69" s="122">
        <f>IF(O69="","",IF(O69&lt;=$AQ$1,"O","X"))</f>
        <v/>
      </c>
      <c r="AR69" s="122">
        <f>IF(M69="","",IF(M69&lt;=$AR$1,"O","X"))</f>
        <v/>
      </c>
      <c r="AS69" s="122" t="inlineStr">
        <is>
          <t>X</t>
        </is>
      </c>
      <c r="AT69" s="122">
        <f>IF(OR(F69="",AI69=""),"",IF(AND((F69&lt;=85),(AI69&gt;=15)),"O","X"))</f>
        <v/>
      </c>
      <c r="AU69" s="122">
        <f>IF(C69="","",IF(C69&gt;=$AU$1,"O","X"))</f>
        <v/>
      </c>
      <c r="AV69" s="122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4" t="n">
        <v>422</v>
      </c>
      <c r="D70" s="132" t="n">
        <v>94.7</v>
      </c>
      <c r="E70" s="133" t="n">
        <v>29</v>
      </c>
      <c r="F70" s="132" t="n">
        <v>71.40000000000001</v>
      </c>
      <c r="G70" s="17" t="n">
        <v>22</v>
      </c>
      <c r="H70" s="134" t="n">
        <v>48</v>
      </c>
      <c r="I70" s="135" t="n">
        <v>33500</v>
      </c>
      <c r="J70" s="135" t="inlineStr">
        <is>
          <t>10</t>
        </is>
      </c>
      <c r="K70" s="135" t="n">
        <v>27000</v>
      </c>
      <c r="L70" s="135" t="inlineStr">
        <is>
          <t>고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2" t="n">
        <v>3</v>
      </c>
      <c r="R70" s="122" t="n">
        <v>2</v>
      </c>
      <c r="S70" s="122" t="inlineStr">
        <is>
          <t>계</t>
        </is>
      </c>
      <c r="T70" s="5" t="inlineStr">
        <is>
          <t>94A</t>
        </is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2">
        <f>S70</f>
        <v/>
      </c>
      <c r="AF70" s="122">
        <f>Q70&amp;"/"&amp;R70</f>
        <v/>
      </c>
      <c r="AH70" s="20">
        <f>IF(A70="","",A70)</f>
        <v/>
      </c>
      <c r="AI70" s="133">
        <f>IF(E70="","",E70)</f>
        <v/>
      </c>
      <c r="AJ70" s="122">
        <f>IF(AI70="","",$AJ$2)</f>
        <v/>
      </c>
      <c r="AK70" s="122" t="inlineStr">
        <is>
          <t>A</t>
        </is>
      </c>
      <c r="AL70" s="122" t="inlineStr">
        <is>
          <t>A+</t>
        </is>
      </c>
      <c r="AM70" s="122" t="inlineStr">
        <is>
          <t>B+</t>
        </is>
      </c>
      <c r="AN70" s="122">
        <f>IF(AI70="","",$AN$2)</f>
        <v/>
      </c>
      <c r="AO70" s="122">
        <f>IF(N70="","",IF(N70&gt;=$AO$1/100,"O","X"))</f>
        <v/>
      </c>
      <c r="AP70" s="122">
        <f>IF(I70="","",IF(I70&lt;=$AP$1,"O","X"))</f>
        <v/>
      </c>
      <c r="AQ70" s="122">
        <f>IF(O70="","",IF(O70&lt;=$AQ$1,"O","X"))</f>
        <v/>
      </c>
      <c r="AR70" s="122">
        <f>IF(M70="","",IF(M70&lt;=$AR$1,"O","X"))</f>
        <v/>
      </c>
      <c r="AS70" s="122" t="inlineStr">
        <is>
          <t>X</t>
        </is>
      </c>
      <c r="AT70" s="122">
        <f>IF(OR(F70="",AI70=""),"",IF(AND((F70&lt;=85),(AI70&gt;=15)),"O","X"))</f>
        <v/>
      </c>
      <c r="AU70" s="122">
        <f>IF(C70="","",IF(C70&gt;=$AU$1,"O","X"))</f>
        <v/>
      </c>
      <c r="AV70" s="122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4" t="n">
        <v>422</v>
      </c>
      <c r="D71" s="132" t="n">
        <v>110.9</v>
      </c>
      <c r="E71" s="133" t="n">
        <v>34</v>
      </c>
      <c r="F71" s="132" t="n">
        <v>84.8</v>
      </c>
      <c r="G71" s="17" t="n">
        <v>26</v>
      </c>
      <c r="H71" s="134" t="n">
        <v>276</v>
      </c>
      <c r="I71" s="135" t="n"/>
      <c r="J71" s="135" t="n"/>
      <c r="K71" s="135" t="n"/>
      <c r="L71" s="135" t="n"/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2" t="n">
        <v>3</v>
      </c>
      <c r="R71" s="122" t="n">
        <v>2</v>
      </c>
      <c r="S71" s="122" t="inlineStr">
        <is>
          <t>계</t>
        </is>
      </c>
      <c r="T71" s="5" t="inlineStr">
        <is>
          <t>110A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22">
        <f>S71</f>
        <v/>
      </c>
      <c r="AF71" s="122">
        <f>Q71&amp;"/"&amp;R71</f>
        <v/>
      </c>
      <c r="AH71" s="20">
        <f>IF(A71="","",A71)</f>
        <v/>
      </c>
      <c r="AI71" s="133">
        <f>IF(E71="","",E71)</f>
        <v/>
      </c>
      <c r="AJ71" s="122">
        <f>IF(AI71="","",$AJ$2)</f>
        <v/>
      </c>
      <c r="AK71" s="122" t="inlineStr">
        <is>
          <t>A</t>
        </is>
      </c>
      <c r="AL71" s="122" t="inlineStr">
        <is>
          <t>A+</t>
        </is>
      </c>
      <c r="AM71" s="122" t="inlineStr">
        <is>
          <t>B+</t>
        </is>
      </c>
      <c r="AN71" s="122">
        <f>IF(AI71="","",$AN$2)</f>
        <v/>
      </c>
      <c r="AO71" s="122">
        <f>IF(N71="","",IF(N71&gt;=$AO$1/100,"O","X"))</f>
        <v/>
      </c>
      <c r="AP71" s="122">
        <f>IF(I71="","",IF(I71&lt;=$AP$1,"O","X"))</f>
        <v/>
      </c>
      <c r="AQ71" s="122">
        <f>IF(O71="","",IF(O71&lt;=$AQ$1,"O","X"))</f>
        <v/>
      </c>
      <c r="AR71" s="122">
        <f>IF(M71="","",IF(M71&lt;=$AR$1,"O","X"))</f>
        <v/>
      </c>
      <c r="AS71" s="122" t="inlineStr">
        <is>
          <t>X</t>
        </is>
      </c>
      <c r="AT71" s="122">
        <f>IF(OR(F71="",AI71=""),"",IF(AND((F71&lt;=85),(AI71&gt;=15)),"O","X"))</f>
        <v/>
      </c>
      <c r="AU71" s="122">
        <f>IF(C71="","",IF(C71&gt;=$AU$1,"O","X"))</f>
        <v/>
      </c>
      <c r="AV71" s="122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4" t="n">
        <v>422</v>
      </c>
      <c r="D72" s="132" t="n">
        <v>111.6</v>
      </c>
      <c r="E72" s="133" t="n">
        <v>34</v>
      </c>
      <c r="F72" s="132" t="n">
        <v>84.40000000000001</v>
      </c>
      <c r="G72" s="17" t="n">
        <v>26</v>
      </c>
      <c r="H72" s="134" t="n">
        <v>49</v>
      </c>
      <c r="I72" s="135" t="n">
        <v>36000</v>
      </c>
      <c r="J72" s="135" t="inlineStr">
        <is>
          <t>25</t>
        </is>
      </c>
      <c r="K72" s="135" t="n">
        <v>28000</v>
      </c>
      <c r="L72" s="135" t="inlineStr">
        <is>
          <t>25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2" t="n">
        <v>3</v>
      </c>
      <c r="R72" s="122" t="n">
        <v>2</v>
      </c>
      <c r="S72" s="122" t="inlineStr">
        <is>
          <t>계</t>
        </is>
      </c>
      <c r="T72" s="5" t="inlineStr">
        <is>
          <t>111B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2">
        <f>S72</f>
        <v/>
      </c>
      <c r="AF72" s="122">
        <f>Q72&amp;"/"&amp;R72</f>
        <v/>
      </c>
      <c r="AH72" s="20">
        <f>IF(A72="","",A72)</f>
        <v/>
      </c>
      <c r="AI72" s="133">
        <f>IF(E72="","",E72)</f>
        <v/>
      </c>
      <c r="AJ72" s="122">
        <f>IF(AI72="","",$AJ$2)</f>
        <v/>
      </c>
      <c r="AK72" s="122" t="inlineStr">
        <is>
          <t>A</t>
        </is>
      </c>
      <c r="AL72" s="122" t="inlineStr">
        <is>
          <t>A+</t>
        </is>
      </c>
      <c r="AM72" s="122" t="inlineStr">
        <is>
          <t>B+</t>
        </is>
      </c>
      <c r="AN72" s="122">
        <f>IF(AI72="","",$AN$2)</f>
        <v/>
      </c>
      <c r="AO72" s="122">
        <f>IF(N72="","",IF(N72&gt;=$AO$1/100,"O","X"))</f>
        <v/>
      </c>
      <c r="AP72" s="122">
        <f>IF(I72="","",IF(I72&lt;=$AP$1,"O","X"))</f>
        <v/>
      </c>
      <c r="AQ72" s="122">
        <f>IF(O72="","",IF(O72&lt;=$AQ$1,"O","X"))</f>
        <v/>
      </c>
      <c r="AR72" s="122">
        <f>IF(M72="","",IF(M72&lt;=$AR$1,"O","X"))</f>
        <v/>
      </c>
      <c r="AS72" s="122" t="inlineStr">
        <is>
          <t>X</t>
        </is>
      </c>
      <c r="AT72" s="122">
        <f>IF(OR(F72="",AI72=""),"",IF(AND((F72&lt;=85),(AI72&gt;=15)),"O","X"))</f>
        <v/>
      </c>
      <c r="AU72" s="122">
        <f>IF(C72="","",IF(C72&gt;=$AU$1,"O","X"))</f>
        <v/>
      </c>
      <c r="AV72" s="122">
        <f>IF(AO72="","",IF(AND(AO72="O",AP72="O",AR72="O",AT72="O",AU72="O"),"후보","X"))</f>
        <v/>
      </c>
    </row>
    <row r="73">
      <c r="A73" s="9" t="n"/>
      <c r="B73" s="122" t="n"/>
      <c r="C73" s="6" t="n"/>
      <c r="D73" s="9" t="n"/>
      <c r="E73" s="14" t="n"/>
      <c r="F73" s="132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7" t="n"/>
      <c r="P73" s="137" t="n"/>
      <c r="Q73" s="133" t="n"/>
      <c r="R73" s="133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7">
        <f>IF(E73="","",E73)</f>
        <v/>
      </c>
      <c r="AJ73" s="122" t="n"/>
      <c r="AK73" s="122" t="n"/>
      <c r="AL73" s="122" t="n"/>
      <c r="AM73" s="122" t="n"/>
      <c r="AN73" s="122" t="n"/>
      <c r="AO73" s="122" t="n"/>
      <c r="AP73" s="122" t="n"/>
      <c r="AQ73" s="122" t="n"/>
      <c r="AR73" s="122" t="n"/>
      <c r="AS73" s="122" t="n"/>
      <c r="AT73" s="122" t="n"/>
      <c r="AU73" s="122" t="n"/>
      <c r="AV73" s="122" t="n"/>
    </row>
    <row r="74">
      <c r="A74" s="9" t="inlineStr">
        <is>
          <t>율량대창4차</t>
        </is>
      </c>
      <c r="B74" s="10" t="inlineStr">
        <is>
          <t>'96.07.</t>
        </is>
      </c>
      <c r="C74" s="134" t="n">
        <v>261</v>
      </c>
      <c r="D74" s="132" t="n">
        <v>67.7</v>
      </c>
      <c r="E74" s="133" t="n">
        <v>20</v>
      </c>
      <c r="F74" s="132" t="n">
        <v>49.5</v>
      </c>
      <c r="G74" s="17" t="n">
        <v>15</v>
      </c>
      <c r="H74" s="134" t="n">
        <v>225</v>
      </c>
      <c r="I74" s="135" t="n"/>
      <c r="J74" s="135" t="n"/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2" t="n">
        <v>2</v>
      </c>
      <c r="R74" s="122" t="n">
        <v>1</v>
      </c>
      <c r="S74" s="122" t="inlineStr">
        <is>
          <t>계</t>
        </is>
      </c>
      <c r="T74" s="5" t="n">
        <v>67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2">
        <f>S74</f>
        <v/>
      </c>
      <c r="AF74" s="122">
        <f>Q74&amp;"/"&amp;R74</f>
        <v/>
      </c>
      <c r="AH74" s="20">
        <f>IF(A74="","",A74)</f>
        <v/>
      </c>
      <c r="AI74" s="133">
        <f>IF(E74="","",E74)</f>
        <v/>
      </c>
      <c r="AJ74" s="122">
        <f>IF(AI74="","",$AJ$2)</f>
        <v/>
      </c>
      <c r="AK74" s="122" t="inlineStr">
        <is>
          <t>A</t>
        </is>
      </c>
      <c r="AL74" s="122" t="inlineStr">
        <is>
          <t>A+</t>
        </is>
      </c>
      <c r="AM74" s="122" t="inlineStr">
        <is>
          <t>B+</t>
        </is>
      </c>
      <c r="AN74" s="122">
        <f>IF(AI74="","",$AN$2)</f>
        <v/>
      </c>
      <c r="AO74" s="122">
        <f>IF(N74="","",IF(N74&gt;=$AO$1/100,"O","X"))</f>
        <v/>
      </c>
      <c r="AP74" s="122">
        <f>IF(I74="","",IF(I74&lt;=$AP$1,"O","X"))</f>
        <v/>
      </c>
      <c r="AQ74" s="122">
        <f>IF(O74="","",IF(O74&lt;=$AQ$1,"O","X"))</f>
        <v/>
      </c>
      <c r="AR74" s="122">
        <f>IF(M74="","",IF(M74&lt;=$AR$1,"O","X"))</f>
        <v/>
      </c>
      <c r="AS74" s="122" t="inlineStr">
        <is>
          <t>X</t>
        </is>
      </c>
      <c r="AT74" s="122">
        <f>IF(OR(F74="",AI74=""),"",IF(AND((F74&lt;=85),(AI74&gt;=15)),"O","X"))</f>
        <v/>
      </c>
      <c r="AU74" s="122">
        <f>IF(C74="","",IF(C74&gt;=$AU$1,"O","X"))</f>
        <v/>
      </c>
      <c r="AV74" s="122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4" t="n">
        <v>261</v>
      </c>
      <c r="D75" s="132" t="n">
        <v>70.3</v>
      </c>
      <c r="E75" s="133" t="n">
        <v>21</v>
      </c>
      <c r="F75" s="132" t="n">
        <v>49.5</v>
      </c>
      <c r="G75" s="17" t="n">
        <v>15</v>
      </c>
      <c r="H75" s="134" t="n">
        <v>36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2" t="n">
        <v>2</v>
      </c>
      <c r="R75" s="122" t="n">
        <v>1</v>
      </c>
      <c r="S75" s="122" t="inlineStr">
        <is>
          <t>복</t>
        </is>
      </c>
      <c r="T75" s="5" t="n">
        <v>70</v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2">
        <f>S75</f>
        <v/>
      </c>
      <c r="AF75" s="122">
        <f>Q75&amp;"/"&amp;R75</f>
        <v/>
      </c>
      <c r="AH75" s="20">
        <f>IF(A75="","",A75)</f>
        <v/>
      </c>
      <c r="AI75" s="133">
        <f>IF(E75="","",E75)</f>
        <v/>
      </c>
      <c r="AJ75" s="122">
        <f>IF(AI75="","",$AJ$2)</f>
        <v/>
      </c>
      <c r="AK75" s="122" t="inlineStr">
        <is>
          <t>A</t>
        </is>
      </c>
      <c r="AL75" s="122" t="inlineStr">
        <is>
          <t>A+</t>
        </is>
      </c>
      <c r="AM75" s="122" t="inlineStr">
        <is>
          <t>B+</t>
        </is>
      </c>
      <c r="AN75" s="122">
        <f>IF(AI75="","",$AN$2)</f>
        <v/>
      </c>
      <c r="AO75" s="122">
        <f>IF(N75="","",IF(N75&gt;=$AO$1/100,"O","X"))</f>
        <v/>
      </c>
      <c r="AP75" s="122">
        <f>IF(I75="","",IF(I75&lt;=$AP$1,"O","X"))</f>
        <v/>
      </c>
      <c r="AQ75" s="122">
        <f>IF(O75="","",IF(O75&lt;=$AQ$1,"O","X"))</f>
        <v/>
      </c>
      <c r="AR75" s="122">
        <f>IF(M75="","",IF(M75&lt;=$AR$1,"O","X"))</f>
        <v/>
      </c>
      <c r="AS75" s="122" t="inlineStr">
        <is>
          <t>X</t>
        </is>
      </c>
      <c r="AT75" s="122">
        <f>IF(OR(F75="",AI75=""),"",IF(AND((F75&lt;=85),(AI75&gt;=15)),"O","X"))</f>
        <v/>
      </c>
      <c r="AU75" s="122">
        <f>IF(C75="","",IF(C75&gt;=$AU$1,"O","X"))</f>
        <v/>
      </c>
      <c r="AV75" s="122">
        <f>IF(AO75="","",IF(AND(AO75="O",AP75="O",AR75="O",AT75="O",AU75="O"),"후보","X"))</f>
        <v/>
      </c>
    </row>
    <row r="76">
      <c r="A76" s="9" t="n"/>
      <c r="B76" s="122" t="n"/>
      <c r="C76" s="6" t="n"/>
      <c r="D76" s="9" t="n"/>
      <c r="E76" s="14" t="n"/>
      <c r="F76" s="132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7" t="n"/>
      <c r="P76" s="137" t="n"/>
      <c r="Q76" s="133" t="n"/>
      <c r="R76" s="133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7">
        <f>IF(E76="","",E76)</f>
        <v/>
      </c>
      <c r="AJ76" s="122" t="n"/>
      <c r="AK76" s="122" t="n"/>
      <c r="AL76" s="122" t="n"/>
      <c r="AM76" s="122" t="n"/>
      <c r="AN76" s="122" t="n"/>
      <c r="AO76" s="122" t="n"/>
      <c r="AP76" s="122" t="n"/>
      <c r="AQ76" s="122" t="n"/>
      <c r="AR76" s="122" t="n"/>
      <c r="AS76" s="122" t="n"/>
      <c r="AT76" s="122" t="n"/>
      <c r="AU76" s="122" t="n"/>
      <c r="AV76" s="122" t="n"/>
    </row>
    <row r="77">
      <c r="A77" s="9" t="inlineStr">
        <is>
          <t>율량효성2차</t>
        </is>
      </c>
      <c r="B77" s="10" t="inlineStr">
        <is>
          <t>'97.01.</t>
        </is>
      </c>
      <c r="C77" s="134" t="n">
        <v>440</v>
      </c>
      <c r="D77" s="132" t="n">
        <v>63.5</v>
      </c>
      <c r="E77" s="133" t="n">
        <v>19</v>
      </c>
      <c r="F77" s="132" t="n">
        <v>45.3</v>
      </c>
      <c r="G77" s="17" t="n">
        <v>14</v>
      </c>
      <c r="H77" s="134" t="n">
        <v>178</v>
      </c>
      <c r="I77" s="135" t="n">
        <v>9500</v>
      </c>
      <c r="J77" s="135" t="inlineStr">
        <is>
          <t>9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2" t="n">
        <v>2</v>
      </c>
      <c r="R77" s="122" t="n">
        <v>1</v>
      </c>
      <c r="S77" s="122" t="inlineStr">
        <is>
          <t>복</t>
        </is>
      </c>
      <c r="T77" s="5" t="n">
        <v>63</v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22">
        <f>S77</f>
        <v/>
      </c>
      <c r="AF77" s="122">
        <f>Q77&amp;"/"&amp;R77</f>
        <v/>
      </c>
      <c r="AH77" s="20">
        <f>IF(A77="","",A77)</f>
        <v/>
      </c>
      <c r="AI77" s="133">
        <f>IF(E77="","",E77)</f>
        <v/>
      </c>
      <c r="AJ77" s="122">
        <f>IF(AI77="","",$AJ$2)</f>
        <v/>
      </c>
      <c r="AK77" s="122" t="inlineStr">
        <is>
          <t>A</t>
        </is>
      </c>
      <c r="AL77" s="122" t="inlineStr">
        <is>
          <t>A+</t>
        </is>
      </c>
      <c r="AM77" s="122" t="inlineStr">
        <is>
          <t>B+</t>
        </is>
      </c>
      <c r="AN77" s="122">
        <f>IF(AI77="","",$AN$2)</f>
        <v/>
      </c>
      <c r="AO77" s="122">
        <f>IF(N77="","",IF(N77&gt;=$AO$1/100,"O","X"))</f>
        <v/>
      </c>
      <c r="AP77" s="122">
        <f>IF(I77="","",IF(I77&lt;=$AP$1,"O","X"))</f>
        <v/>
      </c>
      <c r="AQ77" s="122">
        <f>IF(O77="","",IF(O77&lt;=$AQ$1,"O","X"))</f>
        <v/>
      </c>
      <c r="AR77" s="122">
        <f>IF(M77="","",IF(M77&lt;=$AR$1,"O","X"))</f>
        <v/>
      </c>
      <c r="AS77" s="122" t="inlineStr">
        <is>
          <t>X</t>
        </is>
      </c>
      <c r="AT77" s="122">
        <f>IF(OR(F77="",AI77=""),"",IF(AND((F77&lt;=85),(AI77&gt;=15)),"O","X"))</f>
        <v/>
      </c>
      <c r="AU77" s="122">
        <f>IF(C77="","",IF(C77&gt;=$AU$1,"O","X"))</f>
        <v/>
      </c>
      <c r="AV77" s="122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4" t="n">
        <v>440</v>
      </c>
      <c r="D78" s="132" t="n">
        <v>83</v>
      </c>
      <c r="E78" s="133" t="n">
        <v>25</v>
      </c>
      <c r="F78" s="132" t="n">
        <v>59.9</v>
      </c>
      <c r="G78" s="17" t="n">
        <v>18</v>
      </c>
      <c r="H78" s="134" t="n">
        <v>158</v>
      </c>
      <c r="I78" s="135" t="n">
        <v>14200</v>
      </c>
      <c r="J78" s="135" t="inlineStr">
        <is>
          <t>13</t>
        </is>
      </c>
      <c r="K78" s="135" t="n">
        <v>12300</v>
      </c>
      <c r="L78" s="135" t="inlineStr">
        <is>
          <t>10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2" t="n">
        <v>3</v>
      </c>
      <c r="R78" s="122" t="n">
        <v>1</v>
      </c>
      <c r="S78" s="122" t="inlineStr">
        <is>
          <t>복</t>
        </is>
      </c>
      <c r="T78" s="5" t="n">
        <v>83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2">
        <f>S78</f>
        <v/>
      </c>
      <c r="AF78" s="122">
        <f>Q78&amp;"/"&amp;R78</f>
        <v/>
      </c>
      <c r="AH78" s="20">
        <f>IF(A78="","",A78)</f>
        <v/>
      </c>
      <c r="AI78" s="133">
        <f>IF(E78="","",E78)</f>
        <v/>
      </c>
      <c r="AJ78" s="122">
        <f>IF(AI78="","",$AJ$2)</f>
        <v/>
      </c>
      <c r="AK78" s="122" t="inlineStr">
        <is>
          <t>A</t>
        </is>
      </c>
      <c r="AL78" s="122" t="inlineStr">
        <is>
          <t>A+</t>
        </is>
      </c>
      <c r="AM78" s="122" t="inlineStr">
        <is>
          <t>B+</t>
        </is>
      </c>
      <c r="AN78" s="122">
        <f>IF(AI78="","",$AN$2)</f>
        <v/>
      </c>
      <c r="AO78" s="122">
        <f>IF(N78="","",IF(N78&gt;=$AO$1/100,"O","X"))</f>
        <v/>
      </c>
      <c r="AP78" s="122">
        <f>IF(I78="","",IF(I78&lt;=$AP$1,"O","X"))</f>
        <v/>
      </c>
      <c r="AQ78" s="122">
        <f>IF(O78="","",IF(O78&lt;=$AQ$1,"O","X"))</f>
        <v/>
      </c>
      <c r="AR78" s="122">
        <f>IF(M78="","",IF(M78&lt;=$AR$1,"O","X"))</f>
        <v/>
      </c>
      <c r="AS78" s="122" t="inlineStr">
        <is>
          <t>X</t>
        </is>
      </c>
      <c r="AT78" s="122">
        <f>IF(OR(F78="",AI78=""),"",IF(AND((F78&lt;=85),(AI78&gt;=15)),"O","X"))</f>
        <v/>
      </c>
      <c r="AU78" s="122">
        <f>IF(C78="","",IF(C78&gt;=$AU$1,"O","X"))</f>
        <v/>
      </c>
      <c r="AV78" s="122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4" t="n">
        <v>440</v>
      </c>
      <c r="D79" s="132" t="n">
        <v>86.90000000000001</v>
      </c>
      <c r="E79" s="133" t="n">
        <v>26</v>
      </c>
      <c r="F79" s="132" t="n">
        <v>59.9</v>
      </c>
      <c r="G79" s="17" t="n">
        <v>18</v>
      </c>
      <c r="H79" s="134" t="n">
        <v>104</v>
      </c>
      <c r="I79" s="135" t="n">
        <v>13500</v>
      </c>
      <c r="J79" s="135" t="inlineStr">
        <is>
          <t>13</t>
        </is>
      </c>
      <c r="K79" s="135" t="n">
        <v>13500</v>
      </c>
      <c r="L79" s="135" t="inlineStr">
        <is>
          <t>13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2" t="n">
        <v>3</v>
      </c>
      <c r="R79" s="122" t="n">
        <v>1</v>
      </c>
      <c r="S79" s="122" t="inlineStr">
        <is>
          <t>복</t>
        </is>
      </c>
      <c r="T79" s="5" t="n">
        <v>86</v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2">
        <f>S79</f>
        <v/>
      </c>
      <c r="AF79" s="122">
        <f>Q79&amp;"/"&amp;R79</f>
        <v/>
      </c>
      <c r="AH79" s="20">
        <f>IF(A79="","",A79)</f>
        <v/>
      </c>
      <c r="AI79" s="133">
        <f>IF(E79="","",E79)</f>
        <v/>
      </c>
      <c r="AJ79" s="122">
        <f>IF(AI79="","",$AJ$2)</f>
        <v/>
      </c>
      <c r="AK79" s="122" t="inlineStr">
        <is>
          <t>A</t>
        </is>
      </c>
      <c r="AL79" s="122" t="inlineStr">
        <is>
          <t>A+</t>
        </is>
      </c>
      <c r="AM79" s="122" t="inlineStr">
        <is>
          <t>B+</t>
        </is>
      </c>
      <c r="AN79" s="122">
        <f>IF(AI79="","",$AN$2)</f>
        <v/>
      </c>
      <c r="AO79" s="122">
        <f>IF(N79="","",IF(N79&gt;=$AO$1/100,"O","X"))</f>
        <v/>
      </c>
      <c r="AP79" s="122">
        <f>IF(I79="","",IF(I79&lt;=$AP$1,"O","X"))</f>
        <v/>
      </c>
      <c r="AQ79" s="122">
        <f>IF(O79="","",IF(O79&lt;=$AQ$1,"O","X"))</f>
        <v/>
      </c>
      <c r="AR79" s="122">
        <f>IF(M79="","",IF(M79&lt;=$AR$1,"O","X"))</f>
        <v/>
      </c>
      <c r="AS79" s="122" t="inlineStr">
        <is>
          <t>X</t>
        </is>
      </c>
      <c r="AT79" s="122">
        <f>IF(OR(F79="",AI79=""),"",IF(AND((F79&lt;=85),(AI79&gt;=15)),"O","X"))</f>
        <v/>
      </c>
      <c r="AU79" s="122">
        <f>IF(C79="","",IF(C79&gt;=$AU$1,"O","X"))</f>
        <v/>
      </c>
      <c r="AV79" s="122">
        <f>IF(AO79="","",IF(AND(AO79="O",AP79="O",AR79="O",AT79="O",AU79="O"),"후보","X"))</f>
        <v/>
      </c>
    </row>
    <row r="80">
      <c r="A80" s="9" t="n"/>
      <c r="B80" s="122" t="n"/>
      <c r="C80" s="6" t="n"/>
      <c r="D80" s="9" t="n"/>
      <c r="E80" s="14" t="n"/>
      <c r="F80" s="132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7" t="n"/>
      <c r="P80" s="137" t="n"/>
      <c r="Q80" s="133" t="n"/>
      <c r="R80" s="133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7">
        <f>IF(E80="","",E80)</f>
        <v/>
      </c>
      <c r="AJ80" s="122" t="n"/>
      <c r="AK80" s="122" t="n"/>
      <c r="AL80" s="122" t="n"/>
      <c r="AM80" s="122" t="n"/>
      <c r="AN80" s="122" t="n"/>
      <c r="AO80" s="122" t="n"/>
      <c r="AP80" s="122" t="n"/>
      <c r="AQ80" s="122" t="n"/>
      <c r="AR80" s="122" t="n"/>
      <c r="AS80" s="122" t="n"/>
      <c r="AT80" s="122" t="n"/>
      <c r="AU80" s="122" t="n"/>
      <c r="AV80" s="122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4" t="n">
        <v>321</v>
      </c>
      <c r="D81" s="132" t="n">
        <v>129.5</v>
      </c>
      <c r="E81" s="133" t="n">
        <v>39</v>
      </c>
      <c r="F81" s="132" t="n">
        <v>103.7</v>
      </c>
      <c r="G81" s="17" t="n">
        <v>31</v>
      </c>
      <c r="H81" s="134" t="n">
        <v>321</v>
      </c>
      <c r="I81" s="135" t="n">
        <v>48000</v>
      </c>
      <c r="J81" s="135" t="inlineStr">
        <is>
          <t>8</t>
        </is>
      </c>
      <c r="K81" s="135" t="n">
        <v>43000</v>
      </c>
      <c r="L81" s="135" t="inlineStr">
        <is>
          <t>13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2" t="n">
        <v>4</v>
      </c>
      <c r="R81" s="122" t="n">
        <v>2</v>
      </c>
      <c r="S81" s="122" t="inlineStr">
        <is>
          <t>계</t>
        </is>
      </c>
      <c r="T81" s="5" t="n">
        <v>129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2">
        <f>S81</f>
        <v/>
      </c>
      <c r="AF81" s="122">
        <f>Q81&amp;"/"&amp;R81</f>
        <v/>
      </c>
      <c r="AH81" s="20">
        <f>IF(A81="","",A81)</f>
        <v/>
      </c>
      <c r="AI81" s="133">
        <f>IF(E81="","",E81)</f>
        <v/>
      </c>
      <c r="AJ81" s="122">
        <f>IF(AI81="","",$AJ$2)</f>
        <v/>
      </c>
      <c r="AK81" s="122" t="inlineStr">
        <is>
          <t>A</t>
        </is>
      </c>
      <c r="AL81" s="122" t="inlineStr">
        <is>
          <t>A+</t>
        </is>
      </c>
      <c r="AM81" s="122" t="inlineStr">
        <is>
          <t>B+</t>
        </is>
      </c>
      <c r="AN81" s="122">
        <f>IF(AI81="","",$AN$2)</f>
        <v/>
      </c>
      <c r="AO81" s="122">
        <f>IF(N81="","",IF(N81&gt;=$AO$1/100,"O","X"))</f>
        <v/>
      </c>
      <c r="AP81" s="122">
        <f>IF(I81="","",IF(I81&lt;=$AP$1,"O","X"))</f>
        <v/>
      </c>
      <c r="AQ81" s="122">
        <f>IF(O81="","",IF(O81&lt;=$AQ$1,"O","X"))</f>
        <v/>
      </c>
      <c r="AR81" s="122">
        <f>IF(M81="","",IF(M81&lt;=$AR$1,"O","X"))</f>
        <v/>
      </c>
      <c r="AS81" s="122" t="inlineStr">
        <is>
          <t>X</t>
        </is>
      </c>
      <c r="AT81" s="122">
        <f>IF(OR(F81="",AI81=""),"",IF(AND((F81&lt;=85),(AI81&gt;=15)),"O","X"))</f>
        <v/>
      </c>
      <c r="AU81" s="122">
        <f>IF(C81="","",IF(C81&gt;=$AU$1,"O","X"))</f>
        <v/>
      </c>
      <c r="AV81" s="122">
        <f>IF(AO81="","",IF(AND(AO81="O",AP81="O",AR81="O",AT81="O",AU81="O"),"후보","X"))</f>
        <v/>
      </c>
    </row>
    <row r="82">
      <c r="A82" s="9" t="n"/>
      <c r="B82" s="122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7">
        <f>IF(E82="","",E82)</f>
        <v/>
      </c>
      <c r="AJ82" s="122" t="n"/>
      <c r="AK82" s="122" t="n"/>
      <c r="AL82" s="122" t="n"/>
      <c r="AM82" s="122" t="n"/>
      <c r="AN82" s="122" t="n"/>
      <c r="AO82" s="122" t="n"/>
      <c r="AP82" s="122" t="n"/>
      <c r="AQ82" s="122" t="n"/>
      <c r="AR82" s="122" t="n"/>
      <c r="AS82" s="122" t="n"/>
      <c r="AT82" s="122" t="n"/>
      <c r="AU82" s="122" t="n"/>
      <c r="AV82" s="122" t="n"/>
    </row>
    <row r="83">
      <c r="A83" s="9" t="inlineStr">
        <is>
          <t>신라타운</t>
        </is>
      </c>
      <c r="B83" s="10" t="inlineStr">
        <is>
          <t>'94.10.</t>
        </is>
      </c>
      <c r="C83" s="134" t="n">
        <v>300</v>
      </c>
      <c r="D83" s="132" t="n">
        <v>58.9</v>
      </c>
      <c r="E83" s="133" t="n">
        <v>18</v>
      </c>
      <c r="F83" s="132" t="n">
        <v>53.5</v>
      </c>
      <c r="G83" s="17" t="n">
        <v>16</v>
      </c>
      <c r="H83" s="134" t="n">
        <v>18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2" t="n">
        <v>3</v>
      </c>
      <c r="R83" s="122" t="n">
        <v>1</v>
      </c>
      <c r="S83" s="122" t="inlineStr">
        <is>
          <t>계</t>
        </is>
      </c>
      <c r="T83" s="5" t="inlineStr">
        <is>
          <t>58A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2">
        <f>S83</f>
        <v/>
      </c>
      <c r="AF83" s="122">
        <f>Q83&amp;"/"&amp;R83</f>
        <v/>
      </c>
      <c r="AH83" s="20">
        <f>IF(A83="","",A83)</f>
        <v/>
      </c>
      <c r="AI83" s="133">
        <f>IF(E83="","",E83)</f>
        <v/>
      </c>
      <c r="AJ83" s="122">
        <f>IF(AI83="","",$AJ$2)</f>
        <v/>
      </c>
      <c r="AK83" s="122" t="inlineStr">
        <is>
          <t>A</t>
        </is>
      </c>
      <c r="AL83" s="122" t="inlineStr">
        <is>
          <t>A+</t>
        </is>
      </c>
      <c r="AM83" s="122" t="inlineStr">
        <is>
          <t>B+</t>
        </is>
      </c>
      <c r="AN83" s="122">
        <f>IF(AI83="","",$AN$2)</f>
        <v/>
      </c>
      <c r="AO83" s="122">
        <f>IF(N83="","",IF(N83&gt;=$AO$1/100,"O","X"))</f>
        <v/>
      </c>
      <c r="AP83" s="122">
        <f>IF(I83="","",IF(I83&lt;=$AP$1,"O","X"))</f>
        <v/>
      </c>
      <c r="AQ83" s="122">
        <f>IF(O83="","",IF(O83&lt;=$AQ$1,"O","X"))</f>
        <v/>
      </c>
      <c r="AR83" s="122">
        <f>IF(M83="","",IF(M83&lt;=$AR$1,"O","X"))</f>
        <v/>
      </c>
      <c r="AS83" s="122" t="inlineStr">
        <is>
          <t>X</t>
        </is>
      </c>
      <c r="AT83" s="122">
        <f>IF(OR(F83="",AI83=""),"",IF(AND((F83&lt;=85),(AI83&gt;=15)),"O","X"))</f>
        <v/>
      </c>
      <c r="AU83" s="122">
        <f>IF(C83="","",IF(C83&gt;=$AU$1,"O","X"))</f>
        <v/>
      </c>
      <c r="AV83" s="122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4" t="n">
        <v>300</v>
      </c>
      <c r="D84" s="132" t="n">
        <v>59.1</v>
      </c>
      <c r="E84" s="133" t="n">
        <v>18</v>
      </c>
      <c r="F84" s="132" t="n">
        <v>53.9</v>
      </c>
      <c r="G84" s="17" t="n">
        <v>16</v>
      </c>
      <c r="H84" s="134" t="n">
        <v>81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2" t="n">
        <v>3</v>
      </c>
      <c r="R84" s="122" t="n">
        <v>1</v>
      </c>
      <c r="S84" s="122" t="inlineStr">
        <is>
          <t>계</t>
        </is>
      </c>
      <c r="T84" s="5" t="inlineStr">
        <is>
          <t>59B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2">
        <f>S84</f>
        <v/>
      </c>
      <c r="AF84" s="122">
        <f>Q84&amp;"/"&amp;R84</f>
        <v/>
      </c>
      <c r="AH84" s="20">
        <f>IF(A84="","",A84)</f>
        <v/>
      </c>
      <c r="AI84" s="133">
        <f>IF(E84="","",E84)</f>
        <v/>
      </c>
      <c r="AJ84" s="122">
        <f>IF(AI84="","",$AJ$2)</f>
        <v/>
      </c>
      <c r="AK84" s="122" t="inlineStr">
        <is>
          <t>A</t>
        </is>
      </c>
      <c r="AL84" s="122" t="inlineStr">
        <is>
          <t>A+</t>
        </is>
      </c>
      <c r="AM84" s="122" t="inlineStr">
        <is>
          <t>B+</t>
        </is>
      </c>
      <c r="AN84" s="122">
        <f>IF(AI84="","",$AN$2)</f>
        <v/>
      </c>
      <c r="AO84" s="122">
        <f>IF(N84="","",IF(N84&gt;=$AO$1/100,"O","X"))</f>
        <v/>
      </c>
      <c r="AP84" s="122">
        <f>IF(I84="","",IF(I84&lt;=$AP$1,"O","X"))</f>
        <v/>
      </c>
      <c r="AQ84" s="122">
        <f>IF(O84="","",IF(O84&lt;=$AQ$1,"O","X"))</f>
        <v/>
      </c>
      <c r="AR84" s="122">
        <f>IF(M84="","",IF(M84&lt;=$AR$1,"O","X"))</f>
        <v/>
      </c>
      <c r="AS84" s="122" t="inlineStr">
        <is>
          <t>X</t>
        </is>
      </c>
      <c r="AT84" s="122">
        <f>IF(OR(F84="",AI84=""),"",IF(AND((F84&lt;=85),(AI84&gt;=15)),"O","X"))</f>
        <v/>
      </c>
      <c r="AU84" s="122">
        <f>IF(C84="","",IF(C84&gt;=$AU$1,"O","X"))</f>
        <v/>
      </c>
      <c r="AV84" s="122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4" t="n">
        <v>300</v>
      </c>
      <c r="D85" s="132" t="n">
        <v>64.40000000000001</v>
      </c>
      <c r="E85" s="133" t="n">
        <v>19</v>
      </c>
      <c r="F85" s="132" t="n">
        <v>59</v>
      </c>
      <c r="G85" s="17" t="n">
        <v>18</v>
      </c>
      <c r="H85" s="134" t="n">
        <v>201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2" t="n">
        <v>3</v>
      </c>
      <c r="R85" s="122" t="n">
        <v>1</v>
      </c>
      <c r="S85" s="122" t="inlineStr">
        <is>
          <t>계</t>
        </is>
      </c>
      <c r="T85" s="5" t="n">
        <v>64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2">
        <f>S85</f>
        <v/>
      </c>
      <c r="AF85" s="122">
        <f>Q85&amp;"/"&amp;R85</f>
        <v/>
      </c>
      <c r="AH85" s="20">
        <f>IF(A85="","",A85)</f>
        <v/>
      </c>
      <c r="AI85" s="133">
        <f>IF(E85="","",E85)</f>
        <v/>
      </c>
      <c r="AJ85" s="122">
        <f>IF(AI85="","",$AJ$2)</f>
        <v/>
      </c>
      <c r="AK85" s="122" t="inlineStr">
        <is>
          <t>A</t>
        </is>
      </c>
      <c r="AL85" s="122" t="inlineStr">
        <is>
          <t>A+</t>
        </is>
      </c>
      <c r="AM85" s="122" t="inlineStr">
        <is>
          <t>B+</t>
        </is>
      </c>
      <c r="AN85" s="122">
        <f>IF(AI85="","",$AN$2)</f>
        <v/>
      </c>
      <c r="AO85" s="122">
        <f>IF(N85="","",IF(N85&gt;=$AO$1/100,"O","X"))</f>
        <v/>
      </c>
      <c r="AP85" s="122">
        <f>IF(I85="","",IF(I85&lt;=$AP$1,"O","X"))</f>
        <v/>
      </c>
      <c r="AQ85" s="122">
        <f>IF(O85="","",IF(O85&lt;=$AQ$1,"O","X"))</f>
        <v/>
      </c>
      <c r="AR85" s="122">
        <f>IF(M85="","",IF(M85&lt;=$AR$1,"O","X"))</f>
        <v/>
      </c>
      <c r="AS85" s="122" t="inlineStr">
        <is>
          <t>X</t>
        </is>
      </c>
      <c r="AT85" s="122">
        <f>IF(OR(F85="",AI85=""),"",IF(AND((F85&lt;=85),(AI85&gt;=15)),"O","X"))</f>
        <v/>
      </c>
      <c r="AU85" s="122">
        <f>IF(C85="","",IF(C85&gt;=$AU$1,"O","X"))</f>
        <v/>
      </c>
      <c r="AV85" s="122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4" t="n">
        <v>417</v>
      </c>
      <c r="D6" s="132" t="n">
        <v>112.5</v>
      </c>
      <c r="E6" s="133" t="n">
        <v>34</v>
      </c>
      <c r="F6" s="132" t="n">
        <v>85</v>
      </c>
      <c r="G6" s="17" t="n">
        <v>26</v>
      </c>
      <c r="H6" s="134" t="n">
        <v>228</v>
      </c>
      <c r="I6" s="135" t="n">
        <v>42000</v>
      </c>
      <c r="J6" s="135" t="inlineStr">
        <is>
          <t>17</t>
        </is>
      </c>
      <c r="K6" s="135" t="n">
        <v>34000</v>
      </c>
      <c r="L6" s="135" t="inlineStr">
        <is>
          <t>7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112A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4" t="n">
        <v>417</v>
      </c>
      <c r="D7" s="132" t="n">
        <v>112.5</v>
      </c>
      <c r="E7" s="133" t="n">
        <v>34</v>
      </c>
      <c r="F7" s="132" t="n">
        <v>85</v>
      </c>
      <c r="G7" s="17" t="n">
        <v>26</v>
      </c>
      <c r="H7" s="134" t="n">
        <v>123</v>
      </c>
      <c r="I7" s="135" t="n">
        <v>42000</v>
      </c>
      <c r="J7" s="135" t="inlineStr">
        <is>
          <t>17</t>
        </is>
      </c>
      <c r="K7" s="135" t="n">
        <v>34000</v>
      </c>
      <c r="L7" s="135" t="inlineStr">
        <is>
          <t>7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112C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4" t="n">
        <v>417</v>
      </c>
      <c r="D8" s="132" t="n">
        <v>112.7</v>
      </c>
      <c r="E8" s="133" t="n">
        <v>34</v>
      </c>
      <c r="F8" s="132" t="n">
        <v>85</v>
      </c>
      <c r="G8" s="17" t="n">
        <v>26</v>
      </c>
      <c r="H8" s="134" t="n">
        <v>66</v>
      </c>
      <c r="I8" s="135" t="n">
        <v>41500</v>
      </c>
      <c r="J8" s="135" t="inlineStr">
        <is>
          <t>9</t>
        </is>
      </c>
      <c r="K8" s="135" t="n">
        <v>36000</v>
      </c>
      <c r="L8" s="135" t="inlineStr">
        <is>
          <t>20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112B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대원칸타빌1차</t>
        </is>
      </c>
      <c r="B10" s="10" t="inlineStr">
        <is>
          <t>'13.03.</t>
        </is>
      </c>
      <c r="C10" s="134" t="n">
        <v>903</v>
      </c>
      <c r="D10" s="132" t="n">
        <v>108.8</v>
      </c>
      <c r="E10" s="133" t="n">
        <v>33</v>
      </c>
      <c r="F10" s="132" t="n">
        <v>84.8</v>
      </c>
      <c r="G10" s="17" t="n">
        <v>26</v>
      </c>
      <c r="H10" s="134" t="n">
        <v>475</v>
      </c>
      <c r="I10" s="135" t="n">
        <v>43000</v>
      </c>
      <c r="J10" s="135" t="inlineStr">
        <is>
          <t>9</t>
        </is>
      </c>
      <c r="K10" s="135" t="n">
        <v>33500</v>
      </c>
      <c r="L10" s="135" t="inlineStr">
        <is>
          <t>14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108A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4" t="n">
        <v>903</v>
      </c>
      <c r="D11" s="132" t="n">
        <v>108.8</v>
      </c>
      <c r="E11" s="133" t="n">
        <v>33</v>
      </c>
      <c r="F11" s="132" t="n">
        <v>84.5</v>
      </c>
      <c r="G11" s="17" t="n">
        <v>26</v>
      </c>
      <c r="H11" s="134" t="n">
        <v>190</v>
      </c>
      <c r="I11" s="135" t="n">
        <v>42500</v>
      </c>
      <c r="J11" s="135" t="inlineStr">
        <is>
          <t>12</t>
        </is>
      </c>
      <c r="K11" s="135" t="n">
        <v>32000</v>
      </c>
      <c r="L11" s="135" t="inlineStr">
        <is>
          <t>8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108C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4" t="n">
        <v>903</v>
      </c>
      <c r="D12" s="132" t="n">
        <v>109.4</v>
      </c>
      <c r="E12" s="133" t="n">
        <v>33</v>
      </c>
      <c r="F12" s="132" t="n">
        <v>84.40000000000001</v>
      </c>
      <c r="G12" s="17" t="n">
        <v>26</v>
      </c>
      <c r="H12" s="134" t="n">
        <v>238</v>
      </c>
      <c r="I12" s="135" t="n">
        <v>42000</v>
      </c>
      <c r="J12" s="135" t="inlineStr">
        <is>
          <t>고</t>
        </is>
      </c>
      <c r="K12" s="135" t="n">
        <v>33000</v>
      </c>
      <c r="L12" s="135" t="inlineStr">
        <is>
          <t>고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inlineStr">
        <is>
          <t>109B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>
      <c r="A14" s="9" t="inlineStr">
        <is>
          <t>대원칸타빌3차</t>
        </is>
      </c>
      <c r="B14" s="10" t="inlineStr">
        <is>
          <t>'15.03.</t>
        </is>
      </c>
      <c r="C14" s="134" t="n">
        <v>789</v>
      </c>
      <c r="D14" s="132" t="n">
        <v>109.9</v>
      </c>
      <c r="E14" s="133" t="n">
        <v>33</v>
      </c>
      <c r="F14" s="132" t="n">
        <v>84.8</v>
      </c>
      <c r="G14" s="17" t="n">
        <v>26</v>
      </c>
      <c r="H14" s="134" t="n">
        <v>168</v>
      </c>
      <c r="I14" s="135" t="n">
        <v>48500</v>
      </c>
      <c r="J14" s="135" t="inlineStr">
        <is>
          <t>중</t>
        </is>
      </c>
      <c r="K14" s="135" t="n">
        <v>37000</v>
      </c>
      <c r="L14" s="135" t="inlineStr">
        <is>
          <t>7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2</v>
      </c>
      <c r="S14" s="122" t="inlineStr">
        <is>
          <t>계</t>
        </is>
      </c>
      <c r="T14" s="5" t="inlineStr">
        <is>
          <t>109A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4" t="n">
        <v>789</v>
      </c>
      <c r="D15" s="132" t="n">
        <v>109.9</v>
      </c>
      <c r="E15" s="133" t="n">
        <v>33</v>
      </c>
      <c r="F15" s="132" t="n">
        <v>84.40000000000001</v>
      </c>
      <c r="G15" s="17" t="n">
        <v>26</v>
      </c>
      <c r="H15" s="134" t="n">
        <v>118</v>
      </c>
      <c r="I15" s="135" t="n">
        <v>45500</v>
      </c>
      <c r="J15" s="135" t="inlineStr">
        <is>
          <t>17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2</v>
      </c>
      <c r="S15" s="122" t="inlineStr">
        <is>
          <t>계</t>
        </is>
      </c>
      <c r="T15" s="5" t="inlineStr">
        <is>
          <t>109C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4" t="n">
        <v>789</v>
      </c>
      <c r="D16" s="132" t="n">
        <v>111.2</v>
      </c>
      <c r="E16" s="133" t="n">
        <v>34</v>
      </c>
      <c r="F16" s="132" t="n">
        <v>85</v>
      </c>
      <c r="G16" s="17" t="n">
        <v>26</v>
      </c>
      <c r="H16" s="134" t="n">
        <v>94</v>
      </c>
      <c r="I16" s="135" t="n">
        <v>48000</v>
      </c>
      <c r="J16" s="135" t="inlineStr">
        <is>
          <t>10</t>
        </is>
      </c>
      <c r="K16" s="135" t="n">
        <v>33000</v>
      </c>
      <c r="L16" s="135" t="inlineStr">
        <is>
          <t>12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111B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4" t="n">
        <v>789</v>
      </c>
      <c r="D17" s="132" t="n">
        <v>131.4</v>
      </c>
      <c r="E17" s="133" t="n">
        <v>40</v>
      </c>
      <c r="F17" s="132" t="n">
        <v>105.7</v>
      </c>
      <c r="G17" s="17" t="n">
        <v>32</v>
      </c>
      <c r="H17" s="134" t="n">
        <v>391</v>
      </c>
      <c r="I17" s="135" t="n">
        <v>57000</v>
      </c>
      <c r="J17" s="135" t="inlineStr">
        <is>
          <t>11</t>
        </is>
      </c>
      <c r="K17" s="135" t="n">
        <v>47000</v>
      </c>
      <c r="L17" s="135" t="inlineStr">
        <is>
          <t>22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n">
        <v>131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4" t="n">
        <v>789</v>
      </c>
      <c r="D18" s="132" t="n">
        <v>164.8</v>
      </c>
      <c r="E18" s="133" t="n">
        <v>50</v>
      </c>
      <c r="F18" s="132" t="n">
        <v>131.9</v>
      </c>
      <c r="G18" s="17" t="n">
        <v>40</v>
      </c>
      <c r="H18" s="134" t="n">
        <v>18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5</v>
      </c>
      <c r="R18" s="122" t="n">
        <v>3</v>
      </c>
      <c r="S18" s="122" t="inlineStr">
        <is>
          <t>계</t>
        </is>
      </c>
      <c r="T18" s="5" t="n">
        <v>164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대원칸타빌2차</t>
        </is>
      </c>
      <c r="B6" s="10" t="inlineStr">
        <is>
          <t>'14.04.</t>
        </is>
      </c>
      <c r="C6" s="134" t="n">
        <v>780</v>
      </c>
      <c r="D6" s="132" t="n">
        <v>109.2</v>
      </c>
      <c r="E6" s="133" t="n">
        <v>33</v>
      </c>
      <c r="F6" s="132" t="n">
        <v>84.8</v>
      </c>
      <c r="G6" s="17" t="n">
        <v>26</v>
      </c>
      <c r="H6" s="134" t="n">
        <v>414</v>
      </c>
      <c r="I6" s="135" t="n">
        <v>43000</v>
      </c>
      <c r="J6" s="135" t="inlineStr">
        <is>
          <t>고</t>
        </is>
      </c>
      <c r="K6" s="135" t="n">
        <v>34000</v>
      </c>
      <c r="L6" s="135" t="inlineStr">
        <is>
          <t>22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109A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4" t="n">
        <v>780</v>
      </c>
      <c r="D7" s="132" t="n">
        <v>109.9</v>
      </c>
      <c r="E7" s="133" t="n">
        <v>33</v>
      </c>
      <c r="F7" s="132" t="n">
        <v>84.40000000000001</v>
      </c>
      <c r="G7" s="17" t="n">
        <v>26</v>
      </c>
      <c r="H7" s="134" t="n">
        <v>207</v>
      </c>
      <c r="I7" s="135" t="n">
        <v>43000</v>
      </c>
      <c r="J7" s="135" t="inlineStr">
        <is>
          <t>25</t>
        </is>
      </c>
      <c r="K7" s="135" t="n">
        <v>37000</v>
      </c>
      <c r="L7" s="135" t="inlineStr">
        <is>
          <t>14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109B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4" t="n">
        <v>780</v>
      </c>
      <c r="D8" s="132" t="n">
        <v>109.2</v>
      </c>
      <c r="E8" s="133" t="n">
        <v>33</v>
      </c>
      <c r="F8" s="132" t="n">
        <v>84.5</v>
      </c>
      <c r="G8" s="17" t="n">
        <v>26</v>
      </c>
      <c r="H8" s="134" t="n">
        <v>159</v>
      </c>
      <c r="I8" s="135" t="n">
        <v>45500</v>
      </c>
      <c r="J8" s="135" t="inlineStr">
        <is>
          <t>7</t>
        </is>
      </c>
      <c r="K8" s="135" t="n">
        <v>34000</v>
      </c>
      <c r="L8" s="135" t="inlineStr">
        <is>
          <t>21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109C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2022-08-17T10:52:13Z</dcterms:modified>
  <cp:lastModifiedBy>MinsuKwon</cp:lastModifiedBy>
  <cp:lastPrinted>2018-04-28T10:52:41Z</cp:lastPrinted>
</cp:coreProperties>
</file>